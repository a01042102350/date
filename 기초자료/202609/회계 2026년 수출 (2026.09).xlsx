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omments1.xml" ContentType="application/vnd.openxmlformats-officedocument.spreadsheetml.comments+xml"/>
  <Override PartName="/xl/drawings/drawing17.xml" ContentType="application/vnd.openxmlformats-officedocument.drawing+xml"/>
  <Override PartName="/xl/comments2.xml" ContentType="application/vnd.openxmlformats-officedocument.spreadsheetml.comments+xml"/>
  <Override PartName="/xl/drawings/drawing18.xml" ContentType="application/vnd.openxmlformats-officedocument.drawing+xml"/>
  <Override PartName="/xl/comments3.xml" ContentType="application/vnd.openxmlformats-officedocument.spreadsheetml.comments+xml"/>
  <Override PartName="/xl/drawings/drawing19.xml" ContentType="application/vnd.openxmlformats-officedocument.drawing+xml"/>
  <Override PartName="/xl/comments4.xml" ContentType="application/vnd.openxmlformats-officedocument.spreadsheetml.comments+xml"/>
  <Override PartName="/xl/drawings/drawing20.xml" ContentType="application/vnd.openxmlformats-officedocument.drawing+xml"/>
  <Override PartName="/xl/comments5.xml" ContentType="application/vnd.openxmlformats-officedocument.spreadsheetml.comments+xml"/>
  <Override PartName="/xl/drawings/drawing21.xml" ContentType="application/vnd.openxmlformats-officedocument.drawing+xml"/>
  <Override PartName="/xl/comments6.xml" ContentType="application/vnd.openxmlformats-officedocument.spreadsheetml.comments+xml"/>
  <Override PartName="/xl/drawings/drawing22.xml" ContentType="application/vnd.openxmlformats-officedocument.drawing+xml"/>
  <Override PartName="/xl/comments7.xml" ContentType="application/vnd.openxmlformats-officedocument.spreadsheetml.comments+xml"/>
  <Override PartName="/xl/drawings/drawing23.xml" ContentType="application/vnd.openxmlformats-officedocument.drawing+xml"/>
  <Override PartName="/xl/comments8.xml" ContentType="application/vnd.openxmlformats-officedocument.spreadsheetml.comments+xml"/>
  <Override PartName="/xl/drawings/drawing24.xml" ContentType="application/vnd.openxmlformats-officedocument.drawing+xml"/>
  <Override PartName="/xl/comments9.xml" ContentType="application/vnd.openxmlformats-officedocument.spreadsheetml.comments+xml"/>
  <Override PartName="/xl/drawings/drawing25.xml" ContentType="application/vnd.openxmlformats-officedocument.drawing+xml"/>
  <Override PartName="/xl/comments10.xml" ContentType="application/vnd.openxmlformats-officedocument.spreadsheetml.comments+xml"/>
  <Override PartName="/xl/drawings/drawing26.xml" ContentType="application/vnd.openxmlformats-officedocument.drawing+xml"/>
  <Override PartName="/xl/comments11.xml" ContentType="application/vnd.openxmlformats-officedocument.spreadsheetml.comments+xml"/>
  <Override PartName="/xl/drawings/drawing27.xml" ContentType="application/vnd.openxmlformats-officedocument.drawing+xml"/>
  <Override PartName="/xl/comments12.xml" ContentType="application/vnd.openxmlformats-officedocument.spreadsheetml.comments+xml"/>
  <Override PartName="/xl/drawings/drawing28.xml" ContentType="application/vnd.openxmlformats-officedocument.drawing+xml"/>
  <Override PartName="/xl/comments13.xml" ContentType="application/vnd.openxmlformats-officedocument.spreadsheetml.comments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ai\기초자료\"/>
    </mc:Choice>
  </mc:AlternateContent>
  <xr:revisionPtr revIDLastSave="0" documentId="13_ncr:1_{19144CBD-D249-4569-A576-29556D9297D5}" xr6:coauthVersionLast="36" xr6:coauthVersionMax="47" xr10:uidLastSave="{00000000-0000-0000-0000-000000000000}"/>
  <bookViews>
    <workbookView xWindow="-120" yWindow="-120" windowWidth="29040" windowHeight="15720" tabRatio="946" firstSheet="29" activeTab="35" xr2:uid="{00000000-000D-0000-FFFF-FFFF00000000}"/>
  </bookViews>
  <sheets>
    <sheet name="24.01 (갑)" sheetId="166" r:id="rId1"/>
    <sheet name="24.02 (갑)" sheetId="169" r:id="rId2"/>
    <sheet name="24.03 (갑)" sheetId="170" r:id="rId3"/>
    <sheet name="24.04 (갑)" sheetId="171" r:id="rId4"/>
    <sheet name="24.05 (갑)" sheetId="172" r:id="rId5"/>
    <sheet name="24.06 (갑)" sheetId="173" r:id="rId6"/>
    <sheet name="24.07 (갑) " sheetId="174" r:id="rId7"/>
    <sheet name="24.08 (갑) " sheetId="175" r:id="rId8"/>
    <sheet name="24.09 (갑)" sheetId="176" r:id="rId9"/>
    <sheet name="24.10 (갑)" sheetId="177" r:id="rId10"/>
    <sheet name="24.11 (갑)" sheetId="178" r:id="rId11"/>
    <sheet name="Sheet3" sheetId="179" state="hidden" r:id="rId12"/>
    <sheet name="24.12 (갑) " sheetId="180" r:id="rId13"/>
    <sheet name="Sheet4" sheetId="181" state="hidden" r:id="rId14"/>
    <sheet name="25.01 (갑) " sheetId="182" r:id="rId15"/>
    <sheet name="25.02 (갑) " sheetId="183" r:id="rId16"/>
    <sheet name="25.03 (갑)" sheetId="184" r:id="rId17"/>
    <sheet name="25.04 (갑)" sheetId="185" r:id="rId18"/>
    <sheet name="25.05 (갑)" sheetId="187" r:id="rId19"/>
    <sheet name="25.06 (갑)" sheetId="188" r:id="rId20"/>
    <sheet name="25.7 (갑)" sheetId="189" r:id="rId21"/>
    <sheet name="25.8 (갑)" sheetId="190" r:id="rId22"/>
    <sheet name="25.9 (갑)" sheetId="191" r:id="rId23"/>
    <sheet name="25.10 (갑) " sheetId="193" r:id="rId24"/>
    <sheet name="25.11 (갑)" sheetId="194" r:id="rId25"/>
    <sheet name="25.12 (갑)" sheetId="195" r:id="rId26"/>
    <sheet name="26.01 (갑)" sheetId="196" r:id="rId27"/>
    <sheet name="26.02 (갑)" sheetId="197" r:id="rId28"/>
    <sheet name="26.02(NEW)" sheetId="198" r:id="rId29"/>
    <sheet name="26.03(NEW)" sheetId="200" r:id="rId30"/>
    <sheet name="26.04(NEW)" sheetId="201" r:id="rId31"/>
    <sheet name="26.05(NEW)" sheetId="202" r:id="rId32"/>
    <sheet name="26.06(NEW)" sheetId="203" r:id="rId33"/>
    <sheet name="26.07(NEW)" sheetId="204" r:id="rId34"/>
    <sheet name="26.08(NEW)" sheetId="205" r:id="rId35"/>
    <sheet name="26.09(NEW)" sheetId="206" r:id="rId36"/>
    <sheet name="환율" sheetId="2" r:id="rId37"/>
    <sheet name="Sheet6" sheetId="192" r:id="rId38"/>
    <sheet name="Sheet5" sheetId="186" r:id="rId39"/>
    <sheet name="면장 검토 (2)" sheetId="118" state="hidden" r:id="rId40"/>
    <sheet name="Sheet1 (2)" sheetId="117" state="hidden" r:id="rId41"/>
    <sheet name="면장 검토" sheetId="113" state="hidden" r:id="rId42"/>
    <sheet name="Sheet1" sheetId="114" state="hidden" r:id="rId43"/>
    <sheet name="Sheet2" sheetId="80" state="hidden" r:id="rId44"/>
  </sheets>
  <externalReferences>
    <externalReference r:id="rId45"/>
  </externalReferences>
  <definedNames>
    <definedName name="_xlnm._FilterDatabase" localSheetId="0" hidden="1">'24.01 (갑)'!$A$7:$E$122</definedName>
    <definedName name="_xlnm._FilterDatabase" localSheetId="1" hidden="1">'24.02 (갑)'!$A$11:$E$103</definedName>
    <definedName name="_xlnm._FilterDatabase" localSheetId="2" hidden="1">'24.03 (갑)'!$A$11:$E$117</definedName>
    <definedName name="_xlnm._FilterDatabase" localSheetId="3" hidden="1">'24.04 (갑)'!$A$11:$F$104</definedName>
    <definedName name="_xlnm._FilterDatabase" localSheetId="4" hidden="1">'24.05 (갑)'!$A$11:$F$98</definedName>
    <definedName name="_xlnm._FilterDatabase" localSheetId="5" hidden="1">'24.06 (갑)'!$A$11:$F$93</definedName>
    <definedName name="_xlnm._FilterDatabase" localSheetId="6" hidden="1">'24.07 (갑) '!$A$11:$F$97</definedName>
    <definedName name="_xlnm._FilterDatabase" localSheetId="7" hidden="1">'24.08 (갑) '!$A$11:$F$82</definedName>
    <definedName name="_xlnm._FilterDatabase" localSheetId="8" hidden="1">'24.09 (갑)'!$A$11:$F$75</definedName>
    <definedName name="_xlnm._FilterDatabase" localSheetId="9" hidden="1">'24.10 (갑)'!$A$11:$F$78</definedName>
    <definedName name="_xlnm._FilterDatabase" localSheetId="10" hidden="1">'24.11 (갑)'!$A$10:$F$89</definedName>
    <definedName name="_xlnm._FilterDatabase" localSheetId="12" hidden="1">'24.12 (갑) '!$A$10:$F$93</definedName>
    <definedName name="_xlnm._FilterDatabase" localSheetId="14" hidden="1">'25.01 (갑) '!$A$10:$F$72</definedName>
    <definedName name="_xlnm._FilterDatabase" localSheetId="15" hidden="1">'25.02 (갑) '!$A$10:$F$94</definedName>
    <definedName name="_xlnm._FilterDatabase" localSheetId="16" hidden="1">'25.03 (갑)'!$A$10:$G$109</definedName>
    <definedName name="_xlnm._FilterDatabase" localSheetId="17" hidden="1">'25.04 (갑)'!$A$10:$H$112</definedName>
    <definedName name="_xlnm._FilterDatabase" localSheetId="18" hidden="1">'25.05 (갑)'!$A$10:$H$117</definedName>
    <definedName name="_xlnm._FilterDatabase" localSheetId="19" hidden="1">'25.06 (갑)'!$A$10:$H$112</definedName>
    <definedName name="_xlnm._FilterDatabase" localSheetId="23" hidden="1">'25.10 (갑) '!$A$10:$H$105</definedName>
    <definedName name="_xlnm._FilterDatabase" localSheetId="24" hidden="1">'25.11 (갑)'!$A$10:$H$111</definedName>
    <definedName name="_xlnm._FilterDatabase" localSheetId="25" hidden="1">'25.12 (갑)'!$A$10:$G$110</definedName>
    <definedName name="_xlnm._FilterDatabase" localSheetId="20" hidden="1">'25.7 (갑)'!$A$10:$H$122</definedName>
    <definedName name="_xlnm._FilterDatabase" localSheetId="21" hidden="1">'25.8 (갑)'!$A$10:$H$112</definedName>
    <definedName name="_xlnm._FilterDatabase" localSheetId="22" hidden="1">'25.9 (갑)'!$A$10:$H$118</definedName>
    <definedName name="_xlnm._FilterDatabase" localSheetId="26" hidden="1">'26.01 (갑)'!$A$10:$G$109</definedName>
    <definedName name="_xlnm._FilterDatabase" localSheetId="27" hidden="1">'26.02 (갑)'!$A$10:$G$119</definedName>
    <definedName name="_xlnm._FilterDatabase" localSheetId="28" hidden="1">'26.02(NEW)'!$A$26:$L$106</definedName>
    <definedName name="_xlnm._FilterDatabase" localSheetId="29" hidden="1">'26.03(NEW)'!$A$29:$L$124</definedName>
    <definedName name="_xlnm._FilterDatabase" localSheetId="30" hidden="1">'26.04(NEW)'!$A$29:$L$134</definedName>
    <definedName name="_xlnm._FilterDatabase" localSheetId="31" hidden="1">'26.05(NEW)'!$A$29:$K$143</definedName>
    <definedName name="_xlnm._FilterDatabase" localSheetId="32" hidden="1">'26.06(NEW)'!$A$29:$K$129</definedName>
    <definedName name="_xlnm._FilterDatabase" localSheetId="33" hidden="1">'26.07(NEW)'!$A$29:$K$135</definedName>
    <definedName name="_xlnm._FilterDatabase" localSheetId="34" hidden="1">'26.08(NEW)'!$A$30:$K$146</definedName>
    <definedName name="_xlnm._FilterDatabase" localSheetId="35" hidden="1">'26.09(NEW)'!$A$30:$K$134</definedName>
    <definedName name="_xlnm._FilterDatabase" localSheetId="42" hidden="1">Sheet1!#REF!</definedName>
    <definedName name="_xlnm._FilterDatabase" localSheetId="40" hidden="1">'Sheet1 (2)'!#REF!</definedName>
    <definedName name="_xlnm._FilterDatabase" localSheetId="43" hidden="1">Sheet2!$A$4:$E$4</definedName>
    <definedName name="_xlnm._FilterDatabase" localSheetId="41" hidden="1">'면장 검토'!$A$1:$T$1</definedName>
    <definedName name="_xlnm._FilterDatabase" localSheetId="39" hidden="1">'면장 검토 (2)'!$A$1:$T$1</definedName>
    <definedName name="_xlnm.Print_Area" localSheetId="0">'24.01 (갑)'!$A$1:$I$122</definedName>
    <definedName name="_xlnm.Print_Area" localSheetId="1">'24.02 (갑)'!$A$1:$I$103</definedName>
    <definedName name="_xlnm.Print_Area" localSheetId="2">'24.03 (갑)'!$A$1:$I$117</definedName>
    <definedName name="_xlnm.Print_Area" localSheetId="3">'24.04 (갑)'!$A$1:$J$104</definedName>
    <definedName name="_xlnm.Print_Area" localSheetId="4">'24.05 (갑)'!$A$1:$J$98</definedName>
    <definedName name="_xlnm.Print_Area" localSheetId="5">'24.06 (갑)'!$A$1:$J$93</definedName>
    <definedName name="_xlnm.Print_Area" localSheetId="6">'24.07 (갑) '!$A$1:$J$98</definedName>
    <definedName name="_xlnm.Print_Area" localSheetId="7">'24.08 (갑) '!$A$1:$J$83</definedName>
    <definedName name="_xlnm.Print_Area" localSheetId="8">'24.09 (갑)'!$A$1:$J$76</definedName>
    <definedName name="_xlnm.Print_Area" localSheetId="9">'24.10 (갑)'!$A$1:$J$79</definedName>
    <definedName name="_xlnm.Print_Area" localSheetId="10">'24.11 (갑)'!$A$1:$J$90</definedName>
    <definedName name="_xlnm.Print_Area" localSheetId="12">'24.12 (갑) '!$A$1:$J$94</definedName>
    <definedName name="_xlnm.Print_Area" localSheetId="14">'25.01 (갑) '!$A$1:$J$73</definedName>
    <definedName name="_xlnm.Print_Area" localSheetId="15">'25.02 (갑) '!$A$1:$J$95</definedName>
    <definedName name="_xlnm.Print_Area" localSheetId="16">'25.03 (갑)'!$A$1:$K$110</definedName>
    <definedName name="_xlnm.Print_Area" localSheetId="17">'25.04 (갑)'!$A$1:$L$113</definedName>
    <definedName name="_xlnm.Print_Area" localSheetId="18">'25.05 (갑)'!$A$1:$L$114</definedName>
    <definedName name="_xlnm.Print_Area" localSheetId="19">'25.06 (갑)'!$A$1:$L$109</definedName>
    <definedName name="_xlnm.Print_Area" localSheetId="23">'25.10 (갑) '!$A$1:$L$102</definedName>
    <definedName name="_xlnm.Print_Area" localSheetId="24">'25.11 (갑)'!$A$1:$L$108</definedName>
    <definedName name="_xlnm.Print_Area" localSheetId="25">'25.12 (갑)'!$A$1:$K$107</definedName>
    <definedName name="_xlnm.Print_Area" localSheetId="20">'25.7 (갑)'!$A$1:$L$119</definedName>
    <definedName name="_xlnm.Print_Area" localSheetId="21">'25.8 (갑)'!$A$1:$L$109</definedName>
    <definedName name="_xlnm.Print_Area" localSheetId="22">'25.9 (갑)'!$A$1:$L$115</definedName>
    <definedName name="_xlnm.Print_Area" localSheetId="26">'26.01 (갑)'!$A$1:$K$106</definedName>
    <definedName name="_xlnm.Print_Area" localSheetId="27">'26.02 (갑)'!$A$1:$N$116</definedName>
    <definedName name="_xlnm.Print_Area" localSheetId="28">'26.02(NEW)'!$A$1:$K$106</definedName>
    <definedName name="_xlnm.Print_Area" localSheetId="29">'26.03(NEW)'!$A$1:$K$124</definedName>
    <definedName name="_xlnm.Print_Area" localSheetId="30">'26.04(NEW)'!$A$1:$K$134</definedName>
    <definedName name="_xlnm.Print_Area" localSheetId="31">'26.05(NEW)'!$A$1:$K$143</definedName>
    <definedName name="_xlnm.Print_Area" localSheetId="32">'26.06(NEW)'!$A$1:$K$129</definedName>
    <definedName name="_xlnm.Print_Area" localSheetId="33">'26.07(NEW)'!$A$1:$K$135</definedName>
    <definedName name="_xlnm.Print_Area" localSheetId="34">'26.08(NEW)'!$A$1:$K$146</definedName>
    <definedName name="_xlnm.Print_Area" localSheetId="35">'26.09(NEW)'!$A$1:$K$134</definedName>
    <definedName name="_xlnm.Print_Area" localSheetId="36">환율!$A$2254:$B$2285</definedName>
    <definedName name="_xlnm.Print_Titles" localSheetId="0">'24.01 (갑)'!$1:$8</definedName>
    <definedName name="_xlnm.Print_Titles" localSheetId="1">'24.02 (갑)'!$5:$12</definedName>
    <definedName name="_xlnm.Print_Titles" localSheetId="2">'24.03 (갑)'!$5:$12</definedName>
    <definedName name="_xlnm.Print_Titles" localSheetId="3">'24.04 (갑)'!$5:$12</definedName>
    <definedName name="_xlnm.Print_Titles" localSheetId="4">'24.05 (갑)'!$5:$12</definedName>
    <definedName name="_xlnm.Print_Titles" localSheetId="5">'24.06 (갑)'!$5:$12</definedName>
    <definedName name="_xlnm.Print_Titles" localSheetId="6">'24.07 (갑) '!$5:$12</definedName>
    <definedName name="_xlnm.Print_Titles" localSheetId="7">'24.08 (갑) '!$5:$12</definedName>
    <definedName name="_xlnm.Print_Titles" localSheetId="8">'24.09 (갑)'!$5:$12</definedName>
    <definedName name="_xlnm.Print_Titles" localSheetId="9">'24.10 (갑)'!$5:$12</definedName>
    <definedName name="_xlnm.Print_Titles" localSheetId="10">'24.11 (갑)'!$4:$11</definedName>
    <definedName name="_xlnm.Print_Titles" localSheetId="12">'24.12 (갑) '!$4:$11</definedName>
    <definedName name="_xlnm.Print_Titles" localSheetId="14">'25.01 (갑) '!$4:$11</definedName>
    <definedName name="_xlnm.Print_Titles" localSheetId="15">'25.02 (갑) '!$10:$11</definedName>
    <definedName name="_xlnm.Print_Titles" localSheetId="16">'25.03 (갑)'!$10:$11</definedName>
    <definedName name="_xlnm.Print_Titles" localSheetId="17">'25.04 (갑)'!$10:$11</definedName>
    <definedName name="_xlnm.Print_Titles" localSheetId="18">'25.05 (갑)'!$10:$11</definedName>
    <definedName name="_xlnm.Print_Titles" localSheetId="19">'25.06 (갑)'!$10:$11</definedName>
    <definedName name="_xlnm.Print_Titles" localSheetId="23">'25.10 (갑) '!$10:$11</definedName>
    <definedName name="_xlnm.Print_Titles" localSheetId="24">'25.11 (갑)'!$10:$11</definedName>
    <definedName name="_xlnm.Print_Titles" localSheetId="25">'25.12 (갑)'!$10:$11</definedName>
    <definedName name="_xlnm.Print_Titles" localSheetId="20">'25.7 (갑)'!$10:$11</definedName>
    <definedName name="_xlnm.Print_Titles" localSheetId="21">'25.8 (갑)'!$10:$11</definedName>
    <definedName name="_xlnm.Print_Titles" localSheetId="22">'25.9 (갑)'!$10:$11</definedName>
    <definedName name="_xlnm.Print_Titles" localSheetId="26">'26.01 (갑)'!$10:$11</definedName>
    <definedName name="_xlnm.Print_Titles" localSheetId="27">'26.02 (갑)'!$10:$11</definedName>
    <definedName name="_xlnm.Print_Titles" localSheetId="28">'26.02(NEW)'!$25:$26</definedName>
    <definedName name="_xlnm.Print_Titles" localSheetId="29">'26.03(NEW)'!$28:$29</definedName>
    <definedName name="_xlnm.Print_Titles" localSheetId="30">'26.04(NEW)'!$28:$29</definedName>
    <definedName name="_xlnm.Print_Titles" localSheetId="31">'26.05(NEW)'!$28:$29</definedName>
    <definedName name="_xlnm.Print_Titles" localSheetId="32">'26.06(NEW)'!$28:$29</definedName>
    <definedName name="_xlnm.Print_Titles" localSheetId="33">'26.07(NEW)'!$29:$30</definedName>
  </definedNames>
  <calcPr calcId="191029"/>
</workbook>
</file>

<file path=xl/calcChain.xml><?xml version="1.0" encoding="utf-8"?>
<calcChain xmlns="http://schemas.openxmlformats.org/spreadsheetml/2006/main">
  <c r="K38" i="206" l="1"/>
  <c r="E12" i="206" l="1"/>
  <c r="K93" i="206"/>
  <c r="K92" i="206"/>
  <c r="I92" i="206"/>
  <c r="I93" i="206"/>
  <c r="J76" i="206"/>
  <c r="G130" i="206"/>
  <c r="I130" i="206" s="1"/>
  <c r="K130" i="206" s="1"/>
  <c r="H20" i="206" s="1"/>
  <c r="G129" i="206"/>
  <c r="I129" i="206" s="1"/>
  <c r="J129" i="206" s="1"/>
  <c r="G128" i="206"/>
  <c r="I128" i="206" s="1"/>
  <c r="J128" i="206" s="1"/>
  <c r="G127" i="206"/>
  <c r="G126" i="206"/>
  <c r="G125" i="206"/>
  <c r="G118" i="206"/>
  <c r="I118" i="206" s="1"/>
  <c r="J118" i="206" s="1"/>
  <c r="G119" i="206"/>
  <c r="I119" i="206" s="1"/>
  <c r="J119" i="206" s="1"/>
  <c r="G120" i="206"/>
  <c r="I120" i="206" s="1"/>
  <c r="J120" i="206" s="1"/>
  <c r="G116" i="206"/>
  <c r="G117" i="206"/>
  <c r="G115" i="206"/>
  <c r="I115" i="206" s="1"/>
  <c r="K115" i="206" s="1"/>
  <c r="H18" i="206" s="1"/>
  <c r="G113" i="206"/>
  <c r="I113" i="206" s="1"/>
  <c r="J113" i="206" s="1"/>
  <c r="E18" i="206" s="1"/>
  <c r="G114" i="206"/>
  <c r="I114" i="206" s="1"/>
  <c r="J114" i="206" s="1"/>
  <c r="G112" i="206"/>
  <c r="G98" i="206"/>
  <c r="I98" i="206" s="1"/>
  <c r="J98" i="206" s="1"/>
  <c r="G99" i="206"/>
  <c r="I99" i="206" s="1"/>
  <c r="J99" i="206" s="1"/>
  <c r="G100" i="206"/>
  <c r="I100" i="206" s="1"/>
  <c r="J100" i="206" s="1"/>
  <c r="G101" i="206"/>
  <c r="I101" i="206" s="1"/>
  <c r="J101" i="206" s="1"/>
  <c r="I91" i="206"/>
  <c r="J91" i="206" s="1"/>
  <c r="G90" i="206"/>
  <c r="I90" i="206" s="1"/>
  <c r="J90" i="206" s="1"/>
  <c r="G88" i="206"/>
  <c r="I88" i="206" s="1"/>
  <c r="J88" i="206" s="1"/>
  <c r="G74" i="206"/>
  <c r="I74" i="206" s="1"/>
  <c r="J74" i="206" s="1"/>
  <c r="G50" i="206"/>
  <c r="I50" i="206" s="1"/>
  <c r="J50" i="206" s="1"/>
  <c r="I37" i="206"/>
  <c r="J37" i="206" s="1"/>
  <c r="G49" i="206" l="1"/>
  <c r="G48" i="206"/>
  <c r="G47" i="206"/>
  <c r="G46" i="206"/>
  <c r="G45" i="206"/>
  <c r="G44" i="206"/>
  <c r="G43" i="206"/>
  <c r="G42" i="206"/>
  <c r="I42" i="206" s="1"/>
  <c r="G41" i="206"/>
  <c r="I41" i="206" s="1"/>
  <c r="G40" i="206"/>
  <c r="I40" i="206" s="1"/>
  <c r="J132" i="206" l="1"/>
  <c r="J131" i="206"/>
  <c r="E21" i="206" s="1"/>
  <c r="J21" i="206" s="1"/>
  <c r="K24" i="206" s="1"/>
  <c r="I127" i="206"/>
  <c r="J127" i="206" s="1"/>
  <c r="E20" i="206" s="1"/>
  <c r="I126" i="206"/>
  <c r="J126" i="206" s="1"/>
  <c r="I125" i="206"/>
  <c r="G124" i="206"/>
  <c r="G123" i="206"/>
  <c r="I123" i="206" s="1"/>
  <c r="K123" i="206" s="1"/>
  <c r="G122" i="206"/>
  <c r="I122" i="206" s="1"/>
  <c r="J122" i="206" s="1"/>
  <c r="G121" i="206"/>
  <c r="I121" i="206" s="1"/>
  <c r="J121" i="206" s="1"/>
  <c r="I117" i="206"/>
  <c r="J117" i="206" s="1"/>
  <c r="I116" i="206"/>
  <c r="I112" i="206"/>
  <c r="J112" i="206" s="1"/>
  <c r="D18" i="206" s="1"/>
  <c r="G111" i="206"/>
  <c r="I111" i="206" s="1"/>
  <c r="K111" i="206" s="1"/>
  <c r="G110" i="206"/>
  <c r="I110" i="206" s="1"/>
  <c r="K110" i="206" s="1"/>
  <c r="G109" i="206"/>
  <c r="I109" i="206" s="1"/>
  <c r="J109" i="206" s="1"/>
  <c r="G108" i="206"/>
  <c r="I108" i="206" s="1"/>
  <c r="J108" i="206" s="1"/>
  <c r="G107" i="206"/>
  <c r="I107" i="206" s="1"/>
  <c r="J107" i="206" s="1"/>
  <c r="G106" i="206"/>
  <c r="I106" i="206" s="1"/>
  <c r="J106" i="206" s="1"/>
  <c r="G105" i="206"/>
  <c r="I105" i="206" s="1"/>
  <c r="J105" i="206" s="1"/>
  <c r="G104" i="206"/>
  <c r="I104" i="206" s="1"/>
  <c r="J104" i="206" s="1"/>
  <c r="G103" i="206"/>
  <c r="I103" i="206" s="1"/>
  <c r="J103" i="206" s="1"/>
  <c r="G102" i="206"/>
  <c r="J102" i="206" s="1"/>
  <c r="G97" i="206"/>
  <c r="I97" i="206" s="1"/>
  <c r="J97" i="206" s="1"/>
  <c r="G96" i="206"/>
  <c r="I96" i="206" s="1"/>
  <c r="J96" i="206" s="1"/>
  <c r="G95" i="206"/>
  <c r="I95" i="206" s="1"/>
  <c r="J95" i="206" s="1"/>
  <c r="D17" i="206" s="1"/>
  <c r="E16" i="206"/>
  <c r="G89" i="206"/>
  <c r="I89" i="206" s="1"/>
  <c r="J89" i="206" s="1"/>
  <c r="E15" i="206" s="1"/>
  <c r="G87" i="206"/>
  <c r="I87" i="206" s="1"/>
  <c r="K87" i="206" s="1"/>
  <c r="G86" i="206"/>
  <c r="I86" i="206" s="1"/>
  <c r="K86" i="206" s="1"/>
  <c r="G85" i="206"/>
  <c r="I85" i="206" s="1"/>
  <c r="K85" i="206" s="1"/>
  <c r="G84" i="206"/>
  <c r="I84" i="206" s="1"/>
  <c r="K84" i="206" s="1"/>
  <c r="G83" i="206"/>
  <c r="I83" i="206" s="1"/>
  <c r="K83" i="206" s="1"/>
  <c r="G82" i="206"/>
  <c r="I82" i="206" s="1"/>
  <c r="K82" i="206" s="1"/>
  <c r="G81" i="206"/>
  <c r="I81" i="206" s="1"/>
  <c r="K81" i="206" s="1"/>
  <c r="G80" i="206"/>
  <c r="I80" i="206" s="1"/>
  <c r="K80" i="206" s="1"/>
  <c r="G79" i="206"/>
  <c r="I79" i="206" s="1"/>
  <c r="K79" i="206" s="1"/>
  <c r="G78" i="206"/>
  <c r="I78" i="206" s="1"/>
  <c r="K78" i="206" s="1"/>
  <c r="G77" i="206"/>
  <c r="I77" i="206" s="1"/>
  <c r="K77" i="206" s="1"/>
  <c r="G75" i="206"/>
  <c r="I75" i="206" s="1"/>
  <c r="J75" i="206" s="1"/>
  <c r="G73" i="206"/>
  <c r="I73" i="206" s="1"/>
  <c r="J73" i="206" s="1"/>
  <c r="G72" i="206"/>
  <c r="I72" i="206" s="1"/>
  <c r="J72" i="206" s="1"/>
  <c r="G71" i="206"/>
  <c r="I71" i="206" s="1"/>
  <c r="J71" i="206" s="1"/>
  <c r="G70" i="206"/>
  <c r="I70" i="206" s="1"/>
  <c r="J70" i="206" s="1"/>
  <c r="G69" i="206"/>
  <c r="I69" i="206" s="1"/>
  <c r="J69" i="206" s="1"/>
  <c r="G68" i="206"/>
  <c r="I68" i="206" s="1"/>
  <c r="J68" i="206" s="1"/>
  <c r="G67" i="206"/>
  <c r="I67" i="206" s="1"/>
  <c r="J67" i="206" s="1"/>
  <c r="G66" i="206"/>
  <c r="I66" i="206" s="1"/>
  <c r="J66" i="206" s="1"/>
  <c r="G65" i="206"/>
  <c r="I65" i="206" s="1"/>
  <c r="J65" i="206" s="1"/>
  <c r="G64" i="206"/>
  <c r="I64" i="206" s="1"/>
  <c r="J64" i="206" s="1"/>
  <c r="G63" i="206"/>
  <c r="I63" i="206" s="1"/>
  <c r="J63" i="206" s="1"/>
  <c r="G62" i="206"/>
  <c r="I62" i="206" s="1"/>
  <c r="J62" i="206" s="1"/>
  <c r="G61" i="206"/>
  <c r="I61" i="206" s="1"/>
  <c r="J61" i="206" s="1"/>
  <c r="G60" i="206"/>
  <c r="I60" i="206" s="1"/>
  <c r="J60" i="206" s="1"/>
  <c r="G59" i="206"/>
  <c r="I59" i="206" s="1"/>
  <c r="J59" i="206" s="1"/>
  <c r="G58" i="206"/>
  <c r="I58" i="206" s="1"/>
  <c r="J58" i="206" s="1"/>
  <c r="G57" i="206"/>
  <c r="I57" i="206" s="1"/>
  <c r="J57" i="206" s="1"/>
  <c r="G56" i="206"/>
  <c r="I56" i="206" s="1"/>
  <c r="J56" i="206" s="1"/>
  <c r="G55" i="206"/>
  <c r="I55" i="206" s="1"/>
  <c r="J55" i="206" s="1"/>
  <c r="G54" i="206"/>
  <c r="I54" i="206" s="1"/>
  <c r="J54" i="206" s="1"/>
  <c r="G53" i="206"/>
  <c r="I53" i="206" s="1"/>
  <c r="J53" i="206" s="1"/>
  <c r="G52" i="206"/>
  <c r="I52" i="206" s="1"/>
  <c r="J52" i="206" s="1"/>
  <c r="G51" i="206"/>
  <c r="I51" i="206" s="1"/>
  <c r="J51" i="206" s="1"/>
  <c r="I49" i="206"/>
  <c r="K49" i="206" s="1"/>
  <c r="I48" i="206"/>
  <c r="K48" i="206" s="1"/>
  <c r="I47" i="206"/>
  <c r="K47" i="206" s="1"/>
  <c r="I46" i="206"/>
  <c r="K46" i="206" s="1"/>
  <c r="I45" i="206"/>
  <c r="K45" i="206" s="1"/>
  <c r="I44" i="206"/>
  <c r="J44" i="206" s="1"/>
  <c r="I43" i="206"/>
  <c r="J43" i="206" s="1"/>
  <c r="J42" i="206"/>
  <c r="J41" i="206"/>
  <c r="G39" i="206"/>
  <c r="I39" i="206" s="1"/>
  <c r="I38" i="206"/>
  <c r="I36" i="206"/>
  <c r="I35" i="206"/>
  <c r="J35" i="206" s="1"/>
  <c r="I34" i="206"/>
  <c r="J34" i="206" s="1"/>
  <c r="I33" i="206"/>
  <c r="J33" i="206" s="1"/>
  <c r="I32" i="206"/>
  <c r="J32" i="206" s="1"/>
  <c r="I31" i="206"/>
  <c r="Q25" i="206"/>
  <c r="P25" i="206"/>
  <c r="Q24" i="206"/>
  <c r="P24" i="206"/>
  <c r="H24" i="206"/>
  <c r="P23" i="206"/>
  <c r="G22" i="206"/>
  <c r="G23" i="206" s="1"/>
  <c r="F22" i="206"/>
  <c r="F23" i="206" s="1"/>
  <c r="P21" i="206"/>
  <c r="I21" i="206"/>
  <c r="I17" i="206"/>
  <c r="H15" i="206"/>
  <c r="H12" i="206"/>
  <c r="H9" i="206"/>
  <c r="H11" i="206" s="1"/>
  <c r="E13" i="206" l="1"/>
  <c r="H13" i="206"/>
  <c r="E14" i="206"/>
  <c r="H14" i="206"/>
  <c r="D14" i="206"/>
  <c r="E17" i="206"/>
  <c r="I124" i="206"/>
  <c r="K124" i="206" s="1"/>
  <c r="I10" i="206"/>
  <c r="J36" i="206"/>
  <c r="H17" i="206"/>
  <c r="M112" i="206"/>
  <c r="J40" i="206"/>
  <c r="D13" i="206" s="1"/>
  <c r="I13" i="206"/>
  <c r="Q23" i="206"/>
  <c r="R25" i="206" s="1"/>
  <c r="E9" i="206"/>
  <c r="I20" i="206"/>
  <c r="J125" i="206"/>
  <c r="I18" i="206"/>
  <c r="J18" i="206"/>
  <c r="J116" i="206"/>
  <c r="E19" i="206" s="1"/>
  <c r="I19" i="206"/>
  <c r="I14" i="206"/>
  <c r="J39" i="206"/>
  <c r="I12" i="206"/>
  <c r="I15" i="206"/>
  <c r="J15" i="206"/>
  <c r="I9" i="206"/>
  <c r="J16" i="206"/>
  <c r="J31" i="206"/>
  <c r="I17" i="205"/>
  <c r="H19" i="206" l="1"/>
  <c r="D20" i="206"/>
  <c r="J20" i="206" s="1"/>
  <c r="M125" i="206"/>
  <c r="E10" i="206"/>
  <c r="J10" i="206" s="1"/>
  <c r="I11" i="206"/>
  <c r="J17" i="206"/>
  <c r="K17" i="206" s="1"/>
  <c r="J14" i="206"/>
  <c r="J19" i="206"/>
  <c r="J13" i="206"/>
  <c r="E22" i="206"/>
  <c r="D9" i="206"/>
  <c r="Q21" i="206"/>
  <c r="J12" i="206"/>
  <c r="I38" i="205"/>
  <c r="J38" i="205" s="1"/>
  <c r="E11" i="206" l="1"/>
  <c r="D22" i="206"/>
  <c r="K20" i="206"/>
  <c r="E23" i="206"/>
  <c r="D11" i="206"/>
  <c r="D23" i="206" s="1"/>
  <c r="J9" i="206"/>
  <c r="J22" i="206"/>
  <c r="K16" i="206"/>
  <c r="Q27" i="206"/>
  <c r="R22" i="206"/>
  <c r="G141" i="205"/>
  <c r="I141" i="205" s="1"/>
  <c r="K141" i="205" s="1"/>
  <c r="I115" i="205"/>
  <c r="J115" i="205" s="1"/>
  <c r="E16" i="205" s="1"/>
  <c r="G109" i="205"/>
  <c r="I109" i="205" s="1"/>
  <c r="J109" i="205" s="1"/>
  <c r="K94" i="205"/>
  <c r="G66" i="205"/>
  <c r="I66" i="205" s="1"/>
  <c r="J66" i="205" s="1"/>
  <c r="G55" i="205"/>
  <c r="I55" i="205" s="1"/>
  <c r="J55" i="205" s="1"/>
  <c r="G56" i="205"/>
  <c r="I56" i="205" s="1"/>
  <c r="J56" i="205" s="1"/>
  <c r="G57" i="205"/>
  <c r="I57" i="205" s="1"/>
  <c r="J57" i="205" s="1"/>
  <c r="G58" i="205"/>
  <c r="I58" i="205" s="1"/>
  <c r="J58" i="205" s="1"/>
  <c r="G59" i="205"/>
  <c r="I59" i="205" s="1"/>
  <c r="J59" i="205" s="1"/>
  <c r="G60" i="205"/>
  <c r="I60" i="205" s="1"/>
  <c r="J60" i="205" s="1"/>
  <c r="G61" i="205"/>
  <c r="I61" i="205" s="1"/>
  <c r="J61" i="205" s="1"/>
  <c r="G62" i="205"/>
  <c r="I62" i="205" s="1"/>
  <c r="J62" i="205" s="1"/>
  <c r="G63" i="205"/>
  <c r="I63" i="205" s="1"/>
  <c r="J63" i="205" s="1"/>
  <c r="G64" i="205"/>
  <c r="I64" i="205" s="1"/>
  <c r="J64" i="205" s="1"/>
  <c r="G65" i="205"/>
  <c r="I65" i="205" s="1"/>
  <c r="J65" i="205" s="1"/>
  <c r="G54" i="205"/>
  <c r="I54" i="205" s="1"/>
  <c r="J54" i="205" s="1"/>
  <c r="G53" i="205"/>
  <c r="I53" i="205" s="1"/>
  <c r="J53" i="205" s="1"/>
  <c r="G52" i="205"/>
  <c r="I52" i="205" s="1"/>
  <c r="J52" i="205" s="1"/>
  <c r="G51" i="205"/>
  <c r="I51" i="205" s="1"/>
  <c r="J51" i="205" s="1"/>
  <c r="K22" i="206" l="1"/>
  <c r="R27" i="206"/>
  <c r="J11" i="206"/>
  <c r="J23" i="206" s="1"/>
  <c r="K25" i="206"/>
  <c r="K26" i="206" s="1"/>
  <c r="K10" i="206"/>
  <c r="K11" i="206" s="1"/>
  <c r="S22" i="206" s="1"/>
  <c r="T22" i="206" s="1"/>
  <c r="E13" i="205"/>
  <c r="I33" i="205"/>
  <c r="J33" i="205" s="1"/>
  <c r="I34" i="205"/>
  <c r="J34" i="205" s="1"/>
  <c r="I35" i="205"/>
  <c r="J35" i="205" s="1"/>
  <c r="I36" i="205"/>
  <c r="J36" i="205" s="1"/>
  <c r="I37" i="205"/>
  <c r="J37" i="205" s="1"/>
  <c r="I39" i="205"/>
  <c r="J39" i="205" s="1"/>
  <c r="I40" i="205"/>
  <c r="J40" i="205" s="1"/>
  <c r="I41" i="205"/>
  <c r="J41" i="205" s="1"/>
  <c r="I42" i="205"/>
  <c r="J42" i="205" s="1"/>
  <c r="I43" i="205"/>
  <c r="J43" i="205" s="1"/>
  <c r="I44" i="205"/>
  <c r="J44" i="205" s="1"/>
  <c r="I46" i="205"/>
  <c r="J46" i="205" s="1"/>
  <c r="J144" i="205"/>
  <c r="G144" i="205"/>
  <c r="J143" i="205"/>
  <c r="G143" i="205"/>
  <c r="G142" i="205"/>
  <c r="I142" i="205" s="1"/>
  <c r="K142" i="205" s="1"/>
  <c r="H20" i="205" s="1"/>
  <c r="G140" i="205"/>
  <c r="I140" i="205" s="1"/>
  <c r="G139" i="205"/>
  <c r="G138" i="205"/>
  <c r="I138" i="205" s="1"/>
  <c r="J138" i="205" s="1"/>
  <c r="G137" i="205"/>
  <c r="I137" i="205" s="1"/>
  <c r="J137" i="205" s="1"/>
  <c r="G136" i="205"/>
  <c r="I136" i="205" s="1"/>
  <c r="J136" i="205" s="1"/>
  <c r="G135" i="205"/>
  <c r="I135" i="205" s="1"/>
  <c r="J135" i="205" s="1"/>
  <c r="G134" i="205"/>
  <c r="I134" i="205" s="1"/>
  <c r="G133" i="205"/>
  <c r="I133" i="205" s="1"/>
  <c r="J133" i="205" s="1"/>
  <c r="G132" i="205"/>
  <c r="I132" i="205" s="1"/>
  <c r="K132" i="205" s="1"/>
  <c r="G131" i="205"/>
  <c r="I131" i="205" s="1"/>
  <c r="J131" i="205" s="1"/>
  <c r="G130" i="205"/>
  <c r="I130" i="205" s="1"/>
  <c r="G129" i="205"/>
  <c r="I129" i="205" s="1"/>
  <c r="K129" i="205" s="1"/>
  <c r="G128" i="205"/>
  <c r="I128" i="205" s="1"/>
  <c r="K128" i="205" s="1"/>
  <c r="G127" i="205"/>
  <c r="I127" i="205" s="1"/>
  <c r="J127" i="205" s="1"/>
  <c r="G126" i="205"/>
  <c r="I126" i="205" s="1"/>
  <c r="J126" i="205" s="1"/>
  <c r="G125" i="205"/>
  <c r="I125" i="205" s="1"/>
  <c r="J125" i="205" s="1"/>
  <c r="G124" i="205"/>
  <c r="I124" i="205" s="1"/>
  <c r="J124" i="205" s="1"/>
  <c r="G123" i="205"/>
  <c r="I123" i="205" s="1"/>
  <c r="J123" i="205" s="1"/>
  <c r="G122" i="205"/>
  <c r="I122" i="205" s="1"/>
  <c r="J122" i="205" s="1"/>
  <c r="G121" i="205"/>
  <c r="I121" i="205" s="1"/>
  <c r="J121" i="205" s="1"/>
  <c r="G120" i="205"/>
  <c r="I120" i="205" s="1"/>
  <c r="J120" i="205" s="1"/>
  <c r="G119" i="205"/>
  <c r="I119" i="205" s="1"/>
  <c r="J119" i="205" s="1"/>
  <c r="G118" i="205"/>
  <c r="I118" i="205" s="1"/>
  <c r="J118" i="205" s="1"/>
  <c r="G117" i="205"/>
  <c r="I117" i="205" s="1"/>
  <c r="J117" i="205" s="1"/>
  <c r="G116" i="205"/>
  <c r="I116" i="205" s="1"/>
  <c r="J116" i="205" s="1"/>
  <c r="I114" i="205"/>
  <c r="J114" i="205" s="1"/>
  <c r="I113" i="205"/>
  <c r="J113" i="205" s="1"/>
  <c r="I112" i="205"/>
  <c r="J112" i="205" s="1"/>
  <c r="D16" i="205" s="1"/>
  <c r="J16" i="205" s="1"/>
  <c r="G111" i="205"/>
  <c r="I111" i="205" s="1"/>
  <c r="J111" i="205" s="1"/>
  <c r="G110" i="205"/>
  <c r="I110" i="205" s="1"/>
  <c r="J110" i="205" s="1"/>
  <c r="G108" i="205"/>
  <c r="I108" i="205" s="1"/>
  <c r="J108" i="205" s="1"/>
  <c r="G107" i="205"/>
  <c r="I107" i="205" s="1"/>
  <c r="G106" i="205"/>
  <c r="I106" i="205" s="1"/>
  <c r="K106" i="205" s="1"/>
  <c r="G105" i="205"/>
  <c r="I105" i="205" s="1"/>
  <c r="K105" i="205" s="1"/>
  <c r="G104" i="205"/>
  <c r="I104" i="205" s="1"/>
  <c r="K104" i="205" s="1"/>
  <c r="G103" i="205"/>
  <c r="I103" i="205" s="1"/>
  <c r="K103" i="205" s="1"/>
  <c r="G102" i="205"/>
  <c r="I102" i="205" s="1"/>
  <c r="K102" i="205" s="1"/>
  <c r="G101" i="205"/>
  <c r="I101" i="205" s="1"/>
  <c r="K101" i="205" s="1"/>
  <c r="G100" i="205"/>
  <c r="I100" i="205" s="1"/>
  <c r="K100" i="205" s="1"/>
  <c r="G99" i="205"/>
  <c r="I99" i="205" s="1"/>
  <c r="K99" i="205" s="1"/>
  <c r="G98" i="205"/>
  <c r="I98" i="205" s="1"/>
  <c r="K98" i="205" s="1"/>
  <c r="G97" i="205"/>
  <c r="I97" i="205" s="1"/>
  <c r="K97" i="205" s="1"/>
  <c r="G96" i="205"/>
  <c r="I96" i="205" s="1"/>
  <c r="K96" i="205" s="1"/>
  <c r="G95" i="205"/>
  <c r="I95" i="205" s="1"/>
  <c r="K95" i="205" s="1"/>
  <c r="G93" i="205"/>
  <c r="I93" i="205" s="1"/>
  <c r="K93" i="205" s="1"/>
  <c r="G92" i="205"/>
  <c r="I92" i="205" s="1"/>
  <c r="K92" i="205" s="1"/>
  <c r="G91" i="205"/>
  <c r="I91" i="205" s="1"/>
  <c r="K91" i="205" s="1"/>
  <c r="G90" i="205"/>
  <c r="I90" i="205" s="1"/>
  <c r="K90" i="205" s="1"/>
  <c r="G89" i="205"/>
  <c r="I89" i="205" s="1"/>
  <c r="J89" i="205" s="1"/>
  <c r="G88" i="205"/>
  <c r="I88" i="205" s="1"/>
  <c r="J88" i="205" s="1"/>
  <c r="G87" i="205"/>
  <c r="I87" i="205" s="1"/>
  <c r="J87" i="205" s="1"/>
  <c r="G86" i="205"/>
  <c r="I86" i="205" s="1"/>
  <c r="J86" i="205" s="1"/>
  <c r="G85" i="205"/>
  <c r="I85" i="205" s="1"/>
  <c r="J85" i="205" s="1"/>
  <c r="G84" i="205"/>
  <c r="I84" i="205" s="1"/>
  <c r="K84" i="205" s="1"/>
  <c r="G83" i="205"/>
  <c r="I83" i="205" s="1"/>
  <c r="J83" i="205" s="1"/>
  <c r="G82" i="205"/>
  <c r="I82" i="205" s="1"/>
  <c r="J82" i="205" s="1"/>
  <c r="G81" i="205"/>
  <c r="I81" i="205" s="1"/>
  <c r="J81" i="205" s="1"/>
  <c r="G80" i="205"/>
  <c r="I80" i="205" s="1"/>
  <c r="J80" i="205" s="1"/>
  <c r="G79" i="205"/>
  <c r="I79" i="205" s="1"/>
  <c r="J79" i="205" s="1"/>
  <c r="G78" i="205"/>
  <c r="I78" i="205" s="1"/>
  <c r="J78" i="205" s="1"/>
  <c r="G77" i="205"/>
  <c r="I77" i="205" s="1"/>
  <c r="J77" i="205" s="1"/>
  <c r="G76" i="205"/>
  <c r="I76" i="205" s="1"/>
  <c r="J76" i="205" s="1"/>
  <c r="G75" i="205"/>
  <c r="I75" i="205" s="1"/>
  <c r="J75" i="205" s="1"/>
  <c r="G74" i="205"/>
  <c r="I74" i="205" s="1"/>
  <c r="J74" i="205" s="1"/>
  <c r="G73" i="205"/>
  <c r="I73" i="205" s="1"/>
  <c r="J73" i="205" s="1"/>
  <c r="G72" i="205"/>
  <c r="I72" i="205" s="1"/>
  <c r="J72" i="205" s="1"/>
  <c r="G71" i="205"/>
  <c r="I71" i="205" s="1"/>
  <c r="J71" i="205" s="1"/>
  <c r="G70" i="205"/>
  <c r="I70" i="205" s="1"/>
  <c r="G69" i="205"/>
  <c r="I69" i="205" s="1"/>
  <c r="K69" i="205" s="1"/>
  <c r="G68" i="205"/>
  <c r="I68" i="205" s="1"/>
  <c r="K68" i="205" s="1"/>
  <c r="G67" i="205"/>
  <c r="I67" i="205" s="1"/>
  <c r="K67" i="205" s="1"/>
  <c r="G50" i="205"/>
  <c r="I50" i="205" s="1"/>
  <c r="G49" i="205"/>
  <c r="I49" i="205" s="1"/>
  <c r="I48" i="205"/>
  <c r="J48" i="205" s="1"/>
  <c r="I47" i="205"/>
  <c r="I45" i="205"/>
  <c r="J45" i="205" s="1"/>
  <c r="I32" i="205"/>
  <c r="J32" i="205" s="1"/>
  <c r="E9" i="205" s="1"/>
  <c r="I31" i="205"/>
  <c r="Q25" i="205"/>
  <c r="P25" i="205"/>
  <c r="P24" i="205"/>
  <c r="P23" i="205"/>
  <c r="G22" i="205"/>
  <c r="G23" i="205" s="1"/>
  <c r="F22" i="205"/>
  <c r="F23" i="205" s="1"/>
  <c r="P21" i="205"/>
  <c r="I21" i="205"/>
  <c r="H9" i="205"/>
  <c r="H11" i="205" s="1"/>
  <c r="S22" i="204"/>
  <c r="P24" i="204"/>
  <c r="K24" i="204"/>
  <c r="K23" i="206" l="1"/>
  <c r="L27" i="206"/>
  <c r="S27" i="206"/>
  <c r="T27" i="206" s="1"/>
  <c r="D17" i="205"/>
  <c r="I139" i="205"/>
  <c r="I145" i="205" s="1"/>
  <c r="E17" i="205"/>
  <c r="J17" i="205" s="1"/>
  <c r="K17" i="205" s="1"/>
  <c r="E14" i="205"/>
  <c r="H14" i="205"/>
  <c r="J50" i="205"/>
  <c r="D13" i="205" s="1"/>
  <c r="J13" i="205" s="1"/>
  <c r="I13" i="205"/>
  <c r="J47" i="205"/>
  <c r="E10" i="205" s="1"/>
  <c r="J10" i="205" s="1"/>
  <c r="I10" i="205"/>
  <c r="J49" i="205"/>
  <c r="D12" i="205" s="1"/>
  <c r="J12" i="205" s="1"/>
  <c r="I12" i="205"/>
  <c r="I14" i="205"/>
  <c r="E15" i="205"/>
  <c r="I9" i="205"/>
  <c r="E19" i="205"/>
  <c r="E21" i="205"/>
  <c r="J21" i="205" s="1"/>
  <c r="K24" i="205" s="1"/>
  <c r="I16" i="205"/>
  <c r="H24" i="205"/>
  <c r="H13" i="205"/>
  <c r="H16" i="205"/>
  <c r="H15" i="205"/>
  <c r="H18" i="205"/>
  <c r="M130" i="205"/>
  <c r="H17" i="205"/>
  <c r="H19" i="205"/>
  <c r="M139" i="205"/>
  <c r="J140" i="205"/>
  <c r="I15" i="205"/>
  <c r="J107" i="205"/>
  <c r="D15" i="205" s="1"/>
  <c r="J15" i="205" s="1"/>
  <c r="I18" i="205"/>
  <c r="J130" i="205"/>
  <c r="J70" i="205"/>
  <c r="D14" i="205" s="1"/>
  <c r="J134" i="205"/>
  <c r="D19" i="205" s="1"/>
  <c r="J19" i="205" s="1"/>
  <c r="I19" i="205"/>
  <c r="Q24" i="205"/>
  <c r="Q23" i="205"/>
  <c r="J31" i="205"/>
  <c r="T22" i="204"/>
  <c r="Q25" i="204"/>
  <c r="P25" i="204"/>
  <c r="P23" i="204"/>
  <c r="P21" i="204"/>
  <c r="O23" i="203"/>
  <c r="P25" i="203"/>
  <c r="O25" i="203"/>
  <c r="O24" i="203"/>
  <c r="J72" i="204"/>
  <c r="I35" i="204"/>
  <c r="J35" i="204" s="1"/>
  <c r="I36" i="204"/>
  <c r="J36" i="204" s="1"/>
  <c r="I34" i="204"/>
  <c r="J34" i="204" s="1"/>
  <c r="J14" i="205" l="1"/>
  <c r="J139" i="205"/>
  <c r="D20" i="205" s="1"/>
  <c r="I20" i="205"/>
  <c r="I22" i="205" s="1"/>
  <c r="E11" i="205"/>
  <c r="E20" i="205"/>
  <c r="E18" i="205"/>
  <c r="J18" i="205" s="1"/>
  <c r="I11" i="205"/>
  <c r="R25" i="205"/>
  <c r="D9" i="205"/>
  <c r="Q21" i="205"/>
  <c r="K145" i="205"/>
  <c r="J146" i="205" s="1"/>
  <c r="H12" i="205"/>
  <c r="H22" i="205" s="1"/>
  <c r="H23" i="205" s="1"/>
  <c r="K16" i="205"/>
  <c r="E10" i="204"/>
  <c r="G37" i="204"/>
  <c r="G109" i="204"/>
  <c r="E12" i="204"/>
  <c r="J145" i="205" l="1"/>
  <c r="D22" i="205"/>
  <c r="J20" i="205"/>
  <c r="J22" i="205" s="1"/>
  <c r="J9" i="205"/>
  <c r="K25" i="205" s="1"/>
  <c r="K26" i="205" s="1"/>
  <c r="D11" i="205"/>
  <c r="E22" i="205"/>
  <c r="E23" i="205" s="1"/>
  <c r="K20" i="205"/>
  <c r="K22" i="205" s="1"/>
  <c r="I23" i="205"/>
  <c r="R22" i="205"/>
  <c r="Q27" i="205"/>
  <c r="J12" i="204"/>
  <c r="G126" i="204"/>
  <c r="I126" i="204" s="1"/>
  <c r="K126" i="204" s="1"/>
  <c r="G112" i="204"/>
  <c r="I112" i="204" s="1"/>
  <c r="K112" i="204" s="1"/>
  <c r="K96" i="204"/>
  <c r="I93" i="204"/>
  <c r="J93" i="204" s="1"/>
  <c r="I94" i="204"/>
  <c r="K94" i="204" s="1"/>
  <c r="I95" i="204"/>
  <c r="K95" i="204" s="1"/>
  <c r="D23" i="205" l="1"/>
  <c r="R27" i="205"/>
  <c r="K10" i="205"/>
  <c r="K11" i="205" s="1"/>
  <c r="K23" i="205" s="1"/>
  <c r="J11" i="205"/>
  <c r="J23" i="205" s="1"/>
  <c r="H16" i="204"/>
  <c r="G79" i="204"/>
  <c r="I79" i="204" s="1"/>
  <c r="K79" i="204" s="1"/>
  <c r="G78" i="204"/>
  <c r="I78" i="204" s="1"/>
  <c r="K78" i="204" s="1"/>
  <c r="G77" i="204"/>
  <c r="I77" i="204" s="1"/>
  <c r="K77" i="204" s="1"/>
  <c r="G76" i="204"/>
  <c r="I76" i="204" s="1"/>
  <c r="K76" i="204" s="1"/>
  <c r="G75" i="204"/>
  <c r="I75" i="204" s="1"/>
  <c r="K75" i="204" s="1"/>
  <c r="G74" i="204"/>
  <c r="I74" i="204" s="1"/>
  <c r="K74" i="204" s="1"/>
  <c r="G48" i="204"/>
  <c r="I48" i="204" s="1"/>
  <c r="G49" i="204"/>
  <c r="I49" i="204" s="1"/>
  <c r="J49" i="204" s="1"/>
  <c r="G50" i="204"/>
  <c r="I50" i="204" s="1"/>
  <c r="J50" i="204" s="1"/>
  <c r="G51" i="204"/>
  <c r="I51" i="204" s="1"/>
  <c r="J51" i="204" s="1"/>
  <c r="G52" i="204"/>
  <c r="G53" i="204"/>
  <c r="I53" i="204" s="1"/>
  <c r="J53" i="204" s="1"/>
  <c r="G54" i="204"/>
  <c r="I54" i="204" s="1"/>
  <c r="J54" i="204" s="1"/>
  <c r="G55" i="204"/>
  <c r="I55" i="204" s="1"/>
  <c r="J55" i="204" s="1"/>
  <c r="G56" i="204"/>
  <c r="I56" i="204" s="1"/>
  <c r="J56" i="204" s="1"/>
  <c r="G57" i="204"/>
  <c r="I57" i="204" s="1"/>
  <c r="J57" i="204" s="1"/>
  <c r="G58" i="204"/>
  <c r="I58" i="204" s="1"/>
  <c r="J58" i="204" s="1"/>
  <c r="G59" i="204"/>
  <c r="I59" i="204" s="1"/>
  <c r="J59" i="204" s="1"/>
  <c r="G60" i="204"/>
  <c r="I60" i="204" s="1"/>
  <c r="J60" i="204" s="1"/>
  <c r="G61" i="204"/>
  <c r="I61" i="204" s="1"/>
  <c r="J61" i="204" s="1"/>
  <c r="G62" i="204"/>
  <c r="I62" i="204" s="1"/>
  <c r="J62" i="204" s="1"/>
  <c r="G63" i="204"/>
  <c r="I63" i="204" s="1"/>
  <c r="J63" i="204" s="1"/>
  <c r="G64" i="204"/>
  <c r="I64" i="204" s="1"/>
  <c r="J64" i="204" s="1"/>
  <c r="G65" i="204"/>
  <c r="I65" i="204" s="1"/>
  <c r="J65" i="204" s="1"/>
  <c r="G66" i="204"/>
  <c r="I66" i="204" s="1"/>
  <c r="J66" i="204" s="1"/>
  <c r="G67" i="204"/>
  <c r="I67" i="204" s="1"/>
  <c r="J67" i="204" s="1"/>
  <c r="G68" i="204"/>
  <c r="I68" i="204" s="1"/>
  <c r="J68" i="204" s="1"/>
  <c r="G69" i="204"/>
  <c r="I69" i="204" s="1"/>
  <c r="J69" i="204" s="1"/>
  <c r="G70" i="204"/>
  <c r="I70" i="204" s="1"/>
  <c r="G71" i="204"/>
  <c r="I71" i="204" s="1"/>
  <c r="J71" i="204" s="1"/>
  <c r="G73" i="204"/>
  <c r="I73" i="204" s="1"/>
  <c r="G80" i="204"/>
  <c r="I80" i="204" s="1"/>
  <c r="K80" i="204" s="1"/>
  <c r="G81" i="204"/>
  <c r="I81" i="204" s="1"/>
  <c r="K81" i="204" s="1"/>
  <c r="G82" i="204"/>
  <c r="I82" i="204" s="1"/>
  <c r="K82" i="204" s="1"/>
  <c r="G83" i="204"/>
  <c r="I83" i="204" s="1"/>
  <c r="K83" i="204" s="1"/>
  <c r="G84" i="204"/>
  <c r="I84" i="204" s="1"/>
  <c r="K84" i="204" s="1"/>
  <c r="J133" i="204"/>
  <c r="G133" i="204"/>
  <c r="J132" i="204"/>
  <c r="G132" i="204"/>
  <c r="G131" i="204"/>
  <c r="I131" i="204" s="1"/>
  <c r="K131" i="204" s="1"/>
  <c r="G130" i="204"/>
  <c r="I130" i="204" s="1"/>
  <c r="J130" i="204" s="1"/>
  <c r="G129" i="204"/>
  <c r="I129" i="204" s="1"/>
  <c r="J129" i="204" s="1"/>
  <c r="G128" i="204"/>
  <c r="I128" i="204" s="1"/>
  <c r="G127" i="204"/>
  <c r="I127" i="204" s="1"/>
  <c r="K127" i="204" s="1"/>
  <c r="H19" i="204" s="1"/>
  <c r="G125" i="204"/>
  <c r="I125" i="204" s="1"/>
  <c r="J125" i="204" s="1"/>
  <c r="G124" i="204"/>
  <c r="I124" i="204" s="1"/>
  <c r="J124" i="204" s="1"/>
  <c r="G123" i="204"/>
  <c r="I123" i="204" s="1"/>
  <c r="J123" i="204" s="1"/>
  <c r="G122" i="204"/>
  <c r="I122" i="204" s="1"/>
  <c r="J122" i="204" s="1"/>
  <c r="G121" i="204"/>
  <c r="I121" i="204" s="1"/>
  <c r="J121" i="204" s="1"/>
  <c r="G120" i="204"/>
  <c r="I120" i="204" s="1"/>
  <c r="J120" i="204" s="1"/>
  <c r="G119" i="204"/>
  <c r="I119" i="204" s="1"/>
  <c r="J119" i="204" s="1"/>
  <c r="G118" i="204"/>
  <c r="I118" i="204" s="1"/>
  <c r="J118" i="204" s="1"/>
  <c r="G117" i="204"/>
  <c r="I117" i="204" s="1"/>
  <c r="G116" i="204"/>
  <c r="I116" i="204" s="1"/>
  <c r="K116" i="204" s="1"/>
  <c r="G115" i="204"/>
  <c r="I115" i="204" s="1"/>
  <c r="J115" i="204" s="1"/>
  <c r="G114" i="204"/>
  <c r="I114" i="204" s="1"/>
  <c r="J114" i="204" s="1"/>
  <c r="G113" i="204"/>
  <c r="I113" i="204" s="1"/>
  <c r="G111" i="204"/>
  <c r="I111" i="204" s="1"/>
  <c r="K111" i="204" s="1"/>
  <c r="G110" i="204"/>
  <c r="I110" i="204" s="1"/>
  <c r="K110" i="204" s="1"/>
  <c r="G108" i="204"/>
  <c r="I108" i="204" s="1"/>
  <c r="J108" i="204" s="1"/>
  <c r="G107" i="204"/>
  <c r="I107" i="204" s="1"/>
  <c r="J107" i="204" s="1"/>
  <c r="G106" i="204"/>
  <c r="I106" i="204" s="1"/>
  <c r="G105" i="204"/>
  <c r="I105" i="204" s="1"/>
  <c r="J105" i="204" s="1"/>
  <c r="G104" i="204"/>
  <c r="I104" i="204" s="1"/>
  <c r="G103" i="204"/>
  <c r="I103" i="204" s="1"/>
  <c r="J103" i="204" s="1"/>
  <c r="G102" i="204"/>
  <c r="I102" i="204" s="1"/>
  <c r="J102" i="204" s="1"/>
  <c r="G101" i="204"/>
  <c r="I101" i="204" s="1"/>
  <c r="J101" i="204" s="1"/>
  <c r="G100" i="204"/>
  <c r="I100" i="204" s="1"/>
  <c r="J100" i="204" s="1"/>
  <c r="G99" i="204"/>
  <c r="I99" i="204" s="1"/>
  <c r="J99" i="204" s="1"/>
  <c r="G98" i="204"/>
  <c r="I98" i="204" s="1"/>
  <c r="J98" i="204" s="1"/>
  <c r="G97" i="204"/>
  <c r="I97" i="204" s="1"/>
  <c r="I92" i="204"/>
  <c r="J92" i="204" s="1"/>
  <c r="I91" i="204"/>
  <c r="J91" i="204" s="1"/>
  <c r="I90" i="204"/>
  <c r="J90" i="204" s="1"/>
  <c r="I89" i="204"/>
  <c r="J89" i="204" s="1"/>
  <c r="D16" i="204" s="1"/>
  <c r="G88" i="204"/>
  <c r="I88" i="204" s="1"/>
  <c r="K88" i="204" s="1"/>
  <c r="G87" i="204"/>
  <c r="I87" i="204" s="1"/>
  <c r="J87" i="204" s="1"/>
  <c r="G86" i="204"/>
  <c r="I86" i="204" s="1"/>
  <c r="J86" i="204" s="1"/>
  <c r="G85" i="204"/>
  <c r="I85" i="204" s="1"/>
  <c r="I52" i="204"/>
  <c r="J52" i="204" s="1"/>
  <c r="G47" i="204"/>
  <c r="I47" i="204" s="1"/>
  <c r="K47" i="204" s="1"/>
  <c r="G46" i="204"/>
  <c r="I46" i="204" s="1"/>
  <c r="K46" i="204" s="1"/>
  <c r="G45" i="204"/>
  <c r="I45" i="204" s="1"/>
  <c r="K45" i="204" s="1"/>
  <c r="G44" i="204"/>
  <c r="I44" i="204" s="1"/>
  <c r="K44" i="204" s="1"/>
  <c r="G43" i="204"/>
  <c r="I43" i="204" s="1"/>
  <c r="K43" i="204" s="1"/>
  <c r="G42" i="204"/>
  <c r="I42" i="204" s="1"/>
  <c r="K42" i="204" s="1"/>
  <c r="G41" i="204"/>
  <c r="I41" i="204" s="1"/>
  <c r="K41" i="204" s="1"/>
  <c r="G40" i="204"/>
  <c r="I40" i="204" s="1"/>
  <c r="K40" i="204" s="1"/>
  <c r="G39" i="204"/>
  <c r="I39" i="204" s="1"/>
  <c r="J39" i="204" s="1"/>
  <c r="E13" i="204" s="1"/>
  <c r="G38" i="204"/>
  <c r="I38" i="204" s="1"/>
  <c r="I37" i="204"/>
  <c r="K37" i="204" s="1"/>
  <c r="H12" i="204" s="1"/>
  <c r="I33" i="204"/>
  <c r="J33" i="204" s="1"/>
  <c r="I32" i="204"/>
  <c r="J32" i="204" s="1"/>
  <c r="I31" i="204"/>
  <c r="J31" i="204" s="1"/>
  <c r="I30" i="204"/>
  <c r="G22" i="204"/>
  <c r="G23" i="204" s="1"/>
  <c r="F22" i="204"/>
  <c r="F23" i="204" s="1"/>
  <c r="Q23" i="204" l="1"/>
  <c r="S27" i="205"/>
  <c r="T27" i="205" s="1"/>
  <c r="L27" i="205"/>
  <c r="S22" i="205"/>
  <c r="T22" i="205" s="1"/>
  <c r="E19" i="204"/>
  <c r="J30" i="204"/>
  <c r="D9" i="204" s="1"/>
  <c r="D11" i="204" s="1"/>
  <c r="J73" i="204"/>
  <c r="Q24" i="204"/>
  <c r="J104" i="204"/>
  <c r="E16" i="204"/>
  <c r="E9" i="204"/>
  <c r="J106" i="204"/>
  <c r="J10" i="204"/>
  <c r="H18" i="204"/>
  <c r="M117" i="204"/>
  <c r="E20" i="204"/>
  <c r="H15" i="204"/>
  <c r="M89" i="204"/>
  <c r="H20" i="204"/>
  <c r="M132" i="204"/>
  <c r="H13" i="204"/>
  <c r="M85" i="204"/>
  <c r="H14" i="204"/>
  <c r="M128" i="204"/>
  <c r="H17" i="204"/>
  <c r="M113" i="204"/>
  <c r="I21" i="204"/>
  <c r="I19" i="204"/>
  <c r="I18" i="204"/>
  <c r="E15" i="204"/>
  <c r="I10" i="204"/>
  <c r="I16" i="204"/>
  <c r="J70" i="204"/>
  <c r="E14" i="204" s="1"/>
  <c r="E21" i="204"/>
  <c r="J21" i="204" s="1"/>
  <c r="J48" i="204"/>
  <c r="D14" i="204" s="1"/>
  <c r="I14" i="204"/>
  <c r="J38" i="204"/>
  <c r="D13" i="204" s="1"/>
  <c r="I13" i="204"/>
  <c r="K134" i="204"/>
  <c r="J135" i="204" s="1"/>
  <c r="H9" i="204"/>
  <c r="H11" i="204" s="1"/>
  <c r="I15" i="204"/>
  <c r="J85" i="204"/>
  <c r="D15" i="204" s="1"/>
  <c r="I17" i="204"/>
  <c r="J97" i="204"/>
  <c r="J128" i="204"/>
  <c r="I20" i="204"/>
  <c r="J113" i="204"/>
  <c r="J117" i="204"/>
  <c r="D19" i="204" s="1"/>
  <c r="I9" i="204"/>
  <c r="I12" i="204"/>
  <c r="I134" i="204"/>
  <c r="I67" i="203"/>
  <c r="E17" i="204" l="1"/>
  <c r="Q21" i="204"/>
  <c r="J134" i="204"/>
  <c r="H22" i="204"/>
  <c r="H23" i="204" s="1"/>
  <c r="E25" i="204"/>
  <c r="H24" i="204" s="1"/>
  <c r="I22" i="204"/>
  <c r="E18" i="204"/>
  <c r="J18" i="204" s="1"/>
  <c r="J17" i="204"/>
  <c r="K17" i="204" s="1"/>
  <c r="D20" i="204"/>
  <c r="J20" i="204" s="1"/>
  <c r="J19" i="204"/>
  <c r="J15" i="204"/>
  <c r="I11" i="204"/>
  <c r="J16" i="204"/>
  <c r="R22" i="204"/>
  <c r="E11" i="204"/>
  <c r="J9" i="204"/>
  <c r="J13" i="204"/>
  <c r="J14" i="204"/>
  <c r="I86" i="203"/>
  <c r="J22" i="204" l="1"/>
  <c r="J23" i="204" s="1"/>
  <c r="S26" i="204" s="1"/>
  <c r="K25" i="204"/>
  <c r="D22" i="204"/>
  <c r="D23" i="204" s="1"/>
  <c r="E22" i="204"/>
  <c r="E23" i="204" s="1"/>
  <c r="K20" i="204"/>
  <c r="K16" i="204"/>
  <c r="I23" i="204"/>
  <c r="J11" i="204"/>
  <c r="K10" i="204"/>
  <c r="K11" i="204" s="1"/>
  <c r="K26" i="204"/>
  <c r="J67" i="203"/>
  <c r="L26" i="204" l="1"/>
  <c r="K22" i="204"/>
  <c r="K23" i="204" s="1"/>
  <c r="R25" i="204"/>
  <c r="Q26" i="204"/>
  <c r="K86" i="203"/>
  <c r="H16" i="203" s="1"/>
  <c r="I81" i="203"/>
  <c r="J81" i="203" s="1"/>
  <c r="I82" i="203"/>
  <c r="J82" i="203" s="1"/>
  <c r="H18" i="203"/>
  <c r="G98" i="203"/>
  <c r="I98" i="203" s="1"/>
  <c r="G115" i="203"/>
  <c r="I115" i="203" s="1"/>
  <c r="K115" i="203" s="1"/>
  <c r="G116" i="203"/>
  <c r="I116" i="203" s="1"/>
  <c r="K116" i="203" s="1"/>
  <c r="G71" i="203"/>
  <c r="I71" i="203" s="1"/>
  <c r="K71" i="203" s="1"/>
  <c r="G70" i="203"/>
  <c r="I70" i="203" s="1"/>
  <c r="K70" i="203" s="1"/>
  <c r="G69" i="203"/>
  <c r="I69" i="203" s="1"/>
  <c r="K69" i="203" s="1"/>
  <c r="G87" i="203"/>
  <c r="G94" i="203"/>
  <c r="I94" i="203" s="1"/>
  <c r="J94" i="203" s="1"/>
  <c r="G93" i="203"/>
  <c r="I93" i="203" s="1"/>
  <c r="J93" i="203" s="1"/>
  <c r="G92" i="203"/>
  <c r="I92" i="203" s="1"/>
  <c r="J92" i="203" s="1"/>
  <c r="G95" i="203"/>
  <c r="I95" i="203" s="1"/>
  <c r="J95" i="203" s="1"/>
  <c r="G96" i="203"/>
  <c r="I96" i="203" s="1"/>
  <c r="J96" i="203" s="1"/>
  <c r="G121" i="203"/>
  <c r="I121" i="203" s="1"/>
  <c r="J121" i="203" s="1"/>
  <c r="G80" i="203"/>
  <c r="I80" i="203" s="1"/>
  <c r="K80" i="203" s="1"/>
  <c r="H15" i="203" s="1"/>
  <c r="G79" i="203"/>
  <c r="I79" i="203" s="1"/>
  <c r="G42" i="203"/>
  <c r="R26" i="204" l="1"/>
  <c r="T26" i="204" s="1"/>
  <c r="J98" i="203"/>
  <c r="D16" i="203"/>
  <c r="J79" i="203"/>
  <c r="I85" i="203" l="1"/>
  <c r="J85" i="203" s="1"/>
  <c r="I84" i="203"/>
  <c r="J84" i="203" s="1"/>
  <c r="I83" i="203"/>
  <c r="J83" i="203" s="1"/>
  <c r="G77" i="203"/>
  <c r="I77" i="203" s="1"/>
  <c r="J77" i="203" s="1"/>
  <c r="D15" i="203" s="1"/>
  <c r="G52" i="203"/>
  <c r="I52" i="203" s="1"/>
  <c r="J52" i="203" s="1"/>
  <c r="G51" i="203"/>
  <c r="I51" i="203" s="1"/>
  <c r="J51" i="203" s="1"/>
  <c r="G50" i="203"/>
  <c r="I50" i="203" s="1"/>
  <c r="J50" i="203" s="1"/>
  <c r="G49" i="203"/>
  <c r="I49" i="203" s="1"/>
  <c r="J49" i="203" s="1"/>
  <c r="G48" i="203"/>
  <c r="I48" i="203" s="1"/>
  <c r="J48" i="203" s="1"/>
  <c r="G36" i="203"/>
  <c r="I36" i="203" s="1"/>
  <c r="G37" i="203"/>
  <c r="I37" i="203" s="1"/>
  <c r="J37" i="203" s="1"/>
  <c r="I127" i="203"/>
  <c r="J127" i="203" s="1"/>
  <c r="J126" i="203"/>
  <c r="G126" i="203"/>
  <c r="J125" i="203"/>
  <c r="G125" i="203"/>
  <c r="J124" i="203"/>
  <c r="G124" i="203"/>
  <c r="G123" i="203"/>
  <c r="I123" i="203" s="1"/>
  <c r="K123" i="203" s="1"/>
  <c r="H20" i="203" s="1"/>
  <c r="G122" i="203"/>
  <c r="I122" i="203" s="1"/>
  <c r="G120" i="203"/>
  <c r="I120" i="203" s="1"/>
  <c r="J120" i="203" s="1"/>
  <c r="G119" i="203"/>
  <c r="I119" i="203" s="1"/>
  <c r="J119" i="203" s="1"/>
  <c r="G118" i="203"/>
  <c r="I118" i="203" s="1"/>
  <c r="J118" i="203" s="1"/>
  <c r="G117" i="203"/>
  <c r="I117" i="203" s="1"/>
  <c r="K117" i="203" s="1"/>
  <c r="H19" i="203" s="1"/>
  <c r="G114" i="203"/>
  <c r="J114" i="203" s="1"/>
  <c r="E26" i="203" s="1"/>
  <c r="G113" i="203"/>
  <c r="I113" i="203" s="1"/>
  <c r="J113" i="203" s="1"/>
  <c r="G112" i="203"/>
  <c r="I112" i="203" s="1"/>
  <c r="J112" i="203" s="1"/>
  <c r="G111" i="203"/>
  <c r="I111" i="203" s="1"/>
  <c r="J111" i="203" s="1"/>
  <c r="G110" i="203"/>
  <c r="I110" i="203" s="1"/>
  <c r="J110" i="203" s="1"/>
  <c r="G109" i="203"/>
  <c r="I109" i="203" s="1"/>
  <c r="J109" i="203" s="1"/>
  <c r="G108" i="203"/>
  <c r="I108" i="203" s="1"/>
  <c r="G107" i="203"/>
  <c r="I107" i="203" s="1"/>
  <c r="J107" i="203" s="1"/>
  <c r="G106" i="203"/>
  <c r="I106" i="203" s="1"/>
  <c r="J106" i="203" s="1"/>
  <c r="G105" i="203"/>
  <c r="I105" i="203" s="1"/>
  <c r="J105" i="203" s="1"/>
  <c r="G104" i="203"/>
  <c r="I104" i="203" s="1"/>
  <c r="H17" i="203"/>
  <c r="G102" i="203"/>
  <c r="G101" i="203"/>
  <c r="G100" i="203"/>
  <c r="G99" i="203"/>
  <c r="G97" i="203"/>
  <c r="G91" i="203"/>
  <c r="I91" i="203" s="1"/>
  <c r="J91" i="203" s="1"/>
  <c r="G90" i="203"/>
  <c r="I90" i="203" s="1"/>
  <c r="J90" i="203" s="1"/>
  <c r="G89" i="203"/>
  <c r="I89" i="203" s="1"/>
  <c r="J89" i="203" s="1"/>
  <c r="G88" i="203"/>
  <c r="I88" i="203" s="1"/>
  <c r="J88" i="203" s="1"/>
  <c r="I87" i="203"/>
  <c r="G78" i="203"/>
  <c r="I78" i="203" s="1"/>
  <c r="G76" i="203"/>
  <c r="I76" i="203" s="1"/>
  <c r="K76" i="203" s="1"/>
  <c r="G75" i="203"/>
  <c r="I75" i="203" s="1"/>
  <c r="K75" i="203" s="1"/>
  <c r="G74" i="203"/>
  <c r="I74" i="203" s="1"/>
  <c r="K74" i="203" s="1"/>
  <c r="G73" i="203"/>
  <c r="I73" i="203" s="1"/>
  <c r="K73" i="203" s="1"/>
  <c r="G72" i="203"/>
  <c r="I72" i="203" s="1"/>
  <c r="K72" i="203" s="1"/>
  <c r="G68" i="203"/>
  <c r="J68" i="203" s="1"/>
  <c r="G66" i="203"/>
  <c r="I66" i="203" s="1"/>
  <c r="J66" i="203" s="1"/>
  <c r="G65" i="203"/>
  <c r="I65" i="203" s="1"/>
  <c r="J65" i="203" s="1"/>
  <c r="G64" i="203"/>
  <c r="I64" i="203" s="1"/>
  <c r="J64" i="203" s="1"/>
  <c r="G63" i="203"/>
  <c r="I63" i="203" s="1"/>
  <c r="J63" i="203" s="1"/>
  <c r="G62" i="203"/>
  <c r="I62" i="203" s="1"/>
  <c r="J62" i="203" s="1"/>
  <c r="G61" i="203"/>
  <c r="I61" i="203" s="1"/>
  <c r="J61" i="203" s="1"/>
  <c r="G60" i="203"/>
  <c r="I60" i="203" s="1"/>
  <c r="J60" i="203" s="1"/>
  <c r="G59" i="203"/>
  <c r="I59" i="203" s="1"/>
  <c r="J59" i="203" s="1"/>
  <c r="G58" i="203"/>
  <c r="I58" i="203" s="1"/>
  <c r="J58" i="203" s="1"/>
  <c r="G57" i="203"/>
  <c r="I57" i="203" s="1"/>
  <c r="J57" i="203" s="1"/>
  <c r="G56" i="203"/>
  <c r="I56" i="203" s="1"/>
  <c r="J56" i="203" s="1"/>
  <c r="G55" i="203"/>
  <c r="I55" i="203" s="1"/>
  <c r="J55" i="203" s="1"/>
  <c r="G54" i="203"/>
  <c r="I54" i="203" s="1"/>
  <c r="J54" i="203" s="1"/>
  <c r="G53" i="203"/>
  <c r="I53" i="203" s="1"/>
  <c r="J53" i="203" s="1"/>
  <c r="G47" i="203"/>
  <c r="I47" i="203" s="1"/>
  <c r="G46" i="203"/>
  <c r="I46" i="203" s="1"/>
  <c r="K46" i="203" s="1"/>
  <c r="H13" i="203" s="1"/>
  <c r="G45" i="203"/>
  <c r="I45" i="203" s="1"/>
  <c r="J45" i="203" s="1"/>
  <c r="G44" i="203"/>
  <c r="I44" i="203" s="1"/>
  <c r="J44" i="203" s="1"/>
  <c r="G43" i="203"/>
  <c r="I43" i="203" s="1"/>
  <c r="J43" i="203" s="1"/>
  <c r="I42" i="203"/>
  <c r="J42" i="203" s="1"/>
  <c r="G41" i="203"/>
  <c r="I41" i="203" s="1"/>
  <c r="J41" i="203" s="1"/>
  <c r="G40" i="203"/>
  <c r="I40" i="203" s="1"/>
  <c r="J40" i="203" s="1"/>
  <c r="G39" i="203"/>
  <c r="I39" i="203" s="1"/>
  <c r="J39" i="203" s="1"/>
  <c r="G38" i="203"/>
  <c r="I38" i="203" s="1"/>
  <c r="J38" i="203" s="1"/>
  <c r="I35" i="203"/>
  <c r="J35" i="203" s="1"/>
  <c r="E12" i="203" s="1"/>
  <c r="I34" i="203"/>
  <c r="J34" i="203" s="1"/>
  <c r="I33" i="203"/>
  <c r="K33" i="203" s="1"/>
  <c r="I32" i="203"/>
  <c r="I31" i="203"/>
  <c r="J31" i="203" s="1"/>
  <c r="I30" i="203"/>
  <c r="J30" i="203" s="1"/>
  <c r="G22" i="203"/>
  <c r="G23" i="203" s="1"/>
  <c r="F22" i="203"/>
  <c r="F23" i="203" s="1"/>
  <c r="O21" i="203"/>
  <c r="G111" i="202"/>
  <c r="I111" i="202" s="1"/>
  <c r="J111" i="202" s="1"/>
  <c r="O25" i="202"/>
  <c r="O24" i="202"/>
  <c r="O21" i="202"/>
  <c r="O22" i="202"/>
  <c r="G114" i="202"/>
  <c r="I114" i="202" s="1"/>
  <c r="J114" i="202" s="1"/>
  <c r="G115" i="202"/>
  <c r="I115" i="202" s="1"/>
  <c r="J115" i="202" s="1"/>
  <c r="G113" i="202"/>
  <c r="I113" i="202" s="1"/>
  <c r="J113" i="202" s="1"/>
  <c r="G112" i="202"/>
  <c r="I112" i="202" s="1"/>
  <c r="J112" i="202" s="1"/>
  <c r="G110" i="202"/>
  <c r="I110" i="202" s="1"/>
  <c r="J110" i="202" s="1"/>
  <c r="G136" i="202"/>
  <c r="I136" i="202" s="1"/>
  <c r="J136" i="202" s="1"/>
  <c r="G89" i="202"/>
  <c r="I89" i="202" s="1"/>
  <c r="J89" i="202" s="1"/>
  <c r="G128" i="202"/>
  <c r="I128" i="202" s="1"/>
  <c r="J128" i="202" s="1"/>
  <c r="G127" i="202"/>
  <c r="I127" i="202" s="1"/>
  <c r="J127" i="202" s="1"/>
  <c r="G126" i="202"/>
  <c r="I126" i="202" s="1"/>
  <c r="J126" i="202" s="1"/>
  <c r="G125" i="202"/>
  <c r="I125" i="202" s="1"/>
  <c r="J125" i="202" s="1"/>
  <c r="G124" i="202"/>
  <c r="I124" i="202" s="1"/>
  <c r="J124" i="202" s="1"/>
  <c r="G120" i="202"/>
  <c r="I120" i="202" s="1"/>
  <c r="J120" i="202" s="1"/>
  <c r="G119" i="202"/>
  <c r="I119" i="202" s="1"/>
  <c r="J119" i="202" s="1"/>
  <c r="K98" i="202"/>
  <c r="G98" i="202"/>
  <c r="J96" i="202"/>
  <c r="G96" i="202"/>
  <c r="J93" i="202"/>
  <c r="G93" i="202"/>
  <c r="J92" i="202"/>
  <c r="G92" i="202"/>
  <c r="G84" i="202"/>
  <c r="I84" i="202" s="1"/>
  <c r="K84" i="202" s="1"/>
  <c r="G85" i="202"/>
  <c r="I85" i="202" s="1"/>
  <c r="K85" i="202" s="1"/>
  <c r="G83" i="202"/>
  <c r="I83" i="202" s="1"/>
  <c r="K83" i="202" s="1"/>
  <c r="G82" i="202"/>
  <c r="I82" i="202" s="1"/>
  <c r="K82" i="202" s="1"/>
  <c r="G59" i="202"/>
  <c r="G58" i="202"/>
  <c r="G57" i="202"/>
  <c r="G56" i="202"/>
  <c r="I56" i="202" s="1"/>
  <c r="J56" i="202" s="1"/>
  <c r="G55" i="202"/>
  <c r="I55" i="202" s="1"/>
  <c r="J55" i="202" s="1"/>
  <c r="G54" i="202"/>
  <c r="I54" i="202" s="1"/>
  <c r="J54" i="202" s="1"/>
  <c r="G53" i="202"/>
  <c r="I53" i="202" s="1"/>
  <c r="J53" i="202" s="1"/>
  <c r="G52" i="202"/>
  <c r="G51" i="202"/>
  <c r="G50" i="202"/>
  <c r="E14" i="203" l="1"/>
  <c r="K128" i="203"/>
  <c r="H14" i="203"/>
  <c r="I21" i="203"/>
  <c r="I102" i="203"/>
  <c r="J102" i="203" s="1"/>
  <c r="I101" i="203"/>
  <c r="J101" i="203" s="1"/>
  <c r="I100" i="203"/>
  <c r="J100" i="203" s="1"/>
  <c r="I97" i="203"/>
  <c r="P23" i="203" s="1"/>
  <c r="I99" i="203"/>
  <c r="E24" i="203"/>
  <c r="I16" i="203"/>
  <c r="E19" i="203"/>
  <c r="J87" i="203"/>
  <c r="E13" i="203"/>
  <c r="E21" i="203"/>
  <c r="J21" i="203" s="1"/>
  <c r="K24" i="203" s="1"/>
  <c r="E16" i="203"/>
  <c r="J16" i="203" s="1"/>
  <c r="I12" i="203"/>
  <c r="I10" i="203"/>
  <c r="E10" i="203"/>
  <c r="J10" i="203" s="1"/>
  <c r="I9" i="203"/>
  <c r="J32" i="203"/>
  <c r="E9" i="203" s="1"/>
  <c r="I18" i="203"/>
  <c r="J104" i="203"/>
  <c r="E18" i="203" s="1"/>
  <c r="I20" i="203"/>
  <c r="J122" i="203"/>
  <c r="E20" i="203" s="1"/>
  <c r="I13" i="203"/>
  <c r="J36" i="203"/>
  <c r="D13" i="203" s="1"/>
  <c r="J47" i="203"/>
  <c r="D14" i="203" s="1"/>
  <c r="I14" i="203"/>
  <c r="H9" i="203"/>
  <c r="H11" i="203" s="1"/>
  <c r="J12" i="203"/>
  <c r="I19" i="203"/>
  <c r="J108" i="203"/>
  <c r="D19" i="203" s="1"/>
  <c r="J78" i="203"/>
  <c r="I15" i="203"/>
  <c r="E25" i="202"/>
  <c r="P24" i="202"/>
  <c r="J99" i="203" l="1"/>
  <c r="E25" i="203" s="1"/>
  <c r="H24" i="203" s="1"/>
  <c r="P24" i="203"/>
  <c r="I128" i="203"/>
  <c r="I17" i="203"/>
  <c r="I22" i="203" s="1"/>
  <c r="J97" i="203"/>
  <c r="J13" i="203"/>
  <c r="J129" i="203"/>
  <c r="E15" i="203"/>
  <c r="J15" i="203" s="1"/>
  <c r="J20" i="203"/>
  <c r="J19" i="203"/>
  <c r="E11" i="203"/>
  <c r="J18" i="203"/>
  <c r="J14" i="203"/>
  <c r="I11" i="203"/>
  <c r="D22" i="203"/>
  <c r="P21" i="203"/>
  <c r="H22" i="203"/>
  <c r="H23" i="203" s="1"/>
  <c r="I44" i="202"/>
  <c r="J44" i="202" s="1"/>
  <c r="I45" i="202"/>
  <c r="J45" i="202" s="1"/>
  <c r="I39" i="202"/>
  <c r="J39" i="202" s="1"/>
  <c r="I38" i="202"/>
  <c r="J38" i="202" s="1"/>
  <c r="I37" i="202"/>
  <c r="J37" i="202" s="1"/>
  <c r="I40" i="202"/>
  <c r="J40" i="202" s="1"/>
  <c r="I36" i="202"/>
  <c r="J36" i="202" s="1"/>
  <c r="I35" i="202"/>
  <c r="J35" i="202" s="1"/>
  <c r="I34" i="202"/>
  <c r="J34" i="202" s="1"/>
  <c r="I33" i="202"/>
  <c r="J33" i="202" s="1"/>
  <c r="I32" i="202"/>
  <c r="J32" i="202" s="1"/>
  <c r="G140" i="202"/>
  <c r="G139" i="202"/>
  <c r="G137" i="202"/>
  <c r="G135" i="202"/>
  <c r="I135" i="202" s="1"/>
  <c r="J135" i="202" s="1"/>
  <c r="E20" i="202" s="1"/>
  <c r="G134" i="202"/>
  <c r="G133" i="202"/>
  <c r="G132" i="202"/>
  <c r="I132" i="202" s="1"/>
  <c r="K132" i="202" s="1"/>
  <c r="H19" i="202" s="1"/>
  <c r="G131" i="202"/>
  <c r="I131" i="202" s="1"/>
  <c r="J131" i="202" s="1"/>
  <c r="G130" i="202"/>
  <c r="I130" i="202" s="1"/>
  <c r="J130" i="202" s="1"/>
  <c r="G129" i="202"/>
  <c r="I129" i="202" s="1"/>
  <c r="J129" i="202" s="1"/>
  <c r="G123" i="202"/>
  <c r="I123" i="202" s="1"/>
  <c r="J123" i="202" s="1"/>
  <c r="G122" i="202"/>
  <c r="I122" i="202" s="1"/>
  <c r="I121" i="202"/>
  <c r="K121" i="202" s="1"/>
  <c r="H18" i="202" s="1"/>
  <c r="G118" i="202"/>
  <c r="I118" i="202" s="1"/>
  <c r="J118" i="202" s="1"/>
  <c r="E18" i="202" s="1"/>
  <c r="G117" i="202"/>
  <c r="I117" i="202" s="1"/>
  <c r="I116" i="202"/>
  <c r="G109" i="202"/>
  <c r="I109" i="202" s="1"/>
  <c r="J109" i="202" s="1"/>
  <c r="G108" i="202"/>
  <c r="I108" i="202" s="1"/>
  <c r="J108" i="202" s="1"/>
  <c r="G107" i="202"/>
  <c r="I107" i="202" s="1"/>
  <c r="J107" i="202" s="1"/>
  <c r="G106" i="202"/>
  <c r="I106" i="202" s="1"/>
  <c r="J106" i="202" s="1"/>
  <c r="G105" i="202"/>
  <c r="I105" i="202" s="1"/>
  <c r="J105" i="202" s="1"/>
  <c r="G104" i="202"/>
  <c r="I104" i="202" s="1"/>
  <c r="J104" i="202" s="1"/>
  <c r="G103" i="202"/>
  <c r="I103" i="202" s="1"/>
  <c r="J103" i="202" s="1"/>
  <c r="G102" i="202"/>
  <c r="I102" i="202" s="1"/>
  <c r="J102" i="202" s="1"/>
  <c r="G101" i="202"/>
  <c r="I101" i="202" s="1"/>
  <c r="J101" i="202" s="1"/>
  <c r="G100" i="202"/>
  <c r="I100" i="202" s="1"/>
  <c r="G99" i="202"/>
  <c r="G97" i="202"/>
  <c r="G95" i="202"/>
  <c r="G94" i="202"/>
  <c r="G91" i="202"/>
  <c r="G90" i="202"/>
  <c r="I90" i="202" s="1"/>
  <c r="K90" i="202" s="1"/>
  <c r="H15" i="202" s="1"/>
  <c r="G88" i="202"/>
  <c r="I88" i="202" s="1"/>
  <c r="J88" i="202" s="1"/>
  <c r="G87" i="202"/>
  <c r="I87" i="202" s="1"/>
  <c r="K87" i="202" s="1"/>
  <c r="G86" i="202"/>
  <c r="I86" i="202" s="1"/>
  <c r="K86" i="202" s="1"/>
  <c r="G81" i="202"/>
  <c r="I81" i="202" s="1"/>
  <c r="J81" i="202" s="1"/>
  <c r="G80" i="202"/>
  <c r="I80" i="202" s="1"/>
  <c r="J80" i="202" s="1"/>
  <c r="G79" i="202"/>
  <c r="I79" i="202" s="1"/>
  <c r="J79" i="202" s="1"/>
  <c r="G78" i="202"/>
  <c r="I78" i="202" s="1"/>
  <c r="J78" i="202" s="1"/>
  <c r="G77" i="202"/>
  <c r="I77" i="202" s="1"/>
  <c r="J77" i="202" s="1"/>
  <c r="G76" i="202"/>
  <c r="I76" i="202" s="1"/>
  <c r="J76" i="202" s="1"/>
  <c r="G75" i="202"/>
  <c r="I75" i="202" s="1"/>
  <c r="J75" i="202" s="1"/>
  <c r="G74" i="202"/>
  <c r="I74" i="202" s="1"/>
  <c r="J74" i="202" s="1"/>
  <c r="G73" i="202"/>
  <c r="I73" i="202" s="1"/>
  <c r="J73" i="202" s="1"/>
  <c r="G72" i="202"/>
  <c r="I72" i="202" s="1"/>
  <c r="J72" i="202" s="1"/>
  <c r="G71" i="202"/>
  <c r="I71" i="202" s="1"/>
  <c r="J71" i="202" s="1"/>
  <c r="G70" i="202"/>
  <c r="I70" i="202" s="1"/>
  <c r="J70" i="202" s="1"/>
  <c r="G69" i="202"/>
  <c r="I69" i="202" s="1"/>
  <c r="J69" i="202" s="1"/>
  <c r="G68" i="202"/>
  <c r="I68" i="202" s="1"/>
  <c r="J68" i="202" s="1"/>
  <c r="G67" i="202"/>
  <c r="I67" i="202" s="1"/>
  <c r="J67" i="202" s="1"/>
  <c r="G66" i="202"/>
  <c r="I66" i="202" s="1"/>
  <c r="J66" i="202" s="1"/>
  <c r="G65" i="202"/>
  <c r="I65" i="202" s="1"/>
  <c r="J65" i="202" s="1"/>
  <c r="G64" i="202"/>
  <c r="I64" i="202" s="1"/>
  <c r="J64" i="202" s="1"/>
  <c r="G63" i="202"/>
  <c r="I63" i="202" s="1"/>
  <c r="J63" i="202" s="1"/>
  <c r="G62" i="202"/>
  <c r="I62" i="202" s="1"/>
  <c r="J62" i="202" s="1"/>
  <c r="G61" i="202"/>
  <c r="I61" i="202" s="1"/>
  <c r="J61" i="202" s="1"/>
  <c r="G60" i="202"/>
  <c r="I60" i="202" s="1"/>
  <c r="I59" i="202"/>
  <c r="K59" i="202" s="1"/>
  <c r="I58" i="202"/>
  <c r="K58" i="202" s="1"/>
  <c r="I57" i="202"/>
  <c r="J57" i="202" s="1"/>
  <c r="I52" i="202"/>
  <c r="J52" i="202" s="1"/>
  <c r="I51" i="202"/>
  <c r="J51" i="202" s="1"/>
  <c r="I50" i="202"/>
  <c r="J50" i="202" s="1"/>
  <c r="G49" i="202"/>
  <c r="I49" i="202" s="1"/>
  <c r="J49" i="202" s="1"/>
  <c r="G48" i="202"/>
  <c r="I48" i="202" s="1"/>
  <c r="I47" i="202"/>
  <c r="I46" i="202"/>
  <c r="J46" i="202" s="1"/>
  <c r="I43" i="202"/>
  <c r="I42" i="202"/>
  <c r="K42" i="202" s="1"/>
  <c r="I41" i="202"/>
  <c r="J41" i="202" s="1"/>
  <c r="I31" i="202"/>
  <c r="J31" i="202" s="1"/>
  <c r="I30" i="202"/>
  <c r="J139" i="202"/>
  <c r="J134" i="202"/>
  <c r="I141" i="202"/>
  <c r="J141" i="202" s="1"/>
  <c r="J140" i="202"/>
  <c r="J138" i="202"/>
  <c r="P25" i="202" s="1"/>
  <c r="G138" i="202"/>
  <c r="K99" i="202"/>
  <c r="H16" i="202" s="1"/>
  <c r="J97" i="202"/>
  <c r="J95" i="202"/>
  <c r="J94" i="202"/>
  <c r="J91" i="202"/>
  <c r="G22" i="202"/>
  <c r="G23" i="202" s="1"/>
  <c r="F22" i="202"/>
  <c r="F23" i="202" s="1"/>
  <c r="I16" i="202"/>
  <c r="G106" i="201"/>
  <c r="I106" i="201" s="1"/>
  <c r="J106" i="201" s="1"/>
  <c r="I100" i="201"/>
  <c r="J100" i="201" s="1"/>
  <c r="J128" i="203" l="1"/>
  <c r="E9" i="202"/>
  <c r="E17" i="203"/>
  <c r="J17" i="203" s="1"/>
  <c r="K17" i="203" s="1"/>
  <c r="K16" i="203"/>
  <c r="K20" i="203"/>
  <c r="I23" i="203"/>
  <c r="D11" i="203"/>
  <c r="D23" i="203" s="1"/>
  <c r="J9" i="203"/>
  <c r="Q22" i="203"/>
  <c r="I9" i="202"/>
  <c r="J43" i="202"/>
  <c r="E10" i="202" s="1"/>
  <c r="J10" i="202" s="1"/>
  <c r="I10" i="202"/>
  <c r="P22" i="202"/>
  <c r="J30" i="202"/>
  <c r="I142" i="202"/>
  <c r="E24" i="202"/>
  <c r="E19" i="202"/>
  <c r="H13" i="202"/>
  <c r="H14" i="202"/>
  <c r="E14" i="202"/>
  <c r="I21" i="202"/>
  <c r="D16" i="202"/>
  <c r="E16" i="202"/>
  <c r="E13" i="202"/>
  <c r="J47" i="202"/>
  <c r="E12" i="202" s="1"/>
  <c r="I12" i="202"/>
  <c r="H24" i="202"/>
  <c r="K137" i="202"/>
  <c r="K142" i="202" s="1"/>
  <c r="J137" i="202"/>
  <c r="E15" i="202"/>
  <c r="I15" i="202"/>
  <c r="J48" i="202"/>
  <c r="I13" i="202"/>
  <c r="I19" i="202"/>
  <c r="J122" i="202"/>
  <c r="K116" i="202"/>
  <c r="H17" i="202" s="1"/>
  <c r="J116" i="202"/>
  <c r="I18" i="202"/>
  <c r="J117" i="202"/>
  <c r="D18" i="202" s="1"/>
  <c r="H9" i="202"/>
  <c r="H11" i="202" s="1"/>
  <c r="J133" i="202"/>
  <c r="I20" i="202"/>
  <c r="I14" i="202"/>
  <c r="J60" i="202"/>
  <c r="D14" i="202" s="1"/>
  <c r="J100" i="202"/>
  <c r="J17" i="202" s="1"/>
  <c r="I17" i="202"/>
  <c r="E21" i="202"/>
  <c r="J21" i="202" s="1"/>
  <c r="K24" i="202" s="1"/>
  <c r="J121" i="202"/>
  <c r="G124" i="201"/>
  <c r="I124" i="201" s="1"/>
  <c r="J124" i="201" s="1"/>
  <c r="E26" i="201" s="1"/>
  <c r="G97" i="201"/>
  <c r="I97" i="201" s="1"/>
  <c r="J97" i="201" s="1"/>
  <c r="G95" i="201"/>
  <c r="I95" i="201" s="1"/>
  <c r="J95" i="201" s="1"/>
  <c r="G59" i="201"/>
  <c r="G60" i="201"/>
  <c r="G61" i="201"/>
  <c r="G62" i="201"/>
  <c r="G63" i="201"/>
  <c r="G64" i="201"/>
  <c r="G65" i="201"/>
  <c r="G66" i="201"/>
  <c r="I66" i="201" s="1"/>
  <c r="G67" i="201"/>
  <c r="I67" i="201" s="1"/>
  <c r="G68" i="201"/>
  <c r="I68" i="201" s="1"/>
  <c r="G69" i="201"/>
  <c r="I69" i="201" s="1"/>
  <c r="G70" i="201"/>
  <c r="I70" i="201" s="1"/>
  <c r="J70" i="201" s="1"/>
  <c r="G71" i="201"/>
  <c r="I71" i="201" s="1"/>
  <c r="J71" i="201" s="1"/>
  <c r="G72" i="201"/>
  <c r="I72" i="201" s="1"/>
  <c r="J72" i="201" s="1"/>
  <c r="G73" i="201"/>
  <c r="I73" i="201" s="1"/>
  <c r="J73" i="201" s="1"/>
  <c r="G74" i="201"/>
  <c r="I74" i="201" s="1"/>
  <c r="J74" i="201" s="1"/>
  <c r="G75" i="201"/>
  <c r="I75" i="201" s="1"/>
  <c r="J75" i="201" s="1"/>
  <c r="G76" i="201"/>
  <c r="I76" i="201" s="1"/>
  <c r="J76" i="201" s="1"/>
  <c r="G77" i="201"/>
  <c r="I77" i="201" s="1"/>
  <c r="J77" i="201" s="1"/>
  <c r="G78" i="201"/>
  <c r="I78" i="201" s="1"/>
  <c r="J78" i="201" s="1"/>
  <c r="G79" i="201"/>
  <c r="G80" i="201"/>
  <c r="G108" i="201"/>
  <c r="I108" i="201" s="1"/>
  <c r="G107" i="201"/>
  <c r="I107" i="201" s="1"/>
  <c r="G113" i="201"/>
  <c r="G116" i="201"/>
  <c r="G118" i="201"/>
  <c r="G111" i="201"/>
  <c r="G103" i="201"/>
  <c r="G99" i="201"/>
  <c r="G94" i="201"/>
  <c r="G91" i="201"/>
  <c r="H91" i="201" s="1"/>
  <c r="G89" i="201"/>
  <c r="H89" i="201" s="1"/>
  <c r="G81" i="201"/>
  <c r="J22" i="203" l="1"/>
  <c r="Q25" i="203"/>
  <c r="Q26" i="203" s="1"/>
  <c r="E22" i="203"/>
  <c r="E23" i="203" s="1"/>
  <c r="K22" i="203"/>
  <c r="K10" i="203"/>
  <c r="K11" i="203" s="1"/>
  <c r="K25" i="203"/>
  <c r="K26" i="203" s="1"/>
  <c r="Q27" i="203" s="1"/>
  <c r="J11" i="203"/>
  <c r="P21" i="202"/>
  <c r="D13" i="202"/>
  <c r="J13" i="202" s="1"/>
  <c r="Q22" i="202"/>
  <c r="D9" i="202"/>
  <c r="J142" i="202"/>
  <c r="J143" i="202"/>
  <c r="D20" i="202"/>
  <c r="J20" i="202" s="1"/>
  <c r="D19" i="202"/>
  <c r="J19" i="202" s="1"/>
  <c r="J15" i="202"/>
  <c r="J16" i="202"/>
  <c r="E25" i="201"/>
  <c r="E11" i="202"/>
  <c r="J14" i="202"/>
  <c r="K17" i="202"/>
  <c r="E17" i="202"/>
  <c r="E22" i="202" s="1"/>
  <c r="J18" i="202"/>
  <c r="H20" i="202"/>
  <c r="H22" i="202" s="1"/>
  <c r="H23" i="202" s="1"/>
  <c r="I22" i="202"/>
  <c r="J12" i="202"/>
  <c r="K108" i="201"/>
  <c r="J108" i="201"/>
  <c r="K107" i="201"/>
  <c r="J107" i="201"/>
  <c r="G125" i="201"/>
  <c r="I116" i="201"/>
  <c r="J116" i="201" s="1"/>
  <c r="G102" i="201"/>
  <c r="I102" i="201" s="1"/>
  <c r="J102" i="201" s="1"/>
  <c r="G101" i="201"/>
  <c r="I101" i="201" s="1"/>
  <c r="J101" i="201" s="1"/>
  <c r="I99" i="201"/>
  <c r="J99" i="201" s="1"/>
  <c r="G98" i="201"/>
  <c r="I98" i="201" s="1"/>
  <c r="J98" i="201" s="1"/>
  <c r="J66" i="201"/>
  <c r="Q28" i="203" l="1"/>
  <c r="K23" i="203"/>
  <c r="J23" i="203"/>
  <c r="P26" i="203"/>
  <c r="P23" i="202"/>
  <c r="E23" i="202"/>
  <c r="K20" i="202"/>
  <c r="D22" i="202"/>
  <c r="D11" i="202"/>
  <c r="I11" i="202"/>
  <c r="I23" i="202" s="1"/>
  <c r="J9" i="202"/>
  <c r="K25" i="202" s="1"/>
  <c r="J22" i="202"/>
  <c r="K16" i="202"/>
  <c r="I132" i="201"/>
  <c r="I34" i="201"/>
  <c r="I33" i="201"/>
  <c r="I32" i="201"/>
  <c r="I31" i="201"/>
  <c r="I30" i="201"/>
  <c r="Q25" i="202" l="1"/>
  <c r="Q26" i="202" s="1"/>
  <c r="P26" i="202"/>
  <c r="D23" i="202"/>
  <c r="K22" i="202"/>
  <c r="K10" i="202"/>
  <c r="J11" i="202"/>
  <c r="G128" i="201"/>
  <c r="I128" i="201" s="1"/>
  <c r="G114" i="201"/>
  <c r="I114" i="201" s="1"/>
  <c r="I113" i="201"/>
  <c r="J113" i="201" s="1"/>
  <c r="G109" i="201"/>
  <c r="I109" i="201" s="1"/>
  <c r="G93" i="201"/>
  <c r="H93" i="201" s="1"/>
  <c r="G86" i="201"/>
  <c r="G83" i="201"/>
  <c r="I83" i="201" s="1"/>
  <c r="J23" i="202" l="1"/>
  <c r="K26" i="202"/>
  <c r="K11" i="202"/>
  <c r="K23" i="202" s="1"/>
  <c r="I86" i="201"/>
  <c r="J86" i="201" s="1"/>
  <c r="I80" i="201"/>
  <c r="K80" i="201" s="1"/>
  <c r="I79" i="201"/>
  <c r="K79" i="201" s="1"/>
  <c r="J128" i="201"/>
  <c r="K128" i="201"/>
  <c r="K114" i="201"/>
  <c r="H18" i="201" s="1"/>
  <c r="J114" i="201"/>
  <c r="K109" i="201"/>
  <c r="H17" i="201" s="1"/>
  <c r="J109" i="201"/>
  <c r="H14" i="201" l="1"/>
  <c r="G47" i="201"/>
  <c r="G46" i="201"/>
  <c r="G129" i="201"/>
  <c r="G127" i="201"/>
  <c r="I125" i="201"/>
  <c r="G123" i="201"/>
  <c r="G122" i="201"/>
  <c r="G121" i="201"/>
  <c r="G120" i="201"/>
  <c r="G119" i="201"/>
  <c r="G117" i="201"/>
  <c r="G115" i="201"/>
  <c r="I115" i="201" s="1"/>
  <c r="G112" i="201"/>
  <c r="I112" i="201" s="1"/>
  <c r="J112" i="201" s="1"/>
  <c r="L112" i="201" s="1"/>
  <c r="I111" i="201"/>
  <c r="J111" i="201" s="1"/>
  <c r="G110" i="201"/>
  <c r="G105" i="201"/>
  <c r="G104" i="201"/>
  <c r="G96" i="201"/>
  <c r="I94" i="201"/>
  <c r="G92" i="201"/>
  <c r="J91" i="201"/>
  <c r="G90" i="201"/>
  <c r="G88" i="201"/>
  <c r="H88" i="201" s="1"/>
  <c r="G87" i="201"/>
  <c r="H87" i="201" s="1"/>
  <c r="G85" i="201"/>
  <c r="G84" i="201"/>
  <c r="J83" i="201"/>
  <c r="G82" i="201"/>
  <c r="I81" i="201"/>
  <c r="G58" i="201"/>
  <c r="G57" i="201"/>
  <c r="G56" i="201"/>
  <c r="J68" i="201"/>
  <c r="G55" i="201"/>
  <c r="G54" i="201"/>
  <c r="G53" i="201"/>
  <c r="G52" i="201"/>
  <c r="G51" i="201"/>
  <c r="G50" i="201"/>
  <c r="G49" i="201"/>
  <c r="G48" i="201"/>
  <c r="I48" i="201" s="1"/>
  <c r="G45" i="201"/>
  <c r="G44" i="201"/>
  <c r="G43" i="201"/>
  <c r="G42" i="201"/>
  <c r="G41" i="201"/>
  <c r="G40" i="201"/>
  <c r="G39" i="201"/>
  <c r="G38" i="201"/>
  <c r="I38" i="201" s="1"/>
  <c r="J30" i="201"/>
  <c r="J132" i="201"/>
  <c r="G131" i="201"/>
  <c r="J131" i="201" s="1"/>
  <c r="G130" i="201"/>
  <c r="J130" i="201" s="1"/>
  <c r="G126" i="201"/>
  <c r="I126" i="201" s="1"/>
  <c r="J69" i="201"/>
  <c r="I37" i="201"/>
  <c r="J37" i="201" s="1"/>
  <c r="I36" i="201"/>
  <c r="J36" i="201" s="1"/>
  <c r="I35" i="201"/>
  <c r="K35" i="201" s="1"/>
  <c r="J34" i="201"/>
  <c r="J33" i="201"/>
  <c r="J32" i="201"/>
  <c r="J31" i="201"/>
  <c r="G22" i="201"/>
  <c r="G23" i="201" s="1"/>
  <c r="F22" i="201"/>
  <c r="F23" i="201" s="1"/>
  <c r="E18" i="201" l="1"/>
  <c r="D9" i="201"/>
  <c r="D11" i="201" s="1"/>
  <c r="J92" i="201"/>
  <c r="H92" i="201"/>
  <c r="J90" i="201"/>
  <c r="M90" i="201" s="1"/>
  <c r="H90" i="201"/>
  <c r="I21" i="201"/>
  <c r="I119" i="201"/>
  <c r="J119" i="201" s="1"/>
  <c r="I51" i="201"/>
  <c r="J51" i="201" s="1"/>
  <c r="I62" i="201"/>
  <c r="J62" i="201" s="1"/>
  <c r="I120" i="201"/>
  <c r="J120" i="201" s="1"/>
  <c r="I121" i="201"/>
  <c r="J121" i="201" s="1"/>
  <c r="J87" i="201"/>
  <c r="I40" i="201"/>
  <c r="J40" i="201" s="1"/>
  <c r="I53" i="201"/>
  <c r="I64" i="201"/>
  <c r="J64" i="201" s="1"/>
  <c r="I103" i="201"/>
  <c r="J103" i="201" s="1"/>
  <c r="I122" i="201"/>
  <c r="J122" i="201" s="1"/>
  <c r="I118" i="201"/>
  <c r="J118" i="201" s="1"/>
  <c r="I41" i="201"/>
  <c r="J41" i="201" s="1"/>
  <c r="I54" i="201"/>
  <c r="J54" i="201" s="1"/>
  <c r="I65" i="201"/>
  <c r="J65" i="201" s="1"/>
  <c r="I104" i="201"/>
  <c r="J104" i="201" s="1"/>
  <c r="I123" i="201"/>
  <c r="J123" i="201" s="1"/>
  <c r="I61" i="201"/>
  <c r="J61" i="201" s="1"/>
  <c r="I42" i="201"/>
  <c r="J42" i="201" s="1"/>
  <c r="I55" i="201"/>
  <c r="J55" i="201" s="1"/>
  <c r="I105" i="201"/>
  <c r="J105" i="201" s="1"/>
  <c r="I60" i="201"/>
  <c r="J60" i="201" s="1"/>
  <c r="I52" i="201"/>
  <c r="J52" i="201" s="1"/>
  <c r="I110" i="201"/>
  <c r="I18" i="201" s="1"/>
  <c r="K125" i="201"/>
  <c r="H19" i="201" s="1"/>
  <c r="I49" i="201"/>
  <c r="J49" i="201" s="1"/>
  <c r="I44" i="201"/>
  <c r="J44" i="201" s="1"/>
  <c r="I56" i="201"/>
  <c r="J56" i="201" s="1"/>
  <c r="I82" i="201"/>
  <c r="I127" i="201"/>
  <c r="J127" i="201" s="1"/>
  <c r="E20" i="201" s="1"/>
  <c r="I50" i="201"/>
  <c r="J50" i="201" s="1"/>
  <c r="I45" i="201"/>
  <c r="J45" i="201" s="1"/>
  <c r="I57" i="201"/>
  <c r="J57" i="201" s="1"/>
  <c r="I96" i="201"/>
  <c r="J96" i="201" s="1"/>
  <c r="I129" i="201"/>
  <c r="K129" i="201" s="1"/>
  <c r="H20" i="201" s="1"/>
  <c r="I63" i="201"/>
  <c r="J63" i="201" s="1"/>
  <c r="I58" i="201"/>
  <c r="J58" i="201" s="1"/>
  <c r="I84" i="201"/>
  <c r="J84" i="201" s="1"/>
  <c r="I46" i="201"/>
  <c r="K46" i="201" s="1"/>
  <c r="I39" i="201"/>
  <c r="I43" i="201"/>
  <c r="J43" i="201" s="1"/>
  <c r="I59" i="201"/>
  <c r="J59" i="201" s="1"/>
  <c r="I85" i="201"/>
  <c r="J85" i="201" s="1"/>
  <c r="I117" i="201"/>
  <c r="J117" i="201" s="1"/>
  <c r="I47" i="201"/>
  <c r="K47" i="201" s="1"/>
  <c r="J67" i="201"/>
  <c r="L132" i="201"/>
  <c r="E21" i="201"/>
  <c r="J21" i="201" s="1"/>
  <c r="K24" i="201" s="1"/>
  <c r="L111" i="201"/>
  <c r="E9" i="201"/>
  <c r="I9" i="201" s="1"/>
  <c r="M91" i="201"/>
  <c r="I10" i="201"/>
  <c r="E10" i="201"/>
  <c r="J10" i="201" s="1"/>
  <c r="L91" i="201"/>
  <c r="J126" i="201"/>
  <c r="D20" i="201" s="1"/>
  <c r="J81" i="201"/>
  <c r="J115" i="201"/>
  <c r="D19" i="201" s="1"/>
  <c r="J94" i="201"/>
  <c r="H9" i="201"/>
  <c r="H11" i="201" s="1"/>
  <c r="J38" i="201"/>
  <c r="I12" i="201"/>
  <c r="J48" i="201"/>
  <c r="L90" i="201"/>
  <c r="L130" i="201"/>
  <c r="L131" i="201"/>
  <c r="I16" i="200"/>
  <c r="I21" i="200"/>
  <c r="I31" i="200"/>
  <c r="J31" i="200" s="1"/>
  <c r="I30" i="200"/>
  <c r="J30" i="200" s="1"/>
  <c r="E9" i="200" s="1"/>
  <c r="I38" i="200"/>
  <c r="J38" i="200" s="1"/>
  <c r="G106" i="200"/>
  <c r="I106" i="200" s="1"/>
  <c r="J106" i="200" s="1"/>
  <c r="G105" i="200"/>
  <c r="I105" i="200" s="1"/>
  <c r="J105" i="200" s="1"/>
  <c r="G104" i="200"/>
  <c r="I104" i="200" s="1"/>
  <c r="J104" i="200" s="1"/>
  <c r="G103" i="200"/>
  <c r="I103" i="200" s="1"/>
  <c r="J103" i="200" s="1"/>
  <c r="O103" i="200" s="1"/>
  <c r="G42" i="200"/>
  <c r="I42" i="200" s="1"/>
  <c r="J42" i="200" s="1"/>
  <c r="N42" i="200" s="1"/>
  <c r="Q42" i="200" s="1"/>
  <c r="S42" i="200" s="1"/>
  <c r="T42" i="200" s="1"/>
  <c r="G22" i="200"/>
  <c r="G23" i="200" s="1"/>
  <c r="F22" i="200"/>
  <c r="F23" i="200" s="1"/>
  <c r="D11" i="200"/>
  <c r="G87" i="200"/>
  <c r="I87" i="200" s="1"/>
  <c r="J87" i="200" s="1"/>
  <c r="K110" i="200"/>
  <c r="H18" i="200" s="1"/>
  <c r="S93" i="200"/>
  <c r="S94" i="200"/>
  <c r="S110" i="200"/>
  <c r="S118" i="200"/>
  <c r="T118" i="200" s="1"/>
  <c r="S102" i="200"/>
  <c r="S76" i="200"/>
  <c r="T76" i="200" s="1"/>
  <c r="S83" i="200"/>
  <c r="T83" i="200" s="1"/>
  <c r="N53" i="200"/>
  <c r="Q53" i="200" s="1"/>
  <c r="S53" i="200" s="1"/>
  <c r="T53" i="200" s="1"/>
  <c r="N54" i="200"/>
  <c r="Q54" i="200" s="1"/>
  <c r="S77" i="200"/>
  <c r="T77" i="200" s="1"/>
  <c r="S78" i="200"/>
  <c r="T78" i="200" s="1"/>
  <c r="S79" i="200"/>
  <c r="T79" i="200" s="1"/>
  <c r="S80" i="200"/>
  <c r="T80" i="200" s="1"/>
  <c r="S81" i="200"/>
  <c r="T81" i="200" s="1"/>
  <c r="S82" i="200"/>
  <c r="T82" i="200" s="1"/>
  <c r="S120" i="200"/>
  <c r="T120" i="200" s="1"/>
  <c r="J123" i="200"/>
  <c r="L123" i="200" s="1"/>
  <c r="G123" i="200"/>
  <c r="J122" i="200"/>
  <c r="L122" i="200" s="1"/>
  <c r="G122" i="200"/>
  <c r="J121" i="200"/>
  <c r="R121" i="200" s="1"/>
  <c r="G121" i="200"/>
  <c r="G120" i="200"/>
  <c r="I120" i="200" s="1"/>
  <c r="K120" i="200" s="1"/>
  <c r="H20" i="200" s="1"/>
  <c r="G119" i="200"/>
  <c r="I119" i="200" s="1"/>
  <c r="J119" i="200" s="1"/>
  <c r="N119" i="200" s="1"/>
  <c r="G118" i="200"/>
  <c r="I118" i="200" s="1"/>
  <c r="K118" i="200" s="1"/>
  <c r="G117" i="200"/>
  <c r="I117" i="200" s="1"/>
  <c r="G116" i="200"/>
  <c r="I116" i="200" s="1"/>
  <c r="J116" i="200" s="1"/>
  <c r="Q116" i="200" s="1"/>
  <c r="G115" i="200"/>
  <c r="I115" i="200" s="1"/>
  <c r="J115" i="200" s="1"/>
  <c r="Q115" i="200" s="1"/>
  <c r="G114" i="200"/>
  <c r="I114" i="200" s="1"/>
  <c r="J114" i="200" s="1"/>
  <c r="R114" i="200" s="1"/>
  <c r="G113" i="200"/>
  <c r="I113" i="200" s="1"/>
  <c r="J113" i="200" s="1"/>
  <c r="N113" i="200" s="1"/>
  <c r="G112" i="200"/>
  <c r="I112" i="200" s="1"/>
  <c r="J112" i="200" s="1"/>
  <c r="N112" i="200" s="1"/>
  <c r="G111" i="200"/>
  <c r="I111" i="200" s="1"/>
  <c r="G110" i="200"/>
  <c r="J109" i="200"/>
  <c r="R109" i="200" s="1"/>
  <c r="G109" i="200"/>
  <c r="J108" i="200"/>
  <c r="Q108" i="200" s="1"/>
  <c r="G108" i="200"/>
  <c r="G107" i="200"/>
  <c r="I107" i="200" s="1"/>
  <c r="I18" i="200" s="1"/>
  <c r="G102" i="200"/>
  <c r="I102" i="200" s="1"/>
  <c r="J102" i="200" s="1"/>
  <c r="G101" i="200"/>
  <c r="I101" i="200" s="1"/>
  <c r="J101" i="200" s="1"/>
  <c r="P101" i="200" s="1"/>
  <c r="G100" i="200"/>
  <c r="I100" i="200" s="1"/>
  <c r="J100" i="200" s="1"/>
  <c r="O100" i="200" s="1"/>
  <c r="G99" i="200"/>
  <c r="I99" i="200" s="1"/>
  <c r="J99" i="200" s="1"/>
  <c r="P99" i="200" s="1"/>
  <c r="G98" i="200"/>
  <c r="I98" i="200" s="1"/>
  <c r="J98" i="200" s="1"/>
  <c r="P98" i="200" s="1"/>
  <c r="G97" i="200"/>
  <c r="I97" i="200" s="1"/>
  <c r="J97" i="200" s="1"/>
  <c r="P97" i="200" s="1"/>
  <c r="G96" i="200"/>
  <c r="I96" i="200" s="1"/>
  <c r="J96" i="200" s="1"/>
  <c r="G95" i="200"/>
  <c r="I95" i="200" s="1"/>
  <c r="K94" i="200"/>
  <c r="K93" i="200"/>
  <c r="J92" i="200"/>
  <c r="L92" i="200" s="1"/>
  <c r="G92" i="200"/>
  <c r="J91" i="200"/>
  <c r="L91" i="200" s="1"/>
  <c r="G91" i="200"/>
  <c r="J90" i="200"/>
  <c r="Q90" i="200" s="1"/>
  <c r="G90" i="200"/>
  <c r="J89" i="200"/>
  <c r="L89" i="200" s="1"/>
  <c r="G89" i="200"/>
  <c r="J88" i="200"/>
  <c r="R88" i="200" s="1"/>
  <c r="G88" i="200"/>
  <c r="G86" i="200"/>
  <c r="I86" i="200" s="1"/>
  <c r="J86" i="200" s="1"/>
  <c r="Q86" i="200" s="1"/>
  <c r="G85" i="200"/>
  <c r="I85" i="200" s="1"/>
  <c r="J85" i="200" s="1"/>
  <c r="N85" i="200" s="1"/>
  <c r="G84" i="200"/>
  <c r="I84" i="200" s="1"/>
  <c r="G83" i="200"/>
  <c r="I83" i="200" s="1"/>
  <c r="K83" i="200" s="1"/>
  <c r="G82" i="200"/>
  <c r="I82" i="200" s="1"/>
  <c r="K82" i="200" s="1"/>
  <c r="G81" i="200"/>
  <c r="I81" i="200" s="1"/>
  <c r="K81" i="200" s="1"/>
  <c r="G80" i="200"/>
  <c r="I80" i="200" s="1"/>
  <c r="K80" i="200" s="1"/>
  <c r="G79" i="200"/>
  <c r="I79" i="200" s="1"/>
  <c r="K79" i="200" s="1"/>
  <c r="G78" i="200"/>
  <c r="I78" i="200" s="1"/>
  <c r="K78" i="200" s="1"/>
  <c r="G77" i="200"/>
  <c r="I77" i="200" s="1"/>
  <c r="K77" i="200" s="1"/>
  <c r="G76" i="200"/>
  <c r="I76" i="200" s="1"/>
  <c r="K76" i="200" s="1"/>
  <c r="G75" i="200"/>
  <c r="I75" i="200" s="1"/>
  <c r="J75" i="200" s="1"/>
  <c r="P75" i="200" s="1"/>
  <c r="G74" i="200"/>
  <c r="I74" i="200" s="1"/>
  <c r="J74" i="200" s="1"/>
  <c r="P74" i="200" s="1"/>
  <c r="G73" i="200"/>
  <c r="I73" i="200" s="1"/>
  <c r="J73" i="200" s="1"/>
  <c r="P73" i="200" s="1"/>
  <c r="G72" i="200"/>
  <c r="I72" i="200" s="1"/>
  <c r="J72" i="200" s="1"/>
  <c r="Q72" i="200" s="1"/>
  <c r="G71" i="200"/>
  <c r="I71" i="200" s="1"/>
  <c r="J71" i="200" s="1"/>
  <c r="Q71" i="200" s="1"/>
  <c r="G70" i="200"/>
  <c r="I70" i="200" s="1"/>
  <c r="J70" i="200" s="1"/>
  <c r="Q70" i="200" s="1"/>
  <c r="G69" i="200"/>
  <c r="I69" i="200" s="1"/>
  <c r="J69" i="200" s="1"/>
  <c r="Q69" i="200" s="1"/>
  <c r="G68" i="200"/>
  <c r="I68" i="200" s="1"/>
  <c r="J68" i="200" s="1"/>
  <c r="N68" i="200" s="1"/>
  <c r="G67" i="200"/>
  <c r="I67" i="200" s="1"/>
  <c r="J67" i="200" s="1"/>
  <c r="N67" i="200" s="1"/>
  <c r="G66" i="200"/>
  <c r="I66" i="200" s="1"/>
  <c r="J66" i="200" s="1"/>
  <c r="N66" i="200" s="1"/>
  <c r="G65" i="200"/>
  <c r="I65" i="200" s="1"/>
  <c r="J65" i="200" s="1"/>
  <c r="N65" i="200" s="1"/>
  <c r="G64" i="200"/>
  <c r="I64" i="200" s="1"/>
  <c r="J64" i="200" s="1"/>
  <c r="P64" i="200" s="1"/>
  <c r="G63" i="200"/>
  <c r="I63" i="200" s="1"/>
  <c r="J63" i="200" s="1"/>
  <c r="P63" i="200" s="1"/>
  <c r="G62" i="200"/>
  <c r="I62" i="200" s="1"/>
  <c r="J62" i="200" s="1"/>
  <c r="P62" i="200" s="1"/>
  <c r="G61" i="200"/>
  <c r="I61" i="200" s="1"/>
  <c r="J61" i="200" s="1"/>
  <c r="P61" i="200" s="1"/>
  <c r="G60" i="200"/>
  <c r="I60" i="200" s="1"/>
  <c r="J60" i="200" s="1"/>
  <c r="Q60" i="200" s="1"/>
  <c r="G59" i="200"/>
  <c r="I59" i="200" s="1"/>
  <c r="J59" i="200" s="1"/>
  <c r="Q59" i="200" s="1"/>
  <c r="G58" i="200"/>
  <c r="I58" i="200" s="1"/>
  <c r="J58" i="200" s="1"/>
  <c r="Q58" i="200" s="1"/>
  <c r="G57" i="200"/>
  <c r="I57" i="200" s="1"/>
  <c r="J57" i="200" s="1"/>
  <c r="Q57" i="200" s="1"/>
  <c r="G56" i="200"/>
  <c r="I56" i="200" s="1"/>
  <c r="J56" i="200" s="1"/>
  <c r="N56" i="200" s="1"/>
  <c r="G55" i="200"/>
  <c r="I55" i="200" s="1"/>
  <c r="G54" i="200"/>
  <c r="I54" i="200" s="1"/>
  <c r="K54" i="200" s="1"/>
  <c r="G53" i="200"/>
  <c r="I53" i="200" s="1"/>
  <c r="K53" i="200" s="1"/>
  <c r="G52" i="200"/>
  <c r="I52" i="200" s="1"/>
  <c r="J52" i="200" s="1"/>
  <c r="N52" i="200" s="1"/>
  <c r="G51" i="200"/>
  <c r="I51" i="200" s="1"/>
  <c r="J51" i="200" s="1"/>
  <c r="N51" i="200" s="1"/>
  <c r="G50" i="200"/>
  <c r="I50" i="200" s="1"/>
  <c r="J50" i="200" s="1"/>
  <c r="N50" i="200" s="1"/>
  <c r="G49" i="200"/>
  <c r="I49" i="200" s="1"/>
  <c r="J49" i="200" s="1"/>
  <c r="N49" i="200" s="1"/>
  <c r="G48" i="200"/>
  <c r="I48" i="200" s="1"/>
  <c r="J48" i="200" s="1"/>
  <c r="N48" i="200" s="1"/>
  <c r="G47" i="200"/>
  <c r="I47" i="200" s="1"/>
  <c r="J47" i="200" s="1"/>
  <c r="N47" i="200" s="1"/>
  <c r="G46" i="200"/>
  <c r="I46" i="200" s="1"/>
  <c r="J46" i="200" s="1"/>
  <c r="N46" i="200" s="1"/>
  <c r="G45" i="200"/>
  <c r="I45" i="200" s="1"/>
  <c r="J45" i="200" s="1"/>
  <c r="N45" i="200" s="1"/>
  <c r="G44" i="200"/>
  <c r="I44" i="200" s="1"/>
  <c r="J44" i="200" s="1"/>
  <c r="N44" i="200" s="1"/>
  <c r="Q44" i="200" s="1"/>
  <c r="S44" i="200" s="1"/>
  <c r="T44" i="200" s="1"/>
  <c r="G43" i="200"/>
  <c r="I43" i="200" s="1"/>
  <c r="J43" i="200" s="1"/>
  <c r="N43" i="200" s="1"/>
  <c r="G41" i="200"/>
  <c r="I41" i="200" s="1"/>
  <c r="J41" i="200" s="1"/>
  <c r="G40" i="200"/>
  <c r="I40" i="200" s="1"/>
  <c r="J40" i="200" s="1"/>
  <c r="G39" i="200"/>
  <c r="I39" i="200" s="1"/>
  <c r="I12" i="200" s="1"/>
  <c r="I37" i="200"/>
  <c r="I10" i="200" s="1"/>
  <c r="I36" i="200"/>
  <c r="K36" i="200" s="1"/>
  <c r="I35" i="200"/>
  <c r="J35" i="200" s="1"/>
  <c r="I34" i="200"/>
  <c r="J34" i="200" s="1"/>
  <c r="I33" i="200"/>
  <c r="J33" i="200" s="1"/>
  <c r="I32" i="200"/>
  <c r="J32" i="200" s="1"/>
  <c r="H16" i="200"/>
  <c r="D9" i="198"/>
  <c r="I31" i="198"/>
  <c r="J31" i="198" s="1"/>
  <c r="E23" i="198" s="1"/>
  <c r="I20" i="198"/>
  <c r="I15" i="198"/>
  <c r="J105" i="198"/>
  <c r="E20" i="198" s="1"/>
  <c r="J20" i="198" s="1"/>
  <c r="G105" i="198"/>
  <c r="G104" i="198"/>
  <c r="I104" i="198" s="1"/>
  <c r="I19" i="198" s="1"/>
  <c r="G103" i="198"/>
  <c r="I103" i="198" s="1"/>
  <c r="K103" i="198" s="1"/>
  <c r="G102" i="198"/>
  <c r="I102" i="198" s="1"/>
  <c r="K102" i="198" s="1"/>
  <c r="G101" i="198"/>
  <c r="I101" i="198" s="1"/>
  <c r="K101" i="198" s="1"/>
  <c r="G100" i="198"/>
  <c r="I100" i="198" s="1"/>
  <c r="J100" i="198" s="1"/>
  <c r="G99" i="198"/>
  <c r="I99" i="198" s="1"/>
  <c r="J99" i="198" s="1"/>
  <c r="G98" i="198"/>
  <c r="I98" i="198" s="1"/>
  <c r="G97" i="198"/>
  <c r="I97" i="198" s="1"/>
  <c r="K97" i="198" s="1"/>
  <c r="H17" i="198" s="1"/>
  <c r="G96" i="198"/>
  <c r="I96" i="198" s="1"/>
  <c r="G95" i="198"/>
  <c r="I95" i="198" s="1"/>
  <c r="J95" i="198" s="1"/>
  <c r="D17" i="198" s="1"/>
  <c r="G94" i="198"/>
  <c r="I94" i="198" s="1"/>
  <c r="K94" i="198" s="1"/>
  <c r="G93" i="198"/>
  <c r="I93" i="198" s="1"/>
  <c r="K93" i="198" s="1"/>
  <c r="G92" i="198"/>
  <c r="I92" i="198" s="1"/>
  <c r="J92" i="198" s="1"/>
  <c r="G91" i="198"/>
  <c r="I91" i="198" s="1"/>
  <c r="J91" i="198" s="1"/>
  <c r="G90" i="198"/>
  <c r="I90" i="198" s="1"/>
  <c r="J90" i="198" s="1"/>
  <c r="G89" i="198"/>
  <c r="I89" i="198" s="1"/>
  <c r="J89" i="198" s="1"/>
  <c r="G88" i="198"/>
  <c r="I88" i="198" s="1"/>
  <c r="J88" i="198" s="1"/>
  <c r="G87" i="198"/>
  <c r="I87" i="198" s="1"/>
  <c r="J87" i="198" s="1"/>
  <c r="G86" i="198"/>
  <c r="I86" i="198" s="1"/>
  <c r="G85" i="198"/>
  <c r="I85" i="198" s="1"/>
  <c r="K84" i="198"/>
  <c r="G84" i="198"/>
  <c r="K83" i="198"/>
  <c r="G83" i="198"/>
  <c r="K82" i="198"/>
  <c r="G82" i="198"/>
  <c r="K81" i="198"/>
  <c r="G81" i="198"/>
  <c r="J80" i="198"/>
  <c r="G80" i="198"/>
  <c r="J79" i="198"/>
  <c r="G79" i="198"/>
  <c r="G78" i="198"/>
  <c r="I78" i="198" s="1"/>
  <c r="K78" i="198" s="1"/>
  <c r="G77" i="198"/>
  <c r="I77" i="198" s="1"/>
  <c r="K77" i="198" s="1"/>
  <c r="G76" i="198"/>
  <c r="I76" i="198" s="1"/>
  <c r="K76" i="198" s="1"/>
  <c r="G75" i="198"/>
  <c r="I75" i="198" s="1"/>
  <c r="G74" i="198"/>
  <c r="I74" i="198" s="1"/>
  <c r="K74" i="198" s="1"/>
  <c r="G73" i="198"/>
  <c r="I73" i="198" s="1"/>
  <c r="K73" i="198" s="1"/>
  <c r="G72" i="198"/>
  <c r="I72" i="198" s="1"/>
  <c r="K72" i="198" s="1"/>
  <c r="G71" i="198"/>
  <c r="I71" i="198" s="1"/>
  <c r="K71" i="198" s="1"/>
  <c r="G70" i="198"/>
  <c r="I70" i="198" s="1"/>
  <c r="K70" i="198" s="1"/>
  <c r="G69" i="198"/>
  <c r="I69" i="198" s="1"/>
  <c r="K69" i="198" s="1"/>
  <c r="G68" i="198"/>
  <c r="I68" i="198" s="1"/>
  <c r="K68" i="198" s="1"/>
  <c r="G67" i="198"/>
  <c r="I67" i="198" s="1"/>
  <c r="K67" i="198" s="1"/>
  <c r="G66" i="198"/>
  <c r="I66" i="198" s="1"/>
  <c r="K66" i="198" s="1"/>
  <c r="G65" i="198"/>
  <c r="I65" i="198" s="1"/>
  <c r="K65" i="198" s="1"/>
  <c r="G64" i="198"/>
  <c r="I64" i="198" s="1"/>
  <c r="K64" i="198" s="1"/>
  <c r="G63" i="198"/>
  <c r="I63" i="198" s="1"/>
  <c r="J63" i="198" s="1"/>
  <c r="G62" i="198"/>
  <c r="I62" i="198" s="1"/>
  <c r="J62" i="198" s="1"/>
  <c r="G61" i="198"/>
  <c r="I61" i="198" s="1"/>
  <c r="J61" i="198" s="1"/>
  <c r="G60" i="198"/>
  <c r="I60" i="198" s="1"/>
  <c r="J60" i="198" s="1"/>
  <c r="G59" i="198"/>
  <c r="I59" i="198" s="1"/>
  <c r="J59" i="198" s="1"/>
  <c r="G58" i="198"/>
  <c r="I58" i="198" s="1"/>
  <c r="J58" i="198" s="1"/>
  <c r="G57" i="198"/>
  <c r="I57" i="198" s="1"/>
  <c r="J57" i="198" s="1"/>
  <c r="G56" i="198"/>
  <c r="I56" i="198" s="1"/>
  <c r="J56" i="198" s="1"/>
  <c r="G55" i="198"/>
  <c r="I55" i="198" s="1"/>
  <c r="J55" i="198" s="1"/>
  <c r="G54" i="198"/>
  <c r="I54" i="198" s="1"/>
  <c r="J54" i="198" s="1"/>
  <c r="G53" i="198"/>
  <c r="I53" i="198" s="1"/>
  <c r="J53" i="198" s="1"/>
  <c r="G52" i="198"/>
  <c r="I52" i="198" s="1"/>
  <c r="J52" i="198" s="1"/>
  <c r="G51" i="198"/>
  <c r="I51" i="198" s="1"/>
  <c r="J51" i="198" s="1"/>
  <c r="G50" i="198"/>
  <c r="I50" i="198" s="1"/>
  <c r="J50" i="198" s="1"/>
  <c r="G49" i="198"/>
  <c r="I49" i="198" s="1"/>
  <c r="J49" i="198" s="1"/>
  <c r="G48" i="198"/>
  <c r="I48" i="198" s="1"/>
  <c r="K48" i="198" s="1"/>
  <c r="G47" i="198"/>
  <c r="I47" i="198" s="1"/>
  <c r="K47" i="198" s="1"/>
  <c r="G46" i="198"/>
  <c r="I46" i="198" s="1"/>
  <c r="K46" i="198" s="1"/>
  <c r="G45" i="198"/>
  <c r="I45" i="198" s="1"/>
  <c r="J45" i="198" s="1"/>
  <c r="G44" i="198"/>
  <c r="I44" i="198" s="1"/>
  <c r="J44" i="198" s="1"/>
  <c r="G43" i="198"/>
  <c r="I43" i="198" s="1"/>
  <c r="J43" i="198" s="1"/>
  <c r="G42" i="198"/>
  <c r="I42" i="198" s="1"/>
  <c r="J42" i="198" s="1"/>
  <c r="G41" i="198"/>
  <c r="I41" i="198" s="1"/>
  <c r="J41" i="198" s="1"/>
  <c r="G40" i="198"/>
  <c r="I40" i="198" s="1"/>
  <c r="J40" i="198" s="1"/>
  <c r="G39" i="198"/>
  <c r="I39" i="198" s="1"/>
  <c r="J39" i="198" s="1"/>
  <c r="G38" i="198"/>
  <c r="I38" i="198" s="1"/>
  <c r="J38" i="198" s="1"/>
  <c r="G37" i="198"/>
  <c r="I37" i="198" s="1"/>
  <c r="J37" i="198" s="1"/>
  <c r="G36" i="198"/>
  <c r="I36" i="198" s="1"/>
  <c r="J36" i="198" s="1"/>
  <c r="G35" i="198"/>
  <c r="I35" i="198" s="1"/>
  <c r="I11" i="198" s="1"/>
  <c r="I34" i="198"/>
  <c r="J34" i="198" s="1"/>
  <c r="I33" i="198"/>
  <c r="J33" i="198" s="1"/>
  <c r="I32" i="198"/>
  <c r="J32" i="198" s="1"/>
  <c r="I30" i="198"/>
  <c r="J30" i="198" s="1"/>
  <c r="I29" i="198"/>
  <c r="J29" i="198" s="1"/>
  <c r="I28" i="198"/>
  <c r="J28" i="198" s="1"/>
  <c r="I27" i="198"/>
  <c r="J27" i="198" s="1"/>
  <c r="L105" i="197"/>
  <c r="G87" i="197"/>
  <c r="I87" i="197" s="1"/>
  <c r="J87" i="197" s="1"/>
  <c r="G66" i="197"/>
  <c r="I66" i="197" s="1"/>
  <c r="K66" i="197" s="1"/>
  <c r="J9" i="200" l="1"/>
  <c r="I9" i="200"/>
  <c r="E17" i="201"/>
  <c r="J17" i="201"/>
  <c r="K17" i="201" s="1"/>
  <c r="E19" i="201"/>
  <c r="E14" i="201"/>
  <c r="H13" i="201"/>
  <c r="E13" i="201"/>
  <c r="J82" i="201"/>
  <c r="E15" i="201" s="1"/>
  <c r="I15" i="201"/>
  <c r="L87" i="201"/>
  <c r="I14" i="201"/>
  <c r="I13" i="201"/>
  <c r="M87" i="201"/>
  <c r="I17" i="201"/>
  <c r="I20" i="201"/>
  <c r="J39" i="201"/>
  <c r="D13" i="201" s="1"/>
  <c r="I19" i="201"/>
  <c r="J129" i="201"/>
  <c r="J110" i="201"/>
  <c r="J53" i="201"/>
  <c r="D14" i="201" s="1"/>
  <c r="I11" i="201"/>
  <c r="J9" i="201"/>
  <c r="K10" i="201" s="1"/>
  <c r="I15" i="200"/>
  <c r="I17" i="200"/>
  <c r="P103" i="200"/>
  <c r="S103" i="200" s="1"/>
  <c r="I14" i="200"/>
  <c r="I20" i="200"/>
  <c r="I19" i="200"/>
  <c r="I13" i="200"/>
  <c r="J20" i="201"/>
  <c r="E12" i="201"/>
  <c r="E11" i="201"/>
  <c r="J117" i="200"/>
  <c r="E24" i="200"/>
  <c r="E17" i="200"/>
  <c r="N41" i="200"/>
  <c r="Q41" i="200" s="1"/>
  <c r="S41" i="200" s="1"/>
  <c r="E16" i="200"/>
  <c r="N40" i="200"/>
  <c r="Q40" i="200" s="1"/>
  <c r="E26" i="200"/>
  <c r="E20" i="200"/>
  <c r="E25" i="200"/>
  <c r="Q114" i="200"/>
  <c r="L121" i="200"/>
  <c r="S121" i="200" s="1"/>
  <c r="R123" i="200"/>
  <c r="S123" i="200" s="1"/>
  <c r="R122" i="200"/>
  <c r="S122" i="200" s="1"/>
  <c r="E21" i="200"/>
  <c r="J21" i="200" s="1"/>
  <c r="K24" i="200" s="1"/>
  <c r="H13" i="200"/>
  <c r="K124" i="200"/>
  <c r="Q87" i="200"/>
  <c r="P87" i="200"/>
  <c r="N87" i="200"/>
  <c r="Q49" i="200"/>
  <c r="S49" i="200" s="1"/>
  <c r="T49" i="200" s="1"/>
  <c r="N64" i="200"/>
  <c r="P72" i="200"/>
  <c r="P60" i="200"/>
  <c r="Q68" i="200"/>
  <c r="Q56" i="200"/>
  <c r="Q85" i="200"/>
  <c r="M90" i="200"/>
  <c r="O101" i="200"/>
  <c r="S101" i="200" s="1"/>
  <c r="T101" i="200" s="1"/>
  <c r="Q48" i="200"/>
  <c r="S48" i="200" s="1"/>
  <c r="T48" i="200" s="1"/>
  <c r="N75" i="200"/>
  <c r="N63" i="200"/>
  <c r="P71" i="200"/>
  <c r="P59" i="200"/>
  <c r="Q67" i="200"/>
  <c r="L88" i="200"/>
  <c r="L90" i="200"/>
  <c r="O99" i="200"/>
  <c r="S99" i="200" s="1"/>
  <c r="T99" i="200" s="1"/>
  <c r="R113" i="200"/>
  <c r="R119" i="200"/>
  <c r="S119" i="200" s="1"/>
  <c r="N74" i="200"/>
  <c r="N62" i="200"/>
  <c r="P70" i="200"/>
  <c r="P58" i="200"/>
  <c r="Q66" i="200"/>
  <c r="M88" i="200"/>
  <c r="R89" i="200"/>
  <c r="O97" i="200"/>
  <c r="S97" i="200" s="1"/>
  <c r="T97" i="200" s="1"/>
  <c r="N116" i="200"/>
  <c r="Q113" i="200"/>
  <c r="Q47" i="200"/>
  <c r="S47" i="200" s="1"/>
  <c r="T47" i="200" s="1"/>
  <c r="N73" i="200"/>
  <c r="N61" i="200"/>
  <c r="P69" i="200"/>
  <c r="P57" i="200"/>
  <c r="Q65" i="200"/>
  <c r="Q89" i="200"/>
  <c r="N115" i="200"/>
  <c r="R112" i="200"/>
  <c r="H19" i="200"/>
  <c r="N72" i="200"/>
  <c r="N60" i="200"/>
  <c r="P68" i="200"/>
  <c r="P56" i="200"/>
  <c r="Q64" i="200"/>
  <c r="Q88" i="200"/>
  <c r="M89" i="200"/>
  <c r="P100" i="200"/>
  <c r="S100" i="200" s="1"/>
  <c r="T100" i="200" s="1"/>
  <c r="N114" i="200"/>
  <c r="Q112" i="200"/>
  <c r="Q46" i="200"/>
  <c r="S46" i="200" s="1"/>
  <c r="T46" i="200" s="1"/>
  <c r="N71" i="200"/>
  <c r="N59" i="200"/>
  <c r="P67" i="200"/>
  <c r="Q75" i="200"/>
  <c r="Q63" i="200"/>
  <c r="N86" i="200"/>
  <c r="L109" i="200"/>
  <c r="E15" i="200"/>
  <c r="N70" i="200"/>
  <c r="N58" i="200"/>
  <c r="P66" i="200"/>
  <c r="Q74" i="200"/>
  <c r="Q62" i="200"/>
  <c r="R91" i="200"/>
  <c r="R92" i="200"/>
  <c r="L108" i="200"/>
  <c r="Q52" i="200"/>
  <c r="S52" i="200" s="1"/>
  <c r="T52" i="200" s="1"/>
  <c r="Q45" i="200"/>
  <c r="S45" i="200" s="1"/>
  <c r="T45" i="200" s="1"/>
  <c r="N69" i="200"/>
  <c r="N57" i="200"/>
  <c r="P65" i="200"/>
  <c r="Q73" i="200"/>
  <c r="Q61" i="200"/>
  <c r="Q91" i="200"/>
  <c r="Q92" i="200"/>
  <c r="R116" i="200"/>
  <c r="H14" i="200"/>
  <c r="E18" i="200"/>
  <c r="P86" i="200"/>
  <c r="M91" i="200"/>
  <c r="M92" i="200"/>
  <c r="T102" i="200"/>
  <c r="Q109" i="200"/>
  <c r="Q51" i="200"/>
  <c r="S51" i="200" s="1"/>
  <c r="T51" i="200" s="1"/>
  <c r="P85" i="200"/>
  <c r="R108" i="200"/>
  <c r="R115" i="200"/>
  <c r="D13" i="200"/>
  <c r="Q43" i="200"/>
  <c r="S43" i="200" s="1"/>
  <c r="T43" i="200" s="1"/>
  <c r="R90" i="200"/>
  <c r="D16" i="200"/>
  <c r="T110" i="200"/>
  <c r="O98" i="200"/>
  <c r="S98" i="200" s="1"/>
  <c r="S54" i="200"/>
  <c r="T54" i="200" s="1"/>
  <c r="Q50" i="200"/>
  <c r="S50" i="200" s="1"/>
  <c r="T50" i="200" s="1"/>
  <c r="J39" i="200"/>
  <c r="J84" i="200"/>
  <c r="J95" i="200"/>
  <c r="J17" i="200" s="1"/>
  <c r="E14" i="200"/>
  <c r="J55" i="200"/>
  <c r="J107" i="200"/>
  <c r="J111" i="200"/>
  <c r="H9" i="200"/>
  <c r="H11" i="200" s="1"/>
  <c r="I11" i="200"/>
  <c r="J37" i="200"/>
  <c r="I124" i="200"/>
  <c r="J86" i="198"/>
  <c r="E22" i="198"/>
  <c r="K106" i="198"/>
  <c r="H16" i="198"/>
  <c r="E9" i="198"/>
  <c r="J9" i="198" s="1"/>
  <c r="E10" i="198"/>
  <c r="J10" i="198" s="1"/>
  <c r="D15" i="198"/>
  <c r="J15" i="198" s="1"/>
  <c r="I16" i="198"/>
  <c r="E13" i="198"/>
  <c r="I18" i="198"/>
  <c r="H12" i="198"/>
  <c r="E16" i="198"/>
  <c r="H18" i="198"/>
  <c r="D12" i="198"/>
  <c r="H15" i="198"/>
  <c r="D13" i="198"/>
  <c r="I14" i="198"/>
  <c r="E12" i="198"/>
  <c r="H13" i="198"/>
  <c r="H14" i="198"/>
  <c r="I13" i="198"/>
  <c r="I12" i="198"/>
  <c r="I9" i="198"/>
  <c r="I10" i="198"/>
  <c r="I17" i="198"/>
  <c r="I106" i="198"/>
  <c r="J85" i="198"/>
  <c r="J104" i="198"/>
  <c r="J96" i="198"/>
  <c r="E17" i="198" s="1"/>
  <c r="J17" i="198" s="1"/>
  <c r="J35" i="198"/>
  <c r="E11" i="198" s="1"/>
  <c r="J11" i="198" s="1"/>
  <c r="J98" i="198"/>
  <c r="E18" i="198" s="1"/>
  <c r="J18" i="198" s="1"/>
  <c r="J75" i="198"/>
  <c r="N117" i="197"/>
  <c r="N118" i="197" s="1"/>
  <c r="K11" i="201" l="1"/>
  <c r="O10" i="201"/>
  <c r="D18" i="201"/>
  <c r="J18" i="201" s="1"/>
  <c r="J19" i="201"/>
  <c r="J13" i="201"/>
  <c r="H24" i="201"/>
  <c r="L110" i="201"/>
  <c r="J14" i="201"/>
  <c r="J11" i="201"/>
  <c r="J12" i="201"/>
  <c r="Q117" i="200"/>
  <c r="N117" i="200"/>
  <c r="E19" i="200"/>
  <c r="R117" i="200"/>
  <c r="E10" i="200"/>
  <c r="J10" i="200" s="1"/>
  <c r="J16" i="200"/>
  <c r="S92" i="200"/>
  <c r="T92" i="200" s="1"/>
  <c r="S40" i="200"/>
  <c r="S75" i="200"/>
  <c r="T75" i="200" s="1"/>
  <c r="S57" i="200"/>
  <c r="T57" i="200" s="1"/>
  <c r="S70" i="200"/>
  <c r="T70" i="200" s="1"/>
  <c r="H22" i="200"/>
  <c r="H23" i="200" s="1"/>
  <c r="S112" i="200"/>
  <c r="T112" i="200" s="1"/>
  <c r="I22" i="200"/>
  <c r="I23" i="200" s="1"/>
  <c r="S113" i="200"/>
  <c r="T113" i="200" s="1"/>
  <c r="S56" i="200"/>
  <c r="T56" i="200" s="1"/>
  <c r="S71" i="200"/>
  <c r="T71" i="200" s="1"/>
  <c r="S116" i="200"/>
  <c r="T116" i="200" s="1"/>
  <c r="S90" i="200"/>
  <c r="T90" i="200" s="1"/>
  <c r="S85" i="200"/>
  <c r="T85" i="200" s="1"/>
  <c r="S115" i="200"/>
  <c r="T115" i="200" s="1"/>
  <c r="S67" i="200"/>
  <c r="T67" i="200" s="1"/>
  <c r="S65" i="200"/>
  <c r="T65" i="200" s="1"/>
  <c r="S58" i="200"/>
  <c r="T58" i="200" s="1"/>
  <c r="S114" i="200"/>
  <c r="T114" i="200" s="1"/>
  <c r="S64" i="200"/>
  <c r="T64" i="200" s="1"/>
  <c r="S88" i="200"/>
  <c r="T88" i="200" s="1"/>
  <c r="S59" i="200"/>
  <c r="T59" i="200" s="1"/>
  <c r="S109" i="200"/>
  <c r="T109" i="200" s="1"/>
  <c r="S86" i="200"/>
  <c r="T86" i="200" s="1"/>
  <c r="S74" i="200"/>
  <c r="T74" i="200" s="1"/>
  <c r="S68" i="200"/>
  <c r="T68" i="200" s="1"/>
  <c r="S73" i="200"/>
  <c r="T73" i="200" s="1"/>
  <c r="E12" i="200"/>
  <c r="J12" i="200" s="1"/>
  <c r="N39" i="200"/>
  <c r="Q39" i="200" s="1"/>
  <c r="D17" i="200"/>
  <c r="K17" i="200" s="1"/>
  <c r="P95" i="200"/>
  <c r="O95" i="200"/>
  <c r="S69" i="200"/>
  <c r="T69" i="200" s="1"/>
  <c r="S87" i="200"/>
  <c r="T87" i="200" s="1"/>
  <c r="S63" i="200"/>
  <c r="T63" i="200" s="1"/>
  <c r="S61" i="200"/>
  <c r="T61" i="200" s="1"/>
  <c r="S89" i="200"/>
  <c r="T89" i="200" s="1"/>
  <c r="D19" i="200"/>
  <c r="N111" i="200"/>
  <c r="R111" i="200"/>
  <c r="Q111" i="200"/>
  <c r="D15" i="200"/>
  <c r="J15" i="200" s="1"/>
  <c r="O15" i="200" s="1"/>
  <c r="Q84" i="200"/>
  <c r="P84" i="200"/>
  <c r="N84" i="200"/>
  <c r="D18" i="200"/>
  <c r="J18" i="200" s="1"/>
  <c r="L107" i="200"/>
  <c r="R107" i="200"/>
  <c r="Q107" i="200"/>
  <c r="S108" i="200"/>
  <c r="T108" i="200" s="1"/>
  <c r="S60" i="200"/>
  <c r="T60" i="200" s="1"/>
  <c r="S91" i="200"/>
  <c r="T91" i="200" s="1"/>
  <c r="S62" i="200"/>
  <c r="T62" i="200" s="1"/>
  <c r="S72" i="200"/>
  <c r="T72" i="200" s="1"/>
  <c r="D14" i="200"/>
  <c r="J14" i="200" s="1"/>
  <c r="O14" i="200" s="1"/>
  <c r="P55" i="200"/>
  <c r="N55" i="200"/>
  <c r="Q55" i="200"/>
  <c r="S66" i="200"/>
  <c r="T66" i="200" s="1"/>
  <c r="T98" i="200"/>
  <c r="E13" i="200"/>
  <c r="J13" i="200" s="1"/>
  <c r="J124" i="200"/>
  <c r="J20" i="200"/>
  <c r="J106" i="198"/>
  <c r="J107" i="198" s="1"/>
  <c r="D16" i="198"/>
  <c r="J16" i="198" s="1"/>
  <c r="K16" i="198" s="1"/>
  <c r="K10" i="198"/>
  <c r="E14" i="198"/>
  <c r="J14" i="198" s="1"/>
  <c r="D19" i="198"/>
  <c r="J19" i="198" s="1"/>
  <c r="K20" i="198" s="1"/>
  <c r="L20" i="198" s="1"/>
  <c r="J13" i="198"/>
  <c r="H21" i="198"/>
  <c r="J12" i="198"/>
  <c r="I21" i="198"/>
  <c r="K20" i="201" l="1"/>
  <c r="J15" i="201"/>
  <c r="J19" i="200"/>
  <c r="K20" i="200" s="1"/>
  <c r="S117" i="200"/>
  <c r="T117" i="200" s="1"/>
  <c r="E11" i="200"/>
  <c r="J11" i="200"/>
  <c r="D22" i="200"/>
  <c r="D23" i="200" s="1"/>
  <c r="E22" i="200"/>
  <c r="S84" i="200"/>
  <c r="T84" i="200" s="1"/>
  <c r="S107" i="200"/>
  <c r="T107" i="200" s="1"/>
  <c r="S95" i="200"/>
  <c r="T95" i="200" s="1"/>
  <c r="H24" i="200"/>
  <c r="S55" i="200"/>
  <c r="T55" i="200" s="1"/>
  <c r="S39" i="200"/>
  <c r="S111" i="200"/>
  <c r="T111" i="200" s="1"/>
  <c r="K10" i="200"/>
  <c r="K11" i="200" s="1"/>
  <c r="K15" i="198"/>
  <c r="K21" i="198" s="1"/>
  <c r="D21" i="198"/>
  <c r="J21" i="198"/>
  <c r="E21" i="198"/>
  <c r="K25" i="200" l="1"/>
  <c r="K26" i="200" s="1"/>
  <c r="J22" i="200"/>
  <c r="J23" i="200" s="1"/>
  <c r="E23" i="200"/>
  <c r="K16" i="200"/>
  <c r="K22" i="200" s="1"/>
  <c r="K23" i="200" s="1"/>
  <c r="T39" i="200"/>
  <c r="T124" i="200" s="1"/>
  <c r="S124" i="200"/>
  <c r="G103" i="197"/>
  <c r="G83" i="197"/>
  <c r="I83" i="197" s="1"/>
  <c r="J83" i="197" s="1"/>
  <c r="G82" i="197"/>
  <c r="I82" i="197" s="1"/>
  <c r="J82" i="197" s="1"/>
  <c r="H97" i="197"/>
  <c r="G96" i="197"/>
  <c r="I96" i="197" s="1"/>
  <c r="K96" i="197" s="1"/>
  <c r="G94" i="197"/>
  <c r="I94" i="197" s="1"/>
  <c r="K94" i="197" s="1"/>
  <c r="G89" i="197"/>
  <c r="I89" i="197" s="1"/>
  <c r="K89" i="197" s="1"/>
  <c r="K90" i="197" s="1"/>
  <c r="E109" i="197" s="1"/>
  <c r="H90" i="197"/>
  <c r="H86" i="197"/>
  <c r="I75" i="197"/>
  <c r="H75" i="197"/>
  <c r="H68" i="197"/>
  <c r="G67" i="197"/>
  <c r="I67" i="197" s="1"/>
  <c r="K67" i="197" s="1"/>
  <c r="G61" i="197"/>
  <c r="I61" i="197" s="1"/>
  <c r="K61" i="197" s="1"/>
  <c r="H36" i="197"/>
  <c r="K20" i="197"/>
  <c r="H17" i="197"/>
  <c r="H20" i="197"/>
  <c r="G88" i="197"/>
  <c r="I88" i="197" s="1"/>
  <c r="J88" i="197" s="1"/>
  <c r="G95" i="197"/>
  <c r="I95" i="197" s="1"/>
  <c r="K95" i="197" s="1"/>
  <c r="G92" i="197"/>
  <c r="I92" i="197" s="1"/>
  <c r="J92" i="197" s="1"/>
  <c r="G93" i="197"/>
  <c r="I93" i="197" s="1"/>
  <c r="J93" i="197" s="1"/>
  <c r="G72" i="197"/>
  <c r="K72" i="197"/>
  <c r="G73" i="197"/>
  <c r="K73" i="197"/>
  <c r="G74" i="197"/>
  <c r="K74" i="197"/>
  <c r="H63" i="197"/>
  <c r="G51" i="197"/>
  <c r="I51" i="197" s="1"/>
  <c r="J51" i="197" s="1"/>
  <c r="G50" i="197"/>
  <c r="I50" i="197" s="1"/>
  <c r="J50" i="197" s="1"/>
  <c r="G49" i="197"/>
  <c r="I49" i="197" s="1"/>
  <c r="J49" i="197" s="1"/>
  <c r="G48" i="197"/>
  <c r="I48" i="197" s="1"/>
  <c r="J48" i="197" s="1"/>
  <c r="G62" i="197"/>
  <c r="I62" i="197" s="1"/>
  <c r="K62" i="197" s="1"/>
  <c r="G60" i="197"/>
  <c r="I60" i="197" s="1"/>
  <c r="K60" i="197" s="1"/>
  <c r="S126" i="200" l="1"/>
  <c r="S125" i="200"/>
  <c r="J90" i="197"/>
  <c r="K97" i="197"/>
  <c r="E110" i="197" s="1"/>
  <c r="I90" i="197"/>
  <c r="G32" i="197"/>
  <c r="I32" i="197" s="1"/>
  <c r="J32" i="197" s="1"/>
  <c r="G31" i="197"/>
  <c r="I31" i="197" s="1"/>
  <c r="J31" i="197" s="1"/>
  <c r="G28" i="197"/>
  <c r="I28" i="197" s="1"/>
  <c r="J28" i="197" s="1"/>
  <c r="G29" i="197"/>
  <c r="I29" i="197" s="1"/>
  <c r="J29" i="197" s="1"/>
  <c r="G30" i="197"/>
  <c r="I30" i="197" s="1"/>
  <c r="J30" i="197" s="1"/>
  <c r="G33" i="197"/>
  <c r="I33" i="197" s="1"/>
  <c r="K33" i="197" s="1"/>
  <c r="G34" i="197"/>
  <c r="I34" i="197" s="1"/>
  <c r="K34" i="197" s="1"/>
  <c r="G35" i="197"/>
  <c r="I35" i="197" s="1"/>
  <c r="K35" i="197" s="1"/>
  <c r="K36" i="197" l="1"/>
  <c r="B111" i="197" s="1"/>
  <c r="I19" i="197"/>
  <c r="J19" i="197" s="1"/>
  <c r="I14" i="197"/>
  <c r="J14" i="197" s="1"/>
  <c r="I15" i="197"/>
  <c r="J15" i="197" s="1"/>
  <c r="G70" i="197"/>
  <c r="J70" i="197"/>
  <c r="G98" i="197"/>
  <c r="I98" i="197" s="1"/>
  <c r="K100" i="197" s="1"/>
  <c r="E111" i="197" s="1"/>
  <c r="G81" i="197"/>
  <c r="I81" i="197" s="1"/>
  <c r="J81" i="197" s="1"/>
  <c r="G84" i="197"/>
  <c r="I84" i="197" s="1"/>
  <c r="K84" i="197" s="1"/>
  <c r="G85" i="197"/>
  <c r="I85" i="197" s="1"/>
  <c r="G79" i="197"/>
  <c r="I79" i="197" s="1"/>
  <c r="J79" i="197" s="1"/>
  <c r="G78" i="197"/>
  <c r="I78" i="197" s="1"/>
  <c r="J78" i="197" s="1"/>
  <c r="G77" i="197"/>
  <c r="I77" i="197" s="1"/>
  <c r="J77" i="197" s="1"/>
  <c r="G76" i="197"/>
  <c r="I76" i="197" s="1"/>
  <c r="G43" i="197"/>
  <c r="I43" i="197" s="1"/>
  <c r="J43" i="197" s="1"/>
  <c r="G42" i="197"/>
  <c r="I42" i="197" s="1"/>
  <c r="J42" i="197" s="1"/>
  <c r="G41" i="197"/>
  <c r="I41" i="197" s="1"/>
  <c r="J41" i="197" s="1"/>
  <c r="G40" i="197"/>
  <c r="I40" i="197" s="1"/>
  <c r="J40" i="197" s="1"/>
  <c r="G39" i="197"/>
  <c r="I39" i="197" s="1"/>
  <c r="J39" i="197" s="1"/>
  <c r="G38" i="197"/>
  <c r="I38" i="197" s="1"/>
  <c r="J38" i="197" s="1"/>
  <c r="G37" i="197"/>
  <c r="I37" i="197" s="1"/>
  <c r="I13" i="197"/>
  <c r="J13" i="197" s="1"/>
  <c r="I16" i="197"/>
  <c r="J16" i="197" s="1"/>
  <c r="I107" i="197"/>
  <c r="J107" i="197" s="1"/>
  <c r="K104" i="197"/>
  <c r="E112" i="197" s="1"/>
  <c r="I104" i="197"/>
  <c r="J103" i="197"/>
  <c r="K102" i="197"/>
  <c r="H102" i="197"/>
  <c r="I101" i="197"/>
  <c r="I102" i="197" s="1"/>
  <c r="H100" i="197"/>
  <c r="I99" i="197"/>
  <c r="K99" i="197" s="1"/>
  <c r="G91" i="197"/>
  <c r="I91" i="197" s="1"/>
  <c r="I97" i="197" s="1"/>
  <c r="G80" i="197"/>
  <c r="I80" i="197" s="1"/>
  <c r="J80" i="197" s="1"/>
  <c r="K71" i="197"/>
  <c r="G71" i="197"/>
  <c r="J69" i="197"/>
  <c r="G69" i="197"/>
  <c r="G65" i="197"/>
  <c r="I65" i="197" s="1"/>
  <c r="K65" i="197" s="1"/>
  <c r="K68" i="197" s="1"/>
  <c r="B113" i="197" s="1"/>
  <c r="G64" i="197"/>
  <c r="I64" i="197" s="1"/>
  <c r="G59" i="197"/>
  <c r="I59" i="197" s="1"/>
  <c r="K59" i="197" s="1"/>
  <c r="G58" i="197"/>
  <c r="I58" i="197" s="1"/>
  <c r="K58" i="197" s="1"/>
  <c r="G57" i="197"/>
  <c r="I57" i="197" s="1"/>
  <c r="K57" i="197" s="1"/>
  <c r="G56" i="197"/>
  <c r="I56" i="197" s="1"/>
  <c r="K56" i="197" s="1"/>
  <c r="G55" i="197"/>
  <c r="I55" i="197" s="1"/>
  <c r="K55" i="197" s="1"/>
  <c r="G54" i="197"/>
  <c r="I54" i="197" s="1"/>
  <c r="K54" i="197" s="1"/>
  <c r="G53" i="197"/>
  <c r="I53" i="197" s="1"/>
  <c r="K53" i="197" s="1"/>
  <c r="G52" i="197"/>
  <c r="I52" i="197" s="1"/>
  <c r="K52" i="197" s="1"/>
  <c r="G47" i="197"/>
  <c r="I47" i="197" s="1"/>
  <c r="J47" i="197" s="1"/>
  <c r="G46" i="197"/>
  <c r="I46" i="197" s="1"/>
  <c r="J46" i="197" s="1"/>
  <c r="G45" i="197"/>
  <c r="I45" i="197" s="1"/>
  <c r="J45" i="197" s="1"/>
  <c r="G44" i="197"/>
  <c r="I44" i="197" s="1"/>
  <c r="J44" i="197" s="1"/>
  <c r="G27" i="197"/>
  <c r="I27" i="197" s="1"/>
  <c r="J27" i="197" s="1"/>
  <c r="G26" i="197"/>
  <c r="I26" i="197" s="1"/>
  <c r="J26" i="197" s="1"/>
  <c r="G25" i="197"/>
  <c r="I25" i="197" s="1"/>
  <c r="J25" i="197" s="1"/>
  <c r="G24" i="197"/>
  <c r="I24" i="197" s="1"/>
  <c r="J24" i="197" s="1"/>
  <c r="G23" i="197"/>
  <c r="I23" i="197" s="1"/>
  <c r="J23" i="197" s="1"/>
  <c r="K22" i="197"/>
  <c r="H22" i="197"/>
  <c r="G21" i="197"/>
  <c r="I21" i="197" s="1"/>
  <c r="I22" i="197" s="1"/>
  <c r="I18" i="197"/>
  <c r="K17" i="197"/>
  <c r="I12" i="197"/>
  <c r="G71" i="196"/>
  <c r="I71" i="196" s="1"/>
  <c r="J71" i="196" s="1"/>
  <c r="G70" i="196"/>
  <c r="I70" i="196" s="1"/>
  <c r="J70" i="196" s="1"/>
  <c r="G69" i="196"/>
  <c r="I69" i="196" s="1"/>
  <c r="J69" i="196" s="1"/>
  <c r="G68" i="196"/>
  <c r="I68" i="196" s="1"/>
  <c r="J68" i="196" s="1"/>
  <c r="G67" i="196"/>
  <c r="I67" i="196" s="1"/>
  <c r="J67" i="196" s="1"/>
  <c r="G46" i="196"/>
  <c r="I46" i="196" s="1"/>
  <c r="J46" i="196" s="1"/>
  <c r="J75" i="197" l="1"/>
  <c r="M75" i="197"/>
  <c r="M105" i="197" s="1"/>
  <c r="I112" i="197"/>
  <c r="J113" i="197"/>
  <c r="I114" i="197"/>
  <c r="K114" i="197" s="1"/>
  <c r="I86" i="197"/>
  <c r="K75" i="197"/>
  <c r="B114" i="197" s="1"/>
  <c r="I68" i="197"/>
  <c r="K85" i="197"/>
  <c r="K86" i="197" s="1"/>
  <c r="E108" i="197" s="1"/>
  <c r="I36" i="197"/>
  <c r="I17" i="197"/>
  <c r="J18" i="197"/>
  <c r="J20" i="197" s="1"/>
  <c r="I20" i="197"/>
  <c r="J37" i="197"/>
  <c r="H111" i="197" s="1"/>
  <c r="I63" i="197"/>
  <c r="J98" i="197"/>
  <c r="H113" i="197" s="1"/>
  <c r="J104" i="197"/>
  <c r="J64" i="197"/>
  <c r="J68" i="197" s="1"/>
  <c r="I100" i="197"/>
  <c r="J91" i="197"/>
  <c r="I113" i="197" s="1"/>
  <c r="J76" i="197"/>
  <c r="H112" i="197" s="1"/>
  <c r="J110" i="197"/>
  <c r="J12" i="197"/>
  <c r="H110" i="197" s="1"/>
  <c r="J101" i="197"/>
  <c r="J102" i="197" s="1"/>
  <c r="J21" i="197"/>
  <c r="H79" i="196"/>
  <c r="G78" i="196"/>
  <c r="I78" i="196" s="1"/>
  <c r="K78" i="196" s="1"/>
  <c r="K79" i="196" s="1"/>
  <c r="G87" i="196"/>
  <c r="I87" i="196" s="1"/>
  <c r="K87" i="196" s="1"/>
  <c r="H76" i="196"/>
  <c r="G82" i="196"/>
  <c r="I82" i="196" s="1"/>
  <c r="J82" i="196" s="1"/>
  <c r="L73" i="196"/>
  <c r="I110" i="197" l="1"/>
  <c r="I108" i="197"/>
  <c r="I106" i="197" s="1"/>
  <c r="J63" i="197"/>
  <c r="K43" i="197"/>
  <c r="K63" i="197" s="1"/>
  <c r="B112" i="197" s="1"/>
  <c r="E115" i="197" s="1"/>
  <c r="I105" i="197"/>
  <c r="I118" i="197"/>
  <c r="J112" i="197"/>
  <c r="K112" i="197"/>
  <c r="J86" i="197"/>
  <c r="I111" i="197"/>
  <c r="J97" i="197"/>
  <c r="K113" i="197"/>
  <c r="J36" i="197"/>
  <c r="J100" i="197"/>
  <c r="J17" i="197"/>
  <c r="J103" i="196"/>
  <c r="J22" i="197"/>
  <c r="F101" i="196"/>
  <c r="G66" i="196"/>
  <c r="I66" i="196" s="1"/>
  <c r="J66" i="196" s="1"/>
  <c r="G72" i="196"/>
  <c r="I72" i="196" s="1"/>
  <c r="K72" i="196" s="1"/>
  <c r="G73" i="196"/>
  <c r="I73" i="196" s="1"/>
  <c r="K73" i="196" s="1"/>
  <c r="G74" i="196"/>
  <c r="I74" i="196" s="1"/>
  <c r="K74" i="196" s="1"/>
  <c r="G75" i="196"/>
  <c r="I75" i="196" s="1"/>
  <c r="K75" i="196" s="1"/>
  <c r="J61" i="196"/>
  <c r="J62" i="196"/>
  <c r="G61" i="196"/>
  <c r="G62" i="196"/>
  <c r="G56" i="196"/>
  <c r="I56" i="196" s="1"/>
  <c r="J56" i="196" s="1"/>
  <c r="G45" i="196"/>
  <c r="I45" i="196" s="1"/>
  <c r="J45" i="196" s="1"/>
  <c r="G26" i="196"/>
  <c r="I26" i="196" s="1"/>
  <c r="K26" i="196" s="1"/>
  <c r="G27" i="196"/>
  <c r="I27" i="196" s="1"/>
  <c r="K27" i="196" s="1"/>
  <c r="K108" i="197" l="1"/>
  <c r="K106" i="197" s="1"/>
  <c r="J111" i="197"/>
  <c r="J115" i="197" s="1"/>
  <c r="F117" i="197" s="1"/>
  <c r="K105" i="197"/>
  <c r="J105" i="197"/>
  <c r="J108" i="197"/>
  <c r="K110" i="197"/>
  <c r="K76" i="196"/>
  <c r="B98" i="196" s="1"/>
  <c r="J102" i="196"/>
  <c r="K18" i="196"/>
  <c r="H18" i="196"/>
  <c r="I17" i="196"/>
  <c r="H16" i="196"/>
  <c r="I15" i="196"/>
  <c r="K15" i="196" s="1"/>
  <c r="K16" i="196" s="1"/>
  <c r="I14" i="196"/>
  <c r="J14" i="196" s="1"/>
  <c r="I13" i="196"/>
  <c r="J13" i="196" s="1"/>
  <c r="I12" i="196"/>
  <c r="J12" i="196" s="1"/>
  <c r="G77" i="196"/>
  <c r="I77" i="196" s="1"/>
  <c r="L117" i="197" l="1"/>
  <c r="L118" i="197" s="1"/>
  <c r="I115" i="197"/>
  <c r="J77" i="196"/>
  <c r="I79" i="196"/>
  <c r="F103" i="196"/>
  <c r="J100" i="196"/>
  <c r="I18" i="196"/>
  <c r="J16" i="196"/>
  <c r="I16" i="196"/>
  <c r="J17" i="196"/>
  <c r="J18" i="196" s="1"/>
  <c r="G86" i="196"/>
  <c r="I86" i="196" s="1"/>
  <c r="J86" i="196" s="1"/>
  <c r="G53" i="196"/>
  <c r="I53" i="196" s="1"/>
  <c r="K53" i="196" s="1"/>
  <c r="G52" i="196"/>
  <c r="I52" i="196" s="1"/>
  <c r="K52" i="196" s="1"/>
  <c r="G51" i="196"/>
  <c r="I51" i="196" s="1"/>
  <c r="K51" i="196" s="1"/>
  <c r="G50" i="196"/>
  <c r="I50" i="196" s="1"/>
  <c r="K50" i="196" s="1"/>
  <c r="G49" i="196"/>
  <c r="I49" i="196" s="1"/>
  <c r="K49" i="196" s="1"/>
  <c r="G48" i="196"/>
  <c r="I48" i="196" s="1"/>
  <c r="K48" i="196" s="1"/>
  <c r="G47" i="196"/>
  <c r="I47" i="196" s="1"/>
  <c r="K47" i="196" s="1"/>
  <c r="G44" i="196"/>
  <c r="I44" i="196" s="1"/>
  <c r="J44" i="196" s="1"/>
  <c r="G43" i="196"/>
  <c r="I43" i="196" s="1"/>
  <c r="J43" i="196" s="1"/>
  <c r="G42" i="196"/>
  <c r="I42" i="196" s="1"/>
  <c r="J42" i="196" s="1"/>
  <c r="G41" i="196"/>
  <c r="I41" i="196" s="1"/>
  <c r="J41" i="196" s="1"/>
  <c r="G40" i="196"/>
  <c r="I40" i="196" s="1"/>
  <c r="J40" i="196" s="1"/>
  <c r="G39" i="196"/>
  <c r="I39" i="196" s="1"/>
  <c r="J39" i="196" s="1"/>
  <c r="G38" i="196"/>
  <c r="I38" i="196" s="1"/>
  <c r="J38" i="196" s="1"/>
  <c r="G29" i="196"/>
  <c r="I29" i="196" s="1"/>
  <c r="K29" i="196" s="1"/>
  <c r="G28" i="196"/>
  <c r="I28" i="196" s="1"/>
  <c r="K28" i="196" s="1"/>
  <c r="G25" i="196"/>
  <c r="I25" i="196" s="1"/>
  <c r="J25" i="196" s="1"/>
  <c r="G24" i="196"/>
  <c r="I24" i="196" s="1"/>
  <c r="J24" i="196" s="1"/>
  <c r="G23" i="196"/>
  <c r="I23" i="196" s="1"/>
  <c r="J23" i="196" s="1"/>
  <c r="G22" i="196"/>
  <c r="I22" i="196" s="1"/>
  <c r="J22" i="196" s="1"/>
  <c r="G19" i="196"/>
  <c r="I19" i="196" s="1"/>
  <c r="J59" i="196"/>
  <c r="G59" i="196"/>
  <c r="G37" i="196"/>
  <c r="I37" i="196" s="1"/>
  <c r="J37" i="196" s="1"/>
  <c r="G36" i="196"/>
  <c r="I36" i="196" s="1"/>
  <c r="J36" i="196" s="1"/>
  <c r="G35" i="196"/>
  <c r="I35" i="196" s="1"/>
  <c r="J35" i="196" s="1"/>
  <c r="G34" i="196"/>
  <c r="I34" i="196" s="1"/>
  <c r="J34" i="196" s="1"/>
  <c r="G33" i="196"/>
  <c r="I33" i="196" s="1"/>
  <c r="J33" i="196" s="1"/>
  <c r="G32" i="196"/>
  <c r="I32" i="196" s="1"/>
  <c r="J32" i="196" s="1"/>
  <c r="G31" i="196"/>
  <c r="I31" i="196" s="1"/>
  <c r="J31" i="196" s="1"/>
  <c r="G21" i="196"/>
  <c r="I21" i="196" s="1"/>
  <c r="J21" i="196" s="1"/>
  <c r="I97" i="196"/>
  <c r="J97" i="196" s="1"/>
  <c r="K95" i="196"/>
  <c r="I95" i="196"/>
  <c r="J94" i="196"/>
  <c r="G94" i="196"/>
  <c r="J93" i="196"/>
  <c r="G93" i="196"/>
  <c r="J92" i="196"/>
  <c r="G92" i="196"/>
  <c r="J91" i="196"/>
  <c r="G91" i="196"/>
  <c r="K90" i="196"/>
  <c r="B104" i="196" s="1"/>
  <c r="H90" i="196"/>
  <c r="G89" i="196"/>
  <c r="I89" i="196" s="1"/>
  <c r="I90" i="196" s="1"/>
  <c r="H88" i="196"/>
  <c r="K85" i="196"/>
  <c r="F100" i="196" s="1"/>
  <c r="H85" i="196"/>
  <c r="G84" i="196"/>
  <c r="I84" i="196" s="1"/>
  <c r="J84" i="196" s="1"/>
  <c r="G83" i="196"/>
  <c r="I83" i="196" s="1"/>
  <c r="J83" i="196" s="1"/>
  <c r="G81" i="196"/>
  <c r="I81" i="196" s="1"/>
  <c r="J81" i="196" s="1"/>
  <c r="G80" i="196"/>
  <c r="I80" i="196" s="1"/>
  <c r="F102" i="196"/>
  <c r="G65" i="196"/>
  <c r="I65" i="196" s="1"/>
  <c r="I64" i="196"/>
  <c r="H64" i="196"/>
  <c r="K63" i="196"/>
  <c r="K64" i="196" s="1"/>
  <c r="B103" i="196" s="1"/>
  <c r="G63" i="196"/>
  <c r="J60" i="196"/>
  <c r="G60" i="196"/>
  <c r="K58" i="196"/>
  <c r="B101" i="196" s="1"/>
  <c r="H58" i="196"/>
  <c r="G57" i="196"/>
  <c r="I57" i="196" s="1"/>
  <c r="J57" i="196" s="1"/>
  <c r="G55" i="196"/>
  <c r="I55" i="196" s="1"/>
  <c r="J55" i="196" s="1"/>
  <c r="H54" i="196"/>
  <c r="H30" i="196"/>
  <c r="K20" i="196"/>
  <c r="H20" i="196"/>
  <c r="L5" i="196"/>
  <c r="L5" i="195"/>
  <c r="K102" i="186"/>
  <c r="I96" i="195"/>
  <c r="I105" i="195" s="1"/>
  <c r="K105" i="195" s="1"/>
  <c r="G49" i="195"/>
  <c r="I49" i="195" s="1"/>
  <c r="J49" i="195" s="1"/>
  <c r="G48" i="195"/>
  <c r="I48" i="195" s="1"/>
  <c r="J48" i="195" s="1"/>
  <c r="G47" i="195"/>
  <c r="I47" i="195" s="1"/>
  <c r="J47" i="195" s="1"/>
  <c r="G46" i="195"/>
  <c r="I46" i="195" s="1"/>
  <c r="J46" i="195" s="1"/>
  <c r="G45" i="195"/>
  <c r="I45" i="195" s="1"/>
  <c r="J45" i="195" s="1"/>
  <c r="I110" i="195"/>
  <c r="I98" i="195"/>
  <c r="J63" i="195"/>
  <c r="H60" i="195"/>
  <c r="J94" i="195"/>
  <c r="J93" i="195"/>
  <c r="G95" i="195"/>
  <c r="G94" i="195"/>
  <c r="G93" i="195"/>
  <c r="G92" i="195"/>
  <c r="G20" i="195"/>
  <c r="I20" i="195" s="1"/>
  <c r="J20" i="195" s="1"/>
  <c r="G19" i="195"/>
  <c r="I19" i="195" s="1"/>
  <c r="J19" i="195" s="1"/>
  <c r="G18" i="195"/>
  <c r="I18" i="195" s="1"/>
  <c r="J18" i="195" s="1"/>
  <c r="G17" i="195"/>
  <c r="I17" i="195" s="1"/>
  <c r="J17" i="195" s="1"/>
  <c r="G79" i="195"/>
  <c r="I79" i="195" s="1"/>
  <c r="K79" i="195" s="1"/>
  <c r="G78" i="195"/>
  <c r="I78" i="195" s="1"/>
  <c r="J78" i="195" s="1"/>
  <c r="G77" i="195"/>
  <c r="I77" i="195" s="1"/>
  <c r="J77" i="195" s="1"/>
  <c r="G59" i="195"/>
  <c r="I59" i="195" s="1"/>
  <c r="J59" i="195" s="1"/>
  <c r="G51" i="195"/>
  <c r="I51" i="195" s="1"/>
  <c r="K51" i="195" s="1"/>
  <c r="G52" i="195"/>
  <c r="I52" i="195" s="1"/>
  <c r="K52" i="195" s="1"/>
  <c r="G32" i="195"/>
  <c r="I32" i="195" s="1"/>
  <c r="J32" i="195" s="1"/>
  <c r="G31" i="195"/>
  <c r="I31" i="195" s="1"/>
  <c r="J31" i="195" s="1"/>
  <c r="G30" i="195"/>
  <c r="I30" i="195" s="1"/>
  <c r="J30" i="195" s="1"/>
  <c r="G29" i="195"/>
  <c r="I29" i="195" s="1"/>
  <c r="J29" i="195" s="1"/>
  <c r="G28" i="195"/>
  <c r="I28" i="195" s="1"/>
  <c r="J28" i="195" s="1"/>
  <c r="G27" i="195"/>
  <c r="I27" i="195" s="1"/>
  <c r="J27" i="195" s="1"/>
  <c r="G26" i="195"/>
  <c r="I26" i="195" s="1"/>
  <c r="J26" i="195" s="1"/>
  <c r="K96" i="195"/>
  <c r="J95" i="195"/>
  <c r="J92" i="195"/>
  <c r="K91" i="195"/>
  <c r="B105" i="195" s="1"/>
  <c r="H91" i="195"/>
  <c r="G90" i="195"/>
  <c r="I90" i="195" s="1"/>
  <c r="I91" i="195" s="1"/>
  <c r="K89" i="195"/>
  <c r="H89" i="195"/>
  <c r="I88" i="195"/>
  <c r="J88" i="195" s="1"/>
  <c r="I87" i="195"/>
  <c r="K86" i="195"/>
  <c r="F104" i="195" s="1"/>
  <c r="H86" i="195"/>
  <c r="I85" i="195"/>
  <c r="J85" i="195" s="1"/>
  <c r="I84" i="195"/>
  <c r="J84" i="195" s="1"/>
  <c r="I83" i="195"/>
  <c r="J83" i="195" s="1"/>
  <c r="I82" i="195"/>
  <c r="J82" i="195" s="1"/>
  <c r="I81" i="195"/>
  <c r="H80" i="195"/>
  <c r="G76" i="195"/>
  <c r="I76" i="195" s="1"/>
  <c r="J76" i="195" s="1"/>
  <c r="G75" i="195"/>
  <c r="I75" i="195" s="1"/>
  <c r="H74" i="195"/>
  <c r="K74" i="195"/>
  <c r="F101" i="195" s="1"/>
  <c r="G73" i="195"/>
  <c r="I73" i="195" s="1"/>
  <c r="J73" i="195" s="1"/>
  <c r="G72" i="195"/>
  <c r="I72" i="195" s="1"/>
  <c r="J72" i="195" s="1"/>
  <c r="G71" i="195"/>
  <c r="I71" i="195" s="1"/>
  <c r="J71" i="195" s="1"/>
  <c r="G70" i="195"/>
  <c r="I70" i="195" s="1"/>
  <c r="K69" i="195"/>
  <c r="F100" i="195" s="1"/>
  <c r="H69" i="195"/>
  <c r="G68" i="195"/>
  <c r="I68" i="195" s="1"/>
  <c r="H67" i="195"/>
  <c r="G66" i="195"/>
  <c r="I66" i="195" s="1"/>
  <c r="K66" i="195" s="1"/>
  <c r="K67" i="195" s="1"/>
  <c r="F103" i="195" s="1"/>
  <c r="I65" i="195"/>
  <c r="H65" i="195"/>
  <c r="K64" i="195"/>
  <c r="G64" i="195"/>
  <c r="G63" i="195"/>
  <c r="J62" i="195"/>
  <c r="G62" i="195"/>
  <c r="J61" i="195"/>
  <c r="G61" i="195"/>
  <c r="K60" i="195"/>
  <c r="G58" i="195"/>
  <c r="I58" i="195" s="1"/>
  <c r="H57" i="195"/>
  <c r="G56" i="195"/>
  <c r="I56" i="195" s="1"/>
  <c r="K56" i="195" s="1"/>
  <c r="G55" i="195"/>
  <c r="I55" i="195" s="1"/>
  <c r="K55" i="195" s="1"/>
  <c r="G54" i="195"/>
  <c r="I54" i="195" s="1"/>
  <c r="K54" i="195" s="1"/>
  <c r="G53" i="195"/>
  <c r="I53" i="195" s="1"/>
  <c r="K53" i="195" s="1"/>
  <c r="G50" i="195"/>
  <c r="I50" i="195" s="1"/>
  <c r="K50" i="195" s="1"/>
  <c r="G44" i="195"/>
  <c r="I44" i="195" s="1"/>
  <c r="J44" i="195" s="1"/>
  <c r="G43" i="195"/>
  <c r="I43" i="195" s="1"/>
  <c r="J43" i="195" s="1"/>
  <c r="G42" i="195"/>
  <c r="I42" i="195" s="1"/>
  <c r="J42" i="195" s="1"/>
  <c r="G41" i="195"/>
  <c r="I41" i="195" s="1"/>
  <c r="J41" i="195" s="1"/>
  <c r="G40" i="195"/>
  <c r="I40" i="195" s="1"/>
  <c r="J40" i="195" s="1"/>
  <c r="G39" i="195"/>
  <c r="I39" i="195" s="1"/>
  <c r="J39" i="195" s="1"/>
  <c r="G38" i="195"/>
  <c r="I38" i="195" s="1"/>
  <c r="J38" i="195" s="1"/>
  <c r="G37" i="195"/>
  <c r="I37" i="195" s="1"/>
  <c r="J37" i="195" s="1"/>
  <c r="G36" i="195"/>
  <c r="I36" i="195" s="1"/>
  <c r="J36" i="195" s="1"/>
  <c r="G35" i="195"/>
  <c r="I35" i="195" s="1"/>
  <c r="G33" i="195"/>
  <c r="I33" i="195" s="1"/>
  <c r="K33" i="195" s="1"/>
  <c r="G25" i="195"/>
  <c r="I25" i="195" s="1"/>
  <c r="J25" i="195" s="1"/>
  <c r="G24" i="195"/>
  <c r="I24" i="195" s="1"/>
  <c r="J24" i="195" s="1"/>
  <c r="G23" i="195"/>
  <c r="I23" i="195" s="1"/>
  <c r="H22" i="195"/>
  <c r="G21" i="195"/>
  <c r="I21" i="195" s="1"/>
  <c r="J21" i="195" s="1"/>
  <c r="G16" i="195"/>
  <c r="I16" i="195" s="1"/>
  <c r="G15" i="195"/>
  <c r="I15" i="195" s="1"/>
  <c r="J15" i="195" s="1"/>
  <c r="G14" i="195"/>
  <c r="I14" i="195" s="1"/>
  <c r="J14" i="195" s="1"/>
  <c r="G13" i="195"/>
  <c r="I13" i="195" s="1"/>
  <c r="J13" i="195" s="1"/>
  <c r="G12" i="195"/>
  <c r="I12" i="195" s="1"/>
  <c r="H96" i="194"/>
  <c r="K96" i="194"/>
  <c r="I77" i="194"/>
  <c r="H75" i="194"/>
  <c r="J75" i="194" s="1"/>
  <c r="L75" i="194" s="1"/>
  <c r="H76" i="194"/>
  <c r="J76" i="194" s="1"/>
  <c r="L76" i="194" s="1"/>
  <c r="J80" i="194"/>
  <c r="K80" i="194" s="1"/>
  <c r="J81" i="194"/>
  <c r="K81" i="194" s="1"/>
  <c r="J82" i="194"/>
  <c r="K82" i="194" s="1"/>
  <c r="J83" i="194"/>
  <c r="K83" i="194" s="1"/>
  <c r="J84" i="194"/>
  <c r="K84" i="194" s="1"/>
  <c r="J85" i="194"/>
  <c r="K85" i="194" s="1"/>
  <c r="J86" i="194"/>
  <c r="K86" i="194" s="1"/>
  <c r="J87" i="194"/>
  <c r="K87" i="194" s="1"/>
  <c r="J88" i="194"/>
  <c r="K88" i="194" s="1"/>
  <c r="L60" i="194"/>
  <c r="L59" i="194"/>
  <c r="J96" i="195" l="1"/>
  <c r="I100" i="196"/>
  <c r="H101" i="196"/>
  <c r="J80" i="196"/>
  <c r="J85" i="196" s="1"/>
  <c r="I103" i="196"/>
  <c r="J101" i="196"/>
  <c r="J79" i="196"/>
  <c r="H103" i="196"/>
  <c r="F99" i="196"/>
  <c r="J65" i="196"/>
  <c r="J76" i="196" s="1"/>
  <c r="I102" i="196" s="1"/>
  <c r="I76" i="196"/>
  <c r="I104" i="196"/>
  <c r="K104" i="196" s="1"/>
  <c r="J64" i="196"/>
  <c r="J95" i="196"/>
  <c r="K88" i="196"/>
  <c r="K30" i="196"/>
  <c r="B99" i="196" s="1"/>
  <c r="K54" i="196"/>
  <c r="B100" i="196" s="1"/>
  <c r="I30" i="196"/>
  <c r="I88" i="196"/>
  <c r="J30" i="196"/>
  <c r="J58" i="196"/>
  <c r="I54" i="196"/>
  <c r="J54" i="196"/>
  <c r="I58" i="196"/>
  <c r="J19" i="196"/>
  <c r="I101" i="196" s="1"/>
  <c r="J89" i="196"/>
  <c r="J90" i="196" s="1"/>
  <c r="I20" i="196"/>
  <c r="I85" i="196"/>
  <c r="I102" i="195"/>
  <c r="H103" i="195"/>
  <c r="I101" i="195"/>
  <c r="H104" i="195"/>
  <c r="I60" i="195"/>
  <c r="H102" i="195"/>
  <c r="I103" i="195"/>
  <c r="I104" i="195"/>
  <c r="J104" i="195"/>
  <c r="K34" i="195"/>
  <c r="H34" i="195"/>
  <c r="I89" i="195"/>
  <c r="I74" i="195"/>
  <c r="J87" i="195"/>
  <c r="J89" i="195" s="1"/>
  <c r="K65" i="195"/>
  <c r="B104" i="195" s="1"/>
  <c r="I86" i="195"/>
  <c r="K80" i="195"/>
  <c r="J65" i="195"/>
  <c r="I80" i="195"/>
  <c r="J75" i="195"/>
  <c r="J80" i="195" s="1"/>
  <c r="J67" i="195"/>
  <c r="I67" i="195"/>
  <c r="J35" i="195"/>
  <c r="J57" i="195" s="1"/>
  <c r="I57" i="195"/>
  <c r="K57" i="195"/>
  <c r="B101" i="195" s="1"/>
  <c r="I22" i="195"/>
  <c r="J12" i="195"/>
  <c r="I69" i="195"/>
  <c r="J68" i="195"/>
  <c r="J69" i="195" s="1"/>
  <c r="J58" i="195"/>
  <c r="J60" i="195" s="1"/>
  <c r="K22" i="195"/>
  <c r="B99" i="195" s="1"/>
  <c r="J16" i="195"/>
  <c r="J98" i="195"/>
  <c r="J70" i="195"/>
  <c r="J74" i="195" s="1"/>
  <c r="J90" i="195"/>
  <c r="J91" i="195" s="1"/>
  <c r="J23" i="195"/>
  <c r="J34" i="195" s="1"/>
  <c r="J81" i="195"/>
  <c r="J86" i="195" s="1"/>
  <c r="I34" i="195"/>
  <c r="L77" i="194"/>
  <c r="H52" i="194"/>
  <c r="J52" i="194" s="1"/>
  <c r="L52" i="194" s="1"/>
  <c r="H51" i="194"/>
  <c r="J51" i="194" s="1"/>
  <c r="L51" i="194" s="1"/>
  <c r="H50" i="194"/>
  <c r="J50" i="194" s="1"/>
  <c r="L50" i="194" s="1"/>
  <c r="H49" i="194"/>
  <c r="J49" i="194" s="1"/>
  <c r="L49" i="194" s="1"/>
  <c r="H48" i="194"/>
  <c r="J48" i="194" s="1"/>
  <c r="L48" i="194" s="1"/>
  <c r="H47" i="194"/>
  <c r="J47" i="194" s="1"/>
  <c r="L47" i="194" s="1"/>
  <c r="H38" i="194"/>
  <c r="J38" i="194" s="1"/>
  <c r="K38" i="194" s="1"/>
  <c r="H39" i="194"/>
  <c r="J39" i="194" s="1"/>
  <c r="K39" i="194" s="1"/>
  <c r="H40" i="194"/>
  <c r="J40" i="194" s="1"/>
  <c r="K40" i="194" s="1"/>
  <c r="H41" i="194"/>
  <c r="J41" i="194" s="1"/>
  <c r="K41" i="194" s="1"/>
  <c r="H42" i="194"/>
  <c r="J42" i="194" s="1"/>
  <c r="K42" i="194" s="1"/>
  <c r="H43" i="194"/>
  <c r="J43" i="194" s="1"/>
  <c r="K43" i="194" s="1"/>
  <c r="H44" i="194"/>
  <c r="J44" i="194" s="1"/>
  <c r="K44" i="194" s="1"/>
  <c r="H45" i="194"/>
  <c r="J45" i="194" s="1"/>
  <c r="K45" i="194" s="1"/>
  <c r="H46" i="194"/>
  <c r="J46" i="194" s="1"/>
  <c r="K46" i="194" s="1"/>
  <c r="H72" i="194"/>
  <c r="J72" i="194" s="1"/>
  <c r="L72" i="194" s="1"/>
  <c r="H67" i="194"/>
  <c r="J67" i="194" s="1"/>
  <c r="K67" i="194" s="1"/>
  <c r="H68" i="194"/>
  <c r="J68" i="194" s="1"/>
  <c r="K68" i="194" s="1"/>
  <c r="H69" i="194"/>
  <c r="J69" i="194" s="1"/>
  <c r="K69" i="194" s="1"/>
  <c r="H70" i="194"/>
  <c r="J70" i="194" s="1"/>
  <c r="K70" i="194" s="1"/>
  <c r="H71" i="194"/>
  <c r="J71" i="194" s="1"/>
  <c r="K71" i="194" s="1"/>
  <c r="K103" i="196" l="1"/>
  <c r="I98" i="196"/>
  <c r="I96" i="196" s="1"/>
  <c r="K98" i="196"/>
  <c r="K96" i="196" s="1"/>
  <c r="J102" i="195"/>
  <c r="J106" i="195" s="1"/>
  <c r="K102" i="195"/>
  <c r="F105" i="196"/>
  <c r="K102" i="196"/>
  <c r="K101" i="196"/>
  <c r="H105" i="196"/>
  <c r="K100" i="196"/>
  <c r="I105" i="196"/>
  <c r="J20" i="196"/>
  <c r="J88" i="196"/>
  <c r="J105" i="196"/>
  <c r="I111" i="195"/>
  <c r="I112" i="195" s="1"/>
  <c r="B100" i="195"/>
  <c r="K101" i="195"/>
  <c r="I99" i="195"/>
  <c r="I97" i="195" s="1"/>
  <c r="F102" i="195"/>
  <c r="H106" i="195"/>
  <c r="K99" i="195"/>
  <c r="K97" i="195" s="1"/>
  <c r="K104" i="195"/>
  <c r="J22" i="195"/>
  <c r="K103" i="195" s="1"/>
  <c r="H27" i="194"/>
  <c r="J27" i="194" s="1"/>
  <c r="L27" i="194" s="1"/>
  <c r="H26" i="194"/>
  <c r="J26" i="194" s="1"/>
  <c r="L26" i="194" s="1"/>
  <c r="H25" i="194"/>
  <c r="J25" i="194" s="1"/>
  <c r="L25" i="194" s="1"/>
  <c r="H20" i="194"/>
  <c r="J20" i="194" s="1"/>
  <c r="L20" i="194" s="1"/>
  <c r="H16" i="194"/>
  <c r="J16" i="194" s="1"/>
  <c r="K16" i="194" s="1"/>
  <c r="H17" i="194"/>
  <c r="J17" i="194" s="1"/>
  <c r="K17" i="194" s="1"/>
  <c r="H36" i="194"/>
  <c r="J36" i="194" s="1"/>
  <c r="K36" i="194" s="1"/>
  <c r="H35" i="194"/>
  <c r="J35" i="194" s="1"/>
  <c r="K35" i="194" s="1"/>
  <c r="H34" i="194"/>
  <c r="J34" i="194" s="1"/>
  <c r="K34" i="194" s="1"/>
  <c r="H33" i="194"/>
  <c r="J33" i="194" s="1"/>
  <c r="K33" i="194" s="1"/>
  <c r="H32" i="194"/>
  <c r="J32" i="194" s="1"/>
  <c r="K32" i="194" s="1"/>
  <c r="H31" i="194"/>
  <c r="J31" i="194" s="1"/>
  <c r="K31" i="194" s="1"/>
  <c r="H30" i="194"/>
  <c r="J30" i="194" s="1"/>
  <c r="K30" i="194" s="1"/>
  <c r="H29" i="194"/>
  <c r="J29" i="194" s="1"/>
  <c r="K29" i="194" s="1"/>
  <c r="H56" i="194"/>
  <c r="H57" i="194"/>
  <c r="H58" i="194"/>
  <c r="H59" i="194"/>
  <c r="H60" i="194"/>
  <c r="L97" i="194"/>
  <c r="J97" i="194"/>
  <c r="J106" i="194" s="1"/>
  <c r="L106" i="194" s="1"/>
  <c r="K95" i="194"/>
  <c r="H95" i="194"/>
  <c r="L94" i="194"/>
  <c r="B106" i="194" s="1"/>
  <c r="I94" i="194"/>
  <c r="H93" i="194"/>
  <c r="J93" i="194" s="1"/>
  <c r="L92" i="194"/>
  <c r="I92" i="194"/>
  <c r="J91" i="194"/>
  <c r="K91" i="194" s="1"/>
  <c r="J90" i="194"/>
  <c r="I89" i="194"/>
  <c r="J79" i="194"/>
  <c r="J78" i="194"/>
  <c r="I102" i="194" s="1"/>
  <c r="F103" i="194"/>
  <c r="H74" i="194"/>
  <c r="J74" i="194" s="1"/>
  <c r="J77" i="194" s="1"/>
  <c r="L73" i="194"/>
  <c r="I73" i="194"/>
  <c r="H66" i="194"/>
  <c r="J66" i="194" s="1"/>
  <c r="I65" i="194"/>
  <c r="L65" i="194"/>
  <c r="F101" i="194" s="1"/>
  <c r="H64" i="194"/>
  <c r="J64" i="194" s="1"/>
  <c r="I63" i="194"/>
  <c r="H62" i="194"/>
  <c r="J62" i="194" s="1"/>
  <c r="J61" i="194"/>
  <c r="I61" i="194"/>
  <c r="K58" i="194"/>
  <c r="K57" i="194"/>
  <c r="K56" i="194"/>
  <c r="L55" i="194"/>
  <c r="I55" i="194"/>
  <c r="H54" i="194"/>
  <c r="J54" i="194" s="1"/>
  <c r="I53" i="194"/>
  <c r="H37" i="194"/>
  <c r="J37" i="194" s="1"/>
  <c r="K37" i="194" s="1"/>
  <c r="I28" i="194"/>
  <c r="H24" i="194"/>
  <c r="J24" i="194" s="1"/>
  <c r="K24" i="194" s="1"/>
  <c r="H23" i="194"/>
  <c r="J23" i="194" s="1"/>
  <c r="K23" i="194" s="1"/>
  <c r="H22" i="194"/>
  <c r="J22" i="194" s="1"/>
  <c r="I21" i="194"/>
  <c r="H19" i="194"/>
  <c r="J19" i="194" s="1"/>
  <c r="H18" i="194"/>
  <c r="J18" i="194" s="1"/>
  <c r="K18" i="194" s="1"/>
  <c r="H15" i="194"/>
  <c r="J15" i="194" s="1"/>
  <c r="H14" i="194"/>
  <c r="J14" i="194" s="1"/>
  <c r="H13" i="194"/>
  <c r="J13" i="194" s="1"/>
  <c r="H12" i="194"/>
  <c r="J12" i="194" s="1"/>
  <c r="L60" i="193"/>
  <c r="F107" i="196" l="1"/>
  <c r="M104" i="196"/>
  <c r="J98" i="196"/>
  <c r="L98" i="196" s="1"/>
  <c r="L99" i="196" s="1"/>
  <c r="K105" i="196"/>
  <c r="K106" i="196" s="1"/>
  <c r="F106" i="195"/>
  <c r="F110" i="195" s="1"/>
  <c r="I106" i="195"/>
  <c r="K106" i="195" s="1"/>
  <c r="K107" i="195" s="1"/>
  <c r="I103" i="194"/>
  <c r="F102" i="194"/>
  <c r="K105" i="194"/>
  <c r="K62" i="194"/>
  <c r="K63" i="194" s="1"/>
  <c r="I105" i="194"/>
  <c r="I104" i="194"/>
  <c r="L28" i="194"/>
  <c r="L61" i="194"/>
  <c r="B105" i="194" s="1"/>
  <c r="K97" i="194"/>
  <c r="K61" i="194"/>
  <c r="J92" i="194"/>
  <c r="L89" i="194"/>
  <c r="J89" i="194"/>
  <c r="K78" i="194"/>
  <c r="J65" i="194"/>
  <c r="L19" i="194"/>
  <c r="L21" i="194" s="1"/>
  <c r="B100" i="194" s="1"/>
  <c r="K104" i="194"/>
  <c r="J63" i="194"/>
  <c r="J94" i="194"/>
  <c r="K93" i="194"/>
  <c r="K94" i="194" s="1"/>
  <c r="J28" i="194"/>
  <c r="K22" i="194"/>
  <c r="K28" i="194" s="1"/>
  <c r="J21" i="194"/>
  <c r="K12" i="194"/>
  <c r="K74" i="194"/>
  <c r="K77" i="194" s="1"/>
  <c r="K14" i="194"/>
  <c r="K53" i="194"/>
  <c r="J53" i="194"/>
  <c r="J55" i="194"/>
  <c r="K54" i="194"/>
  <c r="K55" i="194" s="1"/>
  <c r="L53" i="194"/>
  <c r="B102" i="194" s="1"/>
  <c r="J99" i="194"/>
  <c r="K99" i="194" s="1"/>
  <c r="J73" i="194"/>
  <c r="K13" i="194"/>
  <c r="K66" i="194"/>
  <c r="K73" i="194" s="1"/>
  <c r="K79" i="194"/>
  <c r="K90" i="194"/>
  <c r="K92" i="194" s="1"/>
  <c r="K64" i="194"/>
  <c r="K65" i="194" s="1"/>
  <c r="K15" i="194"/>
  <c r="H60" i="193"/>
  <c r="J78" i="193"/>
  <c r="K78" i="193" s="1"/>
  <c r="J79" i="193"/>
  <c r="L79" i="193" s="1"/>
  <c r="L61" i="193"/>
  <c r="H43" i="193"/>
  <c r="J43" i="193" s="1"/>
  <c r="L43" i="193" s="1"/>
  <c r="K96" i="193" l="1"/>
  <c r="M105" i="196"/>
  <c r="J96" i="196"/>
  <c r="M98" i="196"/>
  <c r="K108" i="196"/>
  <c r="L107" i="196"/>
  <c r="J99" i="195"/>
  <c r="M106" i="195" s="1"/>
  <c r="M105" i="195"/>
  <c r="F105" i="194"/>
  <c r="K102" i="194"/>
  <c r="J103" i="194"/>
  <c r="L103" i="194" s="1"/>
  <c r="J105" i="194"/>
  <c r="L105" i="194" s="1"/>
  <c r="B101" i="194"/>
  <c r="K103" i="194"/>
  <c r="J100" i="194"/>
  <c r="J98" i="194" s="1"/>
  <c r="K89" i="194"/>
  <c r="J102" i="194" s="1"/>
  <c r="L102" i="194" s="1"/>
  <c r="K21" i="194"/>
  <c r="J104" i="194" s="1"/>
  <c r="L63" i="194"/>
  <c r="F104" i="194" s="1"/>
  <c r="I107" i="194"/>
  <c r="H61" i="193"/>
  <c r="K59" i="193"/>
  <c r="H59" i="193"/>
  <c r="K58" i="193"/>
  <c r="H58" i="193"/>
  <c r="M99" i="195" l="1"/>
  <c r="J97" i="195"/>
  <c r="K109" i="195"/>
  <c r="L108" i="195"/>
  <c r="K107" i="194"/>
  <c r="L104" i="194"/>
  <c r="J107" i="194"/>
  <c r="L107" i="194" s="1"/>
  <c r="L108" i="194" s="1"/>
  <c r="F107" i="194"/>
  <c r="L100" i="194"/>
  <c r="L98" i="194" s="1"/>
  <c r="H66" i="193"/>
  <c r="J66" i="193" s="1"/>
  <c r="L66" i="193" s="1"/>
  <c r="L67" i="193" s="1"/>
  <c r="I67" i="193"/>
  <c r="H50" i="193"/>
  <c r="J50" i="193" s="1"/>
  <c r="L50" i="193" s="1"/>
  <c r="H51" i="193"/>
  <c r="J51" i="193" s="1"/>
  <c r="L51" i="193" s="1"/>
  <c r="H49" i="193"/>
  <c r="J49" i="193" s="1"/>
  <c r="L49" i="193" s="1"/>
  <c r="N106" i="194" l="1"/>
  <c r="K100" i="194"/>
  <c r="N107" i="194" s="1"/>
  <c r="L110" i="194"/>
  <c r="M109" i="194"/>
  <c r="H38" i="193"/>
  <c r="J38" i="193" s="1"/>
  <c r="K38" i="193" s="1"/>
  <c r="H39" i="193"/>
  <c r="J39" i="193" s="1"/>
  <c r="K39" i="193" s="1"/>
  <c r="H42" i="193"/>
  <c r="J42" i="193" s="1"/>
  <c r="K42" i="193" s="1"/>
  <c r="H41" i="193"/>
  <c r="J41" i="193" s="1"/>
  <c r="K41" i="193" s="1"/>
  <c r="H40" i="193"/>
  <c r="J40" i="193" s="1"/>
  <c r="K40" i="193" s="1"/>
  <c r="N100" i="194" l="1"/>
  <c r="K98" i="194"/>
  <c r="J76" i="193"/>
  <c r="K76" i="193" s="1"/>
  <c r="J75" i="193"/>
  <c r="H73" i="193"/>
  <c r="J73" i="193" s="1"/>
  <c r="K73" i="193" s="1"/>
  <c r="K57" i="193"/>
  <c r="H35" i="193"/>
  <c r="J35" i="193" s="1"/>
  <c r="K35" i="193" s="1"/>
  <c r="H34" i="193"/>
  <c r="J34" i="193" s="1"/>
  <c r="K34" i="193" s="1"/>
  <c r="H33" i="193"/>
  <c r="J33" i="193" s="1"/>
  <c r="K33" i="193" s="1"/>
  <c r="H32" i="193"/>
  <c r="J32" i="193" s="1"/>
  <c r="K32" i="193" s="1"/>
  <c r="H31" i="193"/>
  <c r="J31" i="193" s="1"/>
  <c r="K31" i="193" s="1"/>
  <c r="H30" i="193"/>
  <c r="J30" i="193" s="1"/>
  <c r="H21" i="193"/>
  <c r="J21" i="193" s="1"/>
  <c r="H13" i="193"/>
  <c r="J13" i="193" s="1"/>
  <c r="N16" i="193" s="1"/>
  <c r="H12" i="193"/>
  <c r="J12" i="193" s="1"/>
  <c r="K12" i="193" s="1"/>
  <c r="L91" i="193"/>
  <c r="J91" i="193"/>
  <c r="K90" i="193"/>
  <c r="H90" i="193"/>
  <c r="K89" i="193"/>
  <c r="H89" i="193"/>
  <c r="L88" i="193"/>
  <c r="I88" i="193"/>
  <c r="H87" i="193"/>
  <c r="J87" i="193" s="1"/>
  <c r="J88" i="193" s="1"/>
  <c r="L86" i="193"/>
  <c r="I86" i="193"/>
  <c r="J85" i="193"/>
  <c r="K85" i="193" s="1"/>
  <c r="J84" i="193"/>
  <c r="J83" i="193"/>
  <c r="K83" i="193" s="1"/>
  <c r="J82" i="193"/>
  <c r="K82" i="193" s="1"/>
  <c r="J81" i="193"/>
  <c r="K81" i="193" s="1"/>
  <c r="I80" i="193"/>
  <c r="J77" i="193"/>
  <c r="L74" i="193"/>
  <c r="F97" i="193" s="1"/>
  <c r="I74" i="193"/>
  <c r="L72" i="193"/>
  <c r="F96" i="193" s="1"/>
  <c r="I72" i="193"/>
  <c r="H71" i="193"/>
  <c r="J71" i="193" s="1"/>
  <c r="K71" i="193" s="1"/>
  <c r="H70" i="193"/>
  <c r="J70" i="193" s="1"/>
  <c r="K70" i="193" s="1"/>
  <c r="H69" i="193"/>
  <c r="J69" i="193" s="1"/>
  <c r="H68" i="193"/>
  <c r="J68" i="193" s="1"/>
  <c r="H65" i="193"/>
  <c r="J65" i="193" s="1"/>
  <c r="I64" i="193"/>
  <c r="H63" i="193"/>
  <c r="J63" i="193" s="1"/>
  <c r="L63" i="193" s="1"/>
  <c r="K99" i="193" s="1"/>
  <c r="J62" i="193"/>
  <c r="I62" i="193"/>
  <c r="L62" i="193"/>
  <c r="B99" i="193" s="1"/>
  <c r="H57" i="193"/>
  <c r="K56" i="193"/>
  <c r="H56" i="193"/>
  <c r="L55" i="193"/>
  <c r="I55" i="193"/>
  <c r="H54" i="193"/>
  <c r="J54" i="193" s="1"/>
  <c r="K54" i="193" s="1"/>
  <c r="H53" i="193"/>
  <c r="J53" i="193" s="1"/>
  <c r="I52" i="193"/>
  <c r="H48" i="193"/>
  <c r="J48" i="193" s="1"/>
  <c r="L48" i="193" s="1"/>
  <c r="H47" i="193"/>
  <c r="J47" i="193" s="1"/>
  <c r="L47" i="193" s="1"/>
  <c r="H46" i="193"/>
  <c r="J46" i="193" s="1"/>
  <c r="L46" i="193" s="1"/>
  <c r="H45" i="193"/>
  <c r="J45" i="193" s="1"/>
  <c r="L45" i="193" s="1"/>
  <c r="H44" i="193"/>
  <c r="J44" i="193" s="1"/>
  <c r="H37" i="193"/>
  <c r="J37" i="193" s="1"/>
  <c r="K37" i="193" s="1"/>
  <c r="H36" i="193"/>
  <c r="J36" i="193" s="1"/>
  <c r="K36" i="193" s="1"/>
  <c r="I29" i="193"/>
  <c r="H28" i="193"/>
  <c r="J28" i="193" s="1"/>
  <c r="L28" i="193" s="1"/>
  <c r="L29" i="193" s="1"/>
  <c r="B95" i="193" s="1"/>
  <c r="H27" i="193"/>
  <c r="J27" i="193" s="1"/>
  <c r="K27" i="193" s="1"/>
  <c r="H26" i="193"/>
  <c r="J26" i="193" s="1"/>
  <c r="K26" i="193" s="1"/>
  <c r="H25" i="193"/>
  <c r="J25" i="193" s="1"/>
  <c r="K25" i="193" s="1"/>
  <c r="H24" i="193"/>
  <c r="J24" i="193" s="1"/>
  <c r="H23" i="193"/>
  <c r="J23" i="193" s="1"/>
  <c r="K23" i="193" s="1"/>
  <c r="H22" i="193"/>
  <c r="J22" i="193" s="1"/>
  <c r="I20" i="193"/>
  <c r="H19" i="193"/>
  <c r="J19" i="193" s="1"/>
  <c r="L19" i="193" s="1"/>
  <c r="H18" i="193"/>
  <c r="J18" i="193" s="1"/>
  <c r="H17" i="193"/>
  <c r="J17" i="193" s="1"/>
  <c r="K17" i="193" s="1"/>
  <c r="H16" i="193"/>
  <c r="J16" i="193" s="1"/>
  <c r="H15" i="193"/>
  <c r="J15" i="193" s="1"/>
  <c r="H14" i="193"/>
  <c r="J14" i="193" s="1"/>
  <c r="K14" i="193" s="1"/>
  <c r="H17" i="191"/>
  <c r="J17" i="191" s="1"/>
  <c r="K17" i="191" s="1"/>
  <c r="H16" i="191"/>
  <c r="J16" i="191" s="1"/>
  <c r="H18" i="191"/>
  <c r="J18" i="191" s="1"/>
  <c r="K18" i="191" s="1"/>
  <c r="K77" i="193" l="1"/>
  <c r="J96" i="193"/>
  <c r="K62" i="193"/>
  <c r="N15" i="193"/>
  <c r="L64" i="193"/>
  <c r="F98" i="193" s="1"/>
  <c r="K65" i="193"/>
  <c r="K67" i="193" s="1"/>
  <c r="J67" i="193"/>
  <c r="L18" i="193"/>
  <c r="L20" i="193" s="1"/>
  <c r="B94" i="193" s="1"/>
  <c r="K98" i="193"/>
  <c r="K15" i="193"/>
  <c r="J98" i="193"/>
  <c r="K13" i="193"/>
  <c r="I98" i="193"/>
  <c r="K75" i="193"/>
  <c r="K80" i="193" s="1"/>
  <c r="I96" i="193"/>
  <c r="K69" i="193"/>
  <c r="J99" i="193"/>
  <c r="I97" i="193"/>
  <c r="K22" i="193"/>
  <c r="J97" i="193"/>
  <c r="J55" i="193"/>
  <c r="K91" i="193"/>
  <c r="J93" i="193"/>
  <c r="K93" i="193" s="1"/>
  <c r="F95" i="193"/>
  <c r="J86" i="193"/>
  <c r="K21" i="193"/>
  <c r="J29" i="193"/>
  <c r="L80" i="193"/>
  <c r="F99" i="193" s="1"/>
  <c r="K30" i="193"/>
  <c r="K52" i="193" s="1"/>
  <c r="J52" i="193"/>
  <c r="K24" i="193"/>
  <c r="K74" i="193"/>
  <c r="J74" i="193"/>
  <c r="L44" i="193"/>
  <c r="K64" i="193"/>
  <c r="J64" i="193"/>
  <c r="B100" i="193"/>
  <c r="K68" i="193"/>
  <c r="K87" i="193"/>
  <c r="K88" i="193" s="1"/>
  <c r="J100" i="193"/>
  <c r="L100" i="193" s="1"/>
  <c r="K84" i="193"/>
  <c r="K86" i="193" s="1"/>
  <c r="K53" i="193"/>
  <c r="K55" i="193" s="1"/>
  <c r="J80" i="193"/>
  <c r="J20" i="193"/>
  <c r="K16" i="193"/>
  <c r="J72" i="193"/>
  <c r="K16" i="191"/>
  <c r="H75" i="191"/>
  <c r="J75" i="191" s="1"/>
  <c r="K75" i="191" s="1"/>
  <c r="H74" i="191"/>
  <c r="J74" i="191" s="1"/>
  <c r="K74" i="191" s="1"/>
  <c r="H33" i="191"/>
  <c r="J33" i="191" s="1"/>
  <c r="L33" i="191" s="1"/>
  <c r="H32" i="191"/>
  <c r="J32" i="191" s="1"/>
  <c r="K32" i="191" s="1"/>
  <c r="H102" i="191"/>
  <c r="K102" i="191"/>
  <c r="H103" i="191"/>
  <c r="K103" i="191"/>
  <c r="J87" i="191"/>
  <c r="K87" i="191" s="1"/>
  <c r="J88" i="191"/>
  <c r="K88" i="191" s="1"/>
  <c r="J89" i="191"/>
  <c r="K89" i="191" s="1"/>
  <c r="J90" i="191"/>
  <c r="K90" i="191" s="1"/>
  <c r="J91" i="191"/>
  <c r="K91" i="191" s="1"/>
  <c r="J92" i="191"/>
  <c r="K92" i="191" s="1"/>
  <c r="J93" i="191"/>
  <c r="K93" i="191" s="1"/>
  <c r="J94" i="191"/>
  <c r="K94" i="191" s="1"/>
  <c r="H70" i="191"/>
  <c r="J70" i="191" s="1"/>
  <c r="K70" i="191" s="1"/>
  <c r="H71" i="191"/>
  <c r="J71" i="191" s="1"/>
  <c r="K71" i="191" s="1"/>
  <c r="H72" i="191"/>
  <c r="J72" i="191" s="1"/>
  <c r="K72" i="191" s="1"/>
  <c r="H61" i="191"/>
  <c r="L60" i="191"/>
  <c r="H60" i="191"/>
  <c r="H49" i="191"/>
  <c r="J49" i="191" s="1"/>
  <c r="L49" i="191" s="1"/>
  <c r="H50" i="191"/>
  <c r="J50" i="191" s="1"/>
  <c r="L50" i="191" s="1"/>
  <c r="H51" i="191"/>
  <c r="J51" i="191" s="1"/>
  <c r="L51" i="191" s="1"/>
  <c r="H47" i="191"/>
  <c r="J47" i="191" s="1"/>
  <c r="K47" i="191" s="1"/>
  <c r="H48" i="191"/>
  <c r="J48" i="191" s="1"/>
  <c r="K48" i="191" s="1"/>
  <c r="H52" i="191"/>
  <c r="J52" i="191" s="1"/>
  <c r="L52" i="191" s="1"/>
  <c r="H53" i="191"/>
  <c r="J53" i="191" s="1"/>
  <c r="L53" i="191" s="1"/>
  <c r="J81" i="191"/>
  <c r="I109" i="191" s="1"/>
  <c r="H78" i="191"/>
  <c r="J78" i="191" s="1"/>
  <c r="I112" i="191" s="1"/>
  <c r="H65" i="191"/>
  <c r="J65" i="191" s="1"/>
  <c r="L65" i="191" s="1"/>
  <c r="L66" i="191" s="1"/>
  <c r="F108" i="191" s="1"/>
  <c r="H59" i="191"/>
  <c r="H56" i="191"/>
  <c r="J56" i="191" s="1"/>
  <c r="H57" i="191"/>
  <c r="J57" i="191" s="1"/>
  <c r="K57" i="191" s="1"/>
  <c r="H42" i="191"/>
  <c r="J42" i="191" s="1"/>
  <c r="K42" i="191" s="1"/>
  <c r="H41" i="191"/>
  <c r="J41" i="191" s="1"/>
  <c r="K41" i="191" s="1"/>
  <c r="H40" i="191"/>
  <c r="J40" i="191" s="1"/>
  <c r="K40" i="191" s="1"/>
  <c r="H39" i="191"/>
  <c r="J39" i="191" s="1"/>
  <c r="K39" i="191" s="1"/>
  <c r="H38" i="191"/>
  <c r="J38" i="191" s="1"/>
  <c r="K38" i="191" s="1"/>
  <c r="H37" i="191"/>
  <c r="J37" i="191" s="1"/>
  <c r="K37" i="191" s="1"/>
  <c r="H36" i="191"/>
  <c r="J36" i="191" s="1"/>
  <c r="K36" i="191" s="1"/>
  <c r="H35" i="191"/>
  <c r="J35" i="191" s="1"/>
  <c r="H24" i="191"/>
  <c r="J24" i="191" s="1"/>
  <c r="K24" i="191" s="1"/>
  <c r="H23" i="191"/>
  <c r="J23" i="191" s="1"/>
  <c r="K23" i="191" s="1"/>
  <c r="H22" i="191"/>
  <c r="J22" i="191" s="1"/>
  <c r="H13" i="191"/>
  <c r="J13" i="191" s="1"/>
  <c r="K13" i="191" s="1"/>
  <c r="H12" i="191"/>
  <c r="J12" i="191" s="1"/>
  <c r="H14" i="191"/>
  <c r="J14" i="191" s="1"/>
  <c r="H15" i="191"/>
  <c r="J15" i="191" s="1"/>
  <c r="K15" i="191" s="1"/>
  <c r="L104" i="191"/>
  <c r="J104" i="191"/>
  <c r="J113" i="191" s="1"/>
  <c r="K101" i="191"/>
  <c r="H101" i="191"/>
  <c r="L100" i="191"/>
  <c r="B113" i="191" s="1"/>
  <c r="I100" i="191"/>
  <c r="H99" i="191"/>
  <c r="J99" i="191" s="1"/>
  <c r="L98" i="191"/>
  <c r="I98" i="191"/>
  <c r="J97" i="191"/>
  <c r="K97" i="191" s="1"/>
  <c r="J96" i="191"/>
  <c r="K96" i="191" s="1"/>
  <c r="J95" i="191"/>
  <c r="K95" i="191" s="1"/>
  <c r="J86" i="191"/>
  <c r="K86" i="191" s="1"/>
  <c r="I85" i="191"/>
  <c r="J84" i="191"/>
  <c r="L84" i="191" s="1"/>
  <c r="J83" i="191"/>
  <c r="L83" i="191" s="1"/>
  <c r="J82" i="191"/>
  <c r="K82" i="191" s="1"/>
  <c r="I80" i="191"/>
  <c r="H79" i="191"/>
  <c r="J79" i="191" s="1"/>
  <c r="K79" i="191" s="1"/>
  <c r="L77" i="191"/>
  <c r="F109" i="191" s="1"/>
  <c r="I77" i="191"/>
  <c r="H76" i="191"/>
  <c r="J76" i="191" s="1"/>
  <c r="K76" i="191" s="1"/>
  <c r="H73" i="191"/>
  <c r="J73" i="191" s="1"/>
  <c r="K73" i="191" s="1"/>
  <c r="H69" i="191"/>
  <c r="J69" i="191" s="1"/>
  <c r="K69" i="191" s="1"/>
  <c r="H68" i="191"/>
  <c r="J68" i="191" s="1"/>
  <c r="K68" i="191" s="1"/>
  <c r="H67" i="191"/>
  <c r="J67" i="191" s="1"/>
  <c r="I66" i="191"/>
  <c r="L64" i="191"/>
  <c r="F111" i="191" s="1"/>
  <c r="I64" i="191"/>
  <c r="H63" i="191"/>
  <c r="J63" i="191" s="1"/>
  <c r="J106" i="191" s="1"/>
  <c r="K106" i="191" s="1"/>
  <c r="J62" i="191"/>
  <c r="I62" i="191"/>
  <c r="L61" i="191"/>
  <c r="K59" i="191"/>
  <c r="L58" i="191"/>
  <c r="I58" i="191"/>
  <c r="I55" i="191"/>
  <c r="H54" i="191"/>
  <c r="J54" i="191" s="1"/>
  <c r="L54" i="191" s="1"/>
  <c r="H46" i="191"/>
  <c r="J46" i="191" s="1"/>
  <c r="K46" i="191" s="1"/>
  <c r="H45" i="191"/>
  <c r="J45" i="191" s="1"/>
  <c r="K45" i="191" s="1"/>
  <c r="H44" i="191"/>
  <c r="J44" i="191" s="1"/>
  <c r="K44" i="191" s="1"/>
  <c r="H43" i="191"/>
  <c r="J43" i="191" s="1"/>
  <c r="K43" i="191" s="1"/>
  <c r="I34" i="191"/>
  <c r="H31" i="191"/>
  <c r="J31" i="191" s="1"/>
  <c r="K31" i="191" s="1"/>
  <c r="H30" i="191"/>
  <c r="J30" i="191" s="1"/>
  <c r="K30" i="191" s="1"/>
  <c r="H29" i="191"/>
  <c r="J29" i="191" s="1"/>
  <c r="K29" i="191" s="1"/>
  <c r="H28" i="191"/>
  <c r="J28" i="191" s="1"/>
  <c r="K28" i="191" s="1"/>
  <c r="H27" i="191"/>
  <c r="J27" i="191" s="1"/>
  <c r="K27" i="191" s="1"/>
  <c r="H26" i="191"/>
  <c r="J26" i="191" s="1"/>
  <c r="K26" i="191" s="1"/>
  <c r="H25" i="191"/>
  <c r="J25" i="191" s="1"/>
  <c r="I21" i="191"/>
  <c r="H20" i="191"/>
  <c r="J20" i="191" s="1"/>
  <c r="L20" i="191" s="1"/>
  <c r="H19" i="191"/>
  <c r="J19" i="191" s="1"/>
  <c r="L19" i="191" s="1"/>
  <c r="H13" i="190"/>
  <c r="J13" i="190" s="1"/>
  <c r="K13" i="190" s="1"/>
  <c r="H17" i="190"/>
  <c r="J17" i="190" s="1"/>
  <c r="K17" i="190" s="1"/>
  <c r="H15" i="190"/>
  <c r="J15" i="190" s="1"/>
  <c r="K15" i="190" s="1"/>
  <c r="H19" i="190"/>
  <c r="H18" i="190"/>
  <c r="J18" i="190" s="1"/>
  <c r="L18" i="190" s="1"/>
  <c r="J98" i="190"/>
  <c r="J107" i="190" s="1"/>
  <c r="K100" i="190"/>
  <c r="H61" i="190"/>
  <c r="L96" i="193" l="1"/>
  <c r="L52" i="193"/>
  <c r="B96" i="193" s="1"/>
  <c r="F101" i="193" s="1"/>
  <c r="K97" i="193"/>
  <c r="K101" i="193" s="1"/>
  <c r="K20" i="193"/>
  <c r="K72" i="193"/>
  <c r="K29" i="193"/>
  <c r="L97" i="193"/>
  <c r="J101" i="193"/>
  <c r="L98" i="193"/>
  <c r="J94" i="193"/>
  <c r="J92" i="193" s="1"/>
  <c r="I101" i="193"/>
  <c r="L99" i="193"/>
  <c r="K14" i="191"/>
  <c r="J111" i="191"/>
  <c r="K12" i="191"/>
  <c r="I111" i="191"/>
  <c r="J21" i="191"/>
  <c r="I110" i="191"/>
  <c r="J110" i="191"/>
  <c r="K111" i="191"/>
  <c r="K110" i="191"/>
  <c r="K109" i="191"/>
  <c r="J109" i="191"/>
  <c r="L85" i="191"/>
  <c r="F112" i="191" s="1"/>
  <c r="L62" i="191"/>
  <c r="B112" i="191" s="1"/>
  <c r="L21" i="191"/>
  <c r="B107" i="191" s="1"/>
  <c r="K104" i="191"/>
  <c r="K62" i="191"/>
  <c r="J98" i="191"/>
  <c r="J66" i="191"/>
  <c r="K66" i="191"/>
  <c r="L34" i="191"/>
  <c r="J85" i="191"/>
  <c r="K81" i="191"/>
  <c r="J80" i="191"/>
  <c r="K78" i="191"/>
  <c r="K80" i="191" s="1"/>
  <c r="J64" i="191"/>
  <c r="J112" i="191" s="1"/>
  <c r="K63" i="191"/>
  <c r="K64" i="191" s="1"/>
  <c r="L80" i="191"/>
  <c r="F110" i="191" s="1"/>
  <c r="L55" i="191"/>
  <c r="B109" i="191" s="1"/>
  <c r="J34" i="191"/>
  <c r="K22" i="191"/>
  <c r="K35" i="191"/>
  <c r="K55" i="191" s="1"/>
  <c r="J55" i="191"/>
  <c r="J100" i="191"/>
  <c r="K99" i="191"/>
  <c r="K100" i="191" s="1"/>
  <c r="J58" i="191"/>
  <c r="K56" i="191"/>
  <c r="K58" i="191" s="1"/>
  <c r="J77" i="191"/>
  <c r="K67" i="191"/>
  <c r="K77" i="191" s="1"/>
  <c r="K98" i="191"/>
  <c r="L113" i="191"/>
  <c r="K25" i="191"/>
  <c r="H41" i="190"/>
  <c r="J41" i="190" s="1"/>
  <c r="K41" i="190" s="1"/>
  <c r="J90" i="190"/>
  <c r="K90" i="190" s="1"/>
  <c r="J89" i="190"/>
  <c r="K89" i="190" s="1"/>
  <c r="H77" i="190"/>
  <c r="J77" i="190" s="1"/>
  <c r="K77" i="190" s="1"/>
  <c r="H78" i="190"/>
  <c r="J78" i="190" s="1"/>
  <c r="K78" i="190" s="1"/>
  <c r="H79" i="190"/>
  <c r="J79" i="190" s="1"/>
  <c r="K79" i="190" s="1"/>
  <c r="L94" i="193" l="1"/>
  <c r="L92" i="193" s="1"/>
  <c r="L101" i="193"/>
  <c r="L102" i="193" s="1"/>
  <c r="L104" i="193" s="1"/>
  <c r="N100" i="193"/>
  <c r="K94" i="193"/>
  <c r="K21" i="191"/>
  <c r="J107" i="191"/>
  <c r="J105" i="191" s="1"/>
  <c r="J114" i="191"/>
  <c r="L112" i="191"/>
  <c r="I114" i="191"/>
  <c r="K114" i="191"/>
  <c r="L109" i="191"/>
  <c r="K34" i="191"/>
  <c r="L110" i="191"/>
  <c r="B108" i="191"/>
  <c r="F114" i="191" s="1"/>
  <c r="K85" i="191"/>
  <c r="L111" i="191"/>
  <c r="L107" i="191"/>
  <c r="L105" i="191" s="1"/>
  <c r="H72" i="190"/>
  <c r="J72" i="190" s="1"/>
  <c r="K72" i="190" s="1"/>
  <c r="H73" i="190"/>
  <c r="J73" i="190" s="1"/>
  <c r="K73" i="190" s="1"/>
  <c r="H74" i="190"/>
  <c r="J74" i="190" s="1"/>
  <c r="K74" i="190" s="1"/>
  <c r="I39" i="190"/>
  <c r="H38" i="190"/>
  <c r="J38" i="190" s="1"/>
  <c r="L38" i="190" s="1"/>
  <c r="H37" i="190"/>
  <c r="J37" i="190" s="1"/>
  <c r="L37" i="190" s="1"/>
  <c r="H36" i="190"/>
  <c r="J36" i="190" s="1"/>
  <c r="L36" i="190" s="1"/>
  <c r="H34" i="190"/>
  <c r="J34" i="190" s="1"/>
  <c r="K34" i="190" s="1"/>
  <c r="H35" i="190"/>
  <c r="J35" i="190" s="1"/>
  <c r="K35" i="190" s="1"/>
  <c r="I20" i="190"/>
  <c r="H16" i="190"/>
  <c r="J16" i="190" s="1"/>
  <c r="K16" i="190" s="1"/>
  <c r="H12" i="190"/>
  <c r="J12" i="190" s="1"/>
  <c r="I105" i="190" s="1"/>
  <c r="H25" i="190"/>
  <c r="J25" i="190" s="1"/>
  <c r="K25" i="190" s="1"/>
  <c r="H24" i="190"/>
  <c r="J24" i="190" s="1"/>
  <c r="K24" i="190" s="1"/>
  <c r="H23" i="190"/>
  <c r="J23" i="190" s="1"/>
  <c r="K23" i="190" s="1"/>
  <c r="H22" i="190"/>
  <c r="J22" i="190" s="1"/>
  <c r="K22" i="190" s="1"/>
  <c r="H21" i="190"/>
  <c r="J21" i="190" s="1"/>
  <c r="H42" i="190"/>
  <c r="J42" i="190" s="1"/>
  <c r="K42" i="190" s="1"/>
  <c r="H40" i="190"/>
  <c r="J40" i="190" s="1"/>
  <c r="K40" i="190" s="1"/>
  <c r="K61" i="190"/>
  <c r="K60" i="190"/>
  <c r="H60" i="190"/>
  <c r="H76" i="190"/>
  <c r="J76" i="190" s="1"/>
  <c r="J85" i="190"/>
  <c r="L85" i="190" s="1"/>
  <c r="J82" i="190"/>
  <c r="L98" i="190"/>
  <c r="L107" i="190"/>
  <c r="K97" i="190"/>
  <c r="H97" i="190"/>
  <c r="K96" i="190"/>
  <c r="H96" i="190"/>
  <c r="L95" i="190"/>
  <c r="B107" i="190" s="1"/>
  <c r="I95" i="190"/>
  <c r="H94" i="190"/>
  <c r="J94" i="190" s="1"/>
  <c r="J95" i="190" s="1"/>
  <c r="L93" i="190"/>
  <c r="I93" i="190"/>
  <c r="J92" i="190"/>
  <c r="K92" i="190" s="1"/>
  <c r="J91" i="190"/>
  <c r="K91" i="190" s="1"/>
  <c r="J88" i="190"/>
  <c r="K88" i="190" s="1"/>
  <c r="J87" i="190"/>
  <c r="I86" i="190"/>
  <c r="J84" i="190"/>
  <c r="K84" i="190" s="1"/>
  <c r="J83" i="190"/>
  <c r="K83" i="190" s="1"/>
  <c r="I81" i="190"/>
  <c r="H80" i="190"/>
  <c r="J80" i="190" s="1"/>
  <c r="L75" i="190"/>
  <c r="F103" i="190" s="1"/>
  <c r="I75" i="190"/>
  <c r="H71" i="190"/>
  <c r="J71" i="190" s="1"/>
  <c r="K71" i="190" s="1"/>
  <c r="H70" i="190"/>
  <c r="J70" i="190" s="1"/>
  <c r="K70" i="190" s="1"/>
  <c r="H69" i="190"/>
  <c r="J69" i="190" s="1"/>
  <c r="L68" i="190"/>
  <c r="F102" i="190" s="1"/>
  <c r="I68" i="190"/>
  <c r="H67" i="190"/>
  <c r="J67" i="190" s="1"/>
  <c r="K67" i="190" s="1"/>
  <c r="L66" i="190"/>
  <c r="F105" i="190" s="1"/>
  <c r="I66" i="190"/>
  <c r="H65" i="190"/>
  <c r="J64" i="190"/>
  <c r="I64" i="190"/>
  <c r="L63" i="190"/>
  <c r="H63" i="190"/>
  <c r="K62" i="190"/>
  <c r="H62" i="190"/>
  <c r="L59" i="190"/>
  <c r="I59" i="190"/>
  <c r="H58" i="190"/>
  <c r="J58" i="190" s="1"/>
  <c r="K58" i="190" s="1"/>
  <c r="H57" i="190"/>
  <c r="J57" i="190" s="1"/>
  <c r="K57" i="190" s="1"/>
  <c r="I56" i="190"/>
  <c r="H55" i="190"/>
  <c r="J55" i="190" s="1"/>
  <c r="L55" i="190" s="1"/>
  <c r="H54" i="190"/>
  <c r="J54" i="190" s="1"/>
  <c r="L54" i="190" s="1"/>
  <c r="H53" i="190"/>
  <c r="J53" i="190" s="1"/>
  <c r="L53" i="190" s="1"/>
  <c r="H52" i="190"/>
  <c r="J52" i="190" s="1"/>
  <c r="L52" i="190" s="1"/>
  <c r="H51" i="190"/>
  <c r="J51" i="190" s="1"/>
  <c r="L51" i="190" s="1"/>
  <c r="H50" i="190"/>
  <c r="J50" i="190" s="1"/>
  <c r="L50" i="190" s="1"/>
  <c r="H49" i="190"/>
  <c r="J49" i="190" s="1"/>
  <c r="L49" i="190" s="1"/>
  <c r="H48" i="190"/>
  <c r="J48" i="190" s="1"/>
  <c r="L48" i="190" s="1"/>
  <c r="H47" i="190"/>
  <c r="J47" i="190" s="1"/>
  <c r="K47" i="190" s="1"/>
  <c r="H46" i="190"/>
  <c r="J46" i="190" s="1"/>
  <c r="K46" i="190" s="1"/>
  <c r="H45" i="190"/>
  <c r="J45" i="190" s="1"/>
  <c r="K45" i="190" s="1"/>
  <c r="H44" i="190"/>
  <c r="J44" i="190" s="1"/>
  <c r="K44" i="190" s="1"/>
  <c r="H43" i="190"/>
  <c r="J43" i="190" s="1"/>
  <c r="K43" i="190" s="1"/>
  <c r="H33" i="190"/>
  <c r="J33" i="190" s="1"/>
  <c r="K33" i="190" s="1"/>
  <c r="H32" i="190"/>
  <c r="J32" i="190" s="1"/>
  <c r="K32" i="190" s="1"/>
  <c r="H31" i="190"/>
  <c r="J31" i="190" s="1"/>
  <c r="K31" i="190" s="1"/>
  <c r="H30" i="190"/>
  <c r="J30" i="190" s="1"/>
  <c r="K30" i="190" s="1"/>
  <c r="H29" i="190"/>
  <c r="J29" i="190" s="1"/>
  <c r="K29" i="190" s="1"/>
  <c r="H28" i="190"/>
  <c r="J28" i="190" s="1"/>
  <c r="K28" i="190" s="1"/>
  <c r="H27" i="190"/>
  <c r="J27" i="190" s="1"/>
  <c r="K27" i="190" s="1"/>
  <c r="H26" i="190"/>
  <c r="J26" i="190" s="1"/>
  <c r="J19" i="190"/>
  <c r="H14" i="190"/>
  <c r="J14" i="190" s="1"/>
  <c r="J85" i="189"/>
  <c r="L66" i="189"/>
  <c r="L108" i="189"/>
  <c r="H103" i="189"/>
  <c r="K103" i="189"/>
  <c r="H104" i="189"/>
  <c r="K104" i="189"/>
  <c r="H105" i="189"/>
  <c r="K105" i="189"/>
  <c r="N94" i="193" l="1"/>
  <c r="N101" i="193"/>
  <c r="K92" i="193"/>
  <c r="K107" i="191"/>
  <c r="K105" i="191" s="1"/>
  <c r="M113" i="191"/>
  <c r="I104" i="190"/>
  <c r="J104" i="190"/>
  <c r="J105" i="190"/>
  <c r="K76" i="190"/>
  <c r="K81" i="190" s="1"/>
  <c r="J81" i="190"/>
  <c r="L80" i="190"/>
  <c r="L81" i="190" s="1"/>
  <c r="F104" i="190" s="1"/>
  <c r="K106" i="190"/>
  <c r="J65" i="190"/>
  <c r="J66" i="190" s="1"/>
  <c r="K21" i="190"/>
  <c r="K14" i="190"/>
  <c r="K26" i="190"/>
  <c r="K87" i="190"/>
  <c r="J103" i="190" s="1"/>
  <c r="J93" i="190"/>
  <c r="K69" i="190"/>
  <c r="K75" i="190" s="1"/>
  <c r="J106" i="190"/>
  <c r="K82" i="190"/>
  <c r="I103" i="190" s="1"/>
  <c r="J86" i="190"/>
  <c r="K12" i="190"/>
  <c r="L39" i="190"/>
  <c r="J39" i="190"/>
  <c r="J20" i="190"/>
  <c r="L56" i="190"/>
  <c r="B103" i="190" s="1"/>
  <c r="L64" i="190"/>
  <c r="B106" i="190" s="1"/>
  <c r="K98" i="190"/>
  <c r="K64" i="190"/>
  <c r="L86" i="190"/>
  <c r="K59" i="190"/>
  <c r="J68" i="190"/>
  <c r="K94" i="190"/>
  <c r="K95" i="190" s="1"/>
  <c r="J56" i="190"/>
  <c r="J59" i="190"/>
  <c r="J75" i="190"/>
  <c r="K56" i="190"/>
  <c r="K68" i="190"/>
  <c r="L19" i="190"/>
  <c r="L20" i="190" s="1"/>
  <c r="K85" i="189"/>
  <c r="I108" i="190" l="1"/>
  <c r="M107" i="191"/>
  <c r="K39" i="190"/>
  <c r="L114" i="191"/>
  <c r="L115" i="191" s="1"/>
  <c r="L117" i="191" s="1"/>
  <c r="M114" i="191"/>
  <c r="J108" i="190"/>
  <c r="K104" i="190"/>
  <c r="K86" i="190"/>
  <c r="J101" i="190"/>
  <c r="J99" i="190" s="1"/>
  <c r="K93" i="190"/>
  <c r="L105" i="190"/>
  <c r="K20" i="190"/>
  <c r="K65" i="190"/>
  <c r="K66" i="190" s="1"/>
  <c r="B102" i="190"/>
  <c r="K105" i="190"/>
  <c r="B101" i="190"/>
  <c r="L101" i="190"/>
  <c r="L99" i="190" s="1"/>
  <c r="K103" i="190"/>
  <c r="F106" i="190"/>
  <c r="L106" i="190"/>
  <c r="L103" i="190"/>
  <c r="L108" i="190" l="1"/>
  <c r="L109" i="190" s="1"/>
  <c r="F108" i="190"/>
  <c r="K108" i="190"/>
  <c r="L104" i="190"/>
  <c r="I71" i="189"/>
  <c r="H70" i="189"/>
  <c r="J70" i="189" s="1"/>
  <c r="K70" i="189" s="1"/>
  <c r="I100" i="189"/>
  <c r="L98" i="189"/>
  <c r="I98" i="189"/>
  <c r="J95" i="189"/>
  <c r="K95" i="189" s="1"/>
  <c r="J96" i="189"/>
  <c r="K96" i="189" s="1"/>
  <c r="J97" i="189"/>
  <c r="K97" i="189" s="1"/>
  <c r="I93" i="189"/>
  <c r="H79" i="189"/>
  <c r="J79" i="189" s="1"/>
  <c r="K79" i="189" s="1"/>
  <c r="H80" i="189"/>
  <c r="J80" i="189" s="1"/>
  <c r="K80" i="189" s="1"/>
  <c r="H74" i="189"/>
  <c r="J74" i="189" s="1"/>
  <c r="L75" i="189"/>
  <c r="I75" i="189"/>
  <c r="L71" i="189"/>
  <c r="H64" i="189"/>
  <c r="K64" i="189"/>
  <c r="H62" i="189"/>
  <c r="K62" i="189"/>
  <c r="H63" i="189"/>
  <c r="K63" i="189"/>
  <c r="H65" i="189"/>
  <c r="K65" i="189"/>
  <c r="H66" i="189"/>
  <c r="M107" i="190" l="1"/>
  <c r="K101" i="190"/>
  <c r="K99" i="190" s="1"/>
  <c r="L111" i="190"/>
  <c r="K74" i="189"/>
  <c r="H29" i="189"/>
  <c r="J29" i="189" s="1"/>
  <c r="L29" i="189" s="1"/>
  <c r="H30" i="189"/>
  <c r="J30" i="189" s="1"/>
  <c r="L30" i="189" s="1"/>
  <c r="H31" i="189"/>
  <c r="J31" i="189" s="1"/>
  <c r="L31" i="189" s="1"/>
  <c r="H28" i="189"/>
  <c r="J28" i="189" s="1"/>
  <c r="L28" i="189" s="1"/>
  <c r="H27" i="189"/>
  <c r="J27" i="189" s="1"/>
  <c r="L27" i="189" s="1"/>
  <c r="M101" i="190" l="1"/>
  <c r="M108" i="190"/>
  <c r="L32" i="189"/>
  <c r="B112" i="189" s="1"/>
  <c r="H24" i="189"/>
  <c r="J24" i="189" s="1"/>
  <c r="K24" i="189" s="1"/>
  <c r="H25" i="189"/>
  <c r="J25" i="189" s="1"/>
  <c r="K25" i="189" s="1"/>
  <c r="H26" i="189"/>
  <c r="J26" i="189" s="1"/>
  <c r="K26" i="189" s="1"/>
  <c r="H33" i="189" l="1"/>
  <c r="J33" i="189" s="1"/>
  <c r="H34" i="189"/>
  <c r="J34" i="189" s="1"/>
  <c r="K34" i="189" s="1"/>
  <c r="H35" i="189"/>
  <c r="J35" i="189" s="1"/>
  <c r="K35" i="189" s="1"/>
  <c r="H36" i="189"/>
  <c r="J36" i="189" s="1"/>
  <c r="K36" i="189" s="1"/>
  <c r="H37" i="189"/>
  <c r="J37" i="189" s="1"/>
  <c r="K37" i="189" s="1"/>
  <c r="H38" i="189"/>
  <c r="J38" i="189" s="1"/>
  <c r="K38" i="189" s="1"/>
  <c r="H39" i="189"/>
  <c r="J39" i="189" s="1"/>
  <c r="K39" i="189" s="1"/>
  <c r="H40" i="189"/>
  <c r="J40" i="189" s="1"/>
  <c r="K40" i="189" s="1"/>
  <c r="H41" i="189"/>
  <c r="J41" i="189" s="1"/>
  <c r="K41" i="189" s="1"/>
  <c r="H42" i="189"/>
  <c r="J42" i="189" s="1"/>
  <c r="K42" i="189" s="1"/>
  <c r="H43" i="189"/>
  <c r="J43" i="189" s="1"/>
  <c r="K43" i="189" s="1"/>
  <c r="H44" i="189"/>
  <c r="J44" i="189" s="1"/>
  <c r="K44" i="189" s="1"/>
  <c r="H45" i="189"/>
  <c r="J45" i="189" s="1"/>
  <c r="K45" i="189" s="1"/>
  <c r="H46" i="189"/>
  <c r="J46" i="189" s="1"/>
  <c r="K46" i="189" s="1"/>
  <c r="H47" i="189"/>
  <c r="J47" i="189" s="1"/>
  <c r="K47" i="189" s="1"/>
  <c r="H48" i="189"/>
  <c r="J48" i="189" s="1"/>
  <c r="K48" i="189" s="1"/>
  <c r="H49" i="189"/>
  <c r="J49" i="189" s="1"/>
  <c r="K49" i="189" s="1"/>
  <c r="H50" i="189"/>
  <c r="J50" i="189" s="1"/>
  <c r="K50" i="189" s="1"/>
  <c r="H51" i="189"/>
  <c r="J51" i="189" s="1"/>
  <c r="K51" i="189" s="1"/>
  <c r="H52" i="189"/>
  <c r="J52" i="189" s="1"/>
  <c r="K52" i="189" s="1"/>
  <c r="H53" i="189"/>
  <c r="J53" i="189" s="1"/>
  <c r="K53" i="189" s="1"/>
  <c r="H54" i="189"/>
  <c r="J54" i="189" s="1"/>
  <c r="K54" i="189" s="1"/>
  <c r="K107" i="189"/>
  <c r="H107" i="189"/>
  <c r="H106" i="189"/>
  <c r="H102" i="189"/>
  <c r="K101" i="189"/>
  <c r="H101" i="189"/>
  <c r="L100" i="189"/>
  <c r="B117" i="189" s="1"/>
  <c r="H99" i="189"/>
  <c r="J99" i="189" s="1"/>
  <c r="J100" i="189" s="1"/>
  <c r="J94" i="189"/>
  <c r="J92" i="189"/>
  <c r="L92" i="189" s="1"/>
  <c r="L93" i="189" s="1"/>
  <c r="K113" i="189" s="1"/>
  <c r="J91" i="189"/>
  <c r="K91" i="189" s="1"/>
  <c r="J90" i="189"/>
  <c r="K90" i="189" s="1"/>
  <c r="J89" i="189"/>
  <c r="K89" i="189" s="1"/>
  <c r="J88" i="189"/>
  <c r="I87" i="189"/>
  <c r="H86" i="189"/>
  <c r="J86" i="189" s="1"/>
  <c r="L86" i="189" s="1"/>
  <c r="K116" i="189" s="1"/>
  <c r="H84" i="189"/>
  <c r="J84" i="189" s="1"/>
  <c r="K84" i="189" s="1"/>
  <c r="H83" i="189"/>
  <c r="J83" i="189" s="1"/>
  <c r="L82" i="189"/>
  <c r="F113" i="189" s="1"/>
  <c r="I82" i="189"/>
  <c r="H81" i="189"/>
  <c r="J81" i="189" s="1"/>
  <c r="K81" i="189" s="1"/>
  <c r="H78" i="189"/>
  <c r="J78" i="189" s="1"/>
  <c r="K78" i="189" s="1"/>
  <c r="H77" i="189"/>
  <c r="J77" i="189" s="1"/>
  <c r="K77" i="189" s="1"/>
  <c r="H76" i="189"/>
  <c r="J76" i="189" s="1"/>
  <c r="H73" i="189"/>
  <c r="J73" i="189" s="1"/>
  <c r="K73" i="189" s="1"/>
  <c r="H72" i="189"/>
  <c r="J72" i="189" s="1"/>
  <c r="H69" i="189"/>
  <c r="J69" i="189" s="1"/>
  <c r="J71" i="189" s="1"/>
  <c r="J68" i="189"/>
  <c r="I68" i="189"/>
  <c r="L67" i="189"/>
  <c r="H67" i="189"/>
  <c r="K61" i="189"/>
  <c r="K68" i="189" s="1"/>
  <c r="H61" i="189"/>
  <c r="L60" i="189"/>
  <c r="I60" i="189"/>
  <c r="H59" i="189"/>
  <c r="J59" i="189" s="1"/>
  <c r="K59" i="189" s="1"/>
  <c r="H58" i="189"/>
  <c r="J58" i="189" s="1"/>
  <c r="H57" i="189"/>
  <c r="J57" i="189" s="1"/>
  <c r="K57" i="189" s="1"/>
  <c r="I56" i="189"/>
  <c r="H55" i="189"/>
  <c r="J55" i="189" s="1"/>
  <c r="L55" i="189" s="1"/>
  <c r="I32" i="189"/>
  <c r="H23" i="189"/>
  <c r="J23" i="189" s="1"/>
  <c r="K23" i="189" s="1"/>
  <c r="H22" i="189"/>
  <c r="J22" i="189" s="1"/>
  <c r="K22" i="189" s="1"/>
  <c r="H21" i="189"/>
  <c r="J21" i="189" s="1"/>
  <c r="K21" i="189" s="1"/>
  <c r="H20" i="189"/>
  <c r="J20" i="189" s="1"/>
  <c r="K20" i="189" s="1"/>
  <c r="H19" i="189"/>
  <c r="J19" i="189" s="1"/>
  <c r="K19" i="189" s="1"/>
  <c r="H18" i="189"/>
  <c r="J18" i="189" s="1"/>
  <c r="H17" i="189"/>
  <c r="J17" i="189" s="1"/>
  <c r="K17" i="189" s="1"/>
  <c r="H16" i="189"/>
  <c r="J16" i="189" s="1"/>
  <c r="I15" i="189"/>
  <c r="H14" i="189"/>
  <c r="J14" i="189" s="1"/>
  <c r="L14" i="189" s="1"/>
  <c r="L15" i="189" s="1"/>
  <c r="H13" i="189"/>
  <c r="J13" i="189" s="1"/>
  <c r="H12" i="189"/>
  <c r="J12" i="189" s="1"/>
  <c r="K12" i="189" s="1"/>
  <c r="I115" i="189" s="1"/>
  <c r="K53" i="188"/>
  <c r="N104" i="188"/>
  <c r="J87" i="188"/>
  <c r="K87" i="188" s="1"/>
  <c r="J67" i="188"/>
  <c r="K114" i="189" l="1"/>
  <c r="J87" i="189"/>
  <c r="B111" i="189"/>
  <c r="K115" i="189"/>
  <c r="L87" i="189"/>
  <c r="F114" i="189" s="1"/>
  <c r="F116" i="189"/>
  <c r="K94" i="189"/>
  <c r="K98" i="189" s="1"/>
  <c r="J98" i="189"/>
  <c r="J93" i="189"/>
  <c r="K72" i="189"/>
  <c r="K75" i="189" s="1"/>
  <c r="J75" i="189"/>
  <c r="K69" i="189"/>
  <c r="J110" i="189"/>
  <c r="K110" i="189" s="1"/>
  <c r="K102" i="189"/>
  <c r="L68" i="189"/>
  <c r="B116" i="189" s="1"/>
  <c r="J108" i="189"/>
  <c r="J117" i="189" s="1"/>
  <c r="L117" i="189" s="1"/>
  <c r="K88" i="189"/>
  <c r="J15" i="189"/>
  <c r="K83" i="189"/>
  <c r="K87" i="189" s="1"/>
  <c r="K76" i="189"/>
  <c r="J82" i="189"/>
  <c r="K58" i="189"/>
  <c r="K60" i="189" s="1"/>
  <c r="J60" i="189"/>
  <c r="L56" i="189"/>
  <c r="B113" i="189" s="1"/>
  <c r="K33" i="189"/>
  <c r="K56" i="189" s="1"/>
  <c r="J56" i="189"/>
  <c r="K99" i="189"/>
  <c r="K100" i="189" s="1"/>
  <c r="K16" i="189"/>
  <c r="J32" i="189"/>
  <c r="K13" i="189"/>
  <c r="K18" i="189"/>
  <c r="F112" i="189"/>
  <c r="K106" i="189"/>
  <c r="J97" i="188"/>
  <c r="J96" i="188"/>
  <c r="J95" i="188"/>
  <c r="H97" i="185"/>
  <c r="K97" i="185"/>
  <c r="H98" i="185"/>
  <c r="K98" i="185"/>
  <c r="H99" i="185"/>
  <c r="K99" i="185"/>
  <c r="H100" i="185"/>
  <c r="K100" i="185"/>
  <c r="H101" i="185"/>
  <c r="K101" i="185"/>
  <c r="L88" i="188"/>
  <c r="J90" i="188"/>
  <c r="K90" i="188" s="1"/>
  <c r="I63" i="188"/>
  <c r="J116" i="189" l="1"/>
  <c r="K82" i="189"/>
  <c r="I114" i="189"/>
  <c r="K93" i="189"/>
  <c r="I113" i="189"/>
  <c r="J114" i="189"/>
  <c r="K15" i="189"/>
  <c r="J115" i="189"/>
  <c r="L115" i="189" s="1"/>
  <c r="I116" i="189"/>
  <c r="K71" i="189"/>
  <c r="J113" i="189"/>
  <c r="L111" i="189"/>
  <c r="L109" i="189" s="1"/>
  <c r="K108" i="189"/>
  <c r="J111" i="189"/>
  <c r="F115" i="189"/>
  <c r="F118" i="189" s="1"/>
  <c r="K32" i="189"/>
  <c r="J100" i="188"/>
  <c r="K100" i="188" s="1"/>
  <c r="H71" i="188"/>
  <c r="J71" i="188" s="1"/>
  <c r="L71" i="188" s="1"/>
  <c r="L72" i="188" s="1"/>
  <c r="F102" i="188" s="1"/>
  <c r="L66" i="188"/>
  <c r="L65" i="188"/>
  <c r="H66" i="188"/>
  <c r="H65" i="188"/>
  <c r="H68" i="188"/>
  <c r="J68" i="188" s="1"/>
  <c r="H62" i="188"/>
  <c r="J62" i="188" s="1"/>
  <c r="K62" i="188" s="1"/>
  <c r="I59" i="188"/>
  <c r="H54" i="188"/>
  <c r="J54" i="188" s="1"/>
  <c r="L54" i="188" s="1"/>
  <c r="H38" i="188"/>
  <c r="J38" i="188" s="1"/>
  <c r="K38" i="188" s="1"/>
  <c r="H58" i="188"/>
  <c r="J58" i="188" s="1"/>
  <c r="L58" i="188" s="1"/>
  <c r="H57" i="188"/>
  <c r="J57" i="188" s="1"/>
  <c r="L57" i="188" s="1"/>
  <c r="H56" i="188"/>
  <c r="J56" i="188" s="1"/>
  <c r="L56" i="188" s="1"/>
  <c r="H55" i="188"/>
  <c r="J55" i="188" s="1"/>
  <c r="L55" i="188" s="1"/>
  <c r="H52" i="188"/>
  <c r="J52" i="188" s="1"/>
  <c r="K52" i="188" s="1"/>
  <c r="H51" i="188"/>
  <c r="J51" i="188" s="1"/>
  <c r="K51" i="188" s="1"/>
  <c r="H50" i="188"/>
  <c r="J50" i="188" s="1"/>
  <c r="K50" i="188" s="1"/>
  <c r="H49" i="188"/>
  <c r="J49" i="188" s="1"/>
  <c r="K49" i="188" s="1"/>
  <c r="H48" i="188"/>
  <c r="J48" i="188" s="1"/>
  <c r="K48" i="188" s="1"/>
  <c r="H47" i="188"/>
  <c r="J47" i="188" s="1"/>
  <c r="K47" i="188" s="1"/>
  <c r="H46" i="188"/>
  <c r="J46" i="188" s="1"/>
  <c r="K46" i="188" s="1"/>
  <c r="H45" i="188"/>
  <c r="J45" i="188" s="1"/>
  <c r="K45" i="188" s="1"/>
  <c r="H44" i="188"/>
  <c r="J44" i="188" s="1"/>
  <c r="K44" i="188" s="1"/>
  <c r="H43" i="188"/>
  <c r="J43" i="188" s="1"/>
  <c r="K43" i="188" s="1"/>
  <c r="H37" i="188"/>
  <c r="J37" i="188" s="1"/>
  <c r="K37" i="188" s="1"/>
  <c r="H15" i="188"/>
  <c r="J15" i="188" s="1"/>
  <c r="L15" i="188" s="1"/>
  <c r="J83" i="188"/>
  <c r="H79" i="188"/>
  <c r="J79" i="188" s="1"/>
  <c r="H64" i="188"/>
  <c r="K64" i="188" s="1"/>
  <c r="K67" i="188" s="1"/>
  <c r="H60" i="188"/>
  <c r="J60" i="188" s="1"/>
  <c r="H36" i="188"/>
  <c r="J36" i="188" s="1"/>
  <c r="K36" i="188" s="1"/>
  <c r="H35" i="188"/>
  <c r="J35" i="188" s="1"/>
  <c r="K35" i="188" s="1"/>
  <c r="H33" i="188"/>
  <c r="J33" i="188" s="1"/>
  <c r="K33" i="188" s="1"/>
  <c r="H31" i="188"/>
  <c r="J31" i="188" s="1"/>
  <c r="H18" i="188"/>
  <c r="J18" i="188" s="1"/>
  <c r="K18" i="188" s="1"/>
  <c r="H17" i="188"/>
  <c r="J17" i="188" s="1"/>
  <c r="H12" i="188"/>
  <c r="J12" i="188" s="1"/>
  <c r="L98" i="188"/>
  <c r="J98" i="188"/>
  <c r="K97" i="188"/>
  <c r="H97" i="188"/>
  <c r="K96" i="188"/>
  <c r="H96" i="188"/>
  <c r="K95" i="188"/>
  <c r="H95" i="188"/>
  <c r="K94" i="188"/>
  <c r="H94" i="188"/>
  <c r="I93" i="188"/>
  <c r="H92" i="188"/>
  <c r="J92" i="188" s="1"/>
  <c r="L91" i="188"/>
  <c r="I91" i="188"/>
  <c r="J89" i="188"/>
  <c r="J91" i="188" s="1"/>
  <c r="I88" i="188"/>
  <c r="J86" i="188"/>
  <c r="K86" i="188" s="1"/>
  <c r="J85" i="188"/>
  <c r="K85" i="188" s="1"/>
  <c r="J84" i="188"/>
  <c r="I82" i="188"/>
  <c r="H81" i="188"/>
  <c r="J81" i="188" s="1"/>
  <c r="K81" i="188" s="1"/>
  <c r="H80" i="188"/>
  <c r="J80" i="188" s="1"/>
  <c r="K80" i="188" s="1"/>
  <c r="L78" i="188"/>
  <c r="F103" i="188" s="1"/>
  <c r="I78" i="188"/>
  <c r="H77" i="188"/>
  <c r="J77" i="188" s="1"/>
  <c r="K77" i="188" s="1"/>
  <c r="H76" i="188"/>
  <c r="J76" i="188" s="1"/>
  <c r="K76" i="188" s="1"/>
  <c r="H75" i="188"/>
  <c r="J75" i="188" s="1"/>
  <c r="K75" i="188" s="1"/>
  <c r="H74" i="188"/>
  <c r="J74" i="188" s="1"/>
  <c r="K74" i="188" s="1"/>
  <c r="H73" i="188"/>
  <c r="J73" i="188" s="1"/>
  <c r="I72" i="188"/>
  <c r="H70" i="188"/>
  <c r="J70" i="188" s="1"/>
  <c r="I69" i="188"/>
  <c r="I67" i="188"/>
  <c r="H61" i="188"/>
  <c r="J61" i="188" s="1"/>
  <c r="K61" i="188" s="1"/>
  <c r="H42" i="188"/>
  <c r="J42" i="188" s="1"/>
  <c r="K42" i="188" s="1"/>
  <c r="H41" i="188"/>
  <c r="J41" i="188" s="1"/>
  <c r="K41" i="188" s="1"/>
  <c r="H40" i="188"/>
  <c r="J40" i="188" s="1"/>
  <c r="K40" i="188" s="1"/>
  <c r="H39" i="188"/>
  <c r="J39" i="188" s="1"/>
  <c r="K39" i="188" s="1"/>
  <c r="I30" i="188"/>
  <c r="H29" i="188"/>
  <c r="J29" i="188" s="1"/>
  <c r="L29" i="188" s="1"/>
  <c r="H28" i="188"/>
  <c r="J28" i="188" s="1"/>
  <c r="L28" i="188" s="1"/>
  <c r="H27" i="188"/>
  <c r="J27" i="188" s="1"/>
  <c r="K27" i="188" s="1"/>
  <c r="H26" i="188"/>
  <c r="J26" i="188" s="1"/>
  <c r="K26" i="188" s="1"/>
  <c r="H25" i="188"/>
  <c r="J25" i="188" s="1"/>
  <c r="K25" i="188" s="1"/>
  <c r="H24" i="188"/>
  <c r="J24" i="188" s="1"/>
  <c r="K24" i="188" s="1"/>
  <c r="H23" i="188"/>
  <c r="J23" i="188" s="1"/>
  <c r="K23" i="188" s="1"/>
  <c r="H22" i="188"/>
  <c r="J22" i="188" s="1"/>
  <c r="K22" i="188" s="1"/>
  <c r="H21" i="188"/>
  <c r="J21" i="188" s="1"/>
  <c r="K21" i="188" s="1"/>
  <c r="H20" i="188"/>
  <c r="J20" i="188" s="1"/>
  <c r="K20" i="188" s="1"/>
  <c r="H19" i="188"/>
  <c r="J19" i="188" s="1"/>
  <c r="I16" i="188"/>
  <c r="H14" i="188"/>
  <c r="J14" i="188" s="1"/>
  <c r="K14" i="188" s="1"/>
  <c r="H13" i="188"/>
  <c r="J13" i="188" s="1"/>
  <c r="N115" i="187"/>
  <c r="I90" i="187"/>
  <c r="J89" i="187"/>
  <c r="L89" i="187" s="1"/>
  <c r="L90" i="187" s="1"/>
  <c r="K108" i="187" l="1"/>
  <c r="F111" i="187"/>
  <c r="J88" i="188"/>
  <c r="K98" i="188"/>
  <c r="J103" i="188"/>
  <c r="J118" i="189"/>
  <c r="J72" i="188"/>
  <c r="L116" i="189"/>
  <c r="L123" i="189"/>
  <c r="L124" i="189" s="1"/>
  <c r="L114" i="189"/>
  <c r="J109" i="189"/>
  <c r="L113" i="189"/>
  <c r="J63" i="188"/>
  <c r="K118" i="189"/>
  <c r="M117" i="189" s="1"/>
  <c r="I118" i="189"/>
  <c r="J104" i="188"/>
  <c r="J105" i="188"/>
  <c r="K31" i="188"/>
  <c r="K84" i="188"/>
  <c r="J78" i="188"/>
  <c r="J106" i="188" s="1"/>
  <c r="K19" i="188"/>
  <c r="L68" i="188"/>
  <c r="L69" i="188" s="1"/>
  <c r="J69" i="188"/>
  <c r="J107" i="188"/>
  <c r="L107" i="188" s="1"/>
  <c r="J93" i="188"/>
  <c r="K92" i="188"/>
  <c r="K93" i="188" s="1"/>
  <c r="K79" i="188"/>
  <c r="K82" i="188" s="1"/>
  <c r="I106" i="188"/>
  <c r="J82" i="188"/>
  <c r="K12" i="188"/>
  <c r="J16" i="188"/>
  <c r="K83" i="188"/>
  <c r="K88" i="188" s="1"/>
  <c r="I103" i="188"/>
  <c r="K17" i="188"/>
  <c r="J30" i="188"/>
  <c r="K60" i="188"/>
  <c r="K63" i="188" s="1"/>
  <c r="L67" i="188"/>
  <c r="B106" i="188" s="1"/>
  <c r="L30" i="188"/>
  <c r="L63" i="188"/>
  <c r="L59" i="188"/>
  <c r="B103" i="188" s="1"/>
  <c r="K89" i="188"/>
  <c r="K91" i="188" s="1"/>
  <c r="L82" i="188"/>
  <c r="F104" i="188" s="1"/>
  <c r="F106" i="188"/>
  <c r="K103" i="188"/>
  <c r="L16" i="188"/>
  <c r="K105" i="188"/>
  <c r="K69" i="188"/>
  <c r="I105" i="188"/>
  <c r="K73" i="188"/>
  <c r="K78" i="188" s="1"/>
  <c r="K13" i="188"/>
  <c r="L93" i="188"/>
  <c r="K70" i="188"/>
  <c r="K72" i="188" s="1"/>
  <c r="K96" i="187"/>
  <c r="K97" i="187"/>
  <c r="K98" i="187"/>
  <c r="K99" i="187"/>
  <c r="K100" i="187"/>
  <c r="K101" i="187"/>
  <c r="K102" i="187"/>
  <c r="K95" i="187"/>
  <c r="J105" i="187"/>
  <c r="J59" i="187"/>
  <c r="J103" i="187"/>
  <c r="J112" i="187" s="1"/>
  <c r="J104" i="185"/>
  <c r="I62" i="187"/>
  <c r="I71" i="187"/>
  <c r="I77" i="187"/>
  <c r="L92" i="187"/>
  <c r="I92" i="187"/>
  <c r="H96" i="187"/>
  <c r="H95" i="187"/>
  <c r="H102" i="187"/>
  <c r="H101" i="187"/>
  <c r="H100" i="187"/>
  <c r="H99" i="187"/>
  <c r="H98" i="187"/>
  <c r="H97" i="187"/>
  <c r="J91" i="187"/>
  <c r="K91" i="187" s="1"/>
  <c r="K92" i="187" s="1"/>
  <c r="J88" i="187"/>
  <c r="K88" i="187" s="1"/>
  <c r="J87" i="187"/>
  <c r="K87" i="187" s="1"/>
  <c r="J86" i="187"/>
  <c r="K86" i="187" s="1"/>
  <c r="J85" i="187"/>
  <c r="K85" i="187" s="1"/>
  <c r="J84" i="187"/>
  <c r="K84" i="187" s="1"/>
  <c r="J83" i="187"/>
  <c r="K83" i="187" s="1"/>
  <c r="J82" i="187"/>
  <c r="K82" i="187" s="1"/>
  <c r="J81" i="187"/>
  <c r="K81" i="187" s="1"/>
  <c r="J80" i="187"/>
  <c r="K80" i="187" s="1"/>
  <c r="J79" i="187"/>
  <c r="K79" i="187" s="1"/>
  <c r="I16" i="187"/>
  <c r="H15" i="187"/>
  <c r="J15" i="187" s="1"/>
  <c r="L15" i="187" s="1"/>
  <c r="L16" i="187" s="1"/>
  <c r="L58" i="187"/>
  <c r="L59" i="187" s="1"/>
  <c r="H93" i="187"/>
  <c r="J93" i="187" s="1"/>
  <c r="K94" i="187" s="1"/>
  <c r="H43" i="187"/>
  <c r="J43" i="187" s="1"/>
  <c r="L43" i="187" s="1"/>
  <c r="B2347" i="2"/>
  <c r="B2346" i="2"/>
  <c r="H45" i="187"/>
  <c r="J45" i="187" s="1"/>
  <c r="L45" i="187" s="1"/>
  <c r="H34" i="188" l="1"/>
  <c r="J34" i="188" s="1"/>
  <c r="K34" i="188" s="1"/>
  <c r="H32" i="188"/>
  <c r="J32" i="188" s="1"/>
  <c r="H44" i="187"/>
  <c r="J44" i="187" s="1"/>
  <c r="L44" i="187" s="1"/>
  <c r="H46" i="187"/>
  <c r="J46" i="187" s="1"/>
  <c r="L46" i="187" s="1"/>
  <c r="J121" i="189"/>
  <c r="K111" i="189"/>
  <c r="B101" i="188"/>
  <c r="L101" i="188"/>
  <c r="L99" i="188" s="1"/>
  <c r="L118" i="189"/>
  <c r="L119" i="189" s="1"/>
  <c r="L121" i="189" s="1"/>
  <c r="K106" i="188"/>
  <c r="F105" i="188"/>
  <c r="J108" i="188"/>
  <c r="K104" i="188"/>
  <c r="B102" i="188"/>
  <c r="L103" i="188"/>
  <c r="L106" i="188"/>
  <c r="B107" i="188"/>
  <c r="L105" i="188"/>
  <c r="K30" i="188"/>
  <c r="K16" i="188"/>
  <c r="J94" i="187"/>
  <c r="J108" i="187"/>
  <c r="K103" i="187"/>
  <c r="K110" i="187"/>
  <c r="L93" i="187"/>
  <c r="J92" i="187"/>
  <c r="B111" i="187"/>
  <c r="I30" i="187"/>
  <c r="H28" i="187"/>
  <c r="J28" i="187" s="1"/>
  <c r="L28" i="187" s="1"/>
  <c r="H29" i="187"/>
  <c r="J29" i="187" s="1"/>
  <c r="L29" i="187" s="1"/>
  <c r="H47" i="187"/>
  <c r="J47" i="187" s="1"/>
  <c r="L47" i="187" s="1"/>
  <c r="H42" i="187"/>
  <c r="J42" i="187" s="1"/>
  <c r="K42" i="187" s="1"/>
  <c r="H52" i="187"/>
  <c r="J52" i="187" s="1"/>
  <c r="L52" i="187" s="1"/>
  <c r="L53" i="187" s="1"/>
  <c r="K32" i="188" l="1"/>
  <c r="J59" i="188"/>
  <c r="J101" i="188" s="1"/>
  <c r="J99" i="188" s="1"/>
  <c r="M118" i="189"/>
  <c r="M111" i="189"/>
  <c r="K109" i="189"/>
  <c r="K108" i="188"/>
  <c r="F108" i="188"/>
  <c r="L30" i="187"/>
  <c r="H58" i="187"/>
  <c r="H57" i="187"/>
  <c r="K57" i="187" s="1"/>
  <c r="H56" i="187"/>
  <c r="K56" i="187" s="1"/>
  <c r="H61" i="187"/>
  <c r="J61" i="187" s="1"/>
  <c r="L61" i="187" s="1"/>
  <c r="L62" i="187" s="1"/>
  <c r="J78" i="187"/>
  <c r="J90" i="187" s="1"/>
  <c r="H76" i="187"/>
  <c r="J76" i="187" s="1"/>
  <c r="H75" i="187"/>
  <c r="J75" i="187" s="1"/>
  <c r="K75" i="187" s="1"/>
  <c r="H74" i="187"/>
  <c r="J74" i="187" s="1"/>
  <c r="K74" i="187" s="1"/>
  <c r="H73" i="187"/>
  <c r="J73" i="187" s="1"/>
  <c r="H72" i="187"/>
  <c r="J72" i="187" s="1"/>
  <c r="H70" i="187"/>
  <c r="J70" i="187" s="1"/>
  <c r="K70" i="187" s="1"/>
  <c r="H69" i="187"/>
  <c r="J69" i="187" s="1"/>
  <c r="K69" i="187" s="1"/>
  <c r="H68" i="187"/>
  <c r="J68" i="187" s="1"/>
  <c r="K68" i="187" s="1"/>
  <c r="H67" i="187"/>
  <c r="J67" i="187" s="1"/>
  <c r="K67" i="187" s="1"/>
  <c r="H66" i="187"/>
  <c r="J66" i="187" s="1"/>
  <c r="K66" i="187" s="1"/>
  <c r="H65" i="187"/>
  <c r="J65" i="187" s="1"/>
  <c r="H63" i="187"/>
  <c r="J63" i="187" s="1"/>
  <c r="H60" i="187"/>
  <c r="J60" i="187" s="1"/>
  <c r="K59" i="188" l="1"/>
  <c r="I104" i="188"/>
  <c r="M107" i="188"/>
  <c r="I111" i="187"/>
  <c r="J111" i="187"/>
  <c r="L76" i="187"/>
  <c r="L77" i="187" s="1"/>
  <c r="K63" i="187"/>
  <c r="K64" i="187" s="1"/>
  <c r="J64" i="187"/>
  <c r="K78" i="187"/>
  <c r="I108" i="187"/>
  <c r="J62" i="187"/>
  <c r="K72" i="187"/>
  <c r="J77" i="187"/>
  <c r="J71" i="187"/>
  <c r="K73" i="187"/>
  <c r="K60" i="187"/>
  <c r="K62" i="187" s="1"/>
  <c r="K65" i="187"/>
  <c r="K71" i="187" s="1"/>
  <c r="K55" i="187"/>
  <c r="K54" i="187"/>
  <c r="K59" i="187" s="1"/>
  <c r="H55" i="187"/>
  <c r="H54" i="187"/>
  <c r="H51" i="187"/>
  <c r="J51" i="187" s="1"/>
  <c r="H49" i="187"/>
  <c r="J49" i="187" s="1"/>
  <c r="L49" i="187" s="1"/>
  <c r="H48" i="187"/>
  <c r="J48" i="187" s="1"/>
  <c r="L48" i="187" s="1"/>
  <c r="H41" i="187"/>
  <c r="J41" i="187" s="1"/>
  <c r="K41" i="187" s="1"/>
  <c r="H40" i="187"/>
  <c r="J40" i="187" s="1"/>
  <c r="K40" i="187" s="1"/>
  <c r="H39" i="187"/>
  <c r="J39" i="187" s="1"/>
  <c r="K39" i="187" s="1"/>
  <c r="H38" i="187"/>
  <c r="J38" i="187" s="1"/>
  <c r="K38" i="187" s="1"/>
  <c r="H37" i="187"/>
  <c r="J37" i="187" s="1"/>
  <c r="K37" i="187" s="1"/>
  <c r="H36" i="187"/>
  <c r="J36" i="187" s="1"/>
  <c r="K36" i="187" s="1"/>
  <c r="H35" i="187"/>
  <c r="J35" i="187" s="1"/>
  <c r="K35" i="187" s="1"/>
  <c r="H34" i="187"/>
  <c r="J34" i="187" s="1"/>
  <c r="K34" i="187" s="1"/>
  <c r="H33" i="187"/>
  <c r="J33" i="187" s="1"/>
  <c r="K33" i="187" s="1"/>
  <c r="H32" i="187"/>
  <c r="J32" i="187" s="1"/>
  <c r="K32" i="187" s="1"/>
  <c r="H31" i="187"/>
  <c r="J31" i="187" s="1"/>
  <c r="H27" i="187"/>
  <c r="J27" i="187" s="1"/>
  <c r="K27" i="187" s="1"/>
  <c r="H26" i="187"/>
  <c r="J26" i="187" s="1"/>
  <c r="K26" i="187" s="1"/>
  <c r="H25" i="187"/>
  <c r="J25" i="187" s="1"/>
  <c r="K25" i="187" s="1"/>
  <c r="H24" i="187"/>
  <c r="J24" i="187" s="1"/>
  <c r="K24" i="187" s="1"/>
  <c r="H23" i="187"/>
  <c r="J23" i="187" s="1"/>
  <c r="K23" i="187" s="1"/>
  <c r="H22" i="187"/>
  <c r="J22" i="187" s="1"/>
  <c r="K22" i="187" s="1"/>
  <c r="H21" i="187"/>
  <c r="J21" i="187" s="1"/>
  <c r="K21" i="187" s="1"/>
  <c r="H20" i="187"/>
  <c r="J20" i="187" s="1"/>
  <c r="K20" i="187" s="1"/>
  <c r="H19" i="187"/>
  <c r="J19" i="187" s="1"/>
  <c r="K19" i="187" s="1"/>
  <c r="H18" i="187"/>
  <c r="J18" i="187" s="1"/>
  <c r="H17" i="187"/>
  <c r="J17" i="187" s="1"/>
  <c r="H14" i="187"/>
  <c r="J14" i="187" s="1"/>
  <c r="K14" i="187" s="1"/>
  <c r="H12" i="187"/>
  <c r="J12" i="187" s="1"/>
  <c r="L104" i="188" l="1"/>
  <c r="M104" i="188" s="1"/>
  <c r="I108" i="188"/>
  <c r="K77" i="187"/>
  <c r="L50" i="187"/>
  <c r="K109" i="187"/>
  <c r="J50" i="187"/>
  <c r="K18" i="187"/>
  <c r="J109" i="187"/>
  <c r="J30" i="187"/>
  <c r="K51" i="187"/>
  <c r="K53" i="187" s="1"/>
  <c r="J53" i="187"/>
  <c r="I110" i="187"/>
  <c r="K12" i="187"/>
  <c r="K31" i="187"/>
  <c r="K50" i="187" s="1"/>
  <c r="K17" i="187"/>
  <c r="H13" i="187"/>
  <c r="J13" i="187" s="1"/>
  <c r="J110" i="187" s="1"/>
  <c r="J124" i="187"/>
  <c r="I121" i="187"/>
  <c r="K105" i="187"/>
  <c r="L103" i="187"/>
  <c r="L112" i="187"/>
  <c r="L94" i="187"/>
  <c r="I94" i="187"/>
  <c r="F109" i="187"/>
  <c r="L71" i="187"/>
  <c r="F108" i="187" s="1"/>
  <c r="I64" i="187"/>
  <c r="I59" i="187"/>
  <c r="I53" i="187"/>
  <c r="I50" i="187"/>
  <c r="J62" i="185"/>
  <c r="H62" i="185" s="1"/>
  <c r="L102" i="185"/>
  <c r="J123" i="185"/>
  <c r="H93" i="185"/>
  <c r="L60" i="185"/>
  <c r="H53" i="185"/>
  <c r="J53" i="185" s="1"/>
  <c r="L53" i="185" s="1"/>
  <c r="H52" i="185"/>
  <c r="J52" i="185" s="1"/>
  <c r="L52" i="185" s="1"/>
  <c r="H51" i="185"/>
  <c r="J51" i="185" s="1"/>
  <c r="L51" i="185" s="1"/>
  <c r="H50" i="185"/>
  <c r="J50" i="185" s="1"/>
  <c r="H49" i="185"/>
  <c r="J49" i="185" s="1"/>
  <c r="K49" i="185" s="1"/>
  <c r="H48" i="185"/>
  <c r="J48" i="185" s="1"/>
  <c r="K48" i="185" s="1"/>
  <c r="H60" i="185"/>
  <c r="H59" i="185"/>
  <c r="H30" i="185"/>
  <c r="J30" i="185" s="1"/>
  <c r="L30" i="185" s="1"/>
  <c r="L31" i="185" s="1"/>
  <c r="H29" i="185"/>
  <c r="J29" i="185" s="1"/>
  <c r="K29" i="185" s="1"/>
  <c r="K104" i="185"/>
  <c r="J102" i="185"/>
  <c r="J111" i="185" s="1"/>
  <c r="L111" i="185" s="1"/>
  <c r="I78" i="185"/>
  <c r="I67" i="185"/>
  <c r="I57" i="185"/>
  <c r="I17" i="185"/>
  <c r="H96" i="185"/>
  <c r="H95" i="185"/>
  <c r="K101" i="188" l="1"/>
  <c r="L108" i="188"/>
  <c r="L109" i="188" s="1"/>
  <c r="L111" i="188" s="1"/>
  <c r="J111" i="188"/>
  <c r="J113" i="187"/>
  <c r="J16" i="187"/>
  <c r="B112" i="187"/>
  <c r="K111" i="187"/>
  <c r="K113" i="187" s="1"/>
  <c r="K30" i="187"/>
  <c r="I109" i="187"/>
  <c r="B106" i="187"/>
  <c r="K13" i="187"/>
  <c r="K16" i="187" s="1"/>
  <c r="B107" i="187"/>
  <c r="B108" i="187"/>
  <c r="K90" i="187"/>
  <c r="K62" i="185"/>
  <c r="K64" i="185" s="1"/>
  <c r="B107" i="185"/>
  <c r="L50" i="185"/>
  <c r="L59" i="185"/>
  <c r="J61" i="185"/>
  <c r="I92" i="185"/>
  <c r="J91" i="185"/>
  <c r="J88" i="185"/>
  <c r="K88" i="185" s="1"/>
  <c r="J87" i="185"/>
  <c r="K87" i="185" s="1"/>
  <c r="J86" i="185"/>
  <c r="K86" i="185" s="1"/>
  <c r="J85" i="185"/>
  <c r="K85" i="185" s="1"/>
  <c r="J84" i="185"/>
  <c r="K84" i="185" s="1"/>
  <c r="K95" i="185"/>
  <c r="K96" i="185"/>
  <c r="J83" i="185"/>
  <c r="I107" i="185" s="1"/>
  <c r="H79" i="185"/>
  <c r="J79" i="185" s="1"/>
  <c r="H58" i="185"/>
  <c r="H37" i="185"/>
  <c r="J37" i="185" s="1"/>
  <c r="K37" i="185" s="1"/>
  <c r="H36" i="185"/>
  <c r="J36" i="185" s="1"/>
  <c r="K36" i="185" s="1"/>
  <c r="H35" i="185"/>
  <c r="J35" i="185" s="1"/>
  <c r="K35" i="185" s="1"/>
  <c r="H34" i="185"/>
  <c r="J34" i="185" s="1"/>
  <c r="K34" i="185" s="1"/>
  <c r="H33" i="185"/>
  <c r="J33" i="185" s="1"/>
  <c r="K33" i="185" s="1"/>
  <c r="H32" i="185"/>
  <c r="J32" i="185" s="1"/>
  <c r="H18" i="185"/>
  <c r="J18" i="185" s="1"/>
  <c r="K18" i="185" s="1"/>
  <c r="H13" i="185"/>
  <c r="J13" i="185" s="1"/>
  <c r="H12" i="185"/>
  <c r="J12" i="185" s="1"/>
  <c r="H47" i="185"/>
  <c r="J47" i="185" s="1"/>
  <c r="K47" i="185" s="1"/>
  <c r="H46" i="185"/>
  <c r="J46" i="185" s="1"/>
  <c r="K46" i="185" s="1"/>
  <c r="H45" i="185"/>
  <c r="J45" i="185" s="1"/>
  <c r="K45" i="185" s="1"/>
  <c r="H44" i="185"/>
  <c r="J44" i="185" s="1"/>
  <c r="K44" i="185" s="1"/>
  <c r="H43" i="185"/>
  <c r="J43" i="185" s="1"/>
  <c r="K43" i="185" s="1"/>
  <c r="H42" i="185"/>
  <c r="J42" i="185" s="1"/>
  <c r="K42" i="185" s="1"/>
  <c r="H41" i="185"/>
  <c r="J41" i="185" s="1"/>
  <c r="K41" i="185" s="1"/>
  <c r="H40" i="185"/>
  <c r="J40" i="185" s="1"/>
  <c r="K40" i="185" s="1"/>
  <c r="H39" i="185"/>
  <c r="J39" i="185" s="1"/>
  <c r="K39" i="185" s="1"/>
  <c r="H38" i="185"/>
  <c r="J38" i="185" s="1"/>
  <c r="K38" i="185" s="1"/>
  <c r="H77" i="185"/>
  <c r="J77" i="185" s="1"/>
  <c r="K77" i="185" s="1"/>
  <c r="H76" i="185"/>
  <c r="J76" i="185" s="1"/>
  <c r="K76" i="185" s="1"/>
  <c r="H75" i="185"/>
  <c r="J75" i="185" s="1"/>
  <c r="K75" i="185" s="1"/>
  <c r="H74" i="185"/>
  <c r="J74" i="185" s="1"/>
  <c r="K74" i="185" s="1"/>
  <c r="H73" i="185"/>
  <c r="J73" i="185" s="1"/>
  <c r="K73" i="185" s="1"/>
  <c r="H72" i="185"/>
  <c r="J72" i="185" s="1"/>
  <c r="K72" i="185" s="1"/>
  <c r="H71" i="185"/>
  <c r="J71" i="185" s="1"/>
  <c r="K71" i="185" s="1"/>
  <c r="H70" i="185"/>
  <c r="J70" i="185" s="1"/>
  <c r="K70" i="185" s="1"/>
  <c r="H69" i="185"/>
  <c r="J69" i="185" s="1"/>
  <c r="K69" i="185" s="1"/>
  <c r="H68" i="185"/>
  <c r="J68" i="185" s="1"/>
  <c r="H66" i="185"/>
  <c r="J66" i="185" s="1"/>
  <c r="K66" i="185" s="1"/>
  <c r="H65" i="185"/>
  <c r="J65" i="185" s="1"/>
  <c r="H81" i="185"/>
  <c r="J81" i="185" s="1"/>
  <c r="L81" i="185" s="1"/>
  <c r="L82" i="185" s="1"/>
  <c r="F108" i="185" s="1"/>
  <c r="H80" i="185"/>
  <c r="J80" i="185" s="1"/>
  <c r="K80" i="185" s="1"/>
  <c r="H63" i="185"/>
  <c r="J63" i="185" s="1"/>
  <c r="J64" i="185" s="1"/>
  <c r="H56" i="185"/>
  <c r="J56" i="185" s="1"/>
  <c r="K56" i="185" s="1"/>
  <c r="H55" i="185"/>
  <c r="J55" i="185" s="1"/>
  <c r="H20" i="185"/>
  <c r="J20" i="185" s="1"/>
  <c r="K20" i="185" s="1"/>
  <c r="H21" i="185"/>
  <c r="J21" i="185" s="1"/>
  <c r="K21" i="185" s="1"/>
  <c r="H22" i="185"/>
  <c r="J22" i="185" s="1"/>
  <c r="K22" i="185" s="1"/>
  <c r="H23" i="185"/>
  <c r="J23" i="185" s="1"/>
  <c r="K23" i="185" s="1"/>
  <c r="H24" i="185"/>
  <c r="J24" i="185" s="1"/>
  <c r="K24" i="185" s="1"/>
  <c r="H25" i="185"/>
  <c r="J25" i="185" s="1"/>
  <c r="K25" i="185" s="1"/>
  <c r="H26" i="185"/>
  <c r="J26" i="185" s="1"/>
  <c r="K26" i="185" s="1"/>
  <c r="H27" i="185"/>
  <c r="J27" i="185" s="1"/>
  <c r="K27" i="185" s="1"/>
  <c r="H28" i="185"/>
  <c r="J28" i="185" s="1"/>
  <c r="K28" i="185" s="1"/>
  <c r="H19" i="185"/>
  <c r="J19" i="185" s="1"/>
  <c r="H16" i="185"/>
  <c r="J16" i="185" s="1"/>
  <c r="H15" i="185"/>
  <c r="J15" i="185" s="1"/>
  <c r="K15" i="185" s="1"/>
  <c r="H14" i="185"/>
  <c r="J14" i="185" s="1"/>
  <c r="K58" i="185"/>
  <c r="K61" i="185" s="1"/>
  <c r="I120" i="185"/>
  <c r="J116" i="185"/>
  <c r="I94" i="185"/>
  <c r="J93" i="185"/>
  <c r="K93" i="185" s="1"/>
  <c r="I90" i="185"/>
  <c r="J89" i="185"/>
  <c r="I82" i="185"/>
  <c r="L78" i="185"/>
  <c r="F107" i="185" s="1"/>
  <c r="I64" i="185"/>
  <c r="I61" i="185"/>
  <c r="I54" i="185"/>
  <c r="I31" i="185"/>
  <c r="K63" i="184"/>
  <c r="K64" i="184" s="1"/>
  <c r="I64" i="184"/>
  <c r="G62" i="184"/>
  <c r="J62" i="184"/>
  <c r="G63" i="184"/>
  <c r="I101" i="184"/>
  <c r="H117" i="184"/>
  <c r="G21" i="184"/>
  <c r="I21" i="184" s="1"/>
  <c r="H89" i="184"/>
  <c r="I99" i="184"/>
  <c r="I108" i="184" s="1"/>
  <c r="J90" i="184"/>
  <c r="G90" i="184"/>
  <c r="G88" i="184"/>
  <c r="I88" i="184" s="1"/>
  <c r="J88" i="184" s="1"/>
  <c r="J89" i="184" s="1"/>
  <c r="H87" i="184"/>
  <c r="H79" i="184"/>
  <c r="G73" i="184"/>
  <c r="H60" i="184"/>
  <c r="H57" i="184"/>
  <c r="I56" i="184"/>
  <c r="K56" i="184" s="1"/>
  <c r="I55" i="184"/>
  <c r="K55" i="184" s="1"/>
  <c r="I54" i="184"/>
  <c r="K54" i="184" s="1"/>
  <c r="I53" i="184"/>
  <c r="K53" i="184" s="1"/>
  <c r="I52" i="184"/>
  <c r="K52" i="184" s="1"/>
  <c r="H30" i="184"/>
  <c r="G29" i="184"/>
  <c r="I29" i="184" s="1"/>
  <c r="K29" i="184" s="1"/>
  <c r="G16" i="184"/>
  <c r="I16" i="184" s="1"/>
  <c r="K16" i="184" s="1"/>
  <c r="H69" i="183"/>
  <c r="J91" i="184"/>
  <c r="G91" i="184"/>
  <c r="G92" i="184"/>
  <c r="J92" i="184"/>
  <c r="G93" i="184"/>
  <c r="J93" i="184"/>
  <c r="G94" i="184"/>
  <c r="J94" i="184"/>
  <c r="G95" i="184"/>
  <c r="J95" i="184"/>
  <c r="G96" i="184"/>
  <c r="J96" i="184"/>
  <c r="G97" i="184"/>
  <c r="J97" i="184"/>
  <c r="G98" i="184"/>
  <c r="J98" i="184"/>
  <c r="H18" i="184"/>
  <c r="I51" i="184"/>
  <c r="K51" i="184" s="1"/>
  <c r="G17" i="184"/>
  <c r="I17" i="184" s="1"/>
  <c r="K17" i="184" s="1"/>
  <c r="G78" i="184"/>
  <c r="K99" i="188" l="1"/>
  <c r="M108" i="188"/>
  <c r="M101" i="188"/>
  <c r="F113" i="187"/>
  <c r="J106" i="187" s="1"/>
  <c r="N109" i="187"/>
  <c r="I113" i="187"/>
  <c r="K106" i="187" s="1"/>
  <c r="L123" i="187"/>
  <c r="L125" i="187" s="1"/>
  <c r="L108" i="187"/>
  <c r="L110" i="187"/>
  <c r="I120" i="187"/>
  <c r="J121" i="187" s="1"/>
  <c r="L111" i="187"/>
  <c r="I110" i="185"/>
  <c r="J82" i="185"/>
  <c r="L63" i="185"/>
  <c r="F109" i="185"/>
  <c r="K14" i="185"/>
  <c r="J109" i="185"/>
  <c r="I109" i="185"/>
  <c r="L94" i="185"/>
  <c r="L61" i="185"/>
  <c r="B110" i="185" s="1"/>
  <c r="K108" i="185"/>
  <c r="L89" i="185"/>
  <c r="F110" i="185"/>
  <c r="K102" i="185"/>
  <c r="K83" i="185"/>
  <c r="K90" i="185" s="1"/>
  <c r="J90" i="185"/>
  <c r="K91" i="185"/>
  <c r="K92" i="185" s="1"/>
  <c r="J107" i="185"/>
  <c r="J92" i="185"/>
  <c r="J31" i="185"/>
  <c r="K65" i="185"/>
  <c r="K67" i="185" s="1"/>
  <c r="J67" i="185"/>
  <c r="K55" i="185"/>
  <c r="K57" i="185" s="1"/>
  <c r="J57" i="185"/>
  <c r="K68" i="185"/>
  <c r="J78" i="185"/>
  <c r="K12" i="185"/>
  <c r="J17" i="185"/>
  <c r="L16" i="185"/>
  <c r="B105" i="185"/>
  <c r="K19" i="185"/>
  <c r="L54" i="185"/>
  <c r="K13" i="185"/>
  <c r="J54" i="185"/>
  <c r="B106" i="185"/>
  <c r="K79" i="185"/>
  <c r="K82" i="185" s="1"/>
  <c r="K94" i="185"/>
  <c r="K32" i="185"/>
  <c r="K54" i="185" s="1"/>
  <c r="J94" i="185"/>
  <c r="J106" i="184"/>
  <c r="J99" i="184"/>
  <c r="I89" i="184"/>
  <c r="K57" i="184"/>
  <c r="B104" i="184" s="1"/>
  <c r="J105" i="184"/>
  <c r="K30" i="184"/>
  <c r="B103" i="184" s="1"/>
  <c r="K18" i="184"/>
  <c r="I78" i="184"/>
  <c r="G59" i="184"/>
  <c r="I59" i="184" s="1"/>
  <c r="J59" i="184" s="1"/>
  <c r="J110" i="185" l="1"/>
  <c r="L113" i="187"/>
  <c r="L114" i="187" s="1"/>
  <c r="M113" i="187"/>
  <c r="L106" i="187"/>
  <c r="L104" i="187" s="1"/>
  <c r="L119" i="187"/>
  <c r="L121" i="187" s="1"/>
  <c r="M118" i="187"/>
  <c r="L109" i="187"/>
  <c r="J108" i="185"/>
  <c r="K31" i="185"/>
  <c r="L64" i="185"/>
  <c r="K110" i="185" s="1"/>
  <c r="I108" i="185"/>
  <c r="K17" i="185"/>
  <c r="K78" i="185"/>
  <c r="F112" i="185"/>
  <c r="L90" i="185"/>
  <c r="K107" i="185"/>
  <c r="K109" i="185"/>
  <c r="L17" i="185"/>
  <c r="I119" i="185"/>
  <c r="J120" i="185" s="1"/>
  <c r="L107" i="185"/>
  <c r="L109" i="185"/>
  <c r="B102" i="184"/>
  <c r="K78" i="184"/>
  <c r="K79" i="184" s="1"/>
  <c r="E105" i="184" s="1"/>
  <c r="G48" i="184"/>
  <c r="I48" i="184" s="1"/>
  <c r="J48" i="184" s="1"/>
  <c r="G49" i="184"/>
  <c r="I49" i="184" s="1"/>
  <c r="J49" i="184" s="1"/>
  <c r="G50" i="184"/>
  <c r="I50" i="184" s="1"/>
  <c r="J50" i="184" s="1"/>
  <c r="G25" i="184"/>
  <c r="I25" i="184" s="1"/>
  <c r="J25" i="184" s="1"/>
  <c r="G26" i="184"/>
  <c r="I26" i="184" s="1"/>
  <c r="J26" i="184" s="1"/>
  <c r="G24" i="184"/>
  <c r="I24" i="184" s="1"/>
  <c r="J24" i="184" s="1"/>
  <c r="I86" i="184"/>
  <c r="I85" i="184"/>
  <c r="J85" i="184" s="1"/>
  <c r="I84" i="184"/>
  <c r="J84" i="184" s="1"/>
  <c r="I83" i="184"/>
  <c r="J83" i="184" s="1"/>
  <c r="I82" i="184"/>
  <c r="I80" i="184"/>
  <c r="G77" i="184"/>
  <c r="I77" i="184" s="1"/>
  <c r="H107" i="184" s="1"/>
  <c r="G75" i="184"/>
  <c r="I75" i="184" s="1"/>
  <c r="K75" i="184" s="1"/>
  <c r="G74" i="184"/>
  <c r="I74" i="184" s="1"/>
  <c r="J74" i="184" s="1"/>
  <c r="I73" i="184"/>
  <c r="J73" i="184" s="1"/>
  <c r="G72" i="184"/>
  <c r="I72" i="184" s="1"/>
  <c r="J72" i="184" s="1"/>
  <c r="G71" i="184"/>
  <c r="I71" i="184" s="1"/>
  <c r="J71" i="184" s="1"/>
  <c r="G70" i="184"/>
  <c r="I70" i="184" s="1"/>
  <c r="G69" i="184"/>
  <c r="I69" i="184" s="1"/>
  <c r="G67" i="184"/>
  <c r="I67" i="184" s="1"/>
  <c r="G65" i="184"/>
  <c r="I65" i="184" s="1"/>
  <c r="I66" i="184" s="1"/>
  <c r="G58" i="184"/>
  <c r="G47" i="184"/>
  <c r="I47" i="184" s="1"/>
  <c r="J47" i="184" s="1"/>
  <c r="G46" i="184"/>
  <c r="I46" i="184" s="1"/>
  <c r="J46" i="184" s="1"/>
  <c r="G45" i="184"/>
  <c r="I45" i="184" s="1"/>
  <c r="J45" i="184" s="1"/>
  <c r="G44" i="184"/>
  <c r="I44" i="184" s="1"/>
  <c r="J44" i="184" s="1"/>
  <c r="G43" i="184"/>
  <c r="I43" i="184" s="1"/>
  <c r="J43" i="184" s="1"/>
  <c r="G42" i="184"/>
  <c r="I42" i="184" s="1"/>
  <c r="J42" i="184" s="1"/>
  <c r="G41" i="184"/>
  <c r="I41" i="184" s="1"/>
  <c r="J41" i="184" s="1"/>
  <c r="G40" i="184"/>
  <c r="I40" i="184" s="1"/>
  <c r="J40" i="184" s="1"/>
  <c r="G39" i="184"/>
  <c r="I39" i="184" s="1"/>
  <c r="J39" i="184" s="1"/>
  <c r="G38" i="184"/>
  <c r="I38" i="184" s="1"/>
  <c r="J38" i="184" s="1"/>
  <c r="G37" i="184"/>
  <c r="I37" i="184" s="1"/>
  <c r="J37" i="184" s="1"/>
  <c r="G36" i="184"/>
  <c r="I36" i="184" s="1"/>
  <c r="J36" i="184" s="1"/>
  <c r="G35" i="184"/>
  <c r="I35" i="184" s="1"/>
  <c r="J35" i="184" s="1"/>
  <c r="G34" i="184"/>
  <c r="I34" i="184" s="1"/>
  <c r="J34" i="184" s="1"/>
  <c r="G33" i="184"/>
  <c r="I33" i="184" s="1"/>
  <c r="J33" i="184" s="1"/>
  <c r="G32" i="184"/>
  <c r="I32" i="184" s="1"/>
  <c r="J32" i="184" s="1"/>
  <c r="G31" i="184"/>
  <c r="I31" i="184" s="1"/>
  <c r="G27" i="184"/>
  <c r="I27" i="184" s="1"/>
  <c r="J27" i="184" s="1"/>
  <c r="G23" i="184"/>
  <c r="I23" i="184" s="1"/>
  <c r="J23" i="184" s="1"/>
  <c r="G22" i="184"/>
  <c r="I22" i="184" s="1"/>
  <c r="J22" i="184" s="1"/>
  <c r="J21" i="184"/>
  <c r="G20" i="184"/>
  <c r="I20" i="184" s="1"/>
  <c r="J20" i="184" s="1"/>
  <c r="G19" i="184"/>
  <c r="I19" i="184" s="1"/>
  <c r="G15" i="184"/>
  <c r="I15" i="184" s="1"/>
  <c r="J15" i="184" s="1"/>
  <c r="G14" i="184"/>
  <c r="I14" i="184" s="1"/>
  <c r="G13" i="184"/>
  <c r="I13" i="184" s="1"/>
  <c r="J13" i="184" s="1"/>
  <c r="G12" i="184"/>
  <c r="I12" i="184" s="1"/>
  <c r="I113" i="184"/>
  <c r="I81" i="184"/>
  <c r="H76" i="184"/>
  <c r="H68" i="184"/>
  <c r="H66" i="184"/>
  <c r="J61" i="184"/>
  <c r="J64" i="184" s="1"/>
  <c r="G61" i="184"/>
  <c r="H106" i="184" l="1"/>
  <c r="M119" i="187"/>
  <c r="M112" i="187"/>
  <c r="J105" i="185"/>
  <c r="L116" i="187"/>
  <c r="L105" i="185"/>
  <c r="L103" i="185" s="1"/>
  <c r="K104" i="187"/>
  <c r="L108" i="185"/>
  <c r="K112" i="185"/>
  <c r="M111" i="185" s="1"/>
  <c r="L122" i="185"/>
  <c r="L124" i="185" s="1"/>
  <c r="L110" i="185"/>
  <c r="L118" i="185"/>
  <c r="L120" i="185" s="1"/>
  <c r="J112" i="185"/>
  <c r="I112" i="185"/>
  <c r="I106" i="184"/>
  <c r="H104" i="184"/>
  <c r="I58" i="184"/>
  <c r="I60" i="184" s="1"/>
  <c r="I104" i="184"/>
  <c r="J107" i="184"/>
  <c r="I107" i="184"/>
  <c r="K86" i="184"/>
  <c r="K99" i="184"/>
  <c r="J82" i="184"/>
  <c r="I79" i="184"/>
  <c r="J77" i="184"/>
  <c r="J79" i="184" s="1"/>
  <c r="J80" i="184"/>
  <c r="I87" i="184"/>
  <c r="K76" i="184"/>
  <c r="I57" i="184"/>
  <c r="I30" i="184"/>
  <c r="J12" i="184"/>
  <c r="I18" i="184"/>
  <c r="J67" i="184"/>
  <c r="I68" i="184"/>
  <c r="I76" i="184"/>
  <c r="J19" i="184"/>
  <c r="J31" i="184"/>
  <c r="J57" i="184" s="1"/>
  <c r="J14" i="184"/>
  <c r="H64" i="184"/>
  <c r="J65" i="184"/>
  <c r="J66" i="184" s="1"/>
  <c r="J69" i="184"/>
  <c r="J70" i="184"/>
  <c r="J81" i="184"/>
  <c r="H98" i="183"/>
  <c r="G90" i="183"/>
  <c r="G94" i="183" s="1"/>
  <c r="J86" i="183"/>
  <c r="G81" i="183"/>
  <c r="G65" i="183"/>
  <c r="G48" i="183"/>
  <c r="G46" i="183"/>
  <c r="G25" i="183"/>
  <c r="G17" i="183"/>
  <c r="I84" i="183"/>
  <c r="I83" i="183"/>
  <c r="I82" i="183"/>
  <c r="I69" i="183"/>
  <c r="J50" i="183"/>
  <c r="J51" i="183" s="1"/>
  <c r="I49" i="183"/>
  <c r="I51" i="183" s="1"/>
  <c r="J65" i="183"/>
  <c r="I67" i="183"/>
  <c r="H68" i="183"/>
  <c r="I68" i="183" s="1"/>
  <c r="F56" i="183"/>
  <c r="H56" i="183" s="1"/>
  <c r="I56" i="183" s="1"/>
  <c r="F30" i="183"/>
  <c r="H30" i="183" s="1"/>
  <c r="I30" i="183" s="1"/>
  <c r="F29" i="183"/>
  <c r="H29" i="183" s="1"/>
  <c r="I29" i="183" s="1"/>
  <c r="F28" i="183"/>
  <c r="H28" i="183" s="1"/>
  <c r="I28" i="183" s="1"/>
  <c r="F27" i="183"/>
  <c r="H27" i="183" s="1"/>
  <c r="I27" i="183" s="1"/>
  <c r="F26" i="183"/>
  <c r="H26" i="183" s="1"/>
  <c r="I26" i="183" s="1"/>
  <c r="I13" i="183"/>
  <c r="I12" i="183"/>
  <c r="H70" i="183"/>
  <c r="I70" i="183" s="1"/>
  <c r="J104" i="187" l="1"/>
  <c r="J116" i="187"/>
  <c r="M112" i="185"/>
  <c r="J103" i="185"/>
  <c r="L112" i="185"/>
  <c r="L113" i="185" s="1"/>
  <c r="L115" i="185" s="1"/>
  <c r="K105" i="185"/>
  <c r="K103" i="185" s="1"/>
  <c r="H105" i="184"/>
  <c r="J58" i="184"/>
  <c r="J60" i="184" s="1"/>
  <c r="K87" i="184"/>
  <c r="E107" i="184" s="1"/>
  <c r="J104" i="184"/>
  <c r="J109" i="184" s="1"/>
  <c r="H116" i="184"/>
  <c r="I117" i="184" s="1"/>
  <c r="E104" i="184"/>
  <c r="J87" i="184"/>
  <c r="J68" i="184"/>
  <c r="K106" i="184"/>
  <c r="J30" i="184"/>
  <c r="J18" i="184"/>
  <c r="J76" i="184"/>
  <c r="H78" i="183"/>
  <c r="I78" i="183" s="1"/>
  <c r="H76" i="183"/>
  <c r="I76" i="183" s="1"/>
  <c r="H77" i="183"/>
  <c r="I77" i="183" s="1"/>
  <c r="H75" i="183"/>
  <c r="I75" i="183" s="1"/>
  <c r="H74" i="183"/>
  <c r="I74" i="183" s="1"/>
  <c r="H73" i="183"/>
  <c r="I73" i="183" s="1"/>
  <c r="H72" i="183"/>
  <c r="K49" i="183"/>
  <c r="B92" i="183"/>
  <c r="K102" i="184" l="1"/>
  <c r="I72" i="183"/>
  <c r="I86" i="183" s="1"/>
  <c r="H86" i="183"/>
  <c r="E109" i="184"/>
  <c r="I102" i="184" s="1"/>
  <c r="I100" i="184" s="1"/>
  <c r="I105" i="184"/>
  <c r="K105" i="184" s="1"/>
  <c r="K100" i="184"/>
  <c r="H109" i="184"/>
  <c r="K104" i="184"/>
  <c r="K108" i="184"/>
  <c r="F64" i="183"/>
  <c r="H64" i="183" s="1"/>
  <c r="I64" i="183" s="1"/>
  <c r="F63" i="183"/>
  <c r="H63" i="183" s="1"/>
  <c r="I63" i="183" s="1"/>
  <c r="L108" i="184" l="1"/>
  <c r="K107" i="184"/>
  <c r="I109" i="184"/>
  <c r="L109" i="184" s="1"/>
  <c r="H80" i="183"/>
  <c r="J80" i="183" s="1"/>
  <c r="K109" i="184" l="1"/>
  <c r="K110" i="184" s="1"/>
  <c r="K112" i="184" s="1"/>
  <c r="J102" i="184"/>
  <c r="J100" i="184" s="1"/>
  <c r="F62" i="183"/>
  <c r="H62" i="183" s="1"/>
  <c r="I62" i="183" s="1"/>
  <c r="F41" i="183"/>
  <c r="H41" i="183" s="1"/>
  <c r="I41" i="183" s="1"/>
  <c r="F45" i="183"/>
  <c r="H45" i="183" s="1"/>
  <c r="J45" i="183" s="1"/>
  <c r="F44" i="183"/>
  <c r="H44" i="183" s="1"/>
  <c r="J44" i="183" s="1"/>
  <c r="F38" i="183"/>
  <c r="F24" i="183"/>
  <c r="H24" i="183" s="1"/>
  <c r="B88" i="183" l="1"/>
  <c r="J24" i="183"/>
  <c r="J25" i="183" s="1"/>
  <c r="I24" i="183"/>
  <c r="H84" i="183"/>
  <c r="J84" i="183" s="1"/>
  <c r="F83" i="183"/>
  <c r="G83" i="183" s="1"/>
  <c r="F82" i="183"/>
  <c r="G82" i="183" s="1"/>
  <c r="H79" i="183"/>
  <c r="H71" i="183"/>
  <c r="G67" i="183"/>
  <c r="F66" i="183"/>
  <c r="H66" i="183" s="1"/>
  <c r="I92" i="183" s="1"/>
  <c r="F61" i="183"/>
  <c r="H61" i="183" s="1"/>
  <c r="I61" i="183" s="1"/>
  <c r="F60" i="183"/>
  <c r="H60" i="183" s="1"/>
  <c r="I60" i="183" s="1"/>
  <c r="F59" i="183"/>
  <c r="H59" i="183" s="1"/>
  <c r="I59" i="183" s="1"/>
  <c r="F58" i="183"/>
  <c r="H58" i="183" s="1"/>
  <c r="I58" i="183" s="1"/>
  <c r="F57" i="183"/>
  <c r="H57" i="183" s="1"/>
  <c r="G55" i="183"/>
  <c r="F54" i="183"/>
  <c r="H54" i="183" s="1"/>
  <c r="G53" i="183"/>
  <c r="F52" i="183"/>
  <c r="H52" i="183" s="1"/>
  <c r="H51" i="183"/>
  <c r="F50" i="183"/>
  <c r="G50" i="183" s="1"/>
  <c r="F49" i="183"/>
  <c r="G49" i="183" s="1"/>
  <c r="F47" i="183"/>
  <c r="H47" i="183" s="1"/>
  <c r="F42" i="183"/>
  <c r="H42" i="183" s="1"/>
  <c r="I42" i="183" s="1"/>
  <c r="F40" i="183"/>
  <c r="H40" i="183" s="1"/>
  <c r="I40" i="183" s="1"/>
  <c r="F39" i="183"/>
  <c r="H39" i="183" s="1"/>
  <c r="I39" i="183" s="1"/>
  <c r="H38" i="183"/>
  <c r="I38" i="183" s="1"/>
  <c r="F43" i="183"/>
  <c r="H43" i="183" s="1"/>
  <c r="I90" i="183" s="1"/>
  <c r="F37" i="183"/>
  <c r="H37" i="183" s="1"/>
  <c r="I37" i="183" s="1"/>
  <c r="F36" i="183"/>
  <c r="H36" i="183" s="1"/>
  <c r="I36" i="183" s="1"/>
  <c r="F35" i="183"/>
  <c r="H35" i="183" s="1"/>
  <c r="I35" i="183" s="1"/>
  <c r="F34" i="183"/>
  <c r="H34" i="183" s="1"/>
  <c r="I34" i="183" s="1"/>
  <c r="F33" i="183"/>
  <c r="H33" i="183" s="1"/>
  <c r="I33" i="183" s="1"/>
  <c r="F32" i="183"/>
  <c r="H32" i="183" s="1"/>
  <c r="I32" i="183" s="1"/>
  <c r="F31" i="183"/>
  <c r="H31" i="183" s="1"/>
  <c r="F23" i="183"/>
  <c r="H23" i="183" s="1"/>
  <c r="I23" i="183" s="1"/>
  <c r="F22" i="183"/>
  <c r="H22" i="183" s="1"/>
  <c r="I22" i="183" s="1"/>
  <c r="F21" i="183"/>
  <c r="H21" i="183" s="1"/>
  <c r="I21" i="183" s="1"/>
  <c r="F20" i="183"/>
  <c r="H20" i="183" s="1"/>
  <c r="I20" i="183" s="1"/>
  <c r="F19" i="183"/>
  <c r="H19" i="183" s="1"/>
  <c r="I19" i="183" s="1"/>
  <c r="F18" i="183"/>
  <c r="H18" i="183" s="1"/>
  <c r="F16" i="183"/>
  <c r="H16" i="183" s="1"/>
  <c r="J16" i="183" s="1"/>
  <c r="F15" i="183"/>
  <c r="H15" i="183" s="1"/>
  <c r="F14" i="183"/>
  <c r="H14" i="183" s="1"/>
  <c r="G68" i="182"/>
  <c r="G52" i="182"/>
  <c r="I71" i="183" l="1"/>
  <c r="I81" i="183" s="1"/>
  <c r="H89" i="183"/>
  <c r="J89" i="183" s="1"/>
  <c r="H81" i="183"/>
  <c r="J79" i="183"/>
  <c r="J81" i="183" s="1"/>
  <c r="I89" i="183"/>
  <c r="E92" i="183"/>
  <c r="G51" i="183"/>
  <c r="G84" i="183"/>
  <c r="I31" i="183"/>
  <c r="I46" i="183" s="1"/>
  <c r="H46" i="183"/>
  <c r="I14" i="183"/>
  <c r="I17" i="183" s="1"/>
  <c r="H17" i="183"/>
  <c r="I18" i="183"/>
  <c r="I25" i="183" s="1"/>
  <c r="H90" i="183"/>
  <c r="H25" i="183"/>
  <c r="I57" i="183"/>
  <c r="I65" i="183" s="1"/>
  <c r="H65" i="183"/>
  <c r="J15" i="183"/>
  <c r="J17" i="183" s="1"/>
  <c r="I91" i="183"/>
  <c r="I94" i="183" s="1"/>
  <c r="B87" i="183"/>
  <c r="J66" i="183"/>
  <c r="J67" i="183" s="1"/>
  <c r="H53" i="183"/>
  <c r="I52" i="183"/>
  <c r="I53" i="183" s="1"/>
  <c r="H55" i="183"/>
  <c r="I54" i="183"/>
  <c r="I55" i="183" s="1"/>
  <c r="H48" i="183"/>
  <c r="I47" i="183"/>
  <c r="I48" i="183" s="1"/>
  <c r="J43" i="183"/>
  <c r="J46" i="183" s="1"/>
  <c r="H92" i="183"/>
  <c r="J92" i="183" s="1"/>
  <c r="H67" i="183"/>
  <c r="E90" i="183"/>
  <c r="B89" i="183"/>
  <c r="H91" i="183"/>
  <c r="J91" i="183" s="1"/>
  <c r="H93" i="183"/>
  <c r="J93" i="183" s="1"/>
  <c r="B91" i="180"/>
  <c r="F55" i="180"/>
  <c r="F54" i="180"/>
  <c r="F49" i="180"/>
  <c r="F38" i="180"/>
  <c r="J87" i="183" l="1"/>
  <c r="J85" i="183" s="1"/>
  <c r="H87" i="183"/>
  <c r="H85" i="183" s="1"/>
  <c r="I87" i="183"/>
  <c r="I85" i="183" s="1"/>
  <c r="H94" i="183"/>
  <c r="E94" i="183"/>
  <c r="J90" i="183"/>
  <c r="F29" i="182"/>
  <c r="H29" i="182" s="1"/>
  <c r="F32" i="182"/>
  <c r="H32" i="182" s="1"/>
  <c r="K34" i="183" l="1"/>
  <c r="J94" i="183"/>
  <c r="J95" i="183" s="1"/>
  <c r="J97" i="183" s="1"/>
  <c r="K93" i="183"/>
  <c r="K94" i="183"/>
  <c r="F50" i="180"/>
  <c r="F46" i="180"/>
  <c r="F27" i="180"/>
  <c r="F61" i="182" l="1"/>
  <c r="F60" i="182"/>
  <c r="F53" i="182"/>
  <c r="F50" i="182"/>
  <c r="F49" i="182"/>
  <c r="F48" i="182"/>
  <c r="F47" i="182"/>
  <c r="F46" i="182"/>
  <c r="F45" i="182"/>
  <c r="F51" i="182"/>
  <c r="F43" i="182"/>
  <c r="F41" i="182"/>
  <c r="F36" i="182"/>
  <c r="F34" i="182"/>
  <c r="F33" i="182"/>
  <c r="F28" i="182"/>
  <c r="F31" i="182"/>
  <c r="F30" i="182"/>
  <c r="F27" i="182"/>
  <c r="F26" i="182"/>
  <c r="F25" i="182"/>
  <c r="F24" i="182"/>
  <c r="F23" i="182"/>
  <c r="F21" i="182"/>
  <c r="F20" i="182"/>
  <c r="F19" i="182"/>
  <c r="F18" i="182"/>
  <c r="F17" i="182"/>
  <c r="F16" i="182"/>
  <c r="F14" i="182"/>
  <c r="F13" i="182"/>
  <c r="F12" i="182"/>
  <c r="G93" i="180"/>
  <c r="H83" i="180"/>
  <c r="J83" i="180" s="1"/>
  <c r="F82" i="180"/>
  <c r="G82" i="180" s="1"/>
  <c r="F81" i="180"/>
  <c r="G81" i="180" s="1"/>
  <c r="F80" i="180"/>
  <c r="G80" i="180" s="1"/>
  <c r="G79" i="180"/>
  <c r="H78" i="180"/>
  <c r="E91" i="180" s="1"/>
  <c r="H77" i="180"/>
  <c r="H76" i="180"/>
  <c r="H75" i="180"/>
  <c r="G74" i="180"/>
  <c r="F73" i="180"/>
  <c r="H73" i="180" s="1"/>
  <c r="H74" i="180" s="1"/>
  <c r="J74" i="180" s="1"/>
  <c r="G72" i="180"/>
  <c r="F71" i="180"/>
  <c r="H71" i="180" s="1"/>
  <c r="F70" i="180"/>
  <c r="H70" i="180" s="1"/>
  <c r="F69" i="180"/>
  <c r="H69" i="180" s="1"/>
  <c r="F68" i="180"/>
  <c r="H68" i="180" s="1"/>
  <c r="F67" i="180"/>
  <c r="H67" i="180" s="1"/>
  <c r="F66" i="180"/>
  <c r="H66" i="180" s="1"/>
  <c r="F65" i="180"/>
  <c r="H65" i="180" s="1"/>
  <c r="F64" i="180"/>
  <c r="H64" i="180" s="1"/>
  <c r="F63" i="180"/>
  <c r="H63" i="180" s="1"/>
  <c r="F62" i="180"/>
  <c r="H62" i="180" s="1"/>
  <c r="I61" i="180"/>
  <c r="G61" i="180"/>
  <c r="F60" i="180"/>
  <c r="H60" i="180" s="1"/>
  <c r="E87" i="180" s="1"/>
  <c r="F59" i="180"/>
  <c r="H59" i="180" s="1"/>
  <c r="G58" i="180"/>
  <c r="F57" i="180"/>
  <c r="H57" i="180" s="1"/>
  <c r="H58" i="180" s="1"/>
  <c r="J58" i="180" s="1"/>
  <c r="H56" i="180"/>
  <c r="J56" i="180" s="1"/>
  <c r="G55" i="180"/>
  <c r="G54" i="180"/>
  <c r="G53" i="180"/>
  <c r="F52" i="180"/>
  <c r="H52" i="180" s="1"/>
  <c r="H53" i="180" s="1"/>
  <c r="J53" i="180" s="1"/>
  <c r="G51" i="180"/>
  <c r="H50" i="180"/>
  <c r="H49" i="180"/>
  <c r="F48" i="180"/>
  <c r="H48" i="180" s="1"/>
  <c r="F47" i="180"/>
  <c r="H47" i="180" s="1"/>
  <c r="H46" i="180"/>
  <c r="F45" i="180"/>
  <c r="H45" i="180" s="1"/>
  <c r="F44" i="180"/>
  <c r="H44" i="180" s="1"/>
  <c r="F43" i="180"/>
  <c r="H43" i="180" s="1"/>
  <c r="F42" i="180"/>
  <c r="H42" i="180" s="1"/>
  <c r="F41" i="180"/>
  <c r="H41" i="180" s="1"/>
  <c r="F40" i="180"/>
  <c r="H40" i="180" s="1"/>
  <c r="G39" i="180"/>
  <c r="H38" i="180"/>
  <c r="B87" i="180" s="1"/>
  <c r="F37" i="180"/>
  <c r="H37" i="180" s="1"/>
  <c r="F36" i="180"/>
  <c r="H36" i="180" s="1"/>
  <c r="F35" i="180"/>
  <c r="H35" i="180" s="1"/>
  <c r="F34" i="180"/>
  <c r="H34" i="180" s="1"/>
  <c r="F33" i="180"/>
  <c r="H33" i="180" s="1"/>
  <c r="F32" i="180"/>
  <c r="H32" i="180" s="1"/>
  <c r="F31" i="180"/>
  <c r="H31" i="180" s="1"/>
  <c r="F30" i="180"/>
  <c r="H30" i="180" s="1"/>
  <c r="F29" i="180"/>
  <c r="H29" i="180" s="1"/>
  <c r="G28" i="180"/>
  <c r="H27" i="180"/>
  <c r="I90" i="180" s="1"/>
  <c r="F26" i="180"/>
  <c r="H26" i="180" s="1"/>
  <c r="F25" i="180"/>
  <c r="H25" i="180" s="1"/>
  <c r="F24" i="180"/>
  <c r="H24" i="180" s="1"/>
  <c r="F23" i="180"/>
  <c r="H23" i="180" s="1"/>
  <c r="F22" i="180"/>
  <c r="H22" i="180" s="1"/>
  <c r="F21" i="180"/>
  <c r="H21" i="180" s="1"/>
  <c r="F20" i="180"/>
  <c r="H20" i="180" s="1"/>
  <c r="F19" i="180"/>
  <c r="H19" i="180" s="1"/>
  <c r="F18" i="180"/>
  <c r="H18" i="180" s="1"/>
  <c r="F17" i="180"/>
  <c r="H17" i="180" s="1"/>
  <c r="F16" i="180"/>
  <c r="H16" i="180" s="1"/>
  <c r="F15" i="180"/>
  <c r="H15" i="180" s="1"/>
  <c r="F14" i="180"/>
  <c r="H14" i="180" s="1"/>
  <c r="F13" i="180"/>
  <c r="H13" i="180" s="1"/>
  <c r="F12" i="180"/>
  <c r="H12" i="180" s="1"/>
  <c r="H79" i="180" l="1"/>
  <c r="J79" i="180" s="1"/>
  <c r="H90" i="180"/>
  <c r="I89" i="180"/>
  <c r="H89" i="180"/>
  <c r="H85" i="180"/>
  <c r="J85" i="180" s="1"/>
  <c r="H61" i="180"/>
  <c r="J61" i="180" s="1"/>
  <c r="B86" i="180"/>
  <c r="H91" i="180"/>
  <c r="J91" i="180" s="1"/>
  <c r="H72" i="180"/>
  <c r="J72" i="180" s="1"/>
  <c r="G83" i="180"/>
  <c r="J89" i="180"/>
  <c r="H39" i="180"/>
  <c r="J39" i="180" s="1"/>
  <c r="H51" i="180"/>
  <c r="J51" i="180" s="1"/>
  <c r="B88" i="180"/>
  <c r="J90" i="180"/>
  <c r="H28" i="180"/>
  <c r="H88" i="180"/>
  <c r="I88" i="180"/>
  <c r="H92" i="180"/>
  <c r="J92" i="180" s="1"/>
  <c r="I93" i="180" l="1"/>
  <c r="H86" i="180"/>
  <c r="J28" i="180"/>
  <c r="J88" i="180"/>
  <c r="H93" i="180"/>
  <c r="J93" i="180" s="1"/>
  <c r="J94" i="180" s="1"/>
  <c r="J96" i="180" s="1"/>
  <c r="E93" i="180"/>
  <c r="K92" i="180" l="1"/>
  <c r="H84" i="180"/>
  <c r="J84" i="180" s="1"/>
  <c r="K93" i="180"/>
  <c r="J86" i="180"/>
  <c r="G72" i="182" l="1"/>
  <c r="H62" i="182"/>
  <c r="J62" i="182" s="1"/>
  <c r="G61" i="182"/>
  <c r="G60" i="182"/>
  <c r="G59" i="182"/>
  <c r="H58" i="182"/>
  <c r="K70" i="183" s="1"/>
  <c r="H57" i="182"/>
  <c r="H56" i="182"/>
  <c r="H55" i="182"/>
  <c r="G54" i="182"/>
  <c r="H53" i="182"/>
  <c r="H54" i="182" s="1"/>
  <c r="J54" i="182" s="1"/>
  <c r="H50" i="182"/>
  <c r="H49" i="182"/>
  <c r="H48" i="182"/>
  <c r="H47" i="182"/>
  <c r="H46" i="182"/>
  <c r="H45" i="182"/>
  <c r="H51" i="182"/>
  <c r="G44" i="182"/>
  <c r="H43" i="182"/>
  <c r="G42" i="182"/>
  <c r="H41" i="182"/>
  <c r="H40" i="182"/>
  <c r="J40" i="182" s="1"/>
  <c r="F39" i="182"/>
  <c r="G39" i="182" s="1"/>
  <c r="F38" i="182"/>
  <c r="G38" i="182" s="1"/>
  <c r="G37" i="182"/>
  <c r="H36" i="182"/>
  <c r="H37" i="182" s="1"/>
  <c r="J37" i="182" s="1"/>
  <c r="G35" i="182"/>
  <c r="H34" i="182"/>
  <c r="H33" i="182"/>
  <c r="H28" i="182"/>
  <c r="H31" i="182"/>
  <c r="H30" i="182"/>
  <c r="H27" i="182"/>
  <c r="H26" i="182"/>
  <c r="H25" i="182"/>
  <c r="H24" i="182"/>
  <c r="H23" i="182"/>
  <c r="G22" i="182"/>
  <c r="H21" i="182"/>
  <c r="H20" i="182"/>
  <c r="H19" i="182"/>
  <c r="H18" i="182"/>
  <c r="H17" i="182"/>
  <c r="H16" i="182"/>
  <c r="G15" i="182"/>
  <c r="H14" i="182"/>
  <c r="H13" i="182"/>
  <c r="H12" i="182"/>
  <c r="H69" i="182" s="1"/>
  <c r="K32" i="183" l="1"/>
  <c r="I68" i="182"/>
  <c r="K16" i="183"/>
  <c r="K58" i="183"/>
  <c r="K33" i="183"/>
  <c r="K15" i="183"/>
  <c r="K35" i="183"/>
  <c r="K36" i="183"/>
  <c r="H52" i="182"/>
  <c r="J52" i="182" s="1"/>
  <c r="G62" i="182"/>
  <c r="B67" i="182"/>
  <c r="H68" i="182"/>
  <c r="J68" i="182" s="1"/>
  <c r="I67" i="182"/>
  <c r="E70" i="182"/>
  <c r="B65" i="182"/>
  <c r="I69" i="182"/>
  <c r="E67" i="182"/>
  <c r="I70" i="182"/>
  <c r="H42" i="182"/>
  <c r="J42" i="182" s="1"/>
  <c r="H70" i="182"/>
  <c r="J70" i="182" s="1"/>
  <c r="H44" i="182"/>
  <c r="J44" i="182" s="1"/>
  <c r="H67" i="182"/>
  <c r="J67" i="182" s="1"/>
  <c r="H35" i="182"/>
  <c r="J35" i="182" s="1"/>
  <c r="J64" i="182"/>
  <c r="J69" i="182"/>
  <c r="H59" i="182"/>
  <c r="J59" i="182" s="1"/>
  <c r="H22" i="182"/>
  <c r="J22" i="182" s="1"/>
  <c r="H71" i="182"/>
  <c r="J71" i="182" s="1"/>
  <c r="H15" i="182"/>
  <c r="J117" i="185" l="1"/>
  <c r="I114" i="184"/>
  <c r="H99" i="183"/>
  <c r="E72" i="182"/>
  <c r="H72" i="182"/>
  <c r="J72" i="182" s="1"/>
  <c r="J73" i="182" s="1"/>
  <c r="J75" i="182" s="1"/>
  <c r="I72" i="182"/>
  <c r="J15" i="182"/>
  <c r="H65" i="182"/>
  <c r="K71" i="182" l="1"/>
  <c r="H63" i="182"/>
  <c r="J63" i="182" s="1"/>
  <c r="K72" i="182"/>
  <c r="J65" i="182"/>
  <c r="F55" i="178"/>
  <c r="H55" i="178" s="1"/>
  <c r="H88" i="178" l="1"/>
  <c r="F78" i="178"/>
  <c r="H78" i="178" s="1"/>
  <c r="G85" i="178"/>
  <c r="H42" i="178"/>
  <c r="F39" i="178"/>
  <c r="G39" i="178" s="1"/>
  <c r="H37" i="177"/>
  <c r="H79" i="178" l="1"/>
  <c r="G35" i="178"/>
  <c r="G23" i="178"/>
  <c r="F76" i="178" l="1"/>
  <c r="G76" i="178" s="1"/>
  <c r="F16" i="178"/>
  <c r="H16" i="178" s="1"/>
  <c r="F19" i="178"/>
  <c r="H19" i="178" s="1"/>
  <c r="F18" i="178" l="1"/>
  <c r="H18" i="178" s="1"/>
  <c r="H68" i="178"/>
  <c r="G74" i="178"/>
  <c r="H73" i="178"/>
  <c r="H72" i="178"/>
  <c r="H71" i="178"/>
  <c r="H70" i="178"/>
  <c r="H69" i="178"/>
  <c r="G89" i="178"/>
  <c r="B87" i="178"/>
  <c r="G38" i="178"/>
  <c r="F37" i="178"/>
  <c r="H37" i="178" s="1"/>
  <c r="B85" i="178" s="1"/>
  <c r="F61" i="178"/>
  <c r="H61" i="178" s="1"/>
  <c r="F58" i="178"/>
  <c r="H58" i="178" s="1"/>
  <c r="F57" i="178"/>
  <c r="H57" i="178" s="1"/>
  <c r="F53" i="178"/>
  <c r="H53" i="178" s="1"/>
  <c r="F31" i="178"/>
  <c r="H31" i="178" s="1"/>
  <c r="F30" i="178"/>
  <c r="H30" i="178" s="1"/>
  <c r="F32" i="178"/>
  <c r="H32" i="178" s="1"/>
  <c r="F29" i="178"/>
  <c r="H29" i="178" s="1"/>
  <c r="F28" i="178"/>
  <c r="H28" i="178" s="1"/>
  <c r="F27" i="178"/>
  <c r="H27" i="178" s="1"/>
  <c r="F26" i="178"/>
  <c r="H26" i="178" s="1"/>
  <c r="G59" i="178"/>
  <c r="J88" i="178"/>
  <c r="F77" i="178"/>
  <c r="G77" i="178" s="1"/>
  <c r="F75" i="178"/>
  <c r="G75" i="178" s="1"/>
  <c r="H67" i="178"/>
  <c r="H66" i="178"/>
  <c r="H65" i="178"/>
  <c r="H64" i="178"/>
  <c r="G63" i="178"/>
  <c r="F62" i="178"/>
  <c r="H62" i="178" s="1"/>
  <c r="F60" i="178"/>
  <c r="H60" i="178" s="1"/>
  <c r="F54" i="178"/>
  <c r="H54" i="178" s="1"/>
  <c r="F52" i="178"/>
  <c r="H52" i="178" s="1"/>
  <c r="F51" i="178"/>
  <c r="H51" i="178" s="1"/>
  <c r="F50" i="178"/>
  <c r="H50" i="178" s="1"/>
  <c r="F56" i="178"/>
  <c r="H56" i="178" s="1"/>
  <c r="F49" i="178"/>
  <c r="H49" i="178" s="1"/>
  <c r="F48" i="178"/>
  <c r="H48" i="178" s="1"/>
  <c r="F47" i="178"/>
  <c r="H47" i="178" s="1"/>
  <c r="I46" i="178"/>
  <c r="G46" i="178"/>
  <c r="H45" i="178"/>
  <c r="H46" i="178" s="1"/>
  <c r="G44" i="178"/>
  <c r="F43" i="178"/>
  <c r="H43" i="178" s="1"/>
  <c r="H44" i="178" s="1"/>
  <c r="J44" i="178" s="1"/>
  <c r="J42" i="178"/>
  <c r="F41" i="178"/>
  <c r="G41" i="178" s="1"/>
  <c r="F40" i="178"/>
  <c r="G40" i="178" s="1"/>
  <c r="F36" i="178"/>
  <c r="H36" i="178" s="1"/>
  <c r="F34" i="178"/>
  <c r="H34" i="178" s="1"/>
  <c r="F33" i="178"/>
  <c r="H33" i="178" s="1"/>
  <c r="F25" i="178"/>
  <c r="H25" i="178" s="1"/>
  <c r="F24" i="178"/>
  <c r="H24" i="178" s="1"/>
  <c r="F22" i="178"/>
  <c r="H22" i="178" s="1"/>
  <c r="F21" i="178"/>
  <c r="H21" i="178" s="1"/>
  <c r="F20" i="178"/>
  <c r="H20" i="178" s="1"/>
  <c r="F17" i="178"/>
  <c r="H17" i="178" s="1"/>
  <c r="G15" i="178"/>
  <c r="F14" i="178"/>
  <c r="H14" i="178" s="1"/>
  <c r="I86" i="178" s="1"/>
  <c r="F13" i="178"/>
  <c r="H13" i="178" s="1"/>
  <c r="F12" i="178"/>
  <c r="H12" i="178" s="1"/>
  <c r="H87" i="178" l="1"/>
  <c r="J87" i="178" s="1"/>
  <c r="G79" i="178"/>
  <c r="E85" i="178"/>
  <c r="I87" i="178"/>
  <c r="H85" i="178"/>
  <c r="J85" i="178" s="1"/>
  <c r="G42" i="178"/>
  <c r="H23" i="178"/>
  <c r="J23" i="178" s="1"/>
  <c r="H81" i="178"/>
  <c r="J81" i="178" s="1"/>
  <c r="H84" i="178"/>
  <c r="J84" i="178" s="1"/>
  <c r="H74" i="178"/>
  <c r="J74" i="178" s="1"/>
  <c r="H38" i="178"/>
  <c r="J38" i="178" s="1"/>
  <c r="H86" i="178"/>
  <c r="J86" i="178" s="1"/>
  <c r="E84" i="178"/>
  <c r="B84" i="178"/>
  <c r="I85" i="178"/>
  <c r="B82" i="178"/>
  <c r="B83" i="178"/>
  <c r="H63" i="178"/>
  <c r="J63" i="178" s="1"/>
  <c r="J46" i="178"/>
  <c r="H15" i="178"/>
  <c r="J15" i="178" s="1"/>
  <c r="J79" i="178"/>
  <c r="H59" i="178"/>
  <c r="J59" i="178" s="1"/>
  <c r="H35" i="178"/>
  <c r="J35" i="178" s="1"/>
  <c r="G17" i="177"/>
  <c r="F16" i="177"/>
  <c r="H16" i="177" s="1"/>
  <c r="G62" i="177"/>
  <c r="H61" i="177"/>
  <c r="I89" i="178" l="1"/>
  <c r="H70" i="177"/>
  <c r="H89" i="178"/>
  <c r="J89" i="178" s="1"/>
  <c r="J90" i="178" s="1"/>
  <c r="J92" i="178" s="1"/>
  <c r="E89" i="178"/>
  <c r="H82" i="178"/>
  <c r="G55" i="177"/>
  <c r="G52" i="177"/>
  <c r="G40" i="177"/>
  <c r="G32" i="177"/>
  <c r="B76" i="177"/>
  <c r="H68" i="177"/>
  <c r="F67" i="177"/>
  <c r="G67" i="177" s="1"/>
  <c r="F66" i="177"/>
  <c r="G66" i="177" s="1"/>
  <c r="F65" i="177"/>
  <c r="G65" i="177" s="1"/>
  <c r="F33" i="176"/>
  <c r="F39" i="177"/>
  <c r="H39" i="177" s="1"/>
  <c r="E75" i="177" s="1"/>
  <c r="F36" i="177"/>
  <c r="K88" i="178" l="1"/>
  <c r="K89" i="178"/>
  <c r="H80" i="178"/>
  <c r="J80" i="178" s="1"/>
  <c r="J82" i="178"/>
  <c r="F28" i="177"/>
  <c r="H28" i="177" s="1"/>
  <c r="J70" i="177" s="1"/>
  <c r="F31" i="177"/>
  <c r="H31" i="177" s="1"/>
  <c r="F30" i="177"/>
  <c r="H30" i="177" s="1"/>
  <c r="F20" i="177"/>
  <c r="H20" i="177" s="1"/>
  <c r="F19" i="177"/>
  <c r="H19" i="177" s="1"/>
  <c r="F18" i="177"/>
  <c r="H18" i="177" s="1"/>
  <c r="G78" i="177"/>
  <c r="H77" i="177"/>
  <c r="J77" i="177" s="1"/>
  <c r="F64" i="177"/>
  <c r="G64" i="177" s="1"/>
  <c r="F63" i="177"/>
  <c r="G63" i="177" s="1"/>
  <c r="H60" i="177"/>
  <c r="H59" i="177"/>
  <c r="H58" i="177"/>
  <c r="H57" i="177"/>
  <c r="H56" i="177"/>
  <c r="F54" i="177"/>
  <c r="H54" i="177" s="1"/>
  <c r="F53" i="177"/>
  <c r="H53" i="177" s="1"/>
  <c r="F51" i="177"/>
  <c r="H51" i="177" s="1"/>
  <c r="F49" i="177"/>
  <c r="H49" i="177" s="1"/>
  <c r="F50" i="177"/>
  <c r="H50" i="177" s="1"/>
  <c r="F48" i="177"/>
  <c r="H48" i="177" s="1"/>
  <c r="F47" i="177"/>
  <c r="H47" i="177" s="1"/>
  <c r="F46" i="177"/>
  <c r="H46" i="177" s="1"/>
  <c r="F45" i="177"/>
  <c r="H45" i="177" s="1"/>
  <c r="F44" i="177"/>
  <c r="H44" i="177" s="1"/>
  <c r="F43" i="177"/>
  <c r="H43" i="177" s="1"/>
  <c r="I42" i="177"/>
  <c r="G42" i="177"/>
  <c r="H41" i="177"/>
  <c r="F38" i="177"/>
  <c r="H38" i="177" s="1"/>
  <c r="J37" i="177"/>
  <c r="G36" i="177"/>
  <c r="F35" i="177"/>
  <c r="G35" i="177" s="1"/>
  <c r="G34" i="177"/>
  <c r="F33" i="177"/>
  <c r="H33" i="177" s="1"/>
  <c r="F29" i="177"/>
  <c r="H29" i="177" s="1"/>
  <c r="F27" i="177"/>
  <c r="H27" i="177" s="1"/>
  <c r="G26" i="177"/>
  <c r="F25" i="177"/>
  <c r="H25" i="177" s="1"/>
  <c r="F24" i="177"/>
  <c r="H24" i="177" s="1"/>
  <c r="F22" i="177"/>
  <c r="H22" i="177" s="1"/>
  <c r="F23" i="177"/>
  <c r="H23" i="177" s="1"/>
  <c r="F21" i="177"/>
  <c r="H21" i="177" s="1"/>
  <c r="F15" i="177"/>
  <c r="H15" i="177" s="1"/>
  <c r="F14" i="177"/>
  <c r="H14" i="177" s="1"/>
  <c r="F13" i="177"/>
  <c r="H13" i="177" s="1"/>
  <c r="F32" i="176"/>
  <c r="H60" i="176"/>
  <c r="H58" i="176"/>
  <c r="H57" i="176"/>
  <c r="G37" i="177" l="1"/>
  <c r="H17" i="177"/>
  <c r="H75" i="177"/>
  <c r="J75" i="177" s="1"/>
  <c r="H73" i="177"/>
  <c r="H62" i="177"/>
  <c r="J62" i="177" s="1"/>
  <c r="G68" i="177"/>
  <c r="H76" i="177"/>
  <c r="J76" i="177" s="1"/>
  <c r="B73" i="177"/>
  <c r="I74" i="177"/>
  <c r="B72" i="177"/>
  <c r="H74" i="177"/>
  <c r="J74" i="177" s="1"/>
  <c r="E73" i="177"/>
  <c r="B71" i="177"/>
  <c r="I75" i="177"/>
  <c r="I76" i="177"/>
  <c r="E74" i="177"/>
  <c r="E76" i="177"/>
  <c r="I73" i="177"/>
  <c r="J73" i="177"/>
  <c r="H32" i="177"/>
  <c r="J32" i="177" s="1"/>
  <c r="H40" i="177"/>
  <c r="J40" i="177" s="1"/>
  <c r="J68" i="177"/>
  <c r="H55" i="177"/>
  <c r="J55" i="177" s="1"/>
  <c r="H52" i="177"/>
  <c r="J52" i="177" s="1"/>
  <c r="H34" i="177"/>
  <c r="J34" i="177" s="1"/>
  <c r="H42" i="177"/>
  <c r="J42" i="177" s="1"/>
  <c r="H26" i="177"/>
  <c r="J26" i="177" s="1"/>
  <c r="G48" i="176"/>
  <c r="F47" i="176"/>
  <c r="H47" i="176" s="1"/>
  <c r="H34" i="176"/>
  <c r="B73" i="176"/>
  <c r="F45" i="176"/>
  <c r="H45" i="176" s="1"/>
  <c r="G62" i="176"/>
  <c r="H61" i="176"/>
  <c r="I70" i="176" s="1"/>
  <c r="F26" i="176"/>
  <c r="H26" i="176" s="1"/>
  <c r="B70" i="176" s="1"/>
  <c r="F22" i="176"/>
  <c r="H22" i="176" s="1"/>
  <c r="F21" i="176"/>
  <c r="H21" i="176" s="1"/>
  <c r="F37" i="176"/>
  <c r="G24" i="176"/>
  <c r="F23" i="176"/>
  <c r="H23" i="176" s="1"/>
  <c r="E78" i="177" l="1"/>
  <c r="I78" i="177"/>
  <c r="J17" i="177"/>
  <c r="H71" i="177"/>
  <c r="H78" i="177"/>
  <c r="J78" i="177" s="1"/>
  <c r="J79" i="177" s="1"/>
  <c r="J81" i="177" s="1"/>
  <c r="E73" i="176"/>
  <c r="H67" i="176"/>
  <c r="F30" i="176"/>
  <c r="H30" i="176" s="1"/>
  <c r="B71" i="176" s="1"/>
  <c r="K77" i="177" l="1"/>
  <c r="K78" i="177"/>
  <c r="H69" i="177"/>
  <c r="J69" i="177" s="1"/>
  <c r="J71" i="177"/>
  <c r="H56" i="176"/>
  <c r="F50" i="176" l="1"/>
  <c r="H50" i="176" s="1"/>
  <c r="I38" i="176"/>
  <c r="G33" i="176"/>
  <c r="G32" i="176"/>
  <c r="F43" i="175"/>
  <c r="G75" i="176"/>
  <c r="H65" i="176"/>
  <c r="H74" i="176" s="1"/>
  <c r="J74" i="176" s="1"/>
  <c r="F64" i="176"/>
  <c r="G64" i="176" s="1"/>
  <c r="F63" i="176"/>
  <c r="G63" i="176" s="1"/>
  <c r="H55" i="176"/>
  <c r="H54" i="176"/>
  <c r="H53" i="176"/>
  <c r="H52" i="176"/>
  <c r="G51" i="176"/>
  <c r="F49" i="176"/>
  <c r="H49" i="176" s="1"/>
  <c r="F46" i="176"/>
  <c r="H46" i="176" s="1"/>
  <c r="F44" i="176"/>
  <c r="H44" i="176" s="1"/>
  <c r="F43" i="176"/>
  <c r="H43" i="176" s="1"/>
  <c r="F42" i="176"/>
  <c r="H42" i="176" s="1"/>
  <c r="F41" i="176"/>
  <c r="H41" i="176" s="1"/>
  <c r="F40" i="176"/>
  <c r="H40" i="176" s="1"/>
  <c r="F39" i="176"/>
  <c r="H39" i="176" s="1"/>
  <c r="G38" i="176"/>
  <c r="H37" i="176"/>
  <c r="G36" i="176"/>
  <c r="F35" i="176"/>
  <c r="H35" i="176" s="1"/>
  <c r="H36" i="176" s="1"/>
  <c r="G31" i="176"/>
  <c r="F29" i="176"/>
  <c r="H29" i="176" s="1"/>
  <c r="F28" i="176"/>
  <c r="H28" i="176" s="1"/>
  <c r="G27" i="176"/>
  <c r="F25" i="176"/>
  <c r="H25" i="176" s="1"/>
  <c r="F20" i="176"/>
  <c r="H20" i="176" s="1"/>
  <c r="F19" i="176"/>
  <c r="H19" i="176" s="1"/>
  <c r="F18" i="176"/>
  <c r="H18" i="176" s="1"/>
  <c r="F17" i="176"/>
  <c r="H17" i="176" s="1"/>
  <c r="G16" i="176"/>
  <c r="F15" i="176"/>
  <c r="H15" i="176" s="1"/>
  <c r="F14" i="176"/>
  <c r="H14" i="176" s="1"/>
  <c r="F13" i="176"/>
  <c r="H13" i="176" s="1"/>
  <c r="H72" i="176" s="1"/>
  <c r="F48" i="175"/>
  <c r="F47" i="175"/>
  <c r="H47" i="175" s="1"/>
  <c r="H70" i="176" l="1"/>
  <c r="G34" i="176"/>
  <c r="H51" i="176"/>
  <c r="J51" i="176" s="1"/>
  <c r="H71" i="176"/>
  <c r="J71" i="176" s="1"/>
  <c r="I71" i="176"/>
  <c r="H73" i="176"/>
  <c r="J73" i="176" s="1"/>
  <c r="H48" i="176"/>
  <c r="J48" i="176" s="1"/>
  <c r="H62" i="176"/>
  <c r="J62" i="176" s="1"/>
  <c r="J70" i="176"/>
  <c r="B69" i="176"/>
  <c r="H31" i="176"/>
  <c r="J31" i="176" s="1"/>
  <c r="I72" i="176"/>
  <c r="B68" i="176"/>
  <c r="E69" i="176"/>
  <c r="H38" i="176"/>
  <c r="J38" i="176" s="1"/>
  <c r="I73" i="176"/>
  <c r="E71" i="176"/>
  <c r="H24" i="176"/>
  <c r="J24" i="176" s="1"/>
  <c r="J36" i="176"/>
  <c r="J34" i="176"/>
  <c r="J67" i="176"/>
  <c r="H16" i="176"/>
  <c r="J72" i="176"/>
  <c r="H27" i="176"/>
  <c r="J27" i="176" s="1"/>
  <c r="G65" i="176"/>
  <c r="J65" i="176"/>
  <c r="G69" i="175"/>
  <c r="G39" i="175"/>
  <c r="I75" i="176" l="1"/>
  <c r="H75" i="176"/>
  <c r="J75" i="176" s="1"/>
  <c r="J76" i="176" s="1"/>
  <c r="J78" i="176" s="1"/>
  <c r="J16" i="176"/>
  <c r="H68" i="176"/>
  <c r="E75" i="176"/>
  <c r="H68" i="175"/>
  <c r="K74" i="176" l="1"/>
  <c r="K75" i="176"/>
  <c r="H66" i="176"/>
  <c r="J66" i="176" s="1"/>
  <c r="J68" i="176"/>
  <c r="E80" i="175"/>
  <c r="I77" i="175"/>
  <c r="F38" i="175"/>
  <c r="H38" i="175" s="1"/>
  <c r="B80" i="175" l="1"/>
  <c r="G62" i="175" l="1"/>
  <c r="F60" i="175"/>
  <c r="H60" i="175" s="1"/>
  <c r="G30" i="175" l="1"/>
  <c r="F29" i="175"/>
  <c r="H29" i="175" s="1"/>
  <c r="B76" i="175" s="1"/>
  <c r="F61" i="175"/>
  <c r="H61" i="175" s="1"/>
  <c r="E77" i="175" s="1"/>
  <c r="G82" i="175"/>
  <c r="F16" i="175"/>
  <c r="H16" i="175" s="1"/>
  <c r="G19" i="175"/>
  <c r="F18" i="175"/>
  <c r="H18" i="175" s="1"/>
  <c r="F17" i="175"/>
  <c r="H17" i="175" s="1"/>
  <c r="F15" i="175"/>
  <c r="H15" i="175" s="1"/>
  <c r="G49" i="175"/>
  <c r="F14" i="175"/>
  <c r="F13" i="175"/>
  <c r="H74" i="175" l="1"/>
  <c r="B75" i="175"/>
  <c r="I79" i="175"/>
  <c r="F63" i="175"/>
  <c r="F41" i="175"/>
  <c r="F40" i="175"/>
  <c r="F37" i="175"/>
  <c r="F36" i="175"/>
  <c r="F35" i="175"/>
  <c r="F34" i="175"/>
  <c r="F33" i="175"/>
  <c r="F32" i="175"/>
  <c r="F31" i="175"/>
  <c r="G93" i="174" l="1"/>
  <c r="G97" i="174" s="1"/>
  <c r="F52" i="175"/>
  <c r="H52" i="175" s="1"/>
  <c r="F53" i="175"/>
  <c r="H53" i="175" s="1"/>
  <c r="F54" i="175"/>
  <c r="H54" i="175" s="1"/>
  <c r="F55" i="175"/>
  <c r="H55" i="175" s="1"/>
  <c r="F56" i="175"/>
  <c r="H56" i="175" s="1"/>
  <c r="F57" i="175"/>
  <c r="H57" i="175" s="1"/>
  <c r="F58" i="175"/>
  <c r="H58" i="175" s="1"/>
  <c r="F59" i="175"/>
  <c r="H59" i="175" s="1"/>
  <c r="H72" i="175"/>
  <c r="J72" i="175" s="1"/>
  <c r="F71" i="175"/>
  <c r="G71" i="175" s="1"/>
  <c r="F70" i="175"/>
  <c r="G70" i="175" s="1"/>
  <c r="H67" i="175"/>
  <c r="H66" i="175"/>
  <c r="H65" i="175"/>
  <c r="G64" i="175"/>
  <c r="H63" i="175"/>
  <c r="G51" i="175"/>
  <c r="H50" i="175"/>
  <c r="H51" i="175" s="1"/>
  <c r="J51" i="175" s="1"/>
  <c r="F46" i="175"/>
  <c r="H46" i="175" s="1"/>
  <c r="H45" i="175"/>
  <c r="J45" i="175" s="1"/>
  <c r="G44" i="175"/>
  <c r="G43" i="175"/>
  <c r="G42" i="175"/>
  <c r="H41" i="175"/>
  <c r="H40" i="175"/>
  <c r="H37" i="175"/>
  <c r="I78" i="175" s="1"/>
  <c r="H36" i="175"/>
  <c r="H35" i="175"/>
  <c r="H34" i="175"/>
  <c r="H33" i="175"/>
  <c r="H32" i="175"/>
  <c r="H31" i="175"/>
  <c r="F28" i="175"/>
  <c r="H28" i="175" s="1"/>
  <c r="F27" i="175"/>
  <c r="H27" i="175" s="1"/>
  <c r="F26" i="175"/>
  <c r="H26" i="175" s="1"/>
  <c r="F25" i="175"/>
  <c r="H25" i="175" s="1"/>
  <c r="F24" i="175"/>
  <c r="H24" i="175" s="1"/>
  <c r="F23" i="175"/>
  <c r="H23" i="175" s="1"/>
  <c r="F22" i="175"/>
  <c r="H22" i="175" s="1"/>
  <c r="F21" i="175"/>
  <c r="H21" i="175" s="1"/>
  <c r="F20" i="175"/>
  <c r="H20" i="175" s="1"/>
  <c r="H14" i="175"/>
  <c r="H13" i="175"/>
  <c r="H69" i="175" l="1"/>
  <c r="H39" i="175"/>
  <c r="J39" i="175" s="1"/>
  <c r="H79" i="175"/>
  <c r="J79" i="175" s="1"/>
  <c r="H78" i="175"/>
  <c r="J78" i="175" s="1"/>
  <c r="B77" i="175"/>
  <c r="E78" i="175"/>
  <c r="I80" i="175"/>
  <c r="H80" i="175"/>
  <c r="J80" i="175" s="1"/>
  <c r="H62" i="175"/>
  <c r="J62" i="175" s="1"/>
  <c r="H30" i="175"/>
  <c r="J30" i="175" s="1"/>
  <c r="H19" i="175"/>
  <c r="J19" i="175" s="1"/>
  <c r="H49" i="175"/>
  <c r="J49" i="175" s="1"/>
  <c r="H42" i="175"/>
  <c r="J42" i="175" s="1"/>
  <c r="H77" i="175"/>
  <c r="J77" i="175" s="1"/>
  <c r="G45" i="175"/>
  <c r="H64" i="175"/>
  <c r="J64" i="175" s="1"/>
  <c r="J74" i="175"/>
  <c r="G72" i="175"/>
  <c r="H81" i="175"/>
  <c r="J81" i="175" s="1"/>
  <c r="J69" i="175"/>
  <c r="H82" i="175" l="1"/>
  <c r="J82" i="175" s="1"/>
  <c r="J83" i="175" s="1"/>
  <c r="J85" i="175" s="1"/>
  <c r="I82" i="175"/>
  <c r="H75" i="175"/>
  <c r="E82" i="175"/>
  <c r="K81" i="175" l="1"/>
  <c r="K82" i="175"/>
  <c r="H73" i="175"/>
  <c r="J73" i="175" s="1"/>
  <c r="J75" i="175"/>
  <c r="B95" i="174" l="1"/>
  <c r="H57" i="174"/>
  <c r="F56" i="174"/>
  <c r="G56" i="174" s="1"/>
  <c r="G50" i="174"/>
  <c r="F43" i="174"/>
  <c r="H43" i="174" s="1"/>
  <c r="F49" i="174"/>
  <c r="H49" i="174" s="1"/>
  <c r="F86" i="174" l="1"/>
  <c r="G86" i="174" s="1"/>
  <c r="F85" i="174"/>
  <c r="G85" i="174" s="1"/>
  <c r="F84" i="174"/>
  <c r="F83" i="174"/>
  <c r="F82" i="174"/>
  <c r="H87" i="174" l="1"/>
  <c r="J87" i="174" s="1"/>
  <c r="G15" i="174" l="1"/>
  <c r="G32" i="174"/>
  <c r="F72" i="174" l="1"/>
  <c r="F70" i="174"/>
  <c r="F69" i="174"/>
  <c r="F68" i="174"/>
  <c r="F67" i="174"/>
  <c r="F66" i="174"/>
  <c r="F65" i="174"/>
  <c r="F64" i="174"/>
  <c r="F63" i="174"/>
  <c r="F62" i="174"/>
  <c r="F55" i="174"/>
  <c r="F31" i="174" l="1"/>
  <c r="H31" i="174" s="1"/>
  <c r="F30" i="174"/>
  <c r="H30" i="174" s="1"/>
  <c r="F29" i="174"/>
  <c r="H29" i="174" s="1"/>
  <c r="F28" i="174"/>
  <c r="H28" i="174" s="1"/>
  <c r="F27" i="174"/>
  <c r="H27" i="174" s="1"/>
  <c r="F26" i="174"/>
  <c r="H26" i="174" s="1"/>
  <c r="F25" i="174"/>
  <c r="F24" i="174"/>
  <c r="F23" i="174"/>
  <c r="F22" i="174"/>
  <c r="F21" i="174"/>
  <c r="F20" i="174"/>
  <c r="F19" i="174"/>
  <c r="F18" i="174"/>
  <c r="F17" i="174"/>
  <c r="F16" i="174"/>
  <c r="F60" i="174"/>
  <c r="F14" i="174"/>
  <c r="F58" i="174"/>
  <c r="F48" i="174"/>
  <c r="F47" i="174"/>
  <c r="F46" i="174"/>
  <c r="F45" i="174"/>
  <c r="F44" i="174"/>
  <c r="F42" i="174"/>
  <c r="F41" i="174"/>
  <c r="F40" i="174"/>
  <c r="F39" i="174"/>
  <c r="F38" i="174"/>
  <c r="F71" i="174"/>
  <c r="H48" i="174" l="1"/>
  <c r="H47" i="174"/>
  <c r="H46" i="174"/>
  <c r="H45" i="174"/>
  <c r="H42" i="174"/>
  <c r="H44" i="174"/>
  <c r="H72" i="174"/>
  <c r="H71" i="174"/>
  <c r="H41" i="174"/>
  <c r="H22" i="174"/>
  <c r="H24" i="174"/>
  <c r="K13" i="172"/>
  <c r="B96" i="174"/>
  <c r="H96" i="174"/>
  <c r="J96" i="174" s="1"/>
  <c r="G84" i="174"/>
  <c r="G83" i="174"/>
  <c r="G82" i="174"/>
  <c r="G81" i="174"/>
  <c r="H80" i="174"/>
  <c r="H79" i="174"/>
  <c r="H78" i="174"/>
  <c r="H77" i="174"/>
  <c r="H76" i="174"/>
  <c r="G75" i="174"/>
  <c r="F74" i="174"/>
  <c r="H74" i="174" s="1"/>
  <c r="G73" i="174"/>
  <c r="H70" i="174"/>
  <c r="H69" i="174"/>
  <c r="H68" i="174"/>
  <c r="H67" i="174"/>
  <c r="H66" i="174"/>
  <c r="H65" i="174"/>
  <c r="H64" i="174"/>
  <c r="H63" i="174"/>
  <c r="H62" i="174"/>
  <c r="G61" i="174"/>
  <c r="H60" i="174"/>
  <c r="H61" i="174" s="1"/>
  <c r="J61" i="174" s="1"/>
  <c r="G59" i="174"/>
  <c r="H58" i="174"/>
  <c r="J57" i="174"/>
  <c r="G55" i="174"/>
  <c r="G57" i="174" s="1"/>
  <c r="G54" i="174"/>
  <c r="F53" i="174"/>
  <c r="H53" i="174" s="1"/>
  <c r="F52" i="174"/>
  <c r="H52" i="174" s="1"/>
  <c r="F51" i="174"/>
  <c r="H51" i="174" s="1"/>
  <c r="H40" i="174"/>
  <c r="H39" i="174"/>
  <c r="H38" i="174"/>
  <c r="F37" i="174"/>
  <c r="H37" i="174" s="1"/>
  <c r="F36" i="174"/>
  <c r="H36" i="174" s="1"/>
  <c r="F35" i="174"/>
  <c r="H35" i="174" s="1"/>
  <c r="F34" i="174"/>
  <c r="H34" i="174" s="1"/>
  <c r="H33" i="174"/>
  <c r="H25" i="174"/>
  <c r="H89" i="174" s="1"/>
  <c r="H21" i="174"/>
  <c r="H23" i="174"/>
  <c r="H20" i="174"/>
  <c r="H19" i="174"/>
  <c r="H18" i="174"/>
  <c r="H17" i="174"/>
  <c r="H16" i="174"/>
  <c r="H14" i="174"/>
  <c r="F13" i="174"/>
  <c r="H13" i="174" s="1"/>
  <c r="I93" i="174" l="1"/>
  <c r="H93" i="174"/>
  <c r="J93" i="174" s="1"/>
  <c r="H50" i="174"/>
  <c r="J50" i="174" s="1"/>
  <c r="H54" i="174"/>
  <c r="J54" i="174" s="1"/>
  <c r="G87" i="174"/>
  <c r="H92" i="174"/>
  <c r="H32" i="174"/>
  <c r="J32" i="174" s="1"/>
  <c r="H95" i="174"/>
  <c r="J95" i="174" s="1"/>
  <c r="H15" i="174"/>
  <c r="H94" i="174"/>
  <c r="J94" i="174" s="1"/>
  <c r="I95" i="174"/>
  <c r="E92" i="174"/>
  <c r="B91" i="174"/>
  <c r="B92" i="174"/>
  <c r="H59" i="174"/>
  <c r="J59" i="174" s="1"/>
  <c r="E94" i="174"/>
  <c r="H81" i="174"/>
  <c r="J81" i="174" s="1"/>
  <c r="J89" i="174"/>
  <c r="H75" i="174"/>
  <c r="J75" i="174" s="1"/>
  <c r="H73" i="174"/>
  <c r="J73" i="174" s="1"/>
  <c r="E97" i="174" l="1"/>
  <c r="H97" i="174"/>
  <c r="J97" i="174" s="1"/>
  <c r="J98" i="174" s="1"/>
  <c r="J92" i="174"/>
  <c r="I97" i="174"/>
  <c r="H90" i="174"/>
  <c r="H88" i="174" s="1"/>
  <c r="J15" i="174"/>
  <c r="J88" i="174" l="1"/>
  <c r="J90" i="174"/>
  <c r="G90" i="173" l="1"/>
  <c r="G89" i="173"/>
  <c r="B92" i="173"/>
  <c r="F82" i="173"/>
  <c r="G82" i="173" s="1"/>
  <c r="F81" i="173"/>
  <c r="F80" i="173"/>
  <c r="G80" i="173" s="1"/>
  <c r="B91" i="173"/>
  <c r="G79" i="173" l="1"/>
  <c r="H78" i="173"/>
  <c r="H77" i="173"/>
  <c r="H76" i="173"/>
  <c r="F62" i="173"/>
  <c r="H62" i="173" s="1"/>
  <c r="F25" i="173"/>
  <c r="H25" i="173" s="1"/>
  <c r="F61" i="173"/>
  <c r="H61" i="173" s="1"/>
  <c r="F60" i="173"/>
  <c r="H60" i="173" s="1"/>
  <c r="F59" i="173"/>
  <c r="H59" i="173" s="1"/>
  <c r="F43" i="173"/>
  <c r="H43" i="173" s="1"/>
  <c r="H83" i="173"/>
  <c r="J83" i="173" s="1"/>
  <c r="G81" i="173"/>
  <c r="G83" i="173" s="1"/>
  <c r="H75" i="173"/>
  <c r="H74" i="173"/>
  <c r="H73" i="173"/>
  <c r="H72" i="173"/>
  <c r="H71" i="173"/>
  <c r="H70" i="173"/>
  <c r="H69" i="173"/>
  <c r="G68" i="173"/>
  <c r="F67" i="173"/>
  <c r="H67" i="173" s="1"/>
  <c r="F66" i="173"/>
  <c r="H66" i="173" s="1"/>
  <c r="F65" i="173"/>
  <c r="H65" i="173" s="1"/>
  <c r="G64" i="173"/>
  <c r="F63" i="173"/>
  <c r="H63" i="173" s="1"/>
  <c r="F58" i="173"/>
  <c r="H58" i="173" s="1"/>
  <c r="F57" i="173"/>
  <c r="H57" i="173" s="1"/>
  <c r="F56" i="173"/>
  <c r="H56" i="173" s="1"/>
  <c r="F55" i="173"/>
  <c r="H55" i="173" s="1"/>
  <c r="F54" i="173"/>
  <c r="H54" i="173" s="1"/>
  <c r="F53" i="173"/>
  <c r="H53" i="173" s="1"/>
  <c r="F52" i="173"/>
  <c r="H52" i="173" s="1"/>
  <c r="G51" i="173"/>
  <c r="F50" i="173"/>
  <c r="H50" i="173" s="1"/>
  <c r="H51" i="173" s="1"/>
  <c r="J51" i="173" s="1"/>
  <c r="G49" i="173"/>
  <c r="F48" i="173"/>
  <c r="H48" i="173" s="1"/>
  <c r="H49" i="173" s="1"/>
  <c r="J49" i="173" s="1"/>
  <c r="H47" i="173"/>
  <c r="J47" i="173" s="1"/>
  <c r="G46" i="173"/>
  <c r="G45" i="173"/>
  <c r="F44" i="173"/>
  <c r="H44" i="173" s="1"/>
  <c r="F42" i="173"/>
  <c r="H42" i="173" s="1"/>
  <c r="G41" i="173"/>
  <c r="F40" i="173"/>
  <c r="H40" i="173" s="1"/>
  <c r="F39" i="173"/>
  <c r="H39" i="173" s="1"/>
  <c r="F38" i="173"/>
  <c r="H38" i="173" s="1"/>
  <c r="F37" i="173"/>
  <c r="H37" i="173" s="1"/>
  <c r="F36" i="173"/>
  <c r="H36" i="173" s="1"/>
  <c r="F35" i="173"/>
  <c r="H35" i="173" s="1"/>
  <c r="F34" i="173"/>
  <c r="H34" i="173" s="1"/>
  <c r="F33" i="173"/>
  <c r="H33" i="173" s="1"/>
  <c r="F32" i="173"/>
  <c r="H32" i="173" s="1"/>
  <c r="F31" i="173"/>
  <c r="H31" i="173" s="1"/>
  <c r="F30" i="173"/>
  <c r="H30" i="173" s="1"/>
  <c r="F29" i="173"/>
  <c r="H29" i="173" s="1"/>
  <c r="G28" i="173"/>
  <c r="F27" i="173"/>
  <c r="H27" i="173" s="1"/>
  <c r="F26" i="173"/>
  <c r="H26" i="173" s="1"/>
  <c r="F24" i="173"/>
  <c r="H24" i="173" s="1"/>
  <c r="F23" i="173"/>
  <c r="H23" i="173" s="1"/>
  <c r="F22" i="173"/>
  <c r="H22" i="173" s="1"/>
  <c r="F21" i="173"/>
  <c r="H21" i="173" s="1"/>
  <c r="F20" i="173"/>
  <c r="H20" i="173" s="1"/>
  <c r="F19" i="173"/>
  <c r="H19" i="173" s="1"/>
  <c r="F18" i="173"/>
  <c r="H18" i="173" s="1"/>
  <c r="F17" i="173"/>
  <c r="H17" i="173" s="1"/>
  <c r="G16" i="173"/>
  <c r="F15" i="173"/>
  <c r="H15" i="173" s="1"/>
  <c r="F14" i="173"/>
  <c r="H14" i="173" s="1"/>
  <c r="F13" i="173"/>
  <c r="H13" i="173" s="1"/>
  <c r="G96" i="172"/>
  <c r="B96" i="172"/>
  <c r="G94" i="172"/>
  <c r="G98" i="172" s="1"/>
  <c r="H84" i="172"/>
  <c r="H83" i="172"/>
  <c r="E96" i="172" s="1"/>
  <c r="F41" i="172"/>
  <c r="H41" i="172" s="1"/>
  <c r="F40" i="172"/>
  <c r="H40" i="172" s="1"/>
  <c r="B87" i="173" l="1"/>
  <c r="H89" i="173"/>
  <c r="I90" i="173"/>
  <c r="B86" i="173"/>
  <c r="H88" i="173"/>
  <c r="I88" i="173"/>
  <c r="E91" i="173"/>
  <c r="H90" i="173"/>
  <c r="J90" i="173" s="1"/>
  <c r="I91" i="173"/>
  <c r="E88" i="173"/>
  <c r="H85" i="173"/>
  <c r="J85" i="173" s="1"/>
  <c r="B88" i="173"/>
  <c r="I89" i="173"/>
  <c r="H91" i="173"/>
  <c r="J91" i="173" s="1"/>
  <c r="H79" i="173"/>
  <c r="J79" i="173" s="1"/>
  <c r="I93" i="172"/>
  <c r="H68" i="173"/>
  <c r="J68" i="173" s="1"/>
  <c r="H64" i="173"/>
  <c r="J64" i="173" s="1"/>
  <c r="H28" i="173"/>
  <c r="J28" i="173" s="1"/>
  <c r="J89" i="173"/>
  <c r="J88" i="173"/>
  <c r="H92" i="173"/>
  <c r="J92" i="173" s="1"/>
  <c r="G47" i="173"/>
  <c r="H45" i="173"/>
  <c r="J45" i="173" s="1"/>
  <c r="H41" i="173"/>
  <c r="J41" i="173" s="1"/>
  <c r="H16" i="173"/>
  <c r="F20" i="172"/>
  <c r="H20" i="172" s="1"/>
  <c r="H90" i="172" s="1"/>
  <c r="F19" i="172"/>
  <c r="H19" i="172" s="1"/>
  <c r="H88" i="172"/>
  <c r="F87" i="172"/>
  <c r="G87" i="172" s="1"/>
  <c r="F74" i="172"/>
  <c r="H74" i="172" s="1"/>
  <c r="F18" i="172"/>
  <c r="H18" i="172" s="1"/>
  <c r="F21" i="172"/>
  <c r="H21" i="172" s="1"/>
  <c r="F22" i="172"/>
  <c r="H22" i="172" s="1"/>
  <c r="F23" i="172"/>
  <c r="H23" i="172" s="1"/>
  <c r="F24" i="172"/>
  <c r="H24" i="172" s="1"/>
  <c r="F25" i="172"/>
  <c r="H25" i="172" s="1"/>
  <c r="F26" i="172"/>
  <c r="H26" i="172" s="1"/>
  <c r="F27" i="172"/>
  <c r="H27" i="172" s="1"/>
  <c r="F28" i="172"/>
  <c r="H28" i="172" s="1"/>
  <c r="F86" i="172"/>
  <c r="G86" i="172" s="1"/>
  <c r="G85" i="172"/>
  <c r="H82" i="172"/>
  <c r="H81" i="172"/>
  <c r="H80" i="172"/>
  <c r="H79" i="172"/>
  <c r="H78" i="172"/>
  <c r="H77" i="172"/>
  <c r="G76" i="172"/>
  <c r="F75" i="172"/>
  <c r="H75" i="172" s="1"/>
  <c r="F73" i="172"/>
  <c r="H73" i="172" s="1"/>
  <c r="G72" i="172"/>
  <c r="E93" i="172"/>
  <c r="F71" i="172"/>
  <c r="H71" i="172" s="1"/>
  <c r="F70" i="172"/>
  <c r="H70" i="172" s="1"/>
  <c r="F69" i="172"/>
  <c r="H69" i="172" s="1"/>
  <c r="F68" i="172"/>
  <c r="H68" i="172" s="1"/>
  <c r="F67" i="172"/>
  <c r="H67" i="172" s="1"/>
  <c r="F66" i="172"/>
  <c r="H66" i="172" s="1"/>
  <c r="F65" i="172"/>
  <c r="H65" i="172" s="1"/>
  <c r="F64" i="172"/>
  <c r="H64" i="172" s="1"/>
  <c r="F63" i="172"/>
  <c r="H63" i="172" s="1"/>
  <c r="G62" i="172"/>
  <c r="F61" i="172"/>
  <c r="H61" i="172" s="1"/>
  <c r="G60" i="172"/>
  <c r="F59" i="172"/>
  <c r="H59" i="172" s="1"/>
  <c r="F58" i="172"/>
  <c r="H58" i="172" s="1"/>
  <c r="H57" i="172"/>
  <c r="J57" i="172" s="1"/>
  <c r="F56" i="172"/>
  <c r="G56" i="172" s="1"/>
  <c r="F55" i="172"/>
  <c r="G55" i="172" s="1"/>
  <c r="G54" i="172"/>
  <c r="F53" i="172"/>
  <c r="H53" i="172" s="1"/>
  <c r="F52" i="172"/>
  <c r="H52" i="172" s="1"/>
  <c r="G51" i="172"/>
  <c r="F50" i="172"/>
  <c r="H50" i="172" s="1"/>
  <c r="F49" i="172"/>
  <c r="H49" i="172" s="1"/>
  <c r="F48" i="172"/>
  <c r="H48" i="172" s="1"/>
  <c r="F47" i="172"/>
  <c r="H47" i="172" s="1"/>
  <c r="F46" i="172"/>
  <c r="H46" i="172" s="1"/>
  <c r="F45" i="172"/>
  <c r="H45" i="172" s="1"/>
  <c r="F44" i="172"/>
  <c r="H44" i="172" s="1"/>
  <c r="F43" i="172"/>
  <c r="H43" i="172" s="1"/>
  <c r="F42" i="172"/>
  <c r="H42" i="172" s="1"/>
  <c r="F39" i="172"/>
  <c r="H39" i="172" s="1"/>
  <c r="F38" i="172"/>
  <c r="H38" i="172" s="1"/>
  <c r="F37" i="172"/>
  <c r="H37" i="172" s="1"/>
  <c r="F36" i="172"/>
  <c r="H36" i="172" s="1"/>
  <c r="F35" i="172"/>
  <c r="H35" i="172" s="1"/>
  <c r="F34" i="172"/>
  <c r="H34" i="172" s="1"/>
  <c r="F33" i="172"/>
  <c r="H33" i="172" s="1"/>
  <c r="F32" i="172"/>
  <c r="H32" i="172" s="1"/>
  <c r="F31" i="172"/>
  <c r="H31" i="172" s="1"/>
  <c r="F30" i="172"/>
  <c r="H30" i="172" s="1"/>
  <c r="G29" i="172"/>
  <c r="F17" i="172"/>
  <c r="H17" i="172" s="1"/>
  <c r="G16" i="172"/>
  <c r="F15" i="172"/>
  <c r="H15" i="172" s="1"/>
  <c r="F14" i="172"/>
  <c r="H14" i="172" s="1"/>
  <c r="F13" i="172"/>
  <c r="H13" i="172" s="1"/>
  <c r="H95" i="172" s="1"/>
  <c r="H93" i="172" l="1"/>
  <c r="E94" i="172"/>
  <c r="I96" i="172"/>
  <c r="J88" i="172"/>
  <c r="H97" i="172"/>
  <c r="J97" i="172" s="1"/>
  <c r="E93" i="173"/>
  <c r="H96" i="172"/>
  <c r="J96" i="172" s="1"/>
  <c r="H94" i="172"/>
  <c r="I93" i="173"/>
  <c r="H86" i="173"/>
  <c r="J16" i="173"/>
  <c r="H93" i="173"/>
  <c r="J93" i="173" s="1"/>
  <c r="E95" i="172"/>
  <c r="B93" i="172"/>
  <c r="B92" i="172"/>
  <c r="I94" i="172"/>
  <c r="B91" i="172"/>
  <c r="I95" i="172"/>
  <c r="G57" i="172"/>
  <c r="G88" i="172"/>
  <c r="H62" i="172"/>
  <c r="J62" i="172" s="1"/>
  <c r="H60" i="172"/>
  <c r="J60" i="172" s="1"/>
  <c r="J93" i="172"/>
  <c r="H72" i="172"/>
  <c r="J72" i="172" s="1"/>
  <c r="H85" i="172"/>
  <c r="J85" i="172" s="1"/>
  <c r="J95" i="172"/>
  <c r="H54" i="172"/>
  <c r="J54" i="172" s="1"/>
  <c r="H51" i="172"/>
  <c r="J51" i="172" s="1"/>
  <c r="J90" i="172"/>
  <c r="H29" i="172"/>
  <c r="J29" i="172" s="1"/>
  <c r="H76" i="172"/>
  <c r="J76" i="172" s="1"/>
  <c r="H16" i="172"/>
  <c r="J86" i="173" l="1"/>
  <c r="H84" i="173"/>
  <c r="J84" i="173" s="1"/>
  <c r="J16" i="172"/>
  <c r="H91" i="172"/>
  <c r="H98" i="172"/>
  <c r="J98" i="172" s="1"/>
  <c r="E98" i="172"/>
  <c r="J94" i="172"/>
  <c r="I98" i="172"/>
  <c r="H89" i="172" l="1"/>
  <c r="J89" i="172" s="1"/>
  <c r="J91" i="172"/>
  <c r="G56" i="171" l="1"/>
  <c r="F55" i="171"/>
  <c r="H55" i="171" s="1"/>
  <c r="F54" i="171"/>
  <c r="H54" i="171" s="1"/>
  <c r="F93" i="171"/>
  <c r="G93" i="171" s="1"/>
  <c r="B102" i="171"/>
  <c r="G51" i="171"/>
  <c r="F50" i="171"/>
  <c r="H50" i="171" s="1"/>
  <c r="F49" i="171"/>
  <c r="H49" i="171" s="1"/>
  <c r="F48" i="171"/>
  <c r="H48" i="171" s="1"/>
  <c r="F47" i="171"/>
  <c r="H47" i="171" s="1"/>
  <c r="F46" i="171"/>
  <c r="H46" i="171" s="1"/>
  <c r="F45" i="171"/>
  <c r="H45" i="171" s="1"/>
  <c r="F44" i="171"/>
  <c r="H44" i="171" s="1"/>
  <c r="F43" i="171"/>
  <c r="H43" i="171" s="1"/>
  <c r="F42" i="171"/>
  <c r="H42" i="171" s="1"/>
  <c r="G26" i="171"/>
  <c r="F25" i="171"/>
  <c r="H25" i="171" s="1"/>
  <c r="B98" i="171" s="1"/>
  <c r="H91" i="171"/>
  <c r="B99" i="171" l="1"/>
  <c r="I100" i="171"/>
  <c r="H60" i="171"/>
  <c r="F59" i="171"/>
  <c r="G59" i="171" s="1"/>
  <c r="F58" i="171"/>
  <c r="G58" i="171" s="1"/>
  <c r="F37" i="171"/>
  <c r="H37" i="171" s="1"/>
  <c r="F41" i="171"/>
  <c r="H41" i="171" s="1"/>
  <c r="F24" i="171" l="1"/>
  <c r="H24" i="171" s="1"/>
  <c r="H96" i="171" s="1"/>
  <c r="F15" i="171"/>
  <c r="H15" i="171" s="1"/>
  <c r="H103" i="171"/>
  <c r="J103" i="171" s="1"/>
  <c r="H94" i="171"/>
  <c r="J94" i="171" s="1"/>
  <c r="G94" i="171"/>
  <c r="G92" i="171"/>
  <c r="H90" i="171"/>
  <c r="H89" i="171"/>
  <c r="H88" i="171"/>
  <c r="H87" i="171"/>
  <c r="H86" i="171"/>
  <c r="H85" i="171"/>
  <c r="G84" i="171"/>
  <c r="F83" i="171"/>
  <c r="H83" i="171" s="1"/>
  <c r="E100" i="171" s="1"/>
  <c r="F82" i="171"/>
  <c r="H82" i="171" s="1"/>
  <c r="G81" i="171"/>
  <c r="F80" i="171"/>
  <c r="H80" i="171" s="1"/>
  <c r="F79" i="171"/>
  <c r="H79" i="171" s="1"/>
  <c r="F78" i="171"/>
  <c r="H78" i="171" s="1"/>
  <c r="F77" i="171"/>
  <c r="H77" i="171" s="1"/>
  <c r="F76" i="171"/>
  <c r="H76" i="171" s="1"/>
  <c r="F75" i="171"/>
  <c r="H75" i="171" s="1"/>
  <c r="F74" i="171"/>
  <c r="H74" i="171" s="1"/>
  <c r="F73" i="171"/>
  <c r="H73" i="171" s="1"/>
  <c r="F72" i="171"/>
  <c r="H72" i="171" s="1"/>
  <c r="F71" i="171"/>
  <c r="H71" i="171" s="1"/>
  <c r="F70" i="171"/>
  <c r="H70" i="171" s="1"/>
  <c r="F69" i="171"/>
  <c r="H69" i="171" s="1"/>
  <c r="F68" i="171"/>
  <c r="H68" i="171" s="1"/>
  <c r="F67" i="171"/>
  <c r="H67" i="171" s="1"/>
  <c r="G66" i="171"/>
  <c r="F65" i="171"/>
  <c r="H65" i="171" s="1"/>
  <c r="F64" i="171"/>
  <c r="H64" i="171" s="1"/>
  <c r="G63" i="171"/>
  <c r="F62" i="171"/>
  <c r="H62" i="171" s="1"/>
  <c r="F61" i="171"/>
  <c r="H61" i="171" s="1"/>
  <c r="J60" i="171"/>
  <c r="F57" i="171"/>
  <c r="G57" i="171" s="1"/>
  <c r="G60" i="171" s="1"/>
  <c r="F53" i="171"/>
  <c r="H53" i="171" s="1"/>
  <c r="F52" i="171"/>
  <c r="H52" i="171" s="1"/>
  <c r="F40" i="171"/>
  <c r="H40" i="171" s="1"/>
  <c r="F39" i="171"/>
  <c r="H39" i="171" s="1"/>
  <c r="F38" i="171"/>
  <c r="H38" i="171" s="1"/>
  <c r="F36" i="171"/>
  <c r="H36" i="171" s="1"/>
  <c r="F35" i="171"/>
  <c r="H35" i="171" s="1"/>
  <c r="F34" i="171"/>
  <c r="H34" i="171" s="1"/>
  <c r="F33" i="171"/>
  <c r="H33" i="171" s="1"/>
  <c r="F32" i="171"/>
  <c r="H32" i="171" s="1"/>
  <c r="F31" i="171"/>
  <c r="H31" i="171" s="1"/>
  <c r="F30" i="171"/>
  <c r="H30" i="171" s="1"/>
  <c r="F29" i="171"/>
  <c r="H29" i="171" s="1"/>
  <c r="F28" i="171"/>
  <c r="H28" i="171" s="1"/>
  <c r="F27" i="171"/>
  <c r="H27" i="171" s="1"/>
  <c r="F23" i="171"/>
  <c r="H23" i="171" s="1"/>
  <c r="F22" i="171"/>
  <c r="H22" i="171" s="1"/>
  <c r="F21" i="171"/>
  <c r="H21" i="171" s="1"/>
  <c r="F20" i="171"/>
  <c r="H20" i="171" s="1"/>
  <c r="F19" i="171"/>
  <c r="H19" i="171" s="1"/>
  <c r="F18" i="171"/>
  <c r="H18" i="171" s="1"/>
  <c r="G17" i="171"/>
  <c r="F16" i="171"/>
  <c r="H16" i="171" s="1"/>
  <c r="F14" i="171"/>
  <c r="H14" i="171" s="1"/>
  <c r="F13" i="171"/>
  <c r="H13" i="171" s="1"/>
  <c r="B115" i="170"/>
  <c r="F86" i="170"/>
  <c r="E85" i="170"/>
  <c r="G85" i="170" s="1"/>
  <c r="E47" i="170"/>
  <c r="G47" i="170" s="1"/>
  <c r="E46" i="170"/>
  <c r="G46" i="170" s="1"/>
  <c r="E45" i="170"/>
  <c r="G45" i="170" s="1"/>
  <c r="E88" i="170"/>
  <c r="G88" i="170" s="1"/>
  <c r="G58" i="170"/>
  <c r="E57" i="170"/>
  <c r="F57" i="170" s="1"/>
  <c r="E56" i="170"/>
  <c r="F56" i="170" s="1"/>
  <c r="H56" i="171" l="1"/>
  <c r="J56" i="171" s="1"/>
  <c r="H100" i="171"/>
  <c r="J100" i="171" s="1"/>
  <c r="H101" i="171"/>
  <c r="J101" i="171" s="1"/>
  <c r="E99" i="171"/>
  <c r="H51" i="171"/>
  <c r="J51" i="171" s="1"/>
  <c r="H102" i="171"/>
  <c r="J102" i="171" s="1"/>
  <c r="I101" i="171"/>
  <c r="B97" i="171"/>
  <c r="H99" i="171"/>
  <c r="J99" i="171" s="1"/>
  <c r="E101" i="171"/>
  <c r="I102" i="171"/>
  <c r="H26" i="171"/>
  <c r="J26" i="171" s="1"/>
  <c r="H84" i="171"/>
  <c r="J84" i="171" s="1"/>
  <c r="H81" i="171"/>
  <c r="J81" i="171" s="1"/>
  <c r="J96" i="171"/>
  <c r="H92" i="171"/>
  <c r="H66" i="171"/>
  <c r="J66" i="171" s="1"/>
  <c r="H63" i="171"/>
  <c r="J63" i="171" s="1"/>
  <c r="H17" i="171"/>
  <c r="J17" i="171" s="1"/>
  <c r="D112" i="170"/>
  <c r="F64" i="170"/>
  <c r="F105" i="170"/>
  <c r="G104" i="170"/>
  <c r="G103" i="170"/>
  <c r="G102" i="170"/>
  <c r="G101" i="170"/>
  <c r="G100" i="170"/>
  <c r="G99" i="170"/>
  <c r="G98" i="170"/>
  <c r="G97" i="170"/>
  <c r="G96" i="170"/>
  <c r="G95" i="170"/>
  <c r="E80" i="170"/>
  <c r="G80" i="170" s="1"/>
  <c r="E81" i="170"/>
  <c r="G81" i="170" s="1"/>
  <c r="E82" i="170"/>
  <c r="G82" i="170" s="1"/>
  <c r="E83" i="170"/>
  <c r="G83" i="170" s="1"/>
  <c r="E84" i="170"/>
  <c r="G84" i="170" s="1"/>
  <c r="E79" i="170"/>
  <c r="G79" i="170" s="1"/>
  <c r="E78" i="170"/>
  <c r="G78" i="170" s="1"/>
  <c r="E77" i="170"/>
  <c r="G77" i="170" s="1"/>
  <c r="E76" i="170"/>
  <c r="G76" i="170" s="1"/>
  <c r="E63" i="170"/>
  <c r="G63" i="170" s="1"/>
  <c r="D111" i="170" s="1"/>
  <c r="E41" i="170"/>
  <c r="G41" i="170" s="1"/>
  <c r="E40" i="170"/>
  <c r="G40" i="170" s="1"/>
  <c r="E39" i="170"/>
  <c r="G39" i="170" s="1"/>
  <c r="E38" i="170"/>
  <c r="G38" i="170" s="1"/>
  <c r="E37" i="170"/>
  <c r="G37" i="170" s="1"/>
  <c r="E36" i="170"/>
  <c r="G36" i="170" s="1"/>
  <c r="G116" i="170"/>
  <c r="I116" i="170" s="1"/>
  <c r="G107" i="170"/>
  <c r="E106" i="170"/>
  <c r="F106" i="170" s="1"/>
  <c r="G94" i="170"/>
  <c r="G93" i="170"/>
  <c r="G92" i="170"/>
  <c r="G91" i="170"/>
  <c r="F90" i="170"/>
  <c r="E89" i="170"/>
  <c r="G89" i="170" s="1"/>
  <c r="D113" i="170" s="1"/>
  <c r="E87" i="170"/>
  <c r="G87" i="170" s="1"/>
  <c r="E75" i="170"/>
  <c r="G75" i="170" s="1"/>
  <c r="E74" i="170"/>
  <c r="G74" i="170" s="1"/>
  <c r="E73" i="170"/>
  <c r="G73" i="170" s="1"/>
  <c r="E72" i="170"/>
  <c r="G72" i="170" s="1"/>
  <c r="E71" i="170"/>
  <c r="G71" i="170" s="1"/>
  <c r="E70" i="170"/>
  <c r="G70" i="170" s="1"/>
  <c r="E69" i="170"/>
  <c r="G69" i="170" s="1"/>
  <c r="E68" i="170"/>
  <c r="G68" i="170" s="1"/>
  <c r="E67" i="170"/>
  <c r="G67" i="170" s="1"/>
  <c r="E66" i="170"/>
  <c r="G66" i="170" s="1"/>
  <c r="E65" i="170"/>
  <c r="G65" i="170" s="1"/>
  <c r="E62" i="170"/>
  <c r="G62" i="170" s="1"/>
  <c r="F61" i="170"/>
  <c r="E60" i="170"/>
  <c r="G60" i="170" s="1"/>
  <c r="E59" i="170"/>
  <c r="G59" i="170" s="1"/>
  <c r="I58" i="170"/>
  <c r="E55" i="170"/>
  <c r="F55" i="170" s="1"/>
  <c r="F58" i="170" s="1"/>
  <c r="F54" i="170"/>
  <c r="E53" i="170"/>
  <c r="G53" i="170" s="1"/>
  <c r="B113" i="170" s="1"/>
  <c r="E52" i="170"/>
  <c r="G52" i="170" s="1"/>
  <c r="F51" i="170"/>
  <c r="E50" i="170"/>
  <c r="G50" i="170" s="1"/>
  <c r="E49" i="170"/>
  <c r="G49" i="170" s="1"/>
  <c r="E48" i="170"/>
  <c r="G48" i="170" s="1"/>
  <c r="E44" i="170"/>
  <c r="G44" i="170" s="1"/>
  <c r="E43" i="170"/>
  <c r="G43" i="170" s="1"/>
  <c r="E42" i="170"/>
  <c r="G42" i="170" s="1"/>
  <c r="E35" i="170"/>
  <c r="G35" i="170" s="1"/>
  <c r="E34" i="170"/>
  <c r="G34" i="170" s="1"/>
  <c r="E33" i="170"/>
  <c r="G33" i="170" s="1"/>
  <c r="E32" i="170"/>
  <c r="G32" i="170" s="1"/>
  <c r="E31" i="170"/>
  <c r="G31" i="170" s="1"/>
  <c r="E30" i="170"/>
  <c r="G30" i="170" s="1"/>
  <c r="F29" i="170"/>
  <c r="E28" i="170"/>
  <c r="G28" i="170" s="1"/>
  <c r="E25" i="170"/>
  <c r="G25" i="170" s="1"/>
  <c r="E24" i="170"/>
  <c r="G24" i="170" s="1"/>
  <c r="E23" i="170"/>
  <c r="G23" i="170" s="1"/>
  <c r="E22" i="170"/>
  <c r="G22" i="170" s="1"/>
  <c r="E21" i="170"/>
  <c r="G21" i="170" s="1"/>
  <c r="E20" i="170"/>
  <c r="G20" i="170" s="1"/>
  <c r="E19" i="170"/>
  <c r="G19" i="170" s="1"/>
  <c r="E18" i="170"/>
  <c r="G18" i="170" s="1"/>
  <c r="E17" i="170"/>
  <c r="G17" i="170" s="1"/>
  <c r="F16" i="170"/>
  <c r="E15" i="170"/>
  <c r="G15" i="170" s="1"/>
  <c r="H114" i="170" s="1"/>
  <c r="E14" i="170"/>
  <c r="G14" i="170" s="1"/>
  <c r="E13" i="170"/>
  <c r="G13" i="170" s="1"/>
  <c r="E42" i="169"/>
  <c r="G42" i="169" s="1"/>
  <c r="F58" i="169"/>
  <c r="G58" i="166"/>
  <c r="B101" i="169"/>
  <c r="G102" i="169"/>
  <c r="I102" i="169" s="1"/>
  <c r="E43" i="169"/>
  <c r="G43" i="169" s="1"/>
  <c r="E44" i="169"/>
  <c r="G44" i="169" s="1"/>
  <c r="E92" i="169"/>
  <c r="F92" i="169" s="1"/>
  <c r="E91" i="169"/>
  <c r="F91" i="169" s="1"/>
  <c r="E90" i="169"/>
  <c r="F90" i="169" s="1"/>
  <c r="G93" i="169"/>
  <c r="G87" i="169"/>
  <c r="G86" i="169"/>
  <c r="G84" i="169"/>
  <c r="E57" i="169"/>
  <c r="G57" i="169" s="1"/>
  <c r="D100" i="169" s="1"/>
  <c r="E54" i="166"/>
  <c r="F54" i="166" s="1"/>
  <c r="F47" i="166"/>
  <c r="B111" i="170" l="1"/>
  <c r="H113" i="170"/>
  <c r="J92" i="171"/>
  <c r="H97" i="171"/>
  <c r="E104" i="171"/>
  <c r="H104" i="171"/>
  <c r="J104" i="171" s="1"/>
  <c r="I104" i="171"/>
  <c r="G114" i="170"/>
  <c r="I114" i="170" s="1"/>
  <c r="G113" i="170"/>
  <c r="I113" i="170" s="1"/>
  <c r="G115" i="170"/>
  <c r="I115" i="170" s="1"/>
  <c r="G86" i="170"/>
  <c r="I86" i="170" s="1"/>
  <c r="D114" i="170"/>
  <c r="H115" i="170"/>
  <c r="B112" i="170"/>
  <c r="G112" i="170"/>
  <c r="I112" i="170" s="1"/>
  <c r="G109" i="170"/>
  <c r="I109" i="170" s="1"/>
  <c r="G64" i="170"/>
  <c r="I64" i="170" s="1"/>
  <c r="I107" i="170"/>
  <c r="G105" i="170"/>
  <c r="I105" i="170" s="1"/>
  <c r="G90" i="170"/>
  <c r="I90" i="170" s="1"/>
  <c r="G29" i="170"/>
  <c r="I29" i="170" s="1"/>
  <c r="G61" i="170"/>
  <c r="I61" i="170" s="1"/>
  <c r="F107" i="170"/>
  <c r="G51" i="170"/>
  <c r="I51" i="170" s="1"/>
  <c r="G54" i="170"/>
  <c r="I54" i="170" s="1"/>
  <c r="G16" i="170"/>
  <c r="I16" i="170" s="1"/>
  <c r="B110" i="170"/>
  <c r="F93" i="169"/>
  <c r="F103" i="169"/>
  <c r="I93" i="169"/>
  <c r="F89" i="169"/>
  <c r="G88" i="169"/>
  <c r="G85" i="169"/>
  <c r="F83" i="169"/>
  <c r="E82" i="169"/>
  <c r="G82" i="169" s="1"/>
  <c r="E81" i="169"/>
  <c r="G81" i="169" s="1"/>
  <c r="E80" i="169"/>
  <c r="G80" i="169" s="1"/>
  <c r="F79" i="169"/>
  <c r="E78" i="169"/>
  <c r="G78" i="169" s="1"/>
  <c r="E77" i="169"/>
  <c r="G77" i="169" s="1"/>
  <c r="E76" i="169"/>
  <c r="G76" i="169" s="1"/>
  <c r="E75" i="169"/>
  <c r="G75" i="169" s="1"/>
  <c r="E74" i="169"/>
  <c r="G74" i="169" s="1"/>
  <c r="E73" i="169"/>
  <c r="G73" i="169" s="1"/>
  <c r="E72" i="169"/>
  <c r="G72" i="169" s="1"/>
  <c r="E71" i="169"/>
  <c r="G71" i="169" s="1"/>
  <c r="E70" i="169"/>
  <c r="G70" i="169" s="1"/>
  <c r="E69" i="169"/>
  <c r="G69" i="169" s="1"/>
  <c r="E68" i="169"/>
  <c r="G68" i="169" s="1"/>
  <c r="E67" i="169"/>
  <c r="G67" i="169" s="1"/>
  <c r="E66" i="169"/>
  <c r="G66" i="169" s="1"/>
  <c r="E65" i="169"/>
  <c r="G65" i="169" s="1"/>
  <c r="E64" i="169"/>
  <c r="G64" i="169" s="1"/>
  <c r="E63" i="169"/>
  <c r="G63" i="169" s="1"/>
  <c r="E62" i="169"/>
  <c r="G62" i="169" s="1"/>
  <c r="E61" i="169"/>
  <c r="G61" i="169" s="1"/>
  <c r="F60" i="169"/>
  <c r="E59" i="169"/>
  <c r="G59" i="169" s="1"/>
  <c r="D97" i="169" s="1"/>
  <c r="E56" i="169"/>
  <c r="G56" i="169" s="1"/>
  <c r="G55" i="169"/>
  <c r="I55" i="169" s="1"/>
  <c r="E54" i="169"/>
  <c r="F54" i="169" s="1"/>
  <c r="F55" i="169" s="1"/>
  <c r="F53" i="169"/>
  <c r="E52" i="169"/>
  <c r="G52" i="169" s="1"/>
  <c r="B99" i="169" s="1"/>
  <c r="E51" i="169"/>
  <c r="G51" i="169" s="1"/>
  <c r="E50" i="169"/>
  <c r="G50" i="169" s="1"/>
  <c r="F49" i="169"/>
  <c r="E48" i="169"/>
  <c r="G48" i="169" s="1"/>
  <c r="E47" i="169"/>
  <c r="G47" i="169" s="1"/>
  <c r="E46" i="169"/>
  <c r="G46" i="169" s="1"/>
  <c r="E45" i="169"/>
  <c r="G45" i="169" s="1"/>
  <c r="E41" i="169"/>
  <c r="G41" i="169" s="1"/>
  <c r="E40" i="169"/>
  <c r="G40" i="169" s="1"/>
  <c r="E39" i="169"/>
  <c r="G39" i="169" s="1"/>
  <c r="E38" i="169"/>
  <c r="G38" i="169" s="1"/>
  <c r="E37" i="169"/>
  <c r="G37" i="169" s="1"/>
  <c r="E36" i="169"/>
  <c r="G36" i="169" s="1"/>
  <c r="E35" i="169"/>
  <c r="G35" i="169" s="1"/>
  <c r="E34" i="169"/>
  <c r="G34" i="169" s="1"/>
  <c r="E33" i="169"/>
  <c r="G33" i="169" s="1"/>
  <c r="E32" i="169"/>
  <c r="G32" i="169" s="1"/>
  <c r="F31" i="169"/>
  <c r="E30" i="169"/>
  <c r="G30" i="169" s="1"/>
  <c r="E29" i="169"/>
  <c r="G29" i="169" s="1"/>
  <c r="E28" i="169"/>
  <c r="G28" i="169" s="1"/>
  <c r="E27" i="169"/>
  <c r="G27" i="169" s="1"/>
  <c r="E26" i="169"/>
  <c r="G26" i="169" s="1"/>
  <c r="E25" i="169"/>
  <c r="G25" i="169" s="1"/>
  <c r="E24" i="169"/>
  <c r="G24" i="169" s="1"/>
  <c r="E23" i="169"/>
  <c r="G23" i="169" s="1"/>
  <c r="E22" i="169"/>
  <c r="G22" i="169" s="1"/>
  <c r="E21" i="169"/>
  <c r="G21" i="169" s="1"/>
  <c r="E20" i="169"/>
  <c r="G20" i="169" s="1"/>
  <c r="E19" i="169"/>
  <c r="G19" i="169" s="1"/>
  <c r="E18" i="169"/>
  <c r="G18" i="169" s="1"/>
  <c r="F17" i="169"/>
  <c r="E16" i="169"/>
  <c r="G16" i="169" s="1"/>
  <c r="E15" i="169"/>
  <c r="G15" i="169" s="1"/>
  <c r="E14" i="169"/>
  <c r="G14" i="169" s="1"/>
  <c r="E13" i="169"/>
  <c r="G13" i="169" s="1"/>
  <c r="E36" i="166"/>
  <c r="G36" i="166" s="1"/>
  <c r="E35" i="166"/>
  <c r="G35" i="166" s="1"/>
  <c r="E34" i="166"/>
  <c r="G34" i="166" s="1"/>
  <c r="E33" i="166"/>
  <c r="G33" i="166" s="1"/>
  <c r="E32" i="166"/>
  <c r="G32" i="166" s="1"/>
  <c r="E31" i="166"/>
  <c r="G31" i="166" s="1"/>
  <c r="E30" i="166"/>
  <c r="G30" i="166" s="1"/>
  <c r="E29" i="166"/>
  <c r="G29" i="166" s="1"/>
  <c r="E28" i="166"/>
  <c r="F27" i="166"/>
  <c r="E26" i="166"/>
  <c r="J97" i="171" l="1"/>
  <c r="H95" i="171"/>
  <c r="J95" i="171" s="1"/>
  <c r="D117" i="170"/>
  <c r="H117" i="170"/>
  <c r="G110" i="170"/>
  <c r="G95" i="169"/>
  <c r="I95" i="169" s="1"/>
  <c r="G117" i="170"/>
  <c r="I117" i="170" s="1"/>
  <c r="B98" i="169"/>
  <c r="G99" i="169"/>
  <c r="I99" i="169" s="1"/>
  <c r="D98" i="169"/>
  <c r="G101" i="169"/>
  <c r="I101" i="169" s="1"/>
  <c r="H101" i="169"/>
  <c r="D99" i="169"/>
  <c r="H100" i="169"/>
  <c r="B96" i="169"/>
  <c r="H99" i="169"/>
  <c r="B97" i="169"/>
  <c r="G100" i="169"/>
  <c r="I100" i="169" s="1"/>
  <c r="G58" i="169"/>
  <c r="I58" i="169" s="1"/>
  <c r="G89" i="169"/>
  <c r="I89" i="169" s="1"/>
  <c r="G31" i="169"/>
  <c r="I31" i="169" s="1"/>
  <c r="G53" i="169"/>
  <c r="I53" i="169" s="1"/>
  <c r="G79" i="169"/>
  <c r="I79" i="169" s="1"/>
  <c r="G60" i="169"/>
  <c r="I60" i="169" s="1"/>
  <c r="G83" i="169"/>
  <c r="G17" i="169"/>
  <c r="I17" i="169" s="1"/>
  <c r="G49" i="169"/>
  <c r="I49" i="169" s="1"/>
  <c r="G98" i="169"/>
  <c r="F122" i="166"/>
  <c r="E46" i="166"/>
  <c r="G46" i="166" s="1"/>
  <c r="I83" i="169" l="1"/>
  <c r="G96" i="169"/>
  <c r="I110" i="170"/>
  <c r="G108" i="170"/>
  <c r="I108" i="170" s="1"/>
  <c r="H103" i="169"/>
  <c r="I98" i="169"/>
  <c r="G103" i="169"/>
  <c r="I103" i="169" s="1"/>
  <c r="D103" i="169"/>
  <c r="B120" i="166"/>
  <c r="E25" i="166"/>
  <c r="G25" i="166" s="1"/>
  <c r="E24" i="166"/>
  <c r="G24" i="166" s="1"/>
  <c r="E85" i="166"/>
  <c r="G85" i="166" s="1"/>
  <c r="E59" i="166"/>
  <c r="G94" i="169" l="1"/>
  <c r="I94" i="169" s="1"/>
  <c r="I96" i="169"/>
  <c r="G26" i="166"/>
  <c r="B116" i="166" s="1"/>
  <c r="E12" i="166" l="1"/>
  <c r="F13" i="166" l="1"/>
  <c r="F51" i="166" l="1"/>
  <c r="F60" i="166"/>
  <c r="F62" i="166"/>
  <c r="F90" i="166"/>
  <c r="F94" i="166"/>
  <c r="E92" i="166"/>
  <c r="G92" i="166" s="1"/>
  <c r="E42" i="166"/>
  <c r="G42" i="166" s="1"/>
  <c r="E57" i="166" l="1"/>
  <c r="F57" i="166" s="1"/>
  <c r="E56" i="166"/>
  <c r="F56" i="166" s="1"/>
  <c r="E55" i="166"/>
  <c r="F55" i="166" s="1"/>
  <c r="F58" i="166" l="1"/>
  <c r="E91" i="166"/>
  <c r="G91" i="166" s="1"/>
  <c r="G109" i="166"/>
  <c r="G108" i="166"/>
  <c r="G107" i="166"/>
  <c r="G106" i="166"/>
  <c r="G105" i="166"/>
  <c r="G104" i="166"/>
  <c r="G103" i="166"/>
  <c r="G102" i="166"/>
  <c r="G101" i="166"/>
  <c r="G100" i="166"/>
  <c r="G99" i="166"/>
  <c r="G98" i="166"/>
  <c r="G97" i="166"/>
  <c r="G96" i="166"/>
  <c r="G95" i="166"/>
  <c r="E93" i="166"/>
  <c r="G93" i="166" s="1"/>
  <c r="H120" i="166" s="1"/>
  <c r="E89" i="166"/>
  <c r="G89" i="166" s="1"/>
  <c r="E88" i="166"/>
  <c r="G88" i="166" s="1"/>
  <c r="E87" i="166"/>
  <c r="G87" i="166" s="1"/>
  <c r="E86" i="166"/>
  <c r="G86" i="166" s="1"/>
  <c r="E84" i="166"/>
  <c r="G84" i="166" s="1"/>
  <c r="E83" i="166"/>
  <c r="G83" i="166" s="1"/>
  <c r="E82" i="166"/>
  <c r="G82" i="166" s="1"/>
  <c r="E81" i="166"/>
  <c r="G81" i="166" s="1"/>
  <c r="E80" i="166"/>
  <c r="G80" i="166" s="1"/>
  <c r="E79" i="166"/>
  <c r="G79" i="166" s="1"/>
  <c r="E78" i="166"/>
  <c r="G78" i="166" s="1"/>
  <c r="E77" i="166"/>
  <c r="G77" i="166" s="1"/>
  <c r="E76" i="166"/>
  <c r="G76" i="166" s="1"/>
  <c r="E75" i="166"/>
  <c r="G75" i="166" s="1"/>
  <c r="E74" i="166"/>
  <c r="G74" i="166" s="1"/>
  <c r="E73" i="166"/>
  <c r="G73" i="166" s="1"/>
  <c r="E72" i="166"/>
  <c r="G72" i="166" s="1"/>
  <c r="E71" i="166"/>
  <c r="G71" i="166" s="1"/>
  <c r="E70" i="166"/>
  <c r="G70" i="166" s="1"/>
  <c r="E69" i="166"/>
  <c r="G69" i="166" s="1"/>
  <c r="E68" i="166"/>
  <c r="G68" i="166" s="1"/>
  <c r="E67" i="166"/>
  <c r="G67" i="166" s="1"/>
  <c r="E66" i="166"/>
  <c r="G66" i="166" s="1"/>
  <c r="E65" i="166"/>
  <c r="G65" i="166" s="1"/>
  <c r="E61" i="166"/>
  <c r="G61" i="166" s="1"/>
  <c r="D116" i="166" s="1"/>
  <c r="E50" i="166"/>
  <c r="G50" i="166" s="1"/>
  <c r="E49" i="166"/>
  <c r="G49" i="166" s="1"/>
  <c r="E48" i="166"/>
  <c r="G48" i="166" s="1"/>
  <c r="E45" i="166"/>
  <c r="G45" i="166" s="1"/>
  <c r="E44" i="166"/>
  <c r="G44" i="166" s="1"/>
  <c r="E43" i="166"/>
  <c r="G43" i="166" s="1"/>
  <c r="E41" i="166"/>
  <c r="G41" i="166" s="1"/>
  <c r="E40" i="166"/>
  <c r="G40" i="166" s="1"/>
  <c r="E39" i="166"/>
  <c r="G39" i="166" s="1"/>
  <c r="E38" i="166"/>
  <c r="G38" i="166" s="1"/>
  <c r="E37" i="166"/>
  <c r="G37" i="166" s="1"/>
  <c r="G28" i="166"/>
  <c r="E23" i="166"/>
  <c r="G23" i="166" s="1"/>
  <c r="E22" i="166"/>
  <c r="G22" i="166" s="1"/>
  <c r="E21" i="166"/>
  <c r="G21" i="166" s="1"/>
  <c r="E20" i="166"/>
  <c r="G20" i="166" s="1"/>
  <c r="E19" i="166"/>
  <c r="G19" i="166" s="1"/>
  <c r="E18" i="166"/>
  <c r="G18" i="166" s="1"/>
  <c r="E17" i="166"/>
  <c r="G17" i="166" s="1"/>
  <c r="E16" i="166"/>
  <c r="G16" i="166" s="1"/>
  <c r="E15" i="166"/>
  <c r="G15" i="166" s="1"/>
  <c r="E14" i="166"/>
  <c r="G14" i="166" s="1"/>
  <c r="G12" i="166"/>
  <c r="E11" i="166"/>
  <c r="G11" i="166" s="1"/>
  <c r="E10" i="166"/>
  <c r="G10" i="166" s="1"/>
  <c r="E9" i="166"/>
  <c r="G9" i="166" s="1"/>
  <c r="G112" i="166"/>
  <c r="I112" i="166" s="1"/>
  <c r="F112" i="166"/>
  <c r="F110" i="166"/>
  <c r="G64" i="166"/>
  <c r="I64" i="166" s="1"/>
  <c r="F64" i="166"/>
  <c r="G59" i="166"/>
  <c r="G60" i="166" s="1"/>
  <c r="F53" i="166"/>
  <c r="G52" i="166"/>
  <c r="G53" i="166" s="1"/>
  <c r="I53" i="166" s="1"/>
  <c r="H118" i="166" l="1"/>
  <c r="G47" i="166"/>
  <c r="I47" i="166" s="1"/>
  <c r="B117" i="166"/>
  <c r="G27" i="166"/>
  <c r="I27" i="166" s="1"/>
  <c r="G117" i="166"/>
  <c r="G119" i="166"/>
  <c r="I119" i="166" s="1"/>
  <c r="G118" i="166"/>
  <c r="I118" i="166" s="1"/>
  <c r="B115" i="166"/>
  <c r="H119" i="166"/>
  <c r="D118" i="166"/>
  <c r="I117" i="166"/>
  <c r="G120" i="166"/>
  <c r="I120" i="166" s="1"/>
  <c r="G94" i="166"/>
  <c r="G13" i="166"/>
  <c r="I13" i="166" s="1"/>
  <c r="I60" i="166"/>
  <c r="G51" i="166"/>
  <c r="I51" i="166" s="1"/>
  <c r="H117" i="166"/>
  <c r="D120" i="166"/>
  <c r="I114" i="166"/>
  <c r="G90" i="166"/>
  <c r="I90" i="166" s="1"/>
  <c r="G62" i="166"/>
  <c r="I62" i="166" s="1"/>
  <c r="G110" i="166"/>
  <c r="I94" i="166" l="1"/>
  <c r="G122" i="166"/>
  <c r="I122" i="166" s="1"/>
  <c r="D122" i="166"/>
  <c r="H122" i="166"/>
  <c r="I110" i="166"/>
  <c r="K103" i="118" l="1"/>
  <c r="K102" i="118"/>
  <c r="K101" i="118"/>
  <c r="K67" i="118"/>
  <c r="K66" i="118"/>
  <c r="K65" i="118"/>
  <c r="K64" i="118"/>
  <c r="K63" i="118"/>
  <c r="K62" i="118"/>
  <c r="K61" i="118"/>
  <c r="K60" i="118"/>
  <c r="K59" i="118"/>
  <c r="K58" i="118"/>
  <c r="K57" i="118"/>
  <c r="K56" i="118"/>
  <c r="K55" i="118"/>
  <c r="K54" i="118"/>
  <c r="K53" i="118"/>
  <c r="K52" i="118"/>
  <c r="K51" i="118"/>
  <c r="K50" i="118"/>
  <c r="K49" i="118"/>
  <c r="K48" i="118"/>
  <c r="K100" i="118"/>
  <c r="K93" i="118"/>
  <c r="K26" i="118"/>
  <c r="K23" i="118"/>
  <c r="K25" i="118"/>
  <c r="K88" i="118"/>
  <c r="K92" i="118"/>
  <c r="K47" i="118"/>
  <c r="K87" i="118"/>
  <c r="K86" i="118"/>
  <c r="K83" i="118"/>
  <c r="K45" i="118"/>
  <c r="K46" i="118"/>
  <c r="K39" i="118"/>
  <c r="K38" i="118"/>
  <c r="K82" i="118"/>
  <c r="K43" i="118"/>
  <c r="K80" i="118"/>
  <c r="K17" i="118"/>
  <c r="K19" i="118"/>
  <c r="K21" i="118"/>
  <c r="K16" i="118"/>
  <c r="K68" i="118"/>
  <c r="K79" i="118"/>
  <c r="K78" i="118"/>
  <c r="K77" i="118"/>
  <c r="K36" i="118"/>
  <c r="K34" i="118"/>
  <c r="K14" i="118"/>
  <c r="K97" i="118"/>
  <c r="K9" i="118"/>
  <c r="K76" i="118"/>
  <c r="K31" i="118"/>
  <c r="K72" i="118"/>
  <c r="K30" i="118"/>
  <c r="K70" i="118"/>
  <c r="K29" i="118"/>
  <c r="K10" i="118"/>
  <c r="K11" i="118"/>
  <c r="K27" i="118"/>
  <c r="K6" i="118"/>
  <c r="K5" i="118"/>
  <c r="K3" i="118"/>
  <c r="K99" i="118"/>
  <c r="K98" i="118"/>
  <c r="K84" i="118"/>
  <c r="K85" i="118"/>
  <c r="K44" i="118"/>
  <c r="K91" i="118"/>
  <c r="K41" i="118"/>
  <c r="K42" i="118"/>
  <c r="K40" i="118"/>
  <c r="K22" i="118"/>
  <c r="K24" i="118"/>
  <c r="K81" i="118"/>
  <c r="K20" i="118"/>
  <c r="K90" i="118"/>
  <c r="K15" i="118"/>
  <c r="K35" i="118"/>
  <c r="K18" i="118"/>
  <c r="K37" i="118"/>
  <c r="K33" i="118"/>
  <c r="K12" i="118"/>
  <c r="K13" i="118"/>
  <c r="K89" i="118"/>
  <c r="K75" i="118"/>
  <c r="K32" i="118"/>
  <c r="K71" i="118"/>
  <c r="K74" i="118"/>
  <c r="K73" i="118"/>
  <c r="K69" i="118"/>
  <c r="K28" i="118"/>
  <c r="K7" i="118"/>
  <c r="K4" i="118"/>
  <c r="K2" i="118"/>
  <c r="K8" i="118"/>
  <c r="K96" i="118"/>
  <c r="K95" i="118"/>
  <c r="K94" i="118"/>
  <c r="K104" i="113" l="1"/>
  <c r="K103" i="113"/>
  <c r="K68" i="113"/>
  <c r="K67" i="113"/>
  <c r="K66" i="113"/>
  <c r="K65" i="113"/>
  <c r="K64" i="113"/>
  <c r="K63" i="113"/>
  <c r="K62" i="113"/>
  <c r="K61" i="113"/>
  <c r="K60" i="113"/>
  <c r="K59" i="113"/>
  <c r="K58" i="113"/>
  <c r="K57" i="113"/>
  <c r="K56" i="113"/>
  <c r="K55" i="113"/>
  <c r="K54" i="113"/>
  <c r="K53" i="113"/>
  <c r="K52" i="113"/>
  <c r="K51" i="113"/>
  <c r="K50" i="113"/>
  <c r="K49" i="113"/>
  <c r="K102" i="113"/>
  <c r="K94" i="113"/>
  <c r="K27" i="113"/>
  <c r="K24" i="113"/>
  <c r="K26" i="113"/>
  <c r="K89" i="113"/>
  <c r="K93" i="113"/>
  <c r="K99" i="113"/>
  <c r="K101" i="113"/>
  <c r="K48" i="113"/>
  <c r="K88" i="113"/>
  <c r="K85" i="113"/>
  <c r="K84" i="113"/>
  <c r="K87" i="113"/>
  <c r="K86" i="113"/>
  <c r="K45" i="113"/>
  <c r="K46" i="113"/>
  <c r="K47" i="113"/>
  <c r="K92" i="113"/>
  <c r="K42" i="113"/>
  <c r="K40" i="113"/>
  <c r="K43" i="113"/>
  <c r="K41" i="113"/>
  <c r="K39" i="113"/>
  <c r="K23" i="113"/>
  <c r="K83" i="113"/>
  <c r="K44" i="113"/>
  <c r="K25" i="113"/>
  <c r="K82" i="113"/>
  <c r="K81" i="113"/>
  <c r="K22" i="113"/>
  <c r="K21" i="113"/>
  <c r="K18" i="113"/>
  <c r="K20" i="113"/>
  <c r="K17" i="113"/>
  <c r="K91" i="113"/>
  <c r="K69" i="113"/>
  <c r="K16" i="113"/>
  <c r="K36" i="113"/>
  <c r="K19" i="113"/>
  <c r="K80" i="113"/>
  <c r="K79" i="113"/>
  <c r="K78" i="113"/>
  <c r="K38" i="113"/>
  <c r="K37" i="113"/>
  <c r="K35" i="113"/>
  <c r="K34" i="113"/>
  <c r="K13" i="113"/>
  <c r="K14" i="113"/>
  <c r="K15" i="113"/>
  <c r="K98" i="113"/>
  <c r="K3" i="113"/>
  <c r="K90" i="113"/>
  <c r="K77" i="113"/>
  <c r="K76" i="113"/>
  <c r="K33" i="113"/>
  <c r="K32" i="113"/>
  <c r="K72" i="113"/>
  <c r="K75" i="113"/>
  <c r="K74" i="113"/>
  <c r="K73" i="113"/>
  <c r="K70" i="113"/>
  <c r="K31" i="113"/>
  <c r="K71" i="113"/>
  <c r="K30" i="113"/>
  <c r="K29" i="113"/>
  <c r="K11" i="113"/>
  <c r="K4" i="113"/>
  <c r="K5" i="113"/>
  <c r="K28" i="113"/>
  <c r="K10" i="113"/>
  <c r="K9" i="113"/>
  <c r="K8" i="113"/>
  <c r="K7" i="113"/>
  <c r="K6" i="113"/>
  <c r="K2" i="113"/>
  <c r="K97" i="113"/>
  <c r="K96" i="113"/>
  <c r="K95" i="113"/>
  <c r="E1233" i="2"/>
  <c r="S89" i="118" l="1"/>
  <c r="S83" i="118"/>
  <c r="S82" i="118"/>
  <c r="S81" i="118"/>
  <c r="S80" i="118"/>
  <c r="S79" i="118"/>
  <c r="S78" i="118"/>
  <c r="S77" i="118"/>
  <c r="S76" i="118"/>
  <c r="S75" i="118"/>
  <c r="S74" i="118"/>
  <c r="S73" i="118"/>
  <c r="S72" i="118"/>
  <c r="S71" i="118"/>
  <c r="S70" i="118"/>
  <c r="S69" i="118"/>
  <c r="S68" i="118"/>
  <c r="S67" i="118"/>
  <c r="S66" i="118"/>
  <c r="S65" i="118"/>
  <c r="S64" i="118"/>
  <c r="S63" i="118"/>
  <c r="S62" i="118"/>
  <c r="S61" i="118"/>
  <c r="S60" i="118"/>
  <c r="S59" i="118"/>
  <c r="S58" i="118"/>
  <c r="S57" i="118"/>
  <c r="S56" i="118"/>
  <c r="S55" i="118"/>
  <c r="S54" i="118"/>
  <c r="S53" i="118"/>
  <c r="S52" i="118"/>
  <c r="S51" i="118"/>
  <c r="S50" i="118"/>
  <c r="S49" i="118"/>
  <c r="S48" i="118"/>
  <c r="S47" i="118"/>
  <c r="S46" i="118"/>
  <c r="S45" i="118"/>
  <c r="S44" i="118"/>
  <c r="S43" i="118"/>
  <c r="S42" i="118"/>
  <c r="S41" i="118"/>
  <c r="S40" i="118"/>
  <c r="S39" i="118"/>
  <c r="S38" i="118"/>
  <c r="S37" i="118"/>
  <c r="S36" i="118"/>
  <c r="S35" i="118"/>
  <c r="S16" i="118"/>
  <c r="S15" i="118"/>
  <c r="S6" i="118"/>
  <c r="S5" i="118"/>
  <c r="S4" i="118"/>
  <c r="S3" i="118"/>
  <c r="S2" i="118"/>
  <c r="S26" i="118"/>
  <c r="S25" i="118"/>
  <c r="S24" i="118"/>
  <c r="S23" i="118"/>
  <c r="S22" i="118"/>
  <c r="S21" i="118"/>
  <c r="S20" i="118"/>
  <c r="S19" i="118"/>
  <c r="S34" i="118"/>
  <c r="S17" i="118"/>
  <c r="S33" i="118"/>
  <c r="S32" i="118"/>
  <c r="S13" i="118"/>
  <c r="S7" i="118"/>
  <c r="S31" i="118"/>
  <c r="S30" i="118"/>
  <c r="S29" i="118"/>
  <c r="S28" i="118"/>
  <c r="S27" i="118"/>
  <c r="S11" i="118"/>
  <c r="S10" i="118"/>
  <c r="S9" i="118"/>
  <c r="S77" i="113" l="1"/>
  <c r="S78" i="113"/>
  <c r="S79" i="113"/>
  <c r="S80" i="113"/>
  <c r="S81" i="113"/>
  <c r="S85" i="113"/>
  <c r="S84" i="113"/>
  <c r="S83" i="113"/>
  <c r="S82" i="113"/>
  <c r="S76" i="113"/>
  <c r="S75" i="113"/>
  <c r="S74" i="113"/>
  <c r="S73" i="113"/>
  <c r="S72" i="113"/>
  <c r="S71" i="113"/>
  <c r="S70" i="113"/>
  <c r="S69" i="113"/>
  <c r="S68" i="113"/>
  <c r="S67" i="113"/>
  <c r="S66" i="113"/>
  <c r="S65" i="113"/>
  <c r="S64" i="113"/>
  <c r="S63" i="113"/>
  <c r="S62" i="113"/>
  <c r="S61" i="113"/>
  <c r="S60" i="113"/>
  <c r="S59" i="113"/>
  <c r="S58" i="113"/>
  <c r="S51" i="113"/>
  <c r="S50" i="113"/>
  <c r="S49" i="113"/>
  <c r="S48" i="113"/>
  <c r="S47" i="113"/>
  <c r="S46" i="113"/>
  <c r="S45" i="113"/>
  <c r="S44" i="113"/>
  <c r="S42" i="113"/>
  <c r="S41" i="113"/>
  <c r="S40" i="113"/>
  <c r="S39" i="113"/>
  <c r="S38" i="113"/>
  <c r="S57" i="113"/>
  <c r="S56" i="113"/>
  <c r="S55" i="113"/>
  <c r="S35" i="113"/>
  <c r="S54" i="113"/>
  <c r="S22" i="113"/>
  <c r="S4" i="113"/>
  <c r="S18" i="113"/>
  <c r="S17" i="113"/>
  <c r="S26" i="113"/>
  <c r="S25" i="113"/>
  <c r="S24" i="113"/>
  <c r="S9" i="113"/>
  <c r="S91" i="113"/>
  <c r="S53" i="113"/>
  <c r="S21" i="113"/>
  <c r="S52" i="113"/>
  <c r="S20" i="113"/>
  <c r="S10" i="113"/>
  <c r="S16" i="113"/>
  <c r="S43" i="113"/>
  <c r="S3" i="113"/>
  <c r="S2" i="113"/>
  <c r="S27" i="113"/>
  <c r="S31" i="113"/>
  <c r="S30" i="113"/>
  <c r="S37" i="113"/>
  <c r="S36" i="113"/>
  <c r="S102" i="113"/>
  <c r="S34" i="113"/>
  <c r="S14" i="113"/>
  <c r="S13" i="113"/>
  <c r="S11" i="113"/>
  <c r="S33" i="113"/>
  <c r="S29" i="113"/>
  <c r="S28" i="113"/>
  <c r="S8" i="113"/>
  <c r="S7" i="113"/>
  <c r="F855" i="2" l="1"/>
  <c r="F854" i="2"/>
  <c r="D6" i="80" l="1"/>
  <c r="D11" i="80"/>
  <c r="D5" i="80"/>
  <c r="D10" i="80"/>
  <c r="D9" i="80"/>
  <c r="D8" i="80"/>
  <c r="D7" i="80"/>
  <c r="F856" i="2" l="1"/>
  <c r="F857" i="2"/>
  <c r="G115" i="166" l="1"/>
  <c r="I58" i="166" l="1"/>
  <c r="G113" i="166" l="1"/>
  <c r="I113" i="166" s="1"/>
  <c r="I115" i="166"/>
  <c r="K111" i="197" l="1"/>
  <c r="H115" i="197"/>
  <c r="K115" i="197" l="1"/>
  <c r="K116" i="197" s="1"/>
  <c r="J106" i="197"/>
  <c r="K117" i="197" l="1"/>
  <c r="K118" i="197" l="1"/>
  <c r="J88" i="201" l="1"/>
  <c r="D16" i="201" s="1"/>
  <c r="L88" i="201" l="1"/>
  <c r="M88" i="201"/>
  <c r="J89" i="201" l="1"/>
  <c r="E16" i="201" s="1"/>
  <c r="E22" i="201" s="1"/>
  <c r="E23" i="201" s="1"/>
  <c r="L89" i="201" l="1"/>
  <c r="J133" i="201"/>
  <c r="M89" i="201"/>
  <c r="D22" i="201" l="1"/>
  <c r="D23" i="201" s="1"/>
  <c r="J16" i="201"/>
  <c r="J22" i="201" s="1"/>
  <c r="J23" i="201" l="1"/>
  <c r="K16" i="201"/>
  <c r="K25" i="201"/>
  <c r="K26" i="201" l="1"/>
  <c r="O25" i="201"/>
  <c r="K22" i="201"/>
  <c r="K23" i="201" s="1"/>
  <c r="O16" i="201"/>
  <c r="I16" i="201"/>
  <c r="I22" i="201" s="1"/>
  <c r="I23" i="201" s="1"/>
  <c r="I133" i="201"/>
  <c r="K93" i="201" l="1"/>
  <c r="K133" i="201" l="1"/>
  <c r="J134" i="201" s="1"/>
  <c r="H16" i="201"/>
  <c r="H22" i="201" s="1"/>
  <c r="H23" i="201" s="1"/>
  <c r="I16" i="206"/>
  <c r="I22" i="206" s="1"/>
  <c r="I23" i="206" s="1"/>
  <c r="I94" i="206"/>
  <c r="J133" i="206" l="1"/>
  <c r="K94" i="206"/>
  <c r="I133" i="206"/>
  <c r="H16" i="206" l="1"/>
  <c r="H22" i="206" s="1"/>
  <c r="H23" i="206" s="1"/>
  <c r="K133" i="206"/>
  <c r="J134" i="20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I85" authorId="0" shapeId="0" xr:uid="{00000000-0006-0000-5300-000001000000}">
      <text>
        <r>
          <rPr>
            <b/>
            <sz val="14"/>
            <color indexed="81"/>
            <rFont val="돋움"/>
            <family val="3"/>
            <charset val="129"/>
          </rPr>
          <t>작성시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전월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이월분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숫자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체크할것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100" authorId="0" shapeId="0" xr:uid="{00000000-0006-0000-5400-000001000000}">
      <text>
        <r>
          <rPr>
            <b/>
            <sz val="14"/>
            <color indexed="81"/>
            <rFont val="돋움"/>
            <family val="3"/>
            <charset val="129"/>
          </rPr>
          <t>작성시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전월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이월분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숫자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체크할것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03" authorId="0" shapeId="0" xr:uid="{00000000-0006-0000-5500-000001000000}">
      <text>
        <r>
          <rPr>
            <b/>
            <sz val="14"/>
            <color indexed="81"/>
            <rFont val="돋움"/>
            <family val="3"/>
            <charset val="129"/>
          </rPr>
          <t>작성시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전월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이월분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숫자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체크할것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04" authorId="0" shapeId="0" xr:uid="{00000000-0006-0000-5600-000001000000}">
      <text>
        <r>
          <rPr>
            <b/>
            <sz val="14"/>
            <color indexed="81"/>
            <rFont val="돋움"/>
            <family val="3"/>
            <charset val="129"/>
          </rPr>
          <t>작성시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전월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이월분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숫자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체크할것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99" authorId="0" shapeId="0" xr:uid="{00000000-0006-0000-5700-000001000000}">
      <text>
        <r>
          <rPr>
            <b/>
            <sz val="14"/>
            <color indexed="81"/>
            <rFont val="돋움"/>
            <family val="3"/>
            <charset val="129"/>
          </rPr>
          <t>작성시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전월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이월분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숫자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체크할것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09" authorId="0" shapeId="0" xr:uid="{00000000-0006-0000-5800-000001000000}">
      <text>
        <r>
          <rPr>
            <b/>
            <sz val="14"/>
            <color indexed="81"/>
            <rFont val="돋움"/>
            <family val="3"/>
            <charset val="129"/>
          </rPr>
          <t>작성시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전월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이월분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숫자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체크할것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99" authorId="0" shapeId="0" xr:uid="{00000000-0006-0000-5900-000001000000}">
      <text>
        <r>
          <rPr>
            <b/>
            <sz val="14"/>
            <color indexed="81"/>
            <rFont val="돋움"/>
            <family val="3"/>
            <charset val="129"/>
          </rPr>
          <t>작성시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전월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이월분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숫자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체크할것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05" authorId="0" shapeId="0" xr:uid="{00000000-0006-0000-5A00-000001000000}">
      <text>
        <r>
          <rPr>
            <b/>
            <sz val="14"/>
            <color indexed="81"/>
            <rFont val="돋움"/>
            <family val="3"/>
            <charset val="129"/>
          </rPr>
          <t>작성시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전월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이월분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숫자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체크할것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92" authorId="0" shapeId="0" xr:uid="{00000000-0006-0000-5B00-000001000000}">
      <text>
        <r>
          <rPr>
            <b/>
            <sz val="14"/>
            <color indexed="81"/>
            <rFont val="돋움"/>
            <family val="3"/>
            <charset val="129"/>
          </rPr>
          <t>작성시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전월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이월분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숫자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체크할것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98" authorId="0" shapeId="0" xr:uid="{00000000-0006-0000-5C00-000001000000}">
      <text>
        <r>
          <rPr>
            <b/>
            <sz val="14"/>
            <color indexed="81"/>
            <rFont val="돋움"/>
            <family val="3"/>
            <charset val="129"/>
          </rPr>
          <t>작성시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전월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이월분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숫자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체크할것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97" authorId="0" shapeId="0" xr:uid="{00000000-0006-0000-5D00-000001000000}">
      <text>
        <r>
          <rPr>
            <b/>
            <sz val="14"/>
            <color indexed="81"/>
            <rFont val="돋움"/>
            <family val="3"/>
            <charset val="129"/>
          </rPr>
          <t>작성시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전월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이월분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숫자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체크할것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96" authorId="0" shapeId="0" xr:uid="{00000000-0006-0000-5E00-000001000000}">
      <text>
        <r>
          <rPr>
            <b/>
            <sz val="14"/>
            <color indexed="81"/>
            <rFont val="돋움"/>
            <family val="3"/>
            <charset val="129"/>
          </rPr>
          <t>작성시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전월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이월분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숫자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체크할것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L75" authorId="0" shapeId="0" xr:uid="{8095729E-4AC1-45CC-9411-681C5D035DBA}">
      <text>
        <r>
          <rPr>
            <b/>
            <sz val="9"/>
            <color indexed="81"/>
            <rFont val="Tahoma"/>
            <family val="2"/>
          </rPr>
          <t>B</t>
        </r>
        <r>
          <rPr>
            <b/>
            <sz val="12"/>
            <color indexed="81"/>
            <rFont val="Tahoma"/>
            <family val="2"/>
          </rPr>
          <t xml:space="preserve">/L </t>
        </r>
        <r>
          <rPr>
            <b/>
            <sz val="12"/>
            <color indexed="81"/>
            <rFont val="돋움"/>
            <family val="3"/>
            <charset val="129"/>
          </rPr>
          <t>잘짜의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환율적용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계산함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J106" authorId="0" shapeId="0" xr:uid="{00000000-0006-0000-5F00-000001000000}">
      <text>
        <r>
          <rPr>
            <b/>
            <sz val="14"/>
            <color indexed="81"/>
            <rFont val="돋움"/>
            <family val="3"/>
            <charset val="129"/>
          </rPr>
          <t>작성시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전월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이월분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숫자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체크할것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<sst xmlns="http://schemas.openxmlformats.org/spreadsheetml/2006/main" count="17958" uniqueCount="5297">
  <si>
    <t>거래처</t>
    <phoneticPr fontId="3" type="noConversion"/>
  </si>
  <si>
    <t>Invoice</t>
    <phoneticPr fontId="7" type="noConversion"/>
  </si>
  <si>
    <t>면장번호</t>
    <phoneticPr fontId="3" type="noConversion"/>
  </si>
  <si>
    <t>BL일자</t>
    <phoneticPr fontId="3" type="noConversion"/>
  </si>
  <si>
    <t>환율</t>
    <phoneticPr fontId="3" type="noConversion"/>
  </si>
  <si>
    <t>금액</t>
    <phoneticPr fontId="3" type="noConversion"/>
  </si>
  <si>
    <t>외화금액</t>
    <phoneticPr fontId="3" type="noConversion"/>
  </si>
  <si>
    <t>원화환산금액</t>
    <phoneticPr fontId="3" type="noConversion"/>
  </si>
  <si>
    <t>증감액</t>
    <phoneticPr fontId="3" type="noConversion"/>
  </si>
  <si>
    <t>Allison</t>
    <phoneticPr fontId="3" type="noConversion"/>
  </si>
  <si>
    <t>소계</t>
    <phoneticPr fontId="3" type="noConversion"/>
  </si>
  <si>
    <t>Polaris</t>
    <phoneticPr fontId="3" type="noConversion"/>
  </si>
  <si>
    <t>Mercury</t>
    <phoneticPr fontId="3" type="noConversion"/>
  </si>
  <si>
    <t>Mercury
China</t>
    <phoneticPr fontId="3" type="noConversion"/>
  </si>
  <si>
    <t>Emerson</t>
    <phoneticPr fontId="3" type="noConversion"/>
  </si>
  <si>
    <t>AMAT</t>
    <phoneticPr fontId="3" type="noConversion"/>
  </si>
  <si>
    <t>총계</t>
    <phoneticPr fontId="3" type="noConversion"/>
  </si>
  <si>
    <t>물품대</t>
    <phoneticPr fontId="3" type="noConversion"/>
  </si>
  <si>
    <t>Tooling외</t>
    <phoneticPr fontId="3" type="noConversion"/>
  </si>
  <si>
    <t>합계</t>
    <phoneticPr fontId="3" type="noConversion"/>
  </si>
  <si>
    <t>구분</t>
    <phoneticPr fontId="3" type="noConversion"/>
  </si>
  <si>
    <t>이월금액</t>
    <phoneticPr fontId="3" type="noConversion"/>
  </si>
  <si>
    <t>창원공장</t>
    <phoneticPr fontId="3" type="noConversion"/>
  </si>
  <si>
    <t>마산1공장</t>
    <phoneticPr fontId="3" type="noConversion"/>
  </si>
  <si>
    <t>마산2공장</t>
    <phoneticPr fontId="3" type="noConversion"/>
  </si>
  <si>
    <t>날짜</t>
    <phoneticPr fontId="7" type="noConversion"/>
  </si>
  <si>
    <t>환율</t>
    <phoneticPr fontId="7" type="noConversion"/>
  </si>
  <si>
    <t>-</t>
    <phoneticPr fontId="3" type="noConversion"/>
  </si>
  <si>
    <t>SAM</t>
  </si>
  <si>
    <t>ALLISON</t>
  </si>
  <si>
    <t>EMERSON</t>
  </si>
  <si>
    <t>총계</t>
    <phoneticPr fontId="2" type="noConversion"/>
  </si>
  <si>
    <t>국외 매출 최종</t>
    <phoneticPr fontId="3" type="noConversion"/>
  </si>
  <si>
    <t>면장</t>
    <phoneticPr fontId="2" type="noConversion"/>
  </si>
  <si>
    <t>SEASTAR</t>
    <phoneticPr fontId="2" type="noConversion"/>
  </si>
  <si>
    <t>R&amp;R</t>
    <phoneticPr fontId="2" type="noConversion"/>
  </si>
  <si>
    <t>X</t>
    <phoneticPr fontId="2" type="noConversion"/>
  </si>
  <si>
    <t>OSHKOSH</t>
    <phoneticPr fontId="2" type="noConversion"/>
  </si>
  <si>
    <t>-</t>
    <phoneticPr fontId="2" type="noConversion"/>
  </si>
  <si>
    <t>MC</t>
    <phoneticPr fontId="2" type="noConversion"/>
  </si>
  <si>
    <t>EMERSON</t>
    <phoneticPr fontId="2" type="noConversion"/>
  </si>
  <si>
    <t>콜라</t>
    <phoneticPr fontId="2" type="noConversion"/>
  </si>
  <si>
    <t>mercury</t>
    <phoneticPr fontId="2" type="noConversion"/>
  </si>
  <si>
    <t>Invoice</t>
    <phoneticPr fontId="2" type="noConversion"/>
  </si>
  <si>
    <t>B/L</t>
    <phoneticPr fontId="2" type="noConversion"/>
  </si>
  <si>
    <t>AMAT</t>
    <phoneticPr fontId="2" type="noConversion"/>
  </si>
  <si>
    <t>SINKO</t>
    <phoneticPr fontId="2" type="noConversion"/>
  </si>
  <si>
    <t>SAM</t>
    <phoneticPr fontId="2" type="noConversion"/>
  </si>
  <si>
    <t>신고번호</t>
  </si>
  <si>
    <t>합계</t>
  </si>
  <si>
    <t>결제금액</t>
  </si>
  <si>
    <t>수리일자</t>
  </si>
  <si>
    <t>USD</t>
  </si>
  <si>
    <t>SAM</t>
    <phoneticPr fontId="3" type="noConversion"/>
  </si>
  <si>
    <t>신고일자</t>
  </si>
  <si>
    <t>송품장번호</t>
  </si>
  <si>
    <t>선적기한</t>
  </si>
  <si>
    <t>선적일자</t>
  </si>
  <si>
    <t>통화부호</t>
  </si>
  <si>
    <t>환율</t>
  </si>
  <si>
    <t>수출금액(미화)</t>
  </si>
  <si>
    <t>수출금액(원화)</t>
  </si>
  <si>
    <t>B/L</t>
  </si>
  <si>
    <t>수출자구분/거래구분/결제방법</t>
  </si>
  <si>
    <t>결재금액</t>
  </si>
  <si>
    <t>인도조건</t>
  </si>
  <si>
    <t>운송수단코드명</t>
  </si>
  <si>
    <t>구매자상호</t>
  </si>
  <si>
    <t>구매자부호</t>
  </si>
  <si>
    <t>운임</t>
  </si>
  <si>
    <t>보험료</t>
  </si>
  <si>
    <t>신용장번호</t>
  </si>
  <si>
    <t>A / 11 / TT</t>
  </si>
  <si>
    <t>FOB</t>
  </si>
  <si>
    <t>선박에 의한 운송</t>
  </si>
  <si>
    <t>POLARIS INDUSTRIES</t>
  </si>
  <si>
    <t>USPOLARI0016A</t>
  </si>
  <si>
    <t>EXW</t>
  </si>
  <si>
    <t/>
  </si>
  <si>
    <t>FCA</t>
  </si>
  <si>
    <t>MERCURY MARINE PLANT 95</t>
  </si>
  <si>
    <t>항공기에 의한 운송</t>
  </si>
  <si>
    <t>EMERSON PROCESS MGMT MFG M S B</t>
  </si>
  <si>
    <t>MYEMERSO0001Y</t>
  </si>
  <si>
    <t>EMERSON PROCESS MGMT VALVE CO LTD</t>
  </si>
  <si>
    <t>CNEMERSO0008Q</t>
  </si>
  <si>
    <t>세관</t>
  </si>
  <si>
    <t>과</t>
  </si>
  <si>
    <t>마산세관</t>
  </si>
  <si>
    <t>부산세관</t>
  </si>
  <si>
    <t>신고수량</t>
  </si>
  <si>
    <t>신고수량단위</t>
  </si>
  <si>
    <t>선적수량</t>
  </si>
  <si>
    <t>선적수량단위</t>
  </si>
  <si>
    <t>신고중량</t>
  </si>
  <si>
    <t>선적중량</t>
  </si>
  <si>
    <t>포장종류</t>
  </si>
  <si>
    <t>선적여부</t>
  </si>
  <si>
    <t>CT</t>
  </si>
  <si>
    <t>GT</t>
  </si>
  <si>
    <t>Y</t>
  </si>
  <si>
    <t>전월금액</t>
    <phoneticPr fontId="2" type="noConversion"/>
  </si>
  <si>
    <t>N</t>
  </si>
  <si>
    <t>MERCURY MARINE TECHNOLOGY SUZHOU COMPANY LTD</t>
  </si>
  <si>
    <t>CNMERCUR0001Y</t>
  </si>
  <si>
    <t>CFR</t>
  </si>
  <si>
    <t>EMERSON PROCESS MANAGEMENT CHENNAI LTD</t>
  </si>
  <si>
    <t>INEMERSO0008A</t>
  </si>
  <si>
    <t>NIPPON FISHER CO LTD</t>
  </si>
  <si>
    <t>JPNIPPON0085L</t>
  </si>
  <si>
    <t>일반수출</t>
  </si>
  <si>
    <t>12월 이월분</t>
    <phoneticPr fontId="3" type="noConversion"/>
  </si>
  <si>
    <t>1월 당월분</t>
    <phoneticPr fontId="3" type="noConversion"/>
  </si>
  <si>
    <t>2월 이월분</t>
    <phoneticPr fontId="3" type="noConversion"/>
  </si>
  <si>
    <t>Mercury</t>
    <phoneticPr fontId="2" type="noConversion"/>
  </si>
  <si>
    <t>불량재수입</t>
    <phoneticPr fontId="2" type="noConversion"/>
  </si>
  <si>
    <t>1월 이월분</t>
    <phoneticPr fontId="3" type="noConversion"/>
  </si>
  <si>
    <t>2월 당월분</t>
    <phoneticPr fontId="3" type="noConversion"/>
  </si>
  <si>
    <t>3월 이월분</t>
    <phoneticPr fontId="3" type="noConversion"/>
  </si>
  <si>
    <t>FISHER CONTROLS INTERNATIONAL LLC</t>
  </si>
  <si>
    <t>USFISHER0008L</t>
  </si>
  <si>
    <t>3월 당월분</t>
    <phoneticPr fontId="3" type="noConversion"/>
  </si>
  <si>
    <t>4월 이월분</t>
    <phoneticPr fontId="3" type="noConversion"/>
  </si>
  <si>
    <t>SAM PRECISION M SDN BHD</t>
  </si>
  <si>
    <t>MYSAMPRE0001F</t>
  </si>
  <si>
    <t>신항통관검사3과</t>
  </si>
  <si>
    <t>통관지원과</t>
  </si>
  <si>
    <t>DSM2104-01</t>
  </si>
  <si>
    <t>DSM2104-02</t>
  </si>
  <si>
    <t>DSM2104-08</t>
  </si>
  <si>
    <t>DSM2104-03</t>
  </si>
  <si>
    <t>DSM2104-22</t>
  </si>
  <si>
    <t>DSM2104-07</t>
  </si>
  <si>
    <t>DSM2104-10</t>
  </si>
  <si>
    <t>41072-21-501246X</t>
  </si>
  <si>
    <t>41072-21-501247X</t>
  </si>
  <si>
    <t>41072-21-501248X</t>
  </si>
  <si>
    <t>41072-21-501365X</t>
  </si>
  <si>
    <t>41072-21-501249X</t>
  </si>
  <si>
    <t>41072-21-501366X</t>
  </si>
  <si>
    <t>41072-21-501351X</t>
  </si>
  <si>
    <t>5월 당월분</t>
    <phoneticPr fontId="3" type="noConversion"/>
  </si>
  <si>
    <t>6월 이월분</t>
    <phoneticPr fontId="3" type="noConversion"/>
  </si>
  <si>
    <t>4월 당월분</t>
    <phoneticPr fontId="3" type="noConversion"/>
  </si>
  <si>
    <t>5월 이월분</t>
    <phoneticPr fontId="3" type="noConversion"/>
  </si>
  <si>
    <t>KOHLER CO</t>
  </si>
  <si>
    <t>통화코드</t>
  </si>
  <si>
    <t>JS TECH</t>
    <phoneticPr fontId="3" type="noConversion"/>
  </si>
  <si>
    <t>6월 당월분</t>
    <phoneticPr fontId="3" type="noConversion"/>
  </si>
  <si>
    <t>7월 이월분</t>
    <phoneticPr fontId="3" type="noConversion"/>
  </si>
  <si>
    <t>MARKETECH INTERNATIONAL CORP</t>
  </si>
  <si>
    <t>TWMARKET0007Y</t>
  </si>
  <si>
    <t>(항만)통관검사5과</t>
  </si>
  <si>
    <t>Mercury China</t>
    <phoneticPr fontId="2" type="noConversion"/>
  </si>
  <si>
    <t>7월 당월분</t>
    <phoneticPr fontId="3" type="noConversion"/>
  </si>
  <si>
    <t>8월 이월분</t>
    <phoneticPr fontId="3" type="noConversion"/>
  </si>
  <si>
    <t>EMERSON FZE</t>
  </si>
  <si>
    <t>AEEMERSO0002L</t>
  </si>
  <si>
    <t>USMERCUR0034B</t>
  </si>
  <si>
    <t>P707221</t>
  </si>
  <si>
    <t>ALLISON TRANSMISSION INC</t>
  </si>
  <si>
    <t>8월 당월분</t>
    <phoneticPr fontId="3" type="noConversion"/>
  </si>
  <si>
    <t>9월 이월분</t>
    <phoneticPr fontId="3" type="noConversion"/>
  </si>
  <si>
    <t>503172X</t>
  </si>
  <si>
    <t>503188X</t>
  </si>
  <si>
    <t>503209X</t>
  </si>
  <si>
    <t>503211X</t>
  </si>
  <si>
    <t>503210X</t>
  </si>
  <si>
    <t>503208X</t>
  </si>
  <si>
    <t>503242X</t>
  </si>
  <si>
    <t>9월 당월분</t>
    <phoneticPr fontId="3" type="noConversion"/>
  </si>
  <si>
    <t>10월 이월분</t>
    <phoneticPr fontId="3" type="noConversion"/>
  </si>
  <si>
    <t>DDP</t>
  </si>
  <si>
    <t>503489X</t>
  </si>
  <si>
    <t>503253X</t>
  </si>
  <si>
    <t>503254X</t>
  </si>
  <si>
    <t>503247X</t>
  </si>
  <si>
    <t>503341X</t>
  </si>
  <si>
    <t>503400X</t>
  </si>
  <si>
    <t>503227X</t>
  </si>
  <si>
    <t>503255X</t>
  </si>
  <si>
    <t>503243X</t>
  </si>
  <si>
    <t>503512X</t>
  </si>
  <si>
    <t>503475X</t>
  </si>
  <si>
    <t>503431X</t>
  </si>
  <si>
    <t>503432X</t>
  </si>
  <si>
    <t>503521X</t>
  </si>
  <si>
    <t>503317X</t>
  </si>
  <si>
    <t>503318X</t>
  </si>
  <si>
    <t>503319X</t>
  </si>
  <si>
    <t>503362X</t>
  </si>
  <si>
    <t>503363X</t>
  </si>
  <si>
    <t>503407X</t>
  </si>
  <si>
    <t>503408X</t>
  </si>
  <si>
    <t>503388X</t>
  </si>
  <si>
    <t>503454X</t>
  </si>
  <si>
    <t>090676X</t>
  </si>
  <si>
    <t>090714X</t>
  </si>
  <si>
    <t>503232X</t>
  </si>
  <si>
    <t>503233X</t>
  </si>
  <si>
    <t>503229X</t>
  </si>
  <si>
    <t>503234X</t>
  </si>
  <si>
    <t>503230X</t>
  </si>
  <si>
    <t>503264X</t>
  </si>
  <si>
    <t>503290X</t>
  </si>
  <si>
    <t>503411X</t>
  </si>
  <si>
    <t>503412X</t>
  </si>
  <si>
    <t>503413X</t>
  </si>
  <si>
    <t>503414X</t>
  </si>
  <si>
    <t>503415X</t>
  </si>
  <si>
    <t>503416X</t>
  </si>
  <si>
    <t>503420X</t>
  </si>
  <si>
    <t>503476X</t>
  </si>
  <si>
    <t>503524X</t>
  </si>
  <si>
    <t>503525X</t>
  </si>
  <si>
    <t>503526X</t>
  </si>
  <si>
    <t>503527X</t>
  </si>
  <si>
    <t>503528X</t>
  </si>
  <si>
    <t>503529X</t>
  </si>
  <si>
    <t>503530X</t>
  </si>
  <si>
    <t>503325X</t>
  </si>
  <si>
    <t>503478X</t>
  </si>
  <si>
    <t>503535X</t>
  </si>
  <si>
    <t>503389X</t>
  </si>
  <si>
    <t>902185X</t>
  </si>
  <si>
    <t>503390X</t>
  </si>
  <si>
    <t>090060X</t>
  </si>
  <si>
    <t>090144X</t>
  </si>
  <si>
    <t>503249X</t>
  </si>
  <si>
    <t>503375X</t>
  </si>
  <si>
    <t>수출종류</t>
  </si>
  <si>
    <t>USALLISO0027Z</t>
  </si>
  <si>
    <t>공장</t>
    <phoneticPr fontId="2" type="noConversion"/>
  </si>
  <si>
    <t>10월 당월분</t>
    <phoneticPr fontId="3" type="noConversion"/>
  </si>
  <si>
    <t>11월 이월분</t>
    <phoneticPr fontId="3" type="noConversion"/>
  </si>
  <si>
    <t>송품장번호</t>
    <phoneticPr fontId="2" type="noConversion"/>
  </si>
  <si>
    <t>거래처</t>
    <phoneticPr fontId="2" type="noConversion"/>
  </si>
  <si>
    <t>11월 당월분</t>
    <phoneticPr fontId="3" type="noConversion"/>
  </si>
  <si>
    <t>P704860</t>
  </si>
  <si>
    <t>인천세관</t>
  </si>
  <si>
    <t>(항만/공항)통관검사3과</t>
  </si>
  <si>
    <t>503244X</t>
  </si>
  <si>
    <t>503245X</t>
  </si>
  <si>
    <t>503246X</t>
  </si>
  <si>
    <t>503531X</t>
  </si>
  <si>
    <t>503532X</t>
  </si>
  <si>
    <t>503533X</t>
  </si>
  <si>
    <t>503534X</t>
  </si>
  <si>
    <t>503536X</t>
  </si>
  <si>
    <t>503537X</t>
  </si>
  <si>
    <t>503391X</t>
  </si>
  <si>
    <t>12월 당월분</t>
    <phoneticPr fontId="3" type="noConversion"/>
  </si>
  <si>
    <t>SHINKO IND LTD</t>
    <phoneticPr fontId="3" type="noConversion"/>
  </si>
  <si>
    <t>POLARIS POLAND SP Z O O</t>
  </si>
  <si>
    <t>PLPOLARI0003K</t>
  </si>
  <si>
    <t>BX</t>
  </si>
  <si>
    <t>KRW</t>
  </si>
  <si>
    <t>BERGEN ENGINES AS</t>
  </si>
  <si>
    <t>NOBERGEN0004U</t>
  </si>
  <si>
    <t>POLARIS SALES EUROPE SARL</t>
  </si>
  <si>
    <t>CHPOLARI0001L</t>
  </si>
  <si>
    <t>MERCURY MARINE PLANT 3</t>
  </si>
  <si>
    <t>USMERCUR0022G</t>
  </si>
  <si>
    <t>송품장번호-</t>
    <phoneticPr fontId="2" type="noConversion"/>
  </si>
  <si>
    <t>JPY</t>
  </si>
  <si>
    <t>CIF</t>
  </si>
  <si>
    <t>SHINKO IND LTD</t>
  </si>
  <si>
    <t>JPSHINKO0007F</t>
  </si>
  <si>
    <t>창원세관</t>
  </si>
  <si>
    <t>2022-05-02</t>
  </si>
  <si>
    <t>MERCURY MARINE PLANT 36</t>
  </si>
  <si>
    <t>USMERCUR0016F</t>
  </si>
  <si>
    <t>2022-05-06</t>
  </si>
  <si>
    <t>2022-05-04</t>
  </si>
  <si>
    <t>2022-05-11</t>
  </si>
  <si>
    <t>2022-05-09</t>
  </si>
  <si>
    <t>2022-05-23</t>
  </si>
  <si>
    <t>2022-05-12</t>
  </si>
  <si>
    <t>PAA33UN</t>
  </si>
  <si>
    <t>2022-05-13</t>
  </si>
  <si>
    <t>2022-05-16</t>
  </si>
  <si>
    <t>EMERSON PROCESS MANAGEMENT SAS</t>
  </si>
  <si>
    <t>FREMERSO0002P</t>
  </si>
  <si>
    <t>2022-05-18</t>
  </si>
  <si>
    <t>2022-05-20</t>
  </si>
  <si>
    <t>2022-05-25</t>
  </si>
  <si>
    <t>P707897</t>
  </si>
  <si>
    <t>2022-05-19</t>
  </si>
  <si>
    <t>2204P14</t>
  </si>
  <si>
    <t>2204P15</t>
  </si>
  <si>
    <t>2204P16</t>
  </si>
  <si>
    <t>2204P17</t>
  </si>
  <si>
    <t>2204P18</t>
  </si>
  <si>
    <t>2204P22</t>
  </si>
  <si>
    <t>2022-05-26</t>
  </si>
  <si>
    <t>2022-05-27</t>
  </si>
  <si>
    <t>EMERSON PROCESS MANAGEMENT</t>
  </si>
  <si>
    <t>HUEMERSO0001T</t>
  </si>
  <si>
    <t>4153376646</t>
  </si>
  <si>
    <t>2022-05-30</t>
  </si>
  <si>
    <t>2057622050007X</t>
  </si>
  <si>
    <t>DSM2204-AM02</t>
  </si>
  <si>
    <t>2022-06-02</t>
  </si>
  <si>
    <t>4107222501435X</t>
  </si>
  <si>
    <t>2022-05-03</t>
  </si>
  <si>
    <t>P597369</t>
  </si>
  <si>
    <t>4107222501436X</t>
  </si>
  <si>
    <t>P597466</t>
  </si>
  <si>
    <t>4107222501437X</t>
  </si>
  <si>
    <t>P388316</t>
  </si>
  <si>
    <t>4107222501438X</t>
  </si>
  <si>
    <t>PAA3RCR</t>
  </si>
  <si>
    <t>4107222501439X</t>
  </si>
  <si>
    <t>4107222501440X</t>
  </si>
  <si>
    <t>DSM2205-01</t>
  </si>
  <si>
    <t>P946612</t>
  </si>
  <si>
    <t>4107222501441X</t>
  </si>
  <si>
    <t>DSM2204-R03</t>
  </si>
  <si>
    <t>5000044065</t>
  </si>
  <si>
    <t>4107222501442X</t>
  </si>
  <si>
    <t>DSM2204-R02</t>
  </si>
  <si>
    <t>5000043199</t>
  </si>
  <si>
    <t>4107222501426X</t>
  </si>
  <si>
    <t>DSM2205-AL01</t>
  </si>
  <si>
    <t>송품장번호1</t>
    <phoneticPr fontId="2" type="noConversion"/>
  </si>
  <si>
    <t>4164922200797X</t>
  </si>
  <si>
    <t>NNRKR22050045</t>
  </si>
  <si>
    <t>C64729110</t>
  </si>
  <si>
    <t>WRE100695</t>
  </si>
  <si>
    <t>4107222501478X</t>
  </si>
  <si>
    <t>DSM2205-02</t>
  </si>
  <si>
    <t>4107222501479X</t>
  </si>
  <si>
    <t>DSM2205-03</t>
  </si>
  <si>
    <t>P706232</t>
  </si>
  <si>
    <t>4107222501482X</t>
  </si>
  <si>
    <t>DSM2205-EM02</t>
  </si>
  <si>
    <t>4107222501480X</t>
  </si>
  <si>
    <t>DSM2205-04</t>
  </si>
  <si>
    <t>4107222501481X</t>
  </si>
  <si>
    <t>DSM2205-EM01</t>
  </si>
  <si>
    <t>4107222501483X</t>
  </si>
  <si>
    <t>DSM2205-EM03</t>
  </si>
  <si>
    <t>4107222501484X</t>
  </si>
  <si>
    <t>DSM2205-EM04</t>
  </si>
  <si>
    <t>4107222501485X</t>
  </si>
  <si>
    <t>DSM2205-EM05</t>
  </si>
  <si>
    <t>4107222501486X</t>
  </si>
  <si>
    <t>DSM2205-EM06</t>
  </si>
  <si>
    <t>2022-06-03</t>
  </si>
  <si>
    <t>2022-05-05</t>
  </si>
  <si>
    <t>2022-06-07</t>
  </si>
  <si>
    <t>4215118383</t>
  </si>
  <si>
    <t>4229157153</t>
  </si>
  <si>
    <t>4283013128</t>
  </si>
  <si>
    <t>4780534433</t>
  </si>
  <si>
    <t>4780522699</t>
  </si>
  <si>
    <t>4176083261</t>
  </si>
  <si>
    <t>600601MYDTJ</t>
  </si>
  <si>
    <t>4107222501455X</t>
  </si>
  <si>
    <t>DSM2205-AL02</t>
  </si>
  <si>
    <t>600601NZK7Q</t>
  </si>
  <si>
    <t>4107222501456X</t>
  </si>
  <si>
    <t>DSM2205-AL03</t>
  </si>
  <si>
    <t>600601P8CLY</t>
  </si>
  <si>
    <t>4107222501468X</t>
  </si>
  <si>
    <t>DSM2205-AL04</t>
  </si>
  <si>
    <t>600601MSQFY</t>
  </si>
  <si>
    <t>4107222501511X</t>
  </si>
  <si>
    <t>DSM2205-AL05</t>
  </si>
  <si>
    <t>DSM2204-R01</t>
  </si>
  <si>
    <t>4107222501591X</t>
  </si>
  <si>
    <t>DSM2205-SK01</t>
  </si>
  <si>
    <t>2022-06-13</t>
  </si>
  <si>
    <t>2022-05-15</t>
  </si>
  <si>
    <t>CLCLSEL202675300</t>
  </si>
  <si>
    <t>창원</t>
    <phoneticPr fontId="2" type="noConversion"/>
  </si>
  <si>
    <t>4107222501754X</t>
  </si>
  <si>
    <t>DSM2205-SK02</t>
  </si>
  <si>
    <t>2022-06-27</t>
  </si>
  <si>
    <t>CLCLSEL202937400</t>
  </si>
  <si>
    <t>4107222501799X</t>
  </si>
  <si>
    <t>DSM2205-SK03</t>
  </si>
  <si>
    <t>2022-05-31</t>
  </si>
  <si>
    <t>2022-06-30</t>
  </si>
  <si>
    <t>CLCLSEL203065400</t>
  </si>
  <si>
    <t>SBSATLC2220257</t>
  </si>
  <si>
    <t>YMLUW360890586</t>
  </si>
  <si>
    <t>YMLUW360890585</t>
  </si>
  <si>
    <t>08157743280</t>
  </si>
  <si>
    <t>2022-07-02</t>
  </si>
  <si>
    <t>SUDUN2SOL004674A</t>
  </si>
  <si>
    <t>ET020BSSW032</t>
  </si>
  <si>
    <t>SELG601984</t>
  </si>
  <si>
    <t>08157743291</t>
  </si>
  <si>
    <t>2022-05-17</t>
  </si>
  <si>
    <t>81480479</t>
  </si>
  <si>
    <t>2022-07-07</t>
  </si>
  <si>
    <t>SELG601986</t>
  </si>
  <si>
    <t>SELG601987</t>
  </si>
  <si>
    <t>2022-05-08</t>
  </si>
  <si>
    <t>V232096</t>
  </si>
  <si>
    <t>4107222501494X</t>
  </si>
  <si>
    <t>DSM2205-05</t>
  </si>
  <si>
    <t>600601MZ8TZ</t>
  </si>
  <si>
    <t>MERCURY MARINE PLANT 12</t>
  </si>
  <si>
    <t>USMERCUR0036Z</t>
  </si>
  <si>
    <t>2331191</t>
  </si>
  <si>
    <t>4107222501495X</t>
  </si>
  <si>
    <t>DSM2205-06</t>
  </si>
  <si>
    <t>600601SWQFK</t>
  </si>
  <si>
    <t>P337783</t>
  </si>
  <si>
    <t>4107222501496X</t>
  </si>
  <si>
    <t>DSM2205-EM07</t>
  </si>
  <si>
    <t>6754988122</t>
  </si>
  <si>
    <t>4279027588</t>
  </si>
  <si>
    <t>4107222501497X</t>
  </si>
  <si>
    <t>DSM2205-EM08</t>
  </si>
  <si>
    <t>2022-05-07</t>
  </si>
  <si>
    <t>6754997620</t>
  </si>
  <si>
    <t>4199027624</t>
  </si>
  <si>
    <t>4107222501514X</t>
  </si>
  <si>
    <t>DSM2205-K01</t>
  </si>
  <si>
    <t>2022-06-08</t>
  </si>
  <si>
    <t>EIKO6420073668</t>
  </si>
  <si>
    <t>USKOHLER0007U</t>
  </si>
  <si>
    <t>1011061627GM</t>
  </si>
  <si>
    <t>4107222501515X</t>
  </si>
  <si>
    <t>2022-07-08</t>
  </si>
  <si>
    <t>5006012095</t>
  </si>
  <si>
    <t>4112922050077X</t>
  </si>
  <si>
    <t>DSM2205-SM01</t>
  </si>
  <si>
    <t>2022-06-10</t>
  </si>
  <si>
    <t>ESSASEL22051210</t>
  </si>
  <si>
    <t>4164922101070X</t>
  </si>
  <si>
    <t>2205P03</t>
  </si>
  <si>
    <t>2022-05-14</t>
  </si>
  <si>
    <t>WRE100697</t>
  </si>
  <si>
    <t>4164922101071X</t>
  </si>
  <si>
    <t>2205P02</t>
  </si>
  <si>
    <t>WRE100698</t>
  </si>
  <si>
    <t>4164922101072X</t>
  </si>
  <si>
    <t>2205P01</t>
  </si>
  <si>
    <t>WRE100696</t>
  </si>
  <si>
    <t>4107222501561X</t>
  </si>
  <si>
    <t>DSM2205-07</t>
  </si>
  <si>
    <t>2022-05-22</t>
  </si>
  <si>
    <t>SUDUN2SOL004810A</t>
  </si>
  <si>
    <t>4107222501562X</t>
  </si>
  <si>
    <t>DSM2205-08</t>
  </si>
  <si>
    <t>SUDUN2SOL004810B</t>
  </si>
  <si>
    <t>P869429</t>
  </si>
  <si>
    <t>4107222501563X</t>
  </si>
  <si>
    <t>DSM2205-10</t>
  </si>
  <si>
    <t>600601TTRMX</t>
  </si>
  <si>
    <t>4107222501564X</t>
  </si>
  <si>
    <t>DSM2205-11</t>
  </si>
  <si>
    <t>600601MXMXM</t>
  </si>
  <si>
    <t>MERCURY MARINE PLANT 10</t>
  </si>
  <si>
    <t>USMERCUR0029Z</t>
  </si>
  <si>
    <t>2331997</t>
  </si>
  <si>
    <t>4107222501579X</t>
  </si>
  <si>
    <t>DSM2205-EM09</t>
  </si>
  <si>
    <t>CJAPKL2205142</t>
  </si>
  <si>
    <t>4229159106</t>
  </si>
  <si>
    <t>4107222501580X</t>
  </si>
  <si>
    <t>DSM2205-EM10</t>
  </si>
  <si>
    <t>SELG602164</t>
  </si>
  <si>
    <t>4215118621</t>
  </si>
  <si>
    <t>4107222501581X</t>
  </si>
  <si>
    <t>DSM2205-EM11</t>
  </si>
  <si>
    <t>SELG602171</t>
  </si>
  <si>
    <t>4780522684</t>
  </si>
  <si>
    <t>1219922201895X</t>
  </si>
  <si>
    <t>2205P07</t>
  </si>
  <si>
    <t>SEL0294166</t>
  </si>
  <si>
    <t>4107222501590X</t>
  </si>
  <si>
    <t>DSM2205-09</t>
  </si>
  <si>
    <t>18032015325</t>
  </si>
  <si>
    <t>마산1</t>
    <phoneticPr fontId="2" type="noConversion"/>
  </si>
  <si>
    <t>4107222501604X</t>
  </si>
  <si>
    <t>2205P04</t>
  </si>
  <si>
    <t>2022-06-15</t>
  </si>
  <si>
    <t>YMLUW360891018</t>
  </si>
  <si>
    <t>PAA1W46</t>
  </si>
  <si>
    <t>2057622050333X</t>
  </si>
  <si>
    <t>DSM2205-AM01</t>
  </si>
  <si>
    <t>2022-06-16</t>
  </si>
  <si>
    <t>NNRKR22050193</t>
  </si>
  <si>
    <t>4107222501643X</t>
  </si>
  <si>
    <t>DSM2205-K02</t>
  </si>
  <si>
    <t>2022-06-17</t>
  </si>
  <si>
    <t>2022-05-21</t>
  </si>
  <si>
    <t>4420035929</t>
  </si>
  <si>
    <t>1010563926GPS</t>
  </si>
  <si>
    <t>4107222901013X</t>
  </si>
  <si>
    <t>2205P05</t>
  </si>
  <si>
    <t>2022-06-20</t>
  </si>
  <si>
    <t>PAA2FHZ</t>
  </si>
  <si>
    <t>4107222901015X</t>
  </si>
  <si>
    <t>2205P08</t>
  </si>
  <si>
    <t>YMLUW360891333</t>
  </si>
  <si>
    <t>P584637</t>
  </si>
  <si>
    <t>4107222901014X</t>
  </si>
  <si>
    <t>2205P06</t>
  </si>
  <si>
    <t>YMLUW360891335</t>
  </si>
  <si>
    <t>PAA2E58</t>
  </si>
  <si>
    <t>4107222901016X</t>
  </si>
  <si>
    <t>2205P09</t>
  </si>
  <si>
    <t>P468012</t>
  </si>
  <si>
    <t>4107222901017X</t>
  </si>
  <si>
    <t>2205P10</t>
  </si>
  <si>
    <t>P584669</t>
  </si>
  <si>
    <t>4107222901018X</t>
  </si>
  <si>
    <t>DSM2205-EM12</t>
  </si>
  <si>
    <t>SELG602388</t>
  </si>
  <si>
    <t>4107222901019X</t>
  </si>
  <si>
    <t>DSM2205-EM13</t>
  </si>
  <si>
    <t>2022-05-24</t>
  </si>
  <si>
    <t>SELG602389</t>
  </si>
  <si>
    <t>4780529334</t>
  </si>
  <si>
    <t>4107222901020X</t>
  </si>
  <si>
    <t>2205P13</t>
  </si>
  <si>
    <t>2022-05-29</t>
  </si>
  <si>
    <t>SEL0295791</t>
  </si>
  <si>
    <t>PAAD17Y</t>
  </si>
  <si>
    <t>4107222501681X</t>
  </si>
  <si>
    <t>DSM2205-18</t>
  </si>
  <si>
    <t>2022-06-22</t>
  </si>
  <si>
    <t>600601T3QQ4</t>
  </si>
  <si>
    <t>P829199</t>
  </si>
  <si>
    <t>4107222501693X</t>
  </si>
  <si>
    <t>DSM2205-EM14</t>
  </si>
  <si>
    <t>2022-06-23</t>
  </si>
  <si>
    <t>SELG602480</t>
  </si>
  <si>
    <t>4780526832</t>
  </si>
  <si>
    <t>4107222501694X</t>
  </si>
  <si>
    <t>2205P11</t>
  </si>
  <si>
    <t>SEL0296314</t>
  </si>
  <si>
    <t>PAADZ8R</t>
  </si>
  <si>
    <t>4107222501708X</t>
  </si>
  <si>
    <t>DSM2205-12</t>
  </si>
  <si>
    <t>4107222501710X</t>
  </si>
  <si>
    <t>DSM2205-14</t>
  </si>
  <si>
    <t>P706231</t>
  </si>
  <si>
    <t>4107222501712X</t>
  </si>
  <si>
    <t>DSM2205-16</t>
  </si>
  <si>
    <t>4107222501709X</t>
  </si>
  <si>
    <t>DSM2205-13</t>
  </si>
  <si>
    <t>4107222501711X</t>
  </si>
  <si>
    <t>DSM2205-15</t>
  </si>
  <si>
    <t>4107222501715X</t>
  </si>
  <si>
    <t>DSM2205-MC01</t>
  </si>
  <si>
    <t>2022-06-24</t>
  </si>
  <si>
    <t>2022-05-28</t>
  </si>
  <si>
    <t>550240384226</t>
  </si>
  <si>
    <t>4107222501752X</t>
  </si>
  <si>
    <t>DSM2205-22</t>
  </si>
  <si>
    <t>600601TPNM7</t>
  </si>
  <si>
    <t>P700612</t>
  </si>
  <si>
    <t>4107222501755X</t>
  </si>
  <si>
    <t>DSM2205-21</t>
  </si>
  <si>
    <t>600601NC9CM</t>
  </si>
  <si>
    <t>4107222501751X</t>
  </si>
  <si>
    <t>DSM2205-20</t>
  </si>
  <si>
    <t>600601SRVLM</t>
  </si>
  <si>
    <t>4107222501772X</t>
  </si>
  <si>
    <t>DSM2205-EM17</t>
  </si>
  <si>
    <t>2022-06-29</t>
  </si>
  <si>
    <t>4780545992</t>
  </si>
  <si>
    <t>4107222501770X</t>
  </si>
  <si>
    <t>DSM2205-EM15</t>
  </si>
  <si>
    <t>4107222501771X</t>
  </si>
  <si>
    <t>DSM2205-EM16</t>
  </si>
  <si>
    <t>4215119924</t>
  </si>
  <si>
    <t>4107222501773X</t>
  </si>
  <si>
    <t>DSM2205-EM18</t>
  </si>
  <si>
    <t>6114932202</t>
  </si>
  <si>
    <t>4107222501774X</t>
  </si>
  <si>
    <t>DSM2205-EM19</t>
  </si>
  <si>
    <t>2022-06-01</t>
  </si>
  <si>
    <t>2190580744</t>
  </si>
  <si>
    <t>4107222501781X</t>
  </si>
  <si>
    <t>DSM2205-23</t>
  </si>
  <si>
    <t>4107222501782X</t>
  </si>
  <si>
    <t>DSM2206-01</t>
  </si>
  <si>
    <t>4112922050299X</t>
  </si>
  <si>
    <t>DSM2205-SM02</t>
  </si>
  <si>
    <t>4107222501815X</t>
  </si>
  <si>
    <t>DSM2205-R01</t>
  </si>
  <si>
    <t>2022-07-04</t>
  </si>
  <si>
    <t>5000045136</t>
  </si>
  <si>
    <t>4107222501835X</t>
  </si>
  <si>
    <t>DSM2205-EM20</t>
  </si>
  <si>
    <t>4780538157</t>
  </si>
  <si>
    <t>4227122503112X</t>
  </si>
  <si>
    <t>2205P14</t>
  </si>
  <si>
    <t>4107222501847X</t>
  </si>
  <si>
    <t>2205P12</t>
  </si>
  <si>
    <t>PAA4FGW</t>
  </si>
  <si>
    <t>4107222501848X</t>
  </si>
  <si>
    <t>2205P15</t>
  </si>
  <si>
    <t>PAA5LHN</t>
  </si>
  <si>
    <t>4107222501849X</t>
  </si>
  <si>
    <t>DSM2205-R02</t>
  </si>
  <si>
    <t>5006014103</t>
  </si>
  <si>
    <t>4107222501853X</t>
  </si>
  <si>
    <t>DSM2206-03</t>
  </si>
  <si>
    <t>P707304</t>
  </si>
  <si>
    <t>600601N9SGL</t>
  </si>
  <si>
    <t>4107222501516X</t>
  </si>
  <si>
    <t>DSM2205-AL06</t>
  </si>
  <si>
    <t>DKCHI220509001</t>
  </si>
  <si>
    <t>4107222501542X</t>
  </si>
  <si>
    <t>DSM2205-AL07</t>
  </si>
  <si>
    <t>2022-05-10</t>
  </si>
  <si>
    <t>2022-06-09</t>
  </si>
  <si>
    <t>600601N7Z8F</t>
  </si>
  <si>
    <t>4107222501559X</t>
  </si>
  <si>
    <t>DSM2205-AL08</t>
  </si>
  <si>
    <t>600601MVW99</t>
  </si>
  <si>
    <t>4107222501574X</t>
  </si>
  <si>
    <t>DSM2205-AL09</t>
  </si>
  <si>
    <t>600601MWDCX</t>
  </si>
  <si>
    <t>4107222501600X</t>
  </si>
  <si>
    <t>DSM2205-AL10</t>
  </si>
  <si>
    <t>600601NB8FN</t>
  </si>
  <si>
    <t>마산2</t>
    <phoneticPr fontId="2" type="noConversion"/>
  </si>
  <si>
    <t>4107222501612X</t>
  </si>
  <si>
    <t>DSM2205-AL11</t>
  </si>
  <si>
    <t>600601NB34C</t>
  </si>
  <si>
    <t>4107222501628X</t>
  </si>
  <si>
    <t>DSM2205-AL12</t>
  </si>
  <si>
    <t>600601NF833</t>
  </si>
  <si>
    <t>4107222501636X</t>
  </si>
  <si>
    <t>DSM2205-AL13</t>
  </si>
  <si>
    <t>UNCHI2205113</t>
  </si>
  <si>
    <t>4107222501669X</t>
  </si>
  <si>
    <t>DSM2205-AL14</t>
  </si>
  <si>
    <t>600601MTBYH</t>
  </si>
  <si>
    <t>4107222901021X</t>
  </si>
  <si>
    <t>DSM2205-AL15</t>
  </si>
  <si>
    <t>600601MY8MS</t>
  </si>
  <si>
    <t>4107222501680X</t>
  </si>
  <si>
    <t>DSM2205-AL16</t>
  </si>
  <si>
    <t>600601N4SDX</t>
  </si>
  <si>
    <t>4107222501699X</t>
  </si>
  <si>
    <t>DSM2205-AL17</t>
  </si>
  <si>
    <t>600601N8LJZ</t>
  </si>
  <si>
    <t>4107222501756X</t>
  </si>
  <si>
    <t>DSM2205-AL18</t>
  </si>
  <si>
    <t>600601MZT9V</t>
  </si>
  <si>
    <t>4107222501780X</t>
  </si>
  <si>
    <t>DSM2205-AL19</t>
  </si>
  <si>
    <t>600601MRVVQ</t>
  </si>
  <si>
    <t>4107222501814X</t>
  </si>
  <si>
    <t>DSM2205-AL20</t>
  </si>
  <si>
    <t>4107222501833X</t>
  </si>
  <si>
    <t>DSM2206-AL01</t>
  </si>
  <si>
    <t>4107222501865X</t>
  </si>
  <si>
    <t>DSM2206-AL02</t>
  </si>
  <si>
    <t>POLARIS</t>
    <phoneticPr fontId="2" type="noConversion"/>
  </si>
  <si>
    <t>AMAT</t>
    <phoneticPr fontId="2" type="noConversion"/>
  </si>
  <si>
    <t>R&amp;R</t>
    <phoneticPr fontId="2" type="noConversion"/>
  </si>
  <si>
    <t>MERCURY</t>
    <phoneticPr fontId="2" type="noConversion"/>
  </si>
  <si>
    <t>ALLISON</t>
    <phoneticPr fontId="2" type="noConversion"/>
  </si>
  <si>
    <t>EMERSON</t>
    <phoneticPr fontId="2" type="noConversion"/>
  </si>
  <si>
    <t>KOLLER</t>
    <phoneticPr fontId="2" type="noConversion"/>
  </si>
  <si>
    <t>MERCURY CHINA</t>
    <phoneticPr fontId="2" type="noConversion"/>
  </si>
  <si>
    <t>SHINKO</t>
    <phoneticPr fontId="2" type="noConversion"/>
  </si>
  <si>
    <t>SAM</t>
    <phoneticPr fontId="2" type="noConversion"/>
  </si>
  <si>
    <t>창원</t>
    <phoneticPr fontId="2" type="noConversion"/>
  </si>
  <si>
    <t>2022-06-04</t>
  </si>
  <si>
    <t>P21205611752</t>
  </si>
  <si>
    <t>P21205634287</t>
  </si>
  <si>
    <t>마산1</t>
    <phoneticPr fontId="2" type="noConversion"/>
  </si>
  <si>
    <t>SBSATLC2220312</t>
  </si>
  <si>
    <t>SUDUN2SOL005368B</t>
  </si>
  <si>
    <t>2022-06-06</t>
  </si>
  <si>
    <t>VT123BSSW014</t>
  </si>
  <si>
    <t>VT123BSSW015</t>
  </si>
  <si>
    <t>SUDUN2SOL005368A</t>
  </si>
  <si>
    <t>MAEU218810327</t>
  </si>
  <si>
    <t>SELG602583</t>
  </si>
  <si>
    <t>81495539</t>
  </si>
  <si>
    <t>SELG602581</t>
  </si>
  <si>
    <t>MAEU218959203</t>
  </si>
  <si>
    <t>ESSASEL22060386</t>
  </si>
  <si>
    <t>2022-06-05</t>
  </si>
  <si>
    <t>C64730442</t>
  </si>
  <si>
    <t>SELG602738</t>
  </si>
  <si>
    <t>600601TGDJV</t>
  </si>
  <si>
    <t>마산2</t>
    <phoneticPr fontId="2" type="noConversion"/>
  </si>
  <si>
    <t>마산2</t>
    <phoneticPr fontId="2" type="noConversion"/>
  </si>
  <si>
    <t>600601MXFDJ</t>
  </si>
  <si>
    <t>600601N3LD9</t>
  </si>
  <si>
    <t>4107222501879X</t>
  </si>
  <si>
    <t>DSM2206-AL03</t>
  </si>
  <si>
    <t>마산2</t>
    <phoneticPr fontId="2" type="noConversion"/>
  </si>
  <si>
    <t>POLARIS</t>
  </si>
  <si>
    <t>POLARIS</t>
    <phoneticPr fontId="2" type="noConversion"/>
  </si>
  <si>
    <t>AMAT</t>
    <phoneticPr fontId="2" type="noConversion"/>
  </si>
  <si>
    <t>R&amp;R</t>
    <phoneticPr fontId="2" type="noConversion"/>
  </si>
  <si>
    <t>MERCURY</t>
    <phoneticPr fontId="2" type="noConversion"/>
  </si>
  <si>
    <t>ALLISON</t>
    <phoneticPr fontId="2" type="noConversion"/>
  </si>
  <si>
    <t>AMAT</t>
    <phoneticPr fontId="2" type="noConversion"/>
  </si>
  <si>
    <t>EMERSON</t>
    <phoneticPr fontId="2" type="noConversion"/>
  </si>
  <si>
    <t>MERCURY CHINA</t>
    <phoneticPr fontId="2" type="noConversion"/>
  </si>
  <si>
    <t>R&amp;R</t>
    <phoneticPr fontId="2" type="noConversion"/>
  </si>
  <si>
    <t>SHINKO</t>
    <phoneticPr fontId="2" type="noConversion"/>
  </si>
  <si>
    <t>SHINKO</t>
    <phoneticPr fontId="2" type="noConversion"/>
  </si>
  <si>
    <t>SAM</t>
    <phoneticPr fontId="2" type="noConversion"/>
  </si>
  <si>
    <t>SAM</t>
    <phoneticPr fontId="2" type="noConversion"/>
  </si>
  <si>
    <t>MERCURY</t>
    <phoneticPr fontId="2" type="noConversion"/>
  </si>
  <si>
    <t>MERCURY</t>
    <phoneticPr fontId="2" type="noConversion"/>
  </si>
  <si>
    <t>ALLISON</t>
    <phoneticPr fontId="2" type="noConversion"/>
  </si>
  <si>
    <t>KOHLER</t>
    <phoneticPr fontId="2" type="noConversion"/>
  </si>
  <si>
    <t>KOHLER</t>
    <phoneticPr fontId="2" type="noConversion"/>
  </si>
  <si>
    <t>X</t>
  </si>
  <si>
    <t>NorthStar</t>
    <phoneticPr fontId="3" type="noConversion"/>
  </si>
  <si>
    <t>NorthStar</t>
    <phoneticPr fontId="2" type="noConversion"/>
  </si>
  <si>
    <t xml:space="preserve"> </t>
    <phoneticPr fontId="2" type="noConversion"/>
  </si>
  <si>
    <t>NIKKISO</t>
  </si>
  <si>
    <t>SEASTAR</t>
  </si>
  <si>
    <t>마산3공장</t>
    <phoneticPr fontId="3" type="noConversion"/>
  </si>
  <si>
    <t xml:space="preserve">기타 </t>
    <phoneticPr fontId="2" type="noConversion"/>
  </si>
  <si>
    <t>수출재수입</t>
    <phoneticPr fontId="2" type="noConversion"/>
  </si>
  <si>
    <t>SINKO IND LTD
(신코)</t>
    <phoneticPr fontId="2" type="noConversion"/>
  </si>
  <si>
    <t>DSMABS2311-SK04</t>
    <phoneticPr fontId="2" type="noConversion"/>
  </si>
  <si>
    <t>01월 당월분</t>
    <phoneticPr fontId="3" type="noConversion"/>
  </si>
  <si>
    <t>DSM2401-AL01</t>
    <phoneticPr fontId="2" type="noConversion"/>
  </si>
  <si>
    <t>O</t>
    <phoneticPr fontId="2" type="noConversion"/>
  </si>
  <si>
    <t>DSM2401-AL02</t>
    <phoneticPr fontId="2" type="noConversion"/>
  </si>
  <si>
    <t>DSM2401-EM01</t>
    <phoneticPr fontId="2" type="noConversion"/>
  </si>
  <si>
    <t>DSM2401-EM02</t>
    <phoneticPr fontId="2" type="noConversion"/>
  </si>
  <si>
    <t>DSM2401-EM03</t>
  </si>
  <si>
    <t>DSM2401-EM04</t>
  </si>
  <si>
    <t>DSM2401-01</t>
    <phoneticPr fontId="2" type="noConversion"/>
  </si>
  <si>
    <t>DSM2401-02</t>
    <phoneticPr fontId="2" type="noConversion"/>
  </si>
  <si>
    <t>2401P01</t>
    <phoneticPr fontId="2" type="noConversion"/>
  </si>
  <si>
    <t>2401P02</t>
    <phoneticPr fontId="2" type="noConversion"/>
  </si>
  <si>
    <t>2401P03</t>
  </si>
  <si>
    <t>2401P04</t>
  </si>
  <si>
    <t>2401P05</t>
  </si>
  <si>
    <t>2401P06</t>
  </si>
  <si>
    <t>2401P07</t>
  </si>
  <si>
    <t>2401P08</t>
  </si>
  <si>
    <t>2401P09</t>
  </si>
  <si>
    <t>DSM2401-SM01</t>
    <phoneticPr fontId="2" type="noConversion"/>
  </si>
  <si>
    <t>DSM2401-AL03</t>
    <phoneticPr fontId="2" type="noConversion"/>
  </si>
  <si>
    <t>DSM2401-EM05</t>
  </si>
  <si>
    <t>DSM2401-EM06</t>
  </si>
  <si>
    <t>DSM2401-EM07</t>
  </si>
  <si>
    <t>DSM2401-EM08</t>
  </si>
  <si>
    <t>DSM2401-EM09</t>
  </si>
  <si>
    <t>DSM2401-EM10</t>
  </si>
  <si>
    <t>DSM2401-EM11</t>
  </si>
  <si>
    <t>DSM2401-EM12</t>
  </si>
  <si>
    <t>DSM2401-EM13</t>
  </si>
  <si>
    <t>DSM2401-EM14</t>
  </si>
  <si>
    <t>DSM2401-EM15</t>
  </si>
  <si>
    <t>DSM2401-EM16</t>
  </si>
  <si>
    <t>DSM2401-EM17</t>
  </si>
  <si>
    <t>DSM2401-EM18</t>
  </si>
  <si>
    <t>DSM2401-EM19</t>
  </si>
  <si>
    <t>DSM2401-EM20</t>
  </si>
  <si>
    <t>DSM2401-EM21</t>
  </si>
  <si>
    <t>DSM2401-EM22</t>
  </si>
  <si>
    <t>DSM2401-EM23</t>
  </si>
  <si>
    <t>DSM2401-EM24</t>
  </si>
  <si>
    <t>DSM2401-EM25</t>
  </si>
  <si>
    <t>DSM2401-03</t>
  </si>
  <si>
    <t>DSM2401-04</t>
  </si>
  <si>
    <t>DSM2401-05</t>
  </si>
  <si>
    <t>DSM2401-06</t>
  </si>
  <si>
    <t>DSM2401-07</t>
  </si>
  <si>
    <t>DSM2401-08</t>
  </si>
  <si>
    <t>DSM2401-09</t>
  </si>
  <si>
    <t>DSM2401-10</t>
  </si>
  <si>
    <t>DSM2401-MC01</t>
    <phoneticPr fontId="2" type="noConversion"/>
  </si>
  <si>
    <t>DSM2401-MC02</t>
    <phoneticPr fontId="2" type="noConversion"/>
  </si>
  <si>
    <t>DSM2401-MC03</t>
    <phoneticPr fontId="2" type="noConversion"/>
  </si>
  <si>
    <t>DSM2401-AM01</t>
    <phoneticPr fontId="2" type="noConversion"/>
  </si>
  <si>
    <t>DSM2401-AM02</t>
    <phoneticPr fontId="2" type="noConversion"/>
  </si>
  <si>
    <t>2401P10</t>
  </si>
  <si>
    <t>2401P11</t>
  </si>
  <si>
    <t>2401P12</t>
  </si>
  <si>
    <t>2401P13</t>
  </si>
  <si>
    <t>※ 2024년 1월 마감내역 ※</t>
    <phoneticPr fontId="3" type="noConversion"/>
  </si>
  <si>
    <t>DSM2401-AL04</t>
    <phoneticPr fontId="2" type="noConversion"/>
  </si>
  <si>
    <t>DSM2401-11</t>
  </si>
  <si>
    <t>DSM2401-12</t>
  </si>
  <si>
    <t>DSM2401-13</t>
  </si>
  <si>
    <t>DSM2401-14</t>
  </si>
  <si>
    <t>DSM2401-15</t>
  </si>
  <si>
    <t>DSM2401-16</t>
  </si>
  <si>
    <t>DSM2401-17</t>
  </si>
  <si>
    <t>DSM2401-18</t>
  </si>
  <si>
    <t>DSM2401-R01</t>
    <phoneticPr fontId="2" type="noConversion"/>
  </si>
  <si>
    <t>DSM2401-R02</t>
    <phoneticPr fontId="2" type="noConversion"/>
  </si>
  <si>
    <t>DSM2401-R03</t>
    <phoneticPr fontId="2" type="noConversion"/>
  </si>
  <si>
    <t>DSM2401-SE01</t>
    <phoneticPr fontId="2" type="noConversion"/>
  </si>
  <si>
    <t>DSM2401-AM03</t>
    <phoneticPr fontId="2" type="noConversion"/>
  </si>
  <si>
    <t>DSM2401-SK01</t>
    <phoneticPr fontId="2" type="noConversion"/>
  </si>
  <si>
    <t>DSM2401-SK02</t>
    <phoneticPr fontId="2" type="noConversion"/>
  </si>
  <si>
    <t>DSM2401-SK03</t>
    <phoneticPr fontId="2" type="noConversion"/>
  </si>
  <si>
    <t>DSM2401-SK04</t>
    <phoneticPr fontId="2" type="noConversion"/>
  </si>
  <si>
    <t>DSM2312-R03</t>
    <phoneticPr fontId="2" type="noConversion"/>
  </si>
  <si>
    <t>4107224500456X</t>
    <phoneticPr fontId="2" type="noConversion"/>
  </si>
  <si>
    <t>4107224500160X</t>
  </si>
  <si>
    <t>4107224500277X</t>
  </si>
  <si>
    <t>4107224500361X</t>
  </si>
  <si>
    <t>4107224500397X</t>
  </si>
  <si>
    <t>4107224900077X</t>
  </si>
  <si>
    <t>4107224500018X</t>
  </si>
  <si>
    <t>4107224500005X</t>
  </si>
  <si>
    <t>4107224500122X</t>
  </si>
  <si>
    <t>4107224500195X</t>
  </si>
  <si>
    <t>4107224500196X</t>
  </si>
  <si>
    <t>4107224500197X</t>
  </si>
  <si>
    <t>4107224500237X</t>
  </si>
  <si>
    <t>4107224500306X</t>
  </si>
  <si>
    <t>4107224500363X</t>
  </si>
  <si>
    <t>4107224500307X</t>
  </si>
  <si>
    <t>4107224500308X</t>
  </si>
  <si>
    <t>4107224500004X</t>
  </si>
  <si>
    <t>4107224500055X</t>
  </si>
  <si>
    <t>4107224500062X</t>
  </si>
  <si>
    <t>4107224500063X</t>
  </si>
  <si>
    <t>4107224500093X</t>
  </si>
  <si>
    <t>4107224500170X</t>
  </si>
  <si>
    <t>4107224500171X</t>
  </si>
  <si>
    <t>4107224500193X</t>
  </si>
  <si>
    <t>4107224500194X</t>
  </si>
  <si>
    <t>4107224500252X</t>
  </si>
  <si>
    <t>4107224500343X</t>
  </si>
  <si>
    <t>4107224500323X</t>
  </si>
  <si>
    <t>4107224500324X</t>
  </si>
  <si>
    <t>4107224500357X</t>
  </si>
  <si>
    <t>4107224500294X</t>
  </si>
  <si>
    <t>4107224500358X</t>
  </si>
  <si>
    <t>4107224500028X</t>
  </si>
  <si>
    <t>4107224500123X</t>
  </si>
  <si>
    <t>4107224500234X</t>
  </si>
  <si>
    <t>4107224500426X</t>
  </si>
  <si>
    <t>4112924010106X</t>
  </si>
  <si>
    <t>4107224500417X</t>
  </si>
  <si>
    <t>4107224500031X</t>
  </si>
  <si>
    <t>4107224500032X</t>
  </si>
  <si>
    <t>4107224500033X</t>
  </si>
  <si>
    <t>4107224500034X</t>
  </si>
  <si>
    <t>4107224500081X</t>
  </si>
  <si>
    <t>4107224500082X</t>
  </si>
  <si>
    <t>4107224500086X</t>
  </si>
  <si>
    <t>4107224500087X</t>
  </si>
  <si>
    <t>4107224500094X</t>
  </si>
  <si>
    <t>4107224500172X</t>
  </si>
  <si>
    <t>4107224500173X</t>
  </si>
  <si>
    <t>4107224500174X</t>
  </si>
  <si>
    <t>4107224900059X</t>
  </si>
  <si>
    <t>4107224500198X</t>
  </si>
  <si>
    <t>4107224500199X</t>
  </si>
  <si>
    <t>4107224500200X</t>
  </si>
  <si>
    <t>4107224500201X</t>
  </si>
  <si>
    <t>4107224500240X</t>
  </si>
  <si>
    <t>4107224500241X</t>
  </si>
  <si>
    <t>4107224500242X</t>
  </si>
  <si>
    <t>4107224500251X</t>
  </si>
  <si>
    <t>4107224500284X</t>
  </si>
  <si>
    <t>4107224500285X</t>
  </si>
  <si>
    <t>4107224500304X</t>
  </si>
  <si>
    <t>4107224500368X</t>
  </si>
  <si>
    <t>2057624010159X</t>
  </si>
  <si>
    <t>2057624010123X</t>
  </si>
  <si>
    <t>2057624010549X</t>
  </si>
  <si>
    <t>4107224500070X</t>
  </si>
  <si>
    <t>4107224500185X</t>
  </si>
  <si>
    <t>4107224500275X</t>
  </si>
  <si>
    <t>4107224500370X</t>
  </si>
  <si>
    <t>DSM2401-19</t>
    <phoneticPr fontId="2" type="noConversion"/>
  </si>
  <si>
    <t>4107224500425X</t>
    <phoneticPr fontId="2" type="noConversion"/>
  </si>
  <si>
    <t>4107224900220X</t>
    <phoneticPr fontId="2" type="noConversion"/>
  </si>
  <si>
    <t>4107224400022X</t>
    <phoneticPr fontId="2" type="noConversion"/>
  </si>
  <si>
    <t>※ 2024년 2월 마감내역 ※</t>
    <phoneticPr fontId="3" type="noConversion"/>
  </si>
  <si>
    <t>DSM2402-AL01</t>
    <phoneticPr fontId="2" type="noConversion"/>
  </si>
  <si>
    <t>4107224500486X</t>
    <phoneticPr fontId="2" type="noConversion"/>
  </si>
  <si>
    <t>DSM2402-SE01</t>
    <phoneticPr fontId="2" type="noConversion"/>
  </si>
  <si>
    <t>DSM2402-EM01</t>
    <phoneticPr fontId="2" type="noConversion"/>
  </si>
  <si>
    <t>DSM2402-EM02</t>
    <phoneticPr fontId="2" type="noConversion"/>
  </si>
  <si>
    <t>DSM2402-EM03</t>
  </si>
  <si>
    <t>DSM2402-EM04</t>
  </si>
  <si>
    <t>DSM2402-EM05</t>
  </si>
  <si>
    <t>DSM2402-EM06</t>
  </si>
  <si>
    <t>DSM2402-EM07</t>
  </si>
  <si>
    <t>DSM2402-EM08</t>
  </si>
  <si>
    <t>DSM2402-EM09</t>
  </si>
  <si>
    <t>4107224900221X</t>
    <phoneticPr fontId="2" type="noConversion"/>
  </si>
  <si>
    <t>4107224500440X</t>
    <phoneticPr fontId="2" type="noConversion"/>
  </si>
  <si>
    <t>4107224500441X</t>
    <phoneticPr fontId="2" type="noConversion"/>
  </si>
  <si>
    <t>4107224500472X</t>
    <phoneticPr fontId="2" type="noConversion"/>
  </si>
  <si>
    <t>4107224500418X</t>
    <phoneticPr fontId="2" type="noConversion"/>
  </si>
  <si>
    <t>4107224400064X</t>
    <phoneticPr fontId="2" type="noConversion"/>
  </si>
  <si>
    <t>4107224400065X</t>
    <phoneticPr fontId="2" type="noConversion"/>
  </si>
  <si>
    <t>4107224500499X</t>
    <phoneticPr fontId="2" type="noConversion"/>
  </si>
  <si>
    <t>4107224500500X</t>
    <phoneticPr fontId="2" type="noConversion"/>
  </si>
  <si>
    <t>DSM2402-01</t>
    <phoneticPr fontId="2" type="noConversion"/>
  </si>
  <si>
    <t>4107224500442X</t>
    <phoneticPr fontId="2" type="noConversion"/>
  </si>
  <si>
    <t>DSM2402-02</t>
    <phoneticPr fontId="2" type="noConversion"/>
  </si>
  <si>
    <t>4107224500482X</t>
    <phoneticPr fontId="2" type="noConversion"/>
  </si>
  <si>
    <t>DSM2402-03</t>
  </si>
  <si>
    <t>DSM2402-04</t>
  </si>
  <si>
    <t>4107224500487X</t>
    <phoneticPr fontId="2" type="noConversion"/>
  </si>
  <si>
    <t>4107224500502X</t>
    <phoneticPr fontId="2" type="noConversion"/>
  </si>
  <si>
    <t>DSM2402-MC01</t>
    <phoneticPr fontId="2" type="noConversion"/>
  </si>
  <si>
    <t>4107224500398X</t>
    <phoneticPr fontId="2" type="noConversion"/>
  </si>
  <si>
    <t>DSM2402-MC02</t>
    <phoneticPr fontId="2" type="noConversion"/>
  </si>
  <si>
    <t>4107224400066X</t>
    <phoneticPr fontId="2" type="noConversion"/>
  </si>
  <si>
    <t>DSM2402-AM01</t>
    <phoneticPr fontId="2" type="noConversion"/>
  </si>
  <si>
    <t>DSM2402-AM02</t>
    <phoneticPr fontId="2" type="noConversion"/>
  </si>
  <si>
    <t>2402P01</t>
    <phoneticPr fontId="2" type="noConversion"/>
  </si>
  <si>
    <t>4107224500460X</t>
    <phoneticPr fontId="2" type="noConversion"/>
  </si>
  <si>
    <t>2402P02</t>
    <phoneticPr fontId="2" type="noConversion"/>
  </si>
  <si>
    <t>4107224500454X</t>
    <phoneticPr fontId="2" type="noConversion"/>
  </si>
  <si>
    <t>2402P03</t>
  </si>
  <si>
    <t>4107224500497X</t>
    <phoneticPr fontId="2" type="noConversion"/>
  </si>
  <si>
    <t>2402P04</t>
  </si>
  <si>
    <t>2402P05</t>
  </si>
  <si>
    <t>4107224500498X</t>
    <phoneticPr fontId="2" type="noConversion"/>
  </si>
  <si>
    <t>2402P06</t>
  </si>
  <si>
    <t>2402P07</t>
    <phoneticPr fontId="2" type="noConversion"/>
  </si>
  <si>
    <t>2402P08</t>
  </si>
  <si>
    <t>2402P09</t>
  </si>
  <si>
    <t>2402P10</t>
  </si>
  <si>
    <t>DSM2402-SM01</t>
    <phoneticPr fontId="2" type="noConversion"/>
  </si>
  <si>
    <t>4112924020001X</t>
    <phoneticPr fontId="2" type="noConversion"/>
  </si>
  <si>
    <t>02월 당월분</t>
    <phoneticPr fontId="3" type="noConversion"/>
  </si>
  <si>
    <t>DSM2402-05</t>
  </si>
  <si>
    <t>DSM2402-06</t>
  </si>
  <si>
    <t>DSM2402-07</t>
  </si>
  <si>
    <t>DSM2402-08</t>
  </si>
  <si>
    <t>DSM2402-09</t>
  </si>
  <si>
    <t>DSM2402-10</t>
  </si>
  <si>
    <t>DSM2402-11</t>
  </si>
  <si>
    <t>DSM2402-12</t>
  </si>
  <si>
    <t>DSM2402-13</t>
  </si>
  <si>
    <t>DSM2402-14</t>
  </si>
  <si>
    <t>DSM2402-15</t>
  </si>
  <si>
    <t>DSM2402-PS01</t>
    <phoneticPr fontId="2" type="noConversion"/>
  </si>
  <si>
    <t>4107224500455X</t>
    <phoneticPr fontId="2" type="noConversion"/>
  </si>
  <si>
    <t>4107224500409X</t>
    <phoneticPr fontId="2" type="noConversion"/>
  </si>
  <si>
    <t>4107224500469X</t>
    <phoneticPr fontId="2" type="noConversion"/>
  </si>
  <si>
    <t>DSM2402-AL02</t>
  </si>
  <si>
    <t>DSM2402-AL03</t>
  </si>
  <si>
    <t>DSM2402-AL04</t>
  </si>
  <si>
    <t>4107224200041X</t>
    <phoneticPr fontId="2" type="noConversion"/>
  </si>
  <si>
    <t>4107224500626X</t>
    <phoneticPr fontId="2" type="noConversion"/>
  </si>
  <si>
    <t>4107224500662X</t>
    <phoneticPr fontId="2" type="noConversion"/>
  </si>
  <si>
    <t>4107224500556X</t>
    <phoneticPr fontId="2" type="noConversion"/>
  </si>
  <si>
    <t>4107224500587X</t>
    <phoneticPr fontId="2" type="noConversion"/>
  </si>
  <si>
    <t>4107224500588X</t>
    <phoneticPr fontId="2" type="noConversion"/>
  </si>
  <si>
    <t>4107224500589X</t>
    <phoneticPr fontId="2" type="noConversion"/>
  </si>
  <si>
    <t>4107224500590X</t>
    <phoneticPr fontId="2" type="noConversion"/>
  </si>
  <si>
    <t>2402P01TC</t>
    <phoneticPr fontId="2" type="noConversion"/>
  </si>
  <si>
    <t>2402P02TC</t>
  </si>
  <si>
    <t>2402P03TC</t>
  </si>
  <si>
    <t>DSM2402-04-01</t>
    <phoneticPr fontId="2" type="noConversion"/>
  </si>
  <si>
    <t>4107224500508X</t>
    <phoneticPr fontId="2" type="noConversion"/>
  </si>
  <si>
    <t>4107224500539X</t>
    <phoneticPr fontId="2" type="noConversion"/>
  </si>
  <si>
    <t>4107224200061X</t>
    <phoneticPr fontId="2" type="noConversion"/>
  </si>
  <si>
    <t>4107224500517X</t>
    <phoneticPr fontId="2" type="noConversion"/>
  </si>
  <si>
    <t>4107224500586X</t>
    <phoneticPr fontId="2" type="noConversion"/>
  </si>
  <si>
    <t>4107224500518X</t>
    <phoneticPr fontId="2" type="noConversion"/>
  </si>
  <si>
    <t>4107224400086X</t>
    <phoneticPr fontId="2" type="noConversion"/>
  </si>
  <si>
    <t>4107224200083X</t>
    <phoneticPr fontId="2" type="noConversion"/>
  </si>
  <si>
    <t>4107224500628X</t>
    <phoneticPr fontId="2" type="noConversion"/>
  </si>
  <si>
    <t>4107224500646X</t>
    <phoneticPr fontId="2" type="noConversion"/>
  </si>
  <si>
    <t>4107224500491X</t>
    <phoneticPr fontId="2" type="noConversion"/>
  </si>
  <si>
    <t>DSM2402-MC03</t>
  </si>
  <si>
    <t>4107224500629X</t>
    <phoneticPr fontId="2" type="noConversion"/>
  </si>
  <si>
    <t>DSM2402-SM02</t>
  </si>
  <si>
    <t>4112924030003X</t>
    <phoneticPr fontId="2" type="noConversion"/>
  </si>
  <si>
    <t>4107224500657X</t>
    <phoneticPr fontId="2" type="noConversion"/>
  </si>
  <si>
    <t>DSM2402-EM10</t>
  </si>
  <si>
    <t>DSM2402-EM11</t>
  </si>
  <si>
    <t>DSM2402-EM12</t>
  </si>
  <si>
    <t>DSM2402-EM13</t>
  </si>
  <si>
    <t>DSM2402-EM14</t>
  </si>
  <si>
    <t>DSM2402-EM15</t>
  </si>
  <si>
    <t>DSM2402-EM16</t>
  </si>
  <si>
    <t>DSM2402-EM17</t>
  </si>
  <si>
    <t>DSM2402-EM18</t>
  </si>
  <si>
    <t>DSM2402-R01</t>
    <phoneticPr fontId="2" type="noConversion"/>
  </si>
  <si>
    <t>DSM2402-AM03</t>
  </si>
  <si>
    <t>ATLAS COPCO</t>
    <phoneticPr fontId="3" type="noConversion"/>
  </si>
  <si>
    <t>4107224400073X</t>
    <phoneticPr fontId="2" type="noConversion"/>
  </si>
  <si>
    <t>4107224400074X</t>
    <phoneticPr fontId="2" type="noConversion"/>
  </si>
  <si>
    <t>4107224500611X</t>
    <phoneticPr fontId="2" type="noConversion"/>
  </si>
  <si>
    <t>4107224500631X</t>
    <phoneticPr fontId="2" type="noConversion"/>
  </si>
  <si>
    <t>DSM2401-SK05</t>
    <phoneticPr fontId="2" type="noConversion"/>
  </si>
  <si>
    <t>DSM2402-SK01</t>
    <phoneticPr fontId="2" type="noConversion"/>
  </si>
  <si>
    <t>4107224500493X</t>
    <phoneticPr fontId="2" type="noConversion"/>
  </si>
  <si>
    <t>DSM2402-SK02</t>
  </si>
  <si>
    <t>DSM2402-SK03</t>
  </si>
  <si>
    <t>DSM2402-SK04</t>
  </si>
  <si>
    <t>4107224500538X</t>
    <phoneticPr fontId="2" type="noConversion"/>
  </si>
  <si>
    <t>4107224200093X</t>
    <phoneticPr fontId="2" type="noConversion"/>
  </si>
  <si>
    <t>4107224500600X</t>
    <phoneticPr fontId="2" type="noConversion"/>
  </si>
  <si>
    <t>4107224500630X</t>
    <phoneticPr fontId="2" type="noConversion"/>
  </si>
  <si>
    <t>4107224500553X</t>
    <phoneticPr fontId="2" type="noConversion"/>
  </si>
  <si>
    <t>4107224500554X</t>
    <phoneticPr fontId="2" type="noConversion"/>
  </si>
  <si>
    <t>4107224500555X</t>
    <phoneticPr fontId="2" type="noConversion"/>
  </si>
  <si>
    <t>2057624020310X</t>
    <phoneticPr fontId="2" type="noConversion"/>
  </si>
  <si>
    <t>2057624020450X</t>
    <phoneticPr fontId="2" type="noConversion"/>
  </si>
  <si>
    <t>DSM2402-AT01</t>
    <phoneticPr fontId="2" type="noConversion"/>
  </si>
  <si>
    <t>DSM2402-AT02</t>
  </si>
  <si>
    <t>DSM2402-AT03</t>
  </si>
  <si>
    <t>과세매출</t>
    <phoneticPr fontId="2" type="noConversion"/>
  </si>
  <si>
    <t>DSM2403-AL01</t>
    <phoneticPr fontId="2" type="noConversion"/>
  </si>
  <si>
    <t>DSM2403-AL02</t>
  </si>
  <si>
    <t>DSM2403-AL03</t>
  </si>
  <si>
    <t>4107224500837X</t>
    <phoneticPr fontId="2" type="noConversion"/>
  </si>
  <si>
    <t>4107224500717X</t>
    <phoneticPr fontId="2" type="noConversion"/>
  </si>
  <si>
    <t>4107224500502X</t>
  </si>
  <si>
    <t>필요</t>
    <phoneticPr fontId="2" type="noConversion"/>
  </si>
  <si>
    <t>2057624020553X</t>
    <phoneticPr fontId="2" type="noConversion"/>
  </si>
  <si>
    <t>4107224501009X</t>
    <phoneticPr fontId="2" type="noConversion"/>
  </si>
  <si>
    <t>4107224500938X</t>
    <phoneticPr fontId="2" type="noConversion"/>
  </si>
  <si>
    <t>2403P01</t>
    <phoneticPr fontId="2" type="noConversion"/>
  </si>
  <si>
    <t>2403P02</t>
  </si>
  <si>
    <t>2403P03</t>
  </si>
  <si>
    <t>2403P04</t>
  </si>
  <si>
    <t>2403P05</t>
  </si>
  <si>
    <t>2403P06</t>
  </si>
  <si>
    <t>2403P07</t>
  </si>
  <si>
    <t>2403P08</t>
  </si>
  <si>
    <t>2403P09</t>
  </si>
  <si>
    <t>2403P10</t>
  </si>
  <si>
    <t>2403P11</t>
  </si>
  <si>
    <t>2403P12</t>
  </si>
  <si>
    <t>4107224500910X</t>
    <phoneticPr fontId="2" type="noConversion"/>
  </si>
  <si>
    <t>4107224500651X</t>
    <phoneticPr fontId="2" type="noConversion"/>
  </si>
  <si>
    <t>4107224500652X</t>
    <phoneticPr fontId="2" type="noConversion"/>
  </si>
  <si>
    <t>4107224500653X</t>
    <phoneticPr fontId="2" type="noConversion"/>
  </si>
  <si>
    <t>4107224500975X</t>
    <phoneticPr fontId="2" type="noConversion"/>
  </si>
  <si>
    <t>※ 2024년 3월 마감내역 ※</t>
    <phoneticPr fontId="3" type="noConversion"/>
  </si>
  <si>
    <t>4107224500759X</t>
    <phoneticPr fontId="2" type="noConversion"/>
  </si>
  <si>
    <t>4107224500974X</t>
    <phoneticPr fontId="2" type="noConversion"/>
  </si>
  <si>
    <t>4107224500860X</t>
    <phoneticPr fontId="2" type="noConversion"/>
  </si>
  <si>
    <t>4107224500859X</t>
    <phoneticPr fontId="2" type="noConversion"/>
  </si>
  <si>
    <t>4107224501045X</t>
    <phoneticPr fontId="2" type="noConversion"/>
  </si>
  <si>
    <t>DSM2403-01</t>
    <phoneticPr fontId="2" type="noConversion"/>
  </si>
  <si>
    <t>DSM2403-02</t>
  </si>
  <si>
    <t>DSM2403-03</t>
  </si>
  <si>
    <t>DSM2403-04</t>
  </si>
  <si>
    <t>DSM2403-05</t>
  </si>
  <si>
    <t>DSM2403-06</t>
  </si>
  <si>
    <t>DSM2403-07</t>
  </si>
  <si>
    <t>DSM2403-08</t>
  </si>
  <si>
    <t>DSM2403-09</t>
  </si>
  <si>
    <t>DSM2403-10</t>
  </si>
  <si>
    <t>DSM2403-11</t>
  </si>
  <si>
    <t>DSM2403-12</t>
  </si>
  <si>
    <t>DSM2403-13</t>
  </si>
  <si>
    <t>DSM2403-14</t>
  </si>
  <si>
    <t>DSM2403-15</t>
  </si>
  <si>
    <t>DSM2403-16</t>
  </si>
  <si>
    <t>DSM2403-17</t>
  </si>
  <si>
    <t>DSM2403-18</t>
  </si>
  <si>
    <t>DSM2403-19</t>
  </si>
  <si>
    <t>DSM2403-20</t>
  </si>
  <si>
    <t>DSM2403-21</t>
  </si>
  <si>
    <t>4107224500647X</t>
    <phoneticPr fontId="2" type="noConversion"/>
  </si>
  <si>
    <t>4107224500685X</t>
    <phoneticPr fontId="2" type="noConversion"/>
  </si>
  <si>
    <t>4107224500718X</t>
    <phoneticPr fontId="2" type="noConversion"/>
  </si>
  <si>
    <t>4107224500736X</t>
    <phoneticPr fontId="2" type="noConversion"/>
  </si>
  <si>
    <t>4107224500731X</t>
    <phoneticPr fontId="2" type="noConversion"/>
  </si>
  <si>
    <t>4107224500817X</t>
    <phoneticPr fontId="2" type="noConversion"/>
  </si>
  <si>
    <t>4107224500799X</t>
    <phoneticPr fontId="2" type="noConversion"/>
  </si>
  <si>
    <t>4107224500824X</t>
    <phoneticPr fontId="2" type="noConversion"/>
  </si>
  <si>
    <t>4107224500838X</t>
    <phoneticPr fontId="2" type="noConversion"/>
  </si>
  <si>
    <t>4107224500800X</t>
    <phoneticPr fontId="2" type="noConversion"/>
  </si>
  <si>
    <t>4107224500839X</t>
    <phoneticPr fontId="2" type="noConversion"/>
  </si>
  <si>
    <t>4107224500801X</t>
    <phoneticPr fontId="2" type="noConversion"/>
  </si>
  <si>
    <t>4107224500925X</t>
    <phoneticPr fontId="2" type="noConversion"/>
  </si>
  <si>
    <t>4107224500935X</t>
    <phoneticPr fontId="2" type="noConversion"/>
  </si>
  <si>
    <t>4107224500936X</t>
    <phoneticPr fontId="2" type="noConversion"/>
  </si>
  <si>
    <t>4107224500861X</t>
    <phoneticPr fontId="2" type="noConversion"/>
  </si>
  <si>
    <t>4107224500937X</t>
    <phoneticPr fontId="2" type="noConversion"/>
  </si>
  <si>
    <t>4107224501002X</t>
    <phoneticPr fontId="2" type="noConversion"/>
  </si>
  <si>
    <t>4107224501003X</t>
    <phoneticPr fontId="2" type="noConversion"/>
  </si>
  <si>
    <t>4107224501057X</t>
    <phoneticPr fontId="2" type="noConversion"/>
  </si>
  <si>
    <t>DSM2403-MC01</t>
    <phoneticPr fontId="2" type="noConversion"/>
  </si>
  <si>
    <t>DSM2403-MC02</t>
  </si>
  <si>
    <t>4107224500786X</t>
    <phoneticPr fontId="2" type="noConversion"/>
  </si>
  <si>
    <t>4107224501013X</t>
    <phoneticPr fontId="2" type="noConversion"/>
  </si>
  <si>
    <t>DSM2403-SM01</t>
    <phoneticPr fontId="2" type="noConversion"/>
  </si>
  <si>
    <t>DSM2403-SM02</t>
    <phoneticPr fontId="2" type="noConversion"/>
  </si>
  <si>
    <t>4112924030083X</t>
    <phoneticPr fontId="2" type="noConversion"/>
  </si>
  <si>
    <t>4112924040001X</t>
    <phoneticPr fontId="2" type="noConversion"/>
  </si>
  <si>
    <t>DSM2403-SE01</t>
    <phoneticPr fontId="2" type="noConversion"/>
  </si>
  <si>
    <t>DSM2403-SE02</t>
  </si>
  <si>
    <t>4107224500670X</t>
    <phoneticPr fontId="2" type="noConversion"/>
  </si>
  <si>
    <t>DSM2403-EM01</t>
    <phoneticPr fontId="2" type="noConversion"/>
  </si>
  <si>
    <t>DSM2403-EM03</t>
  </si>
  <si>
    <t>DSM2403-EM04</t>
  </si>
  <si>
    <t>DSM2403-EM05</t>
  </si>
  <si>
    <t>DSM2403-EM06</t>
  </si>
  <si>
    <t>DSM2403-EM07</t>
  </si>
  <si>
    <t>DSM2403-EM08</t>
  </si>
  <si>
    <t>DSM2403-EM09</t>
  </si>
  <si>
    <t>DSM2403-EM10</t>
  </si>
  <si>
    <t>DSM2403-EM11</t>
  </si>
  <si>
    <t>DSM2403-EM12</t>
  </si>
  <si>
    <t>DSM2403-EM13</t>
  </si>
  <si>
    <t>DSM2403-EM14</t>
  </si>
  <si>
    <t>DSM2403-EM15</t>
  </si>
  <si>
    <t>DSM2403-EM17</t>
  </si>
  <si>
    <t>DSM2403-EM18</t>
  </si>
  <si>
    <t>4107224500705X</t>
    <phoneticPr fontId="2" type="noConversion"/>
  </si>
  <si>
    <t>DSM2403-EM02</t>
    <phoneticPr fontId="2" type="noConversion"/>
  </si>
  <si>
    <t>4107224500706X</t>
    <phoneticPr fontId="2" type="noConversion"/>
  </si>
  <si>
    <t>4107224500707X</t>
    <phoneticPr fontId="2" type="noConversion"/>
  </si>
  <si>
    <t>DSM2403-EM19</t>
  </si>
  <si>
    <t>DSM2403-EM20</t>
  </si>
  <si>
    <t>DSM2403-EM21</t>
  </si>
  <si>
    <t>DSM2403-EM22</t>
  </si>
  <si>
    <t>4107224500708X</t>
    <phoneticPr fontId="2" type="noConversion"/>
  </si>
  <si>
    <t>4107224500709X</t>
    <phoneticPr fontId="2" type="noConversion"/>
  </si>
  <si>
    <t>4107224500783X</t>
    <phoneticPr fontId="2" type="noConversion"/>
  </si>
  <si>
    <t>4107224500784X</t>
    <phoneticPr fontId="2" type="noConversion"/>
  </si>
  <si>
    <t>4107224500785X</t>
    <phoneticPr fontId="2" type="noConversion"/>
  </si>
  <si>
    <t>4107224500816X</t>
    <phoneticPr fontId="2" type="noConversion"/>
  </si>
  <si>
    <t>4107224500825X</t>
    <phoneticPr fontId="2" type="noConversion"/>
  </si>
  <si>
    <t>4107224500813X</t>
    <phoneticPr fontId="2" type="noConversion"/>
  </si>
  <si>
    <t>4107224500856X</t>
    <phoneticPr fontId="2" type="noConversion"/>
  </si>
  <si>
    <t>4107224500814X</t>
    <phoneticPr fontId="2" type="noConversion"/>
  </si>
  <si>
    <t>4107224500885X</t>
    <phoneticPr fontId="2" type="noConversion"/>
  </si>
  <si>
    <t>4107224500886X</t>
    <phoneticPr fontId="2" type="noConversion"/>
  </si>
  <si>
    <t>4107224500932X</t>
    <phoneticPr fontId="2" type="noConversion"/>
  </si>
  <si>
    <t>4107224500933X</t>
    <phoneticPr fontId="2" type="noConversion"/>
  </si>
  <si>
    <t>4107224500909X</t>
    <phoneticPr fontId="2" type="noConversion"/>
  </si>
  <si>
    <t>4107224500934X</t>
    <phoneticPr fontId="2" type="noConversion"/>
  </si>
  <si>
    <t>DSM2403-AM03</t>
    <phoneticPr fontId="2" type="noConversion"/>
  </si>
  <si>
    <t>2057624030186X</t>
    <phoneticPr fontId="2" type="noConversion"/>
  </si>
  <si>
    <t>DSM2403-AM01</t>
    <phoneticPr fontId="2" type="noConversion"/>
  </si>
  <si>
    <t>2057624040019X</t>
    <phoneticPr fontId="2" type="noConversion"/>
  </si>
  <si>
    <t>DSM2402-SK05</t>
    <phoneticPr fontId="2" type="noConversion"/>
  </si>
  <si>
    <t>DSM2402-SK06</t>
  </si>
  <si>
    <t>DSM2403-SK01</t>
    <phoneticPr fontId="2" type="noConversion"/>
  </si>
  <si>
    <t>DSM2403-SK02</t>
  </si>
  <si>
    <t>DSM2403-SK03</t>
  </si>
  <si>
    <t>DSM2403-SK04</t>
  </si>
  <si>
    <t>4107224500943X</t>
    <phoneticPr fontId="2" type="noConversion"/>
  </si>
  <si>
    <t>4107224500635X</t>
    <phoneticPr fontId="2" type="noConversion"/>
  </si>
  <si>
    <t>4107224500676X</t>
    <phoneticPr fontId="2" type="noConversion"/>
  </si>
  <si>
    <t>4107224500773X</t>
    <phoneticPr fontId="2" type="noConversion"/>
  </si>
  <si>
    <t>4107224500864X</t>
    <phoneticPr fontId="2" type="noConversion"/>
  </si>
  <si>
    <t>4107224500942X</t>
    <phoneticPr fontId="2" type="noConversion"/>
  </si>
  <si>
    <t>DSMDNV2309-SK05</t>
    <phoneticPr fontId="2" type="noConversion"/>
  </si>
  <si>
    <t>DSMABS2312-SK01</t>
    <phoneticPr fontId="2" type="noConversion"/>
  </si>
  <si>
    <t>DSMABS2401-SK05</t>
    <phoneticPr fontId="2" type="noConversion"/>
  </si>
  <si>
    <t>DSMABS2401-SK06</t>
    <phoneticPr fontId="2" type="noConversion"/>
  </si>
  <si>
    <t>DSMCCS2308-SK06</t>
    <phoneticPr fontId="2" type="noConversion"/>
  </si>
  <si>
    <t>DSMABS2401-SK04</t>
    <phoneticPr fontId="2" type="noConversion"/>
  </si>
  <si>
    <t>4107224500857X</t>
    <phoneticPr fontId="2" type="noConversion"/>
  </si>
  <si>
    <t>4107224500858X</t>
    <phoneticPr fontId="2" type="noConversion"/>
  </si>
  <si>
    <t>4107224200096X</t>
    <phoneticPr fontId="2" type="noConversion"/>
  </si>
  <si>
    <t>4107224500930x</t>
    <phoneticPr fontId="2" type="noConversion"/>
  </si>
  <si>
    <t>03월 당월분</t>
    <phoneticPr fontId="3" type="noConversion"/>
  </si>
  <si>
    <t>DSM2403-R01</t>
    <phoneticPr fontId="2" type="noConversion"/>
  </si>
  <si>
    <t>DSM2403-R02</t>
  </si>
  <si>
    <t>DSM2403-R03</t>
  </si>
  <si>
    <t>DSM2403-AM02</t>
  </si>
  <si>
    <t>2057624030106X</t>
    <phoneticPr fontId="2" type="noConversion"/>
  </si>
  <si>
    <t>4107224500931X</t>
    <phoneticPr fontId="2" type="noConversion"/>
  </si>
  <si>
    <t>DSM2403-AT01</t>
    <phoneticPr fontId="2" type="noConversion"/>
  </si>
  <si>
    <t>4107224500827X</t>
    <phoneticPr fontId="2" type="noConversion"/>
  </si>
  <si>
    <t>당월 =&gt; 익월로 이월</t>
    <phoneticPr fontId="2" type="noConversion"/>
  </si>
  <si>
    <t>과세매출(국내매출)</t>
    <phoneticPr fontId="2" type="noConversion"/>
  </si>
  <si>
    <t>4107224501001X</t>
    <phoneticPr fontId="2" type="noConversion"/>
  </si>
  <si>
    <t>4107224501223X</t>
    <phoneticPr fontId="2" type="noConversion"/>
  </si>
  <si>
    <t>4107224501056X</t>
    <phoneticPr fontId="2" type="noConversion"/>
  </si>
  <si>
    <t>DSM2404-AL01</t>
    <phoneticPr fontId="2" type="noConversion"/>
  </si>
  <si>
    <t>※ 2024년 4월 마감내역 ※</t>
    <phoneticPr fontId="3" type="noConversion"/>
  </si>
  <si>
    <t>DSM2404-AL02</t>
  </si>
  <si>
    <t>DSM2404-AL03</t>
  </si>
  <si>
    <t>DSM2404-AL04</t>
  </si>
  <si>
    <t>4107224501090X</t>
    <phoneticPr fontId="2" type="noConversion"/>
  </si>
  <si>
    <t>4107224501153X</t>
    <phoneticPr fontId="2" type="noConversion"/>
  </si>
  <si>
    <t>4107224501251X</t>
    <phoneticPr fontId="2" type="noConversion"/>
  </si>
  <si>
    <t>4107224501344X</t>
    <phoneticPr fontId="2" type="noConversion"/>
  </si>
  <si>
    <t>2404P01</t>
    <phoneticPr fontId="2" type="noConversion"/>
  </si>
  <si>
    <t>2404P02</t>
  </si>
  <si>
    <t>2404P03</t>
  </si>
  <si>
    <t>2404P04</t>
  </si>
  <si>
    <t>2404P05</t>
  </si>
  <si>
    <t>2404P06</t>
  </si>
  <si>
    <t>2404P08</t>
  </si>
  <si>
    <t>4107224501046X</t>
    <phoneticPr fontId="2" type="noConversion"/>
  </si>
  <si>
    <t>4107224501116X</t>
    <phoneticPr fontId="2" type="noConversion"/>
  </si>
  <si>
    <t>4107224501169X</t>
    <phoneticPr fontId="2" type="noConversion"/>
  </si>
  <si>
    <t>4107224501206X</t>
    <phoneticPr fontId="2" type="noConversion"/>
  </si>
  <si>
    <t>4107224501166X</t>
    <phoneticPr fontId="2" type="noConversion"/>
  </si>
  <si>
    <t>4107224501207X</t>
    <phoneticPr fontId="2" type="noConversion"/>
  </si>
  <si>
    <t>4107224200589X</t>
    <phoneticPr fontId="2" type="noConversion"/>
  </si>
  <si>
    <t>2404P01TA</t>
    <phoneticPr fontId="2" type="noConversion"/>
  </si>
  <si>
    <t>DSM2404-01</t>
    <phoneticPr fontId="2" type="noConversion"/>
  </si>
  <si>
    <t>DSM2404-02</t>
  </si>
  <si>
    <t>DSM2404-03</t>
  </si>
  <si>
    <t>DSM2404-04</t>
  </si>
  <si>
    <t>DSM2404-05</t>
  </si>
  <si>
    <t>DSM2404-06</t>
  </si>
  <si>
    <t>DSM2404-07</t>
  </si>
  <si>
    <t>DSM2404-08</t>
  </si>
  <si>
    <t>DSM2404-09</t>
  </si>
  <si>
    <t>DSM2404-10</t>
  </si>
  <si>
    <t>DSM2404-11</t>
  </si>
  <si>
    <t>DSM2404-12</t>
  </si>
  <si>
    <t>DSM2404-13</t>
  </si>
  <si>
    <t>DSM2404-PS01</t>
    <phoneticPr fontId="2" type="noConversion"/>
  </si>
  <si>
    <t>DSM2404-PS02</t>
  </si>
  <si>
    <t>DSM2404-PS03</t>
  </si>
  <si>
    <t>4107224501058X</t>
    <phoneticPr fontId="2" type="noConversion"/>
  </si>
  <si>
    <t>인보이스 날짜</t>
    <phoneticPr fontId="2" type="noConversion"/>
  </si>
  <si>
    <t>4107224501059X</t>
    <phoneticPr fontId="2" type="noConversion"/>
  </si>
  <si>
    <t>4107224501078X</t>
    <phoneticPr fontId="2" type="noConversion"/>
  </si>
  <si>
    <t>4107224501118X</t>
    <phoneticPr fontId="2" type="noConversion"/>
  </si>
  <si>
    <t>4107224501119X</t>
    <phoneticPr fontId="2" type="noConversion"/>
  </si>
  <si>
    <t>4107224501120X</t>
    <phoneticPr fontId="2" type="noConversion"/>
  </si>
  <si>
    <t>4107224501155X</t>
    <phoneticPr fontId="2" type="noConversion"/>
  </si>
  <si>
    <t>4107224501156X</t>
    <phoneticPr fontId="2" type="noConversion"/>
  </si>
  <si>
    <t>4107224501138X</t>
    <phoneticPr fontId="2" type="noConversion"/>
  </si>
  <si>
    <t>4107224501241X</t>
    <phoneticPr fontId="2" type="noConversion"/>
  </si>
  <si>
    <t>4107224501294X</t>
    <phoneticPr fontId="2" type="noConversion"/>
  </si>
  <si>
    <t>4107224501267X</t>
    <phoneticPr fontId="2" type="noConversion"/>
  </si>
  <si>
    <t>4107224501082X</t>
    <phoneticPr fontId="2" type="noConversion"/>
  </si>
  <si>
    <t>4107224501083X</t>
    <phoneticPr fontId="2" type="noConversion"/>
  </si>
  <si>
    <t>4107224501106X</t>
    <phoneticPr fontId="2" type="noConversion"/>
  </si>
  <si>
    <t>DSM2404-MC01</t>
    <phoneticPr fontId="2" type="noConversion"/>
  </si>
  <si>
    <t>DSM2404-MC02</t>
  </si>
  <si>
    <t>4107224501139X</t>
    <phoneticPr fontId="2" type="noConversion"/>
  </si>
  <si>
    <t>DSM2404-R01</t>
    <phoneticPr fontId="2" type="noConversion"/>
  </si>
  <si>
    <t>DSM2404-EM01</t>
    <phoneticPr fontId="2" type="noConversion"/>
  </si>
  <si>
    <t>DSM2404-EM03</t>
  </si>
  <si>
    <t>DSM2404-EM04</t>
  </si>
  <si>
    <t>DSM2404-EM05</t>
  </si>
  <si>
    <t>DSM2404-EM06</t>
  </si>
  <si>
    <t>DSM2404-EM07</t>
  </si>
  <si>
    <t>DSM2404-EM08</t>
  </si>
  <si>
    <t>DSM2404-EM09</t>
  </si>
  <si>
    <t>DSM2404-EM10</t>
  </si>
  <si>
    <t>DSM2404-EM11</t>
  </si>
  <si>
    <t>DSM2404-EM12</t>
  </si>
  <si>
    <t>DSM2404-EM13</t>
  </si>
  <si>
    <t>DSM2404-EM14</t>
  </si>
  <si>
    <t>DSM2404-EM02</t>
    <phoneticPr fontId="2" type="noConversion"/>
  </si>
  <si>
    <t>4107224500979X</t>
    <phoneticPr fontId="2" type="noConversion"/>
  </si>
  <si>
    <t>4107224501079X</t>
    <phoneticPr fontId="2" type="noConversion"/>
  </si>
  <si>
    <t>4107224501081X</t>
    <phoneticPr fontId="2" type="noConversion"/>
  </si>
  <si>
    <t>4107224501107X</t>
    <phoneticPr fontId="2" type="noConversion"/>
  </si>
  <si>
    <t>4107224501108X</t>
    <phoneticPr fontId="2" type="noConversion"/>
  </si>
  <si>
    <t>4107224501143X</t>
    <phoneticPr fontId="2" type="noConversion"/>
  </si>
  <si>
    <t>4107224501154X</t>
    <phoneticPr fontId="2" type="noConversion"/>
  </si>
  <si>
    <t>4107224501318X</t>
    <phoneticPr fontId="2" type="noConversion"/>
  </si>
  <si>
    <t>4107224501327X</t>
    <phoneticPr fontId="2" type="noConversion"/>
  </si>
  <si>
    <t>4107224501337X</t>
    <phoneticPr fontId="2" type="noConversion"/>
  </si>
  <si>
    <t>DSM2404-AM01</t>
    <phoneticPr fontId="2" type="noConversion"/>
  </si>
  <si>
    <t>DSM2404-AM02</t>
  </si>
  <si>
    <t>2057624040472X</t>
    <phoneticPr fontId="2" type="noConversion"/>
  </si>
  <si>
    <t>DSM2404-SM01</t>
    <phoneticPr fontId="2" type="noConversion"/>
  </si>
  <si>
    <t>DSM2404-SM02</t>
  </si>
  <si>
    <t>4112924040130X</t>
    <phoneticPr fontId="2" type="noConversion"/>
  </si>
  <si>
    <t>DSM2404-01TA</t>
    <phoneticPr fontId="2" type="noConversion"/>
  </si>
  <si>
    <t>4107224501280X</t>
    <phoneticPr fontId="2" type="noConversion"/>
  </si>
  <si>
    <t>DSM2404-14</t>
  </si>
  <si>
    <t>DSM2404-15</t>
  </si>
  <si>
    <t>DSM2404-16</t>
  </si>
  <si>
    <t>DSM2404-17</t>
  </si>
  <si>
    <t>DSM2404-18</t>
  </si>
  <si>
    <t>DSM2404-19</t>
  </si>
  <si>
    <t>DSM2404-20</t>
  </si>
  <si>
    <t>4107224501308X</t>
    <phoneticPr fontId="2" type="noConversion"/>
  </si>
  <si>
    <t>4107224501309X</t>
    <phoneticPr fontId="2" type="noConversion"/>
  </si>
  <si>
    <t>4107224501338X</t>
    <phoneticPr fontId="2" type="noConversion"/>
  </si>
  <si>
    <t>4107224501339X</t>
    <phoneticPr fontId="2" type="noConversion"/>
  </si>
  <si>
    <t>4107224501348X</t>
    <phoneticPr fontId="2" type="noConversion"/>
  </si>
  <si>
    <t>411292405001X</t>
    <phoneticPr fontId="2" type="noConversion"/>
  </si>
  <si>
    <t>DSM2404-R02</t>
  </si>
  <si>
    <t>DSM2404-R03</t>
  </si>
  <si>
    <t>4107224501159X</t>
    <phoneticPr fontId="2" type="noConversion"/>
  </si>
  <si>
    <t>4107224500426X</t>
    <phoneticPr fontId="2" type="noConversion"/>
  </si>
  <si>
    <t>4107224501240X</t>
    <phoneticPr fontId="2" type="noConversion"/>
  </si>
  <si>
    <t>DSM2403-SK05</t>
    <phoneticPr fontId="2" type="noConversion"/>
  </si>
  <si>
    <t>4107224501020X</t>
    <phoneticPr fontId="2" type="noConversion"/>
  </si>
  <si>
    <t>4107224501004X</t>
    <phoneticPr fontId="2" type="noConversion"/>
  </si>
  <si>
    <t>4107224501005X</t>
    <phoneticPr fontId="2" type="noConversion"/>
  </si>
  <si>
    <t>4107224501006X</t>
    <phoneticPr fontId="2" type="noConversion"/>
  </si>
  <si>
    <t>4107224501080X</t>
    <phoneticPr fontId="2" type="noConversion"/>
  </si>
  <si>
    <t>04월 당월분</t>
    <phoneticPr fontId="3" type="noConversion"/>
  </si>
  <si>
    <t>05월 이월분</t>
    <phoneticPr fontId="3" type="noConversion"/>
  </si>
  <si>
    <t>03월 이월분</t>
    <phoneticPr fontId="3" type="noConversion"/>
  </si>
  <si>
    <t>DSM2403-SK06</t>
    <phoneticPr fontId="2" type="noConversion"/>
  </si>
  <si>
    <t>4107224501021X</t>
    <phoneticPr fontId="2" type="noConversion"/>
  </si>
  <si>
    <t>DSM2404-SK01</t>
    <phoneticPr fontId="2" type="noConversion"/>
  </si>
  <si>
    <t>4107224501086X</t>
    <phoneticPr fontId="2" type="noConversion"/>
  </si>
  <si>
    <t>DSM2404-SK02</t>
  </si>
  <si>
    <t>DSM2404-SK03</t>
  </si>
  <si>
    <t>DSM2404-SK04</t>
  </si>
  <si>
    <t>4107224501164X</t>
    <phoneticPr fontId="2" type="noConversion"/>
  </si>
  <si>
    <t>4107224501265X</t>
    <phoneticPr fontId="2" type="noConversion"/>
  </si>
  <si>
    <t>4107224501266X</t>
    <phoneticPr fontId="2" type="noConversion"/>
  </si>
  <si>
    <t>DSM2404-SK05</t>
    <phoneticPr fontId="2" type="noConversion"/>
  </si>
  <si>
    <t>4107224501321X</t>
    <phoneticPr fontId="2" type="noConversion"/>
  </si>
  <si>
    <t>DSM2404-AT01</t>
    <phoneticPr fontId="2" type="noConversion"/>
  </si>
  <si>
    <t>DSM2405-MC01</t>
    <phoneticPr fontId="2" type="noConversion"/>
  </si>
  <si>
    <t>DSM2405-MC02</t>
  </si>
  <si>
    <t>4107224200588X</t>
    <phoneticPr fontId="2" type="noConversion"/>
  </si>
  <si>
    <t>4107224501303X</t>
    <phoneticPr fontId="2" type="noConversion"/>
  </si>
  <si>
    <t>4107224501369X</t>
    <phoneticPr fontId="2" type="noConversion"/>
  </si>
  <si>
    <t>4107224501440X</t>
    <phoneticPr fontId="2" type="noConversion"/>
  </si>
  <si>
    <t>※ 2024년 5월 마감내역 ※</t>
    <phoneticPr fontId="3" type="noConversion"/>
  </si>
  <si>
    <t>4107224501564X</t>
    <phoneticPr fontId="2" type="noConversion"/>
  </si>
  <si>
    <t>DSM2405-AL01</t>
    <phoneticPr fontId="2" type="noConversion"/>
  </si>
  <si>
    <t>4107224501448X</t>
    <phoneticPr fontId="2" type="noConversion"/>
  </si>
  <si>
    <t>DSM2405-AL02</t>
    <phoneticPr fontId="2" type="noConversion"/>
  </si>
  <si>
    <t>DSM2405-AL03</t>
    <phoneticPr fontId="2" type="noConversion"/>
  </si>
  <si>
    <t>4107224501590X</t>
    <phoneticPr fontId="2" type="noConversion"/>
  </si>
  <si>
    <t>2405P01</t>
    <phoneticPr fontId="2" type="noConversion"/>
  </si>
  <si>
    <t>2405P02</t>
  </si>
  <si>
    <t>2405P03</t>
  </si>
  <si>
    <t>2405P04</t>
  </si>
  <si>
    <t>2405P05</t>
  </si>
  <si>
    <t>2405P06</t>
  </si>
  <si>
    <t>2405P07</t>
  </si>
  <si>
    <t>2405P08</t>
  </si>
  <si>
    <t>2405P09</t>
  </si>
  <si>
    <t>2405P10</t>
  </si>
  <si>
    <t>2405P11</t>
  </si>
  <si>
    <t>4107224501496X</t>
    <phoneticPr fontId="2" type="noConversion"/>
  </si>
  <si>
    <t>4107224501528X</t>
    <phoneticPr fontId="2" type="noConversion"/>
  </si>
  <si>
    <t>4107224501529X</t>
    <phoneticPr fontId="2" type="noConversion"/>
  </si>
  <si>
    <t>4107224501530X</t>
    <phoneticPr fontId="2" type="noConversion"/>
  </si>
  <si>
    <t>4107224501531X</t>
    <phoneticPr fontId="2" type="noConversion"/>
  </si>
  <si>
    <t>4107224501645X</t>
    <phoneticPr fontId="2" type="noConversion"/>
  </si>
  <si>
    <t>4107224501426X</t>
    <phoneticPr fontId="2" type="noConversion"/>
  </si>
  <si>
    <t>4107224501532X</t>
    <phoneticPr fontId="2" type="noConversion"/>
  </si>
  <si>
    <t>4107224501623X</t>
    <phoneticPr fontId="2" type="noConversion"/>
  </si>
  <si>
    <t>2405TC01</t>
    <phoneticPr fontId="2" type="noConversion"/>
  </si>
  <si>
    <t>DSM2405-01</t>
    <phoneticPr fontId="2" type="noConversion"/>
  </si>
  <si>
    <t>DSM2405-02</t>
  </si>
  <si>
    <t>DSM2405-03</t>
  </si>
  <si>
    <t>DSM2405-04</t>
  </si>
  <si>
    <t>DSM2405-05</t>
  </si>
  <si>
    <t>DSM2405-06</t>
  </si>
  <si>
    <t>DSM2405-07</t>
  </si>
  <si>
    <t>DSM2405-08</t>
  </si>
  <si>
    <t>DSM2405-09</t>
  </si>
  <si>
    <t>DSM2405-10</t>
  </si>
  <si>
    <t>DSM2405-11</t>
  </si>
  <si>
    <t>DSM2405-12</t>
  </si>
  <si>
    <t>DSM2405-13</t>
  </si>
  <si>
    <t>DSM2405-14</t>
  </si>
  <si>
    <t>DSM2405-15</t>
  </si>
  <si>
    <t>DSM2405-16</t>
  </si>
  <si>
    <t>DSM2405-17</t>
  </si>
  <si>
    <t>4107224501370X</t>
    <phoneticPr fontId="2" type="noConversion"/>
  </si>
  <si>
    <t>4107224501441X</t>
    <phoneticPr fontId="2" type="noConversion"/>
  </si>
  <si>
    <t>4107224501452X</t>
    <phoneticPr fontId="2" type="noConversion"/>
  </si>
  <si>
    <t>4107224501453X</t>
    <phoneticPr fontId="2" type="noConversion"/>
  </si>
  <si>
    <t>4107224501454X</t>
    <phoneticPr fontId="2" type="noConversion"/>
  </si>
  <si>
    <t>4107224501425X</t>
    <phoneticPr fontId="2" type="noConversion"/>
  </si>
  <si>
    <t>4107224501546X</t>
    <phoneticPr fontId="2" type="noConversion"/>
  </si>
  <si>
    <t>4107224501500X</t>
    <phoneticPr fontId="2" type="noConversion"/>
  </si>
  <si>
    <t>4107224501489X</t>
    <phoneticPr fontId="2" type="noConversion"/>
  </si>
  <si>
    <t>4107224501570X</t>
    <phoneticPr fontId="2" type="noConversion"/>
  </si>
  <si>
    <t>4107224501541X</t>
    <phoneticPr fontId="2" type="noConversion"/>
  </si>
  <si>
    <t>DSM2405-MC03</t>
    <phoneticPr fontId="2" type="noConversion"/>
  </si>
  <si>
    <t>DSM2405-MC04</t>
  </si>
  <si>
    <t>4107224501371X</t>
    <phoneticPr fontId="2" type="noConversion"/>
  </si>
  <si>
    <t>4107224501472X</t>
    <phoneticPr fontId="2" type="noConversion"/>
  </si>
  <si>
    <t>DSM2405-SM01</t>
    <phoneticPr fontId="2" type="noConversion"/>
  </si>
  <si>
    <t>DSM2405-SM02</t>
    <phoneticPr fontId="2" type="noConversion"/>
  </si>
  <si>
    <t>4112924050134X</t>
    <phoneticPr fontId="2" type="noConversion"/>
  </si>
  <si>
    <t>DSM2405-SE01</t>
    <phoneticPr fontId="2" type="noConversion"/>
  </si>
  <si>
    <t>4107224501432X</t>
    <phoneticPr fontId="2" type="noConversion"/>
  </si>
  <si>
    <t>4107224501341X</t>
    <phoneticPr fontId="2" type="noConversion"/>
  </si>
  <si>
    <t>DSM2405-EM01</t>
    <phoneticPr fontId="2" type="noConversion"/>
  </si>
  <si>
    <t>DSM2405-EM03</t>
  </si>
  <si>
    <t>DSM2405-EM04</t>
  </si>
  <si>
    <t>DSM2405-EM05</t>
  </si>
  <si>
    <t>DSM2405-EM06</t>
  </si>
  <si>
    <t>DSM2405-EM07</t>
  </si>
  <si>
    <t>DSM2405-EM09</t>
  </si>
  <si>
    <t>DSM2405-EM10</t>
  </si>
  <si>
    <t>DSM2405-EM02</t>
    <phoneticPr fontId="2" type="noConversion"/>
  </si>
  <si>
    <t>4107224501374X</t>
    <phoneticPr fontId="2" type="noConversion"/>
  </si>
  <si>
    <t>4107224501375X</t>
    <phoneticPr fontId="2" type="noConversion"/>
  </si>
  <si>
    <t>4107224501411X</t>
    <phoneticPr fontId="2" type="noConversion"/>
  </si>
  <si>
    <t>4107224501409X</t>
    <phoneticPr fontId="2" type="noConversion"/>
  </si>
  <si>
    <t>4107224501471X</t>
    <phoneticPr fontId="2" type="noConversion"/>
  </si>
  <si>
    <t>4107224501488X</t>
    <phoneticPr fontId="2" type="noConversion"/>
  </si>
  <si>
    <t>4107224501563X</t>
    <phoneticPr fontId="2" type="noConversion"/>
  </si>
  <si>
    <t>4107224501501X</t>
    <phoneticPr fontId="2" type="noConversion"/>
  </si>
  <si>
    <t>4107224501522X</t>
    <phoneticPr fontId="2" type="noConversion"/>
  </si>
  <si>
    <t>DSM2405-AM01</t>
    <phoneticPr fontId="2" type="noConversion"/>
  </si>
  <si>
    <t>DSM2405-AM02</t>
  </si>
  <si>
    <t>DSM2405-AM03</t>
  </si>
  <si>
    <t>2057624050185X</t>
    <phoneticPr fontId="2" type="noConversion"/>
  </si>
  <si>
    <t>2057624050456X</t>
    <phoneticPr fontId="2" type="noConversion"/>
  </si>
  <si>
    <t>DSM2405-AT01</t>
    <phoneticPr fontId="2" type="noConversion"/>
  </si>
  <si>
    <t>DSM2405-AT02</t>
    <phoneticPr fontId="2" type="noConversion"/>
  </si>
  <si>
    <t>04월 이월분</t>
    <phoneticPr fontId="2" type="noConversion"/>
  </si>
  <si>
    <t>05월 당월분</t>
    <phoneticPr fontId="3" type="noConversion"/>
  </si>
  <si>
    <t>06월 이월분</t>
    <phoneticPr fontId="3" type="noConversion"/>
  </si>
  <si>
    <t>4107224501665X</t>
    <phoneticPr fontId="2" type="noConversion"/>
  </si>
  <si>
    <t>DSM2405-18</t>
  </si>
  <si>
    <t>DSM2405-19</t>
  </si>
  <si>
    <t>DSM2405-20</t>
  </si>
  <si>
    <t>4107224200834X</t>
    <phoneticPr fontId="2" type="noConversion"/>
  </si>
  <si>
    <t>DSM2405-R01</t>
    <phoneticPr fontId="2" type="noConversion"/>
  </si>
  <si>
    <t>4107224501587X</t>
    <phoneticPr fontId="2" type="noConversion"/>
  </si>
  <si>
    <t>4107224501605X</t>
    <phoneticPr fontId="2" type="noConversion"/>
  </si>
  <si>
    <t>4107224501588X</t>
    <phoneticPr fontId="2" type="noConversion"/>
  </si>
  <si>
    <t>4107224501608X</t>
    <phoneticPr fontId="2" type="noConversion"/>
  </si>
  <si>
    <t>4107224501644X</t>
    <phoneticPr fontId="2" type="noConversion"/>
  </si>
  <si>
    <t>4107224501709X</t>
    <phoneticPr fontId="2" type="noConversion"/>
  </si>
  <si>
    <t>DSM2405-21</t>
  </si>
  <si>
    <t>4107224501710X</t>
    <phoneticPr fontId="2" type="noConversion"/>
  </si>
  <si>
    <t>4107224501663X</t>
    <phoneticPr fontId="2" type="noConversion"/>
  </si>
  <si>
    <t>4107224501662X</t>
    <phoneticPr fontId="2" type="noConversion"/>
  </si>
  <si>
    <t>DSM2405-R02</t>
  </si>
  <si>
    <t>4107224501589X</t>
    <phoneticPr fontId="2" type="noConversion"/>
  </si>
  <si>
    <t>DSM2404-SK06</t>
    <phoneticPr fontId="2" type="noConversion"/>
  </si>
  <si>
    <t>DSM2405-SK01</t>
    <phoneticPr fontId="2" type="noConversion"/>
  </si>
  <si>
    <t>DSM2405-SK02</t>
  </si>
  <si>
    <t>DSM2405-SK03</t>
  </si>
  <si>
    <t>DSM2405-SK04</t>
  </si>
  <si>
    <t>DSM2405-SK05</t>
  </si>
  <si>
    <t>4107224501350X</t>
    <phoneticPr fontId="2" type="noConversion"/>
  </si>
  <si>
    <t>4107224501446X</t>
    <phoneticPr fontId="2" type="noConversion"/>
  </si>
  <si>
    <t>4107224200735X</t>
    <phoneticPr fontId="2" type="noConversion"/>
  </si>
  <si>
    <t>4107224501516X</t>
    <phoneticPr fontId="2" type="noConversion"/>
  </si>
  <si>
    <t>4107224501603X</t>
    <phoneticPr fontId="2" type="noConversion"/>
  </si>
  <si>
    <t>4107224501604X</t>
    <phoneticPr fontId="2" type="noConversion"/>
  </si>
  <si>
    <t>DSM2405-SK06</t>
  </si>
  <si>
    <t>DSM2405-SK07</t>
  </si>
  <si>
    <t>4107224501688X</t>
    <phoneticPr fontId="2" type="noConversion"/>
  </si>
  <si>
    <t>4107224501689X</t>
    <phoneticPr fontId="2" type="noConversion"/>
  </si>
  <si>
    <t>4112924060044X</t>
    <phoneticPr fontId="2" type="noConversion"/>
  </si>
  <si>
    <t>※ 2024년 6월 마감내역 ※</t>
    <phoneticPr fontId="3" type="noConversion"/>
  </si>
  <si>
    <t>DSM2406-AL01</t>
    <phoneticPr fontId="2" type="noConversion"/>
  </si>
  <si>
    <t>DSM2406-AL02</t>
  </si>
  <si>
    <t>DSM2406-AL03</t>
  </si>
  <si>
    <t>2406P01</t>
    <phoneticPr fontId="2" type="noConversion"/>
  </si>
  <si>
    <t>2406P02</t>
  </si>
  <si>
    <t>2406P03</t>
  </si>
  <si>
    <t>2406P04</t>
  </si>
  <si>
    <t>2406P05</t>
  </si>
  <si>
    <t>2406P06</t>
  </si>
  <si>
    <t>2406P07</t>
  </si>
  <si>
    <t>2406P08</t>
  </si>
  <si>
    <t>2406P09</t>
  </si>
  <si>
    <t>2406P10</t>
  </si>
  <si>
    <t>2406P12</t>
  </si>
  <si>
    <t>DSM2406-01</t>
    <phoneticPr fontId="2" type="noConversion"/>
  </si>
  <si>
    <t>DSM2406-02</t>
  </si>
  <si>
    <t>DSM2406-03</t>
  </si>
  <si>
    <t>DSM2406-04</t>
  </si>
  <si>
    <t>DSM2406-05</t>
  </si>
  <si>
    <t>DSM2406-06</t>
  </si>
  <si>
    <t>DSM2406-07</t>
  </si>
  <si>
    <t>DSM2406-08</t>
  </si>
  <si>
    <t>DSM2406-09</t>
  </si>
  <si>
    <t>DSM2406-10</t>
  </si>
  <si>
    <t>DSM2406-11</t>
  </si>
  <si>
    <t>DSM2406-12</t>
  </si>
  <si>
    <t>DSM2406-MC01</t>
    <phoneticPr fontId="2" type="noConversion"/>
  </si>
  <si>
    <t>DSM2406-MC02</t>
  </si>
  <si>
    <t>DSM2406-MC03</t>
  </si>
  <si>
    <t>4107224501788X</t>
    <phoneticPr fontId="2" type="noConversion"/>
  </si>
  <si>
    <t>4107224501863X</t>
    <phoneticPr fontId="2" type="noConversion"/>
  </si>
  <si>
    <t>4107224501942X</t>
    <phoneticPr fontId="2" type="noConversion"/>
  </si>
  <si>
    <t>4107224501683X</t>
    <phoneticPr fontId="2" type="noConversion"/>
  </si>
  <si>
    <t>4107224501684X</t>
    <phoneticPr fontId="2" type="noConversion"/>
  </si>
  <si>
    <t>4107224501685X</t>
    <phoneticPr fontId="2" type="noConversion"/>
  </si>
  <si>
    <t>4107224501686X</t>
    <phoneticPr fontId="2" type="noConversion"/>
  </si>
  <si>
    <t>4107224501770X</t>
    <phoneticPr fontId="2" type="noConversion"/>
  </si>
  <si>
    <t>4107224501835X</t>
    <phoneticPr fontId="2" type="noConversion"/>
  </si>
  <si>
    <t>4107224501790X</t>
    <phoneticPr fontId="2" type="noConversion"/>
  </si>
  <si>
    <t>4107224501898X</t>
    <phoneticPr fontId="2" type="noConversion"/>
  </si>
  <si>
    <t>4107224501900X</t>
    <phoneticPr fontId="2" type="noConversion"/>
  </si>
  <si>
    <t>4107224501901X</t>
    <phoneticPr fontId="2" type="noConversion"/>
  </si>
  <si>
    <t>4107224501721X</t>
    <phoneticPr fontId="2" type="noConversion"/>
  </si>
  <si>
    <t>4107224501723X</t>
    <phoneticPr fontId="2" type="noConversion"/>
  </si>
  <si>
    <t>4107224200946X</t>
    <phoneticPr fontId="2" type="noConversion"/>
  </si>
  <si>
    <t>4107224501757X</t>
    <phoneticPr fontId="2" type="noConversion"/>
  </si>
  <si>
    <t>4107224501793X</t>
    <phoneticPr fontId="2" type="noConversion"/>
  </si>
  <si>
    <t>4107224501809X</t>
    <phoneticPr fontId="2" type="noConversion"/>
  </si>
  <si>
    <t>4107224501855X</t>
    <phoneticPr fontId="2" type="noConversion"/>
  </si>
  <si>
    <t>4107224501869X</t>
    <phoneticPr fontId="2" type="noConversion"/>
  </si>
  <si>
    <t>4107224501870X</t>
    <phoneticPr fontId="2" type="noConversion"/>
  </si>
  <si>
    <t>4107224501966X</t>
    <phoneticPr fontId="2" type="noConversion"/>
  </si>
  <si>
    <t>4107224501977X</t>
    <phoneticPr fontId="2" type="noConversion"/>
  </si>
  <si>
    <t>4107224501978X</t>
    <phoneticPr fontId="2" type="noConversion"/>
  </si>
  <si>
    <t>4107224501606X</t>
    <phoneticPr fontId="2" type="noConversion"/>
  </si>
  <si>
    <t>4107224501714X</t>
    <phoneticPr fontId="2" type="noConversion"/>
  </si>
  <si>
    <t>4107224501810X</t>
    <phoneticPr fontId="2" type="noConversion"/>
  </si>
  <si>
    <t>4112924060150X</t>
    <phoneticPr fontId="2" type="noConversion"/>
  </si>
  <si>
    <t>DSM2406-SM01</t>
    <phoneticPr fontId="2" type="noConversion"/>
  </si>
  <si>
    <t>DSM2406-SE01</t>
    <phoneticPr fontId="2" type="noConversion"/>
  </si>
  <si>
    <t>4107224501842X</t>
    <phoneticPr fontId="2" type="noConversion"/>
  </si>
  <si>
    <t>DSM2406-EM01</t>
    <phoneticPr fontId="2" type="noConversion"/>
  </si>
  <si>
    <t>DSM2406-EM03</t>
  </si>
  <si>
    <t>DSM2406-EM04</t>
  </si>
  <si>
    <t>DSM2406-EM05</t>
  </si>
  <si>
    <t>DSM2406-EM06</t>
  </si>
  <si>
    <t>DSM2406-EM07</t>
  </si>
  <si>
    <t>DSM2406-EM08</t>
  </si>
  <si>
    <t>DSM2406-EM02</t>
    <phoneticPr fontId="2" type="noConversion"/>
  </si>
  <si>
    <t>DSM2406-EM09</t>
  </si>
  <si>
    <t>DSM2406-EM10</t>
  </si>
  <si>
    <t>DSM2406-EM11</t>
  </si>
  <si>
    <t>DSM2406-EM12</t>
  </si>
  <si>
    <t>4107224501620X</t>
    <phoneticPr fontId="2" type="noConversion"/>
  </si>
  <si>
    <t>4107224501633X</t>
    <phoneticPr fontId="2" type="noConversion"/>
  </si>
  <si>
    <t>4107224501631X</t>
    <phoneticPr fontId="2" type="noConversion"/>
  </si>
  <si>
    <t>4107224501719X</t>
    <phoneticPr fontId="2" type="noConversion"/>
  </si>
  <si>
    <t>4107224501664X</t>
    <phoneticPr fontId="2" type="noConversion"/>
  </si>
  <si>
    <t>4107224501774X</t>
    <phoneticPr fontId="2" type="noConversion"/>
  </si>
  <si>
    <t>4122124903243X</t>
    <phoneticPr fontId="2" type="noConversion"/>
  </si>
  <si>
    <t>4107224501783X</t>
    <phoneticPr fontId="2" type="noConversion"/>
  </si>
  <si>
    <t>4107224501843X</t>
    <phoneticPr fontId="2" type="noConversion"/>
  </si>
  <si>
    <t>4107224501884X</t>
    <phoneticPr fontId="2" type="noConversion"/>
  </si>
  <si>
    <t>4107224501885X</t>
    <phoneticPr fontId="2" type="noConversion"/>
  </si>
  <si>
    <t>DSM2406-AM01</t>
    <phoneticPr fontId="2" type="noConversion"/>
  </si>
  <si>
    <t>DSM2406-AM02</t>
  </si>
  <si>
    <t>DSM2406-AM03</t>
  </si>
  <si>
    <t>2057624060216X</t>
    <phoneticPr fontId="2" type="noConversion"/>
  </si>
  <si>
    <t>2057624060353X</t>
    <phoneticPr fontId="2" type="noConversion"/>
  </si>
  <si>
    <t>2057624060530X</t>
    <phoneticPr fontId="2" type="noConversion"/>
  </si>
  <si>
    <t>2057624050617X</t>
    <phoneticPr fontId="2" type="noConversion"/>
  </si>
  <si>
    <t>4303924501144X</t>
    <phoneticPr fontId="2" type="noConversion"/>
  </si>
  <si>
    <t>4107224501921X</t>
    <phoneticPr fontId="2" type="noConversion"/>
  </si>
  <si>
    <t>4107224501836X</t>
    <phoneticPr fontId="2" type="noConversion"/>
  </si>
  <si>
    <t>4107224501661X</t>
    <phoneticPr fontId="2" type="noConversion"/>
  </si>
  <si>
    <t>DSM2406-R01</t>
    <phoneticPr fontId="2" type="noConversion"/>
  </si>
  <si>
    <t>DSM2406-SK01</t>
    <phoneticPr fontId="2" type="noConversion"/>
  </si>
  <si>
    <t>4107224200959X</t>
    <phoneticPr fontId="2" type="noConversion"/>
  </si>
  <si>
    <t>DSM2406-SK02</t>
  </si>
  <si>
    <t>DSM2406-SK03</t>
  </si>
  <si>
    <t>4107224501789X</t>
    <phoneticPr fontId="2" type="noConversion"/>
  </si>
  <si>
    <t>4107224501881X</t>
    <phoneticPr fontId="2" type="noConversion"/>
  </si>
  <si>
    <t>DSMABS2406-SK08</t>
    <phoneticPr fontId="2" type="noConversion"/>
  </si>
  <si>
    <t>DSMABS2406-SK09</t>
    <phoneticPr fontId="2" type="noConversion"/>
  </si>
  <si>
    <t>DSMDNV2406-SK07</t>
    <phoneticPr fontId="2" type="noConversion"/>
  </si>
  <si>
    <t>DSMLR2406-SK10</t>
    <phoneticPr fontId="2" type="noConversion"/>
  </si>
  <si>
    <t>DSM2406-SK04</t>
    <phoneticPr fontId="2" type="noConversion"/>
  </si>
  <si>
    <t>DSM2406-SK05</t>
  </si>
  <si>
    <t>DSM2406-SK06</t>
  </si>
  <si>
    <t>4107224501963X</t>
    <phoneticPr fontId="2" type="noConversion"/>
  </si>
  <si>
    <t>4107224501964X</t>
    <phoneticPr fontId="2" type="noConversion"/>
  </si>
  <si>
    <t>4107224501965X</t>
    <phoneticPr fontId="2" type="noConversion"/>
  </si>
  <si>
    <t>05월 이월분</t>
    <phoneticPr fontId="2" type="noConversion"/>
  </si>
  <si>
    <t>06월 당월분</t>
    <phoneticPr fontId="3" type="noConversion"/>
  </si>
  <si>
    <t>07월 이월분</t>
    <phoneticPr fontId="3" type="noConversion"/>
  </si>
  <si>
    <t>DSM2405-AT03</t>
    <phoneticPr fontId="2" type="noConversion"/>
  </si>
  <si>
    <t>※ 2024년 7월 마감내역 ※</t>
    <phoneticPr fontId="3" type="noConversion"/>
  </si>
  <si>
    <t>DSM2407-AL01</t>
    <phoneticPr fontId="2" type="noConversion"/>
  </si>
  <si>
    <t>DSM2407-EM01</t>
  </si>
  <si>
    <t>DSM2407-EM02</t>
  </si>
  <si>
    <t>DSM2407-EM03</t>
    <phoneticPr fontId="2" type="noConversion"/>
  </si>
  <si>
    <t>DSM2407-EM04</t>
  </si>
  <si>
    <t>DSM2407-EM05</t>
  </si>
  <si>
    <t xml:space="preserve">DSM2407-EM06 </t>
  </si>
  <si>
    <t>DSM2407-EM07</t>
    <phoneticPr fontId="2" type="noConversion"/>
  </si>
  <si>
    <t>DSM2407-EM08</t>
  </si>
  <si>
    <t>DSM2407-EM09</t>
  </si>
  <si>
    <t>2407P01</t>
  </si>
  <si>
    <t>2407P02</t>
  </si>
  <si>
    <t>2407P03</t>
  </si>
  <si>
    <t>2407P04</t>
  </si>
  <si>
    <t>2407P05</t>
  </si>
  <si>
    <t>2407P06</t>
  </si>
  <si>
    <t>2407P07</t>
  </si>
  <si>
    <t>2407P02TC</t>
  </si>
  <si>
    <t>2407P03TC</t>
  </si>
  <si>
    <t>2407P08</t>
    <phoneticPr fontId="2" type="noConversion"/>
  </si>
  <si>
    <t>DSM2407-SM01</t>
    <phoneticPr fontId="2" type="noConversion"/>
  </si>
  <si>
    <t>DSM2407-AM01</t>
    <phoneticPr fontId="2" type="noConversion"/>
  </si>
  <si>
    <t>DSM2407-EM10</t>
    <phoneticPr fontId="2" type="noConversion"/>
  </si>
  <si>
    <t>DSM2407-EM11</t>
    <phoneticPr fontId="2" type="noConversion"/>
  </si>
  <si>
    <t>2407P09</t>
    <phoneticPr fontId="2" type="noConversion"/>
  </si>
  <si>
    <t>DSM2407-SK01</t>
    <phoneticPr fontId="2" type="noConversion"/>
  </si>
  <si>
    <t>DSM2407-SK02</t>
    <phoneticPr fontId="2" type="noConversion"/>
  </si>
  <si>
    <t>DSM2407-SK03</t>
    <phoneticPr fontId="2" type="noConversion"/>
  </si>
  <si>
    <t>DSM2407-SK04</t>
    <phoneticPr fontId="2" type="noConversion"/>
  </si>
  <si>
    <t>DSM2407-AL02</t>
    <phoneticPr fontId="2" type="noConversion"/>
  </si>
  <si>
    <t>DSM2407-01</t>
    <phoneticPr fontId="2" type="noConversion"/>
  </si>
  <si>
    <t>DSM2407-02</t>
    <phoneticPr fontId="2" type="noConversion"/>
  </si>
  <si>
    <t>DSM2407-03</t>
    <phoneticPr fontId="2" type="noConversion"/>
  </si>
  <si>
    <t>DSM2407-04</t>
    <phoneticPr fontId="2" type="noConversion"/>
  </si>
  <si>
    <t>DSM2407-05</t>
    <phoneticPr fontId="2" type="noConversion"/>
  </si>
  <si>
    <t>DSM2407-06</t>
    <phoneticPr fontId="2" type="noConversion"/>
  </si>
  <si>
    <t>DSM2407-07</t>
    <phoneticPr fontId="2" type="noConversion"/>
  </si>
  <si>
    <t>DSM2407-08</t>
    <phoneticPr fontId="2" type="noConversion"/>
  </si>
  <si>
    <t>DSM2407-09</t>
    <phoneticPr fontId="2" type="noConversion"/>
  </si>
  <si>
    <t>DSM2407-10</t>
    <phoneticPr fontId="2" type="noConversion"/>
  </si>
  <si>
    <t>DSM2407-11</t>
    <phoneticPr fontId="2" type="noConversion"/>
  </si>
  <si>
    <t>DSM2407-12</t>
    <phoneticPr fontId="2" type="noConversion"/>
  </si>
  <si>
    <t>DSM2407-MC01</t>
    <phoneticPr fontId="2" type="noConversion"/>
  </si>
  <si>
    <t>DSM2407-MC02</t>
    <phoneticPr fontId="2" type="noConversion"/>
  </si>
  <si>
    <t>DSM2407-MC03</t>
    <phoneticPr fontId="2" type="noConversion"/>
  </si>
  <si>
    <t>DSM2407-SE01</t>
  </si>
  <si>
    <t>DSM2407-13</t>
    <phoneticPr fontId="2" type="noConversion"/>
  </si>
  <si>
    <t>DSM2407-14</t>
    <phoneticPr fontId="2" type="noConversion"/>
  </si>
  <si>
    <t>DSM2407-15</t>
    <phoneticPr fontId="2" type="noConversion"/>
  </si>
  <si>
    <t>4107224502110X</t>
    <phoneticPr fontId="2" type="noConversion"/>
  </si>
  <si>
    <t>4107224502212X</t>
    <phoneticPr fontId="2" type="noConversion"/>
  </si>
  <si>
    <t>4107224502036X</t>
    <phoneticPr fontId="2" type="noConversion"/>
  </si>
  <si>
    <t>4107224201235X</t>
    <phoneticPr fontId="2" type="noConversion"/>
  </si>
  <si>
    <t>4107224502037X</t>
    <phoneticPr fontId="2" type="noConversion"/>
  </si>
  <si>
    <t>4107224502038X</t>
    <phoneticPr fontId="2" type="noConversion"/>
  </si>
  <si>
    <t>4107224502039X</t>
    <phoneticPr fontId="2" type="noConversion"/>
  </si>
  <si>
    <t>4107224502194X</t>
    <phoneticPr fontId="2" type="noConversion"/>
  </si>
  <si>
    <t>4107224502177X</t>
    <phoneticPr fontId="2" type="noConversion"/>
  </si>
  <si>
    <t>4107224502006X</t>
    <phoneticPr fontId="2" type="noConversion"/>
  </si>
  <si>
    <t>4107224502007X</t>
    <phoneticPr fontId="2" type="noConversion"/>
  </si>
  <si>
    <t>4107224201215X</t>
    <phoneticPr fontId="2" type="noConversion"/>
  </si>
  <si>
    <t>4107224502000X</t>
    <phoneticPr fontId="2" type="noConversion"/>
  </si>
  <si>
    <t>4107224501989X</t>
    <phoneticPr fontId="2" type="noConversion"/>
  </si>
  <si>
    <t>4107224502008X</t>
    <phoneticPr fontId="2" type="noConversion"/>
  </si>
  <si>
    <t>4107224502009X</t>
    <phoneticPr fontId="2" type="noConversion"/>
  </si>
  <si>
    <t>4107224502113X</t>
    <phoneticPr fontId="2" type="noConversion"/>
  </si>
  <si>
    <t>4107224502114X</t>
    <phoneticPr fontId="2" type="noConversion"/>
  </si>
  <si>
    <t>4107224502178X</t>
    <phoneticPr fontId="2" type="noConversion"/>
  </si>
  <si>
    <t>4107224502073X</t>
    <phoneticPr fontId="2" type="noConversion"/>
  </si>
  <si>
    <t>4107224502179X</t>
    <phoneticPr fontId="2" type="noConversion"/>
  </si>
  <si>
    <t>4107224502237X</t>
    <phoneticPr fontId="2" type="noConversion"/>
  </si>
  <si>
    <t>4107224502238X</t>
    <phoneticPr fontId="2" type="noConversion"/>
  </si>
  <si>
    <t>4107224502234X</t>
    <phoneticPr fontId="2" type="noConversion"/>
  </si>
  <si>
    <t>4107224502003X</t>
    <phoneticPr fontId="2" type="noConversion"/>
  </si>
  <si>
    <t>4107224502103X</t>
    <phoneticPr fontId="2" type="noConversion"/>
  </si>
  <si>
    <t>4107224201353X</t>
    <phoneticPr fontId="2" type="noConversion"/>
  </si>
  <si>
    <t>4112924070237X</t>
    <phoneticPr fontId="2" type="noConversion"/>
  </si>
  <si>
    <t>4107224502213X</t>
    <phoneticPr fontId="2" type="noConversion"/>
  </si>
  <si>
    <t>4107224501952X</t>
    <phoneticPr fontId="2" type="noConversion"/>
  </si>
  <si>
    <t>4107224501953X</t>
    <phoneticPr fontId="2" type="noConversion"/>
  </si>
  <si>
    <t>4107224501948X</t>
    <phoneticPr fontId="2" type="noConversion"/>
  </si>
  <si>
    <t>4107224201213X</t>
    <phoneticPr fontId="2" type="noConversion"/>
  </si>
  <si>
    <t>4107224201214X</t>
    <phoneticPr fontId="2" type="noConversion"/>
  </si>
  <si>
    <t>4107224502004X</t>
    <phoneticPr fontId="2" type="noConversion"/>
  </si>
  <si>
    <t>4107224502024X</t>
    <phoneticPr fontId="2" type="noConversion"/>
  </si>
  <si>
    <t>4107224502053X</t>
    <phoneticPr fontId="2" type="noConversion"/>
  </si>
  <si>
    <t>4107224502083X</t>
    <phoneticPr fontId="2" type="noConversion"/>
  </si>
  <si>
    <t>4107224502135X</t>
    <phoneticPr fontId="2" type="noConversion"/>
  </si>
  <si>
    <t>4107224502193X</t>
    <phoneticPr fontId="2" type="noConversion"/>
  </si>
  <si>
    <t>2057624070238X</t>
    <phoneticPr fontId="2" type="noConversion"/>
  </si>
  <si>
    <t>4107224502017X</t>
    <phoneticPr fontId="2" type="noConversion"/>
  </si>
  <si>
    <t>4107224502107X</t>
    <phoneticPr fontId="2" type="noConversion"/>
  </si>
  <si>
    <t>4107224502108X</t>
    <phoneticPr fontId="2" type="noConversion"/>
  </si>
  <si>
    <t>4107224201364X</t>
    <phoneticPr fontId="2" type="noConversion"/>
  </si>
  <si>
    <t>DSM2407-SK05</t>
    <phoneticPr fontId="2" type="noConversion"/>
  </si>
  <si>
    <t>4107224502251X</t>
    <phoneticPr fontId="2" type="noConversion"/>
  </si>
  <si>
    <t>2407P01TC</t>
    <phoneticPr fontId="2" type="noConversion"/>
  </si>
  <si>
    <t>2407P139TA</t>
    <phoneticPr fontId="2" type="noConversion"/>
  </si>
  <si>
    <t>2407P140TA</t>
    <phoneticPr fontId="2" type="noConversion"/>
  </si>
  <si>
    <t>2407P436TA</t>
    <phoneticPr fontId="2" type="noConversion"/>
  </si>
  <si>
    <t>2407P563TA</t>
    <phoneticPr fontId="2" type="noConversion"/>
  </si>
  <si>
    <t>4107224502284X</t>
    <phoneticPr fontId="2" type="noConversion"/>
  </si>
  <si>
    <t>06월 이월분</t>
    <phoneticPr fontId="2" type="noConversion"/>
  </si>
  <si>
    <t>07월 당월분</t>
    <phoneticPr fontId="3" type="noConversion"/>
  </si>
  <si>
    <t>08월 이월분</t>
    <phoneticPr fontId="3" type="noConversion"/>
  </si>
  <si>
    <t>DSM2407-01TA</t>
    <phoneticPr fontId="2" type="noConversion"/>
  </si>
  <si>
    <t>DSM2407-R01</t>
    <phoneticPr fontId="2" type="noConversion"/>
  </si>
  <si>
    <t>4107224502176X</t>
    <phoneticPr fontId="2" type="noConversion"/>
  </si>
  <si>
    <t>DSM2407-AT01</t>
    <phoneticPr fontId="2" type="noConversion"/>
  </si>
  <si>
    <t>DSM2407-AT02</t>
    <phoneticPr fontId="2" type="noConversion"/>
  </si>
  <si>
    <t>4107224502348X</t>
    <phoneticPr fontId="2" type="noConversion"/>
  </si>
  <si>
    <t>DSM2407-AT03</t>
    <phoneticPr fontId="2" type="noConversion"/>
  </si>
  <si>
    <t>DSM2407-AT04</t>
    <phoneticPr fontId="2" type="noConversion"/>
  </si>
  <si>
    <t>DSM2407-AT05</t>
    <phoneticPr fontId="2" type="noConversion"/>
  </si>
  <si>
    <t>DSM2407-PS01</t>
  </si>
  <si>
    <t>4107224201221X</t>
    <phoneticPr fontId="2" type="noConversion"/>
  </si>
  <si>
    <t>DSM2407-R02</t>
    <phoneticPr fontId="2" type="noConversion"/>
  </si>
  <si>
    <t>4107224502412X</t>
    <phoneticPr fontId="2" type="noConversion"/>
  </si>
  <si>
    <t>※ 2024년 8월 마감내역 ※</t>
    <phoneticPr fontId="3" type="noConversion"/>
  </si>
  <si>
    <t>ATLAS COPCO 제외 금액(해외매출)</t>
    <phoneticPr fontId="2" type="noConversion"/>
  </si>
  <si>
    <t>07월 이월분</t>
    <phoneticPr fontId="2" type="noConversion"/>
  </si>
  <si>
    <t>09월 이월분</t>
    <phoneticPr fontId="3" type="noConversion"/>
  </si>
  <si>
    <t>DSM2408-AL01</t>
  </si>
  <si>
    <t>4107224502383X</t>
    <phoneticPr fontId="2" type="noConversion"/>
  </si>
  <si>
    <t>DSM2408-AL02</t>
  </si>
  <si>
    <t>4107224502402X</t>
    <phoneticPr fontId="2" type="noConversion"/>
  </si>
  <si>
    <t>2408P01</t>
  </si>
  <si>
    <t>4107224502358X</t>
    <phoneticPr fontId="2" type="noConversion"/>
  </si>
  <si>
    <t>2408P02</t>
  </si>
  <si>
    <t>4107224502357X</t>
    <phoneticPr fontId="2" type="noConversion"/>
  </si>
  <si>
    <t>2408P03</t>
  </si>
  <si>
    <t>4107224502365X</t>
    <phoneticPr fontId="2" type="noConversion"/>
  </si>
  <si>
    <t>2408P04</t>
  </si>
  <si>
    <t>4107224502366X</t>
    <phoneticPr fontId="2" type="noConversion"/>
  </si>
  <si>
    <t xml:space="preserve">2408P05 </t>
  </si>
  <si>
    <t>4107224502367X</t>
    <phoneticPr fontId="2" type="noConversion"/>
  </si>
  <si>
    <t>DSM2408-EM01</t>
  </si>
  <si>
    <t>4107224502282X</t>
    <phoneticPr fontId="2" type="noConversion"/>
  </si>
  <si>
    <t>DSM2408-EM02</t>
  </si>
  <si>
    <t>4107224502283X</t>
    <phoneticPr fontId="2" type="noConversion"/>
  </si>
  <si>
    <t>DSM2408-EM03</t>
    <phoneticPr fontId="2" type="noConversion"/>
  </si>
  <si>
    <t>4107224502306X</t>
    <phoneticPr fontId="2" type="noConversion"/>
  </si>
  <si>
    <t>DSM2408-EM04</t>
  </si>
  <si>
    <t>4107224502307X</t>
    <phoneticPr fontId="2" type="noConversion"/>
  </si>
  <si>
    <t>DSM2408-EM05</t>
  </si>
  <si>
    <t>4107224502380X</t>
    <phoneticPr fontId="2" type="noConversion"/>
  </si>
  <si>
    <t>DSM2408-EM06</t>
  </si>
  <si>
    <t>DSM2408-EM07</t>
  </si>
  <si>
    <t>4107224502398X</t>
    <phoneticPr fontId="2" type="noConversion"/>
  </si>
  <si>
    <t>DSM2408-EM08</t>
    <phoneticPr fontId="2" type="noConversion"/>
  </si>
  <si>
    <t>4107224502401X</t>
    <phoneticPr fontId="2" type="noConversion"/>
  </si>
  <si>
    <t>DSM2408-SM01</t>
  </si>
  <si>
    <t>4112924080087X</t>
    <phoneticPr fontId="2" type="noConversion"/>
  </si>
  <si>
    <t>DSM2408-SM02</t>
    <phoneticPr fontId="2" type="noConversion"/>
  </si>
  <si>
    <t>08월 당월분</t>
    <phoneticPr fontId="3" type="noConversion"/>
  </si>
  <si>
    <t>2408P08</t>
    <phoneticPr fontId="2" type="noConversion"/>
  </si>
  <si>
    <t>DSM2408-01</t>
    <phoneticPr fontId="2" type="noConversion"/>
  </si>
  <si>
    <t>4107224502360X</t>
    <phoneticPr fontId="2" type="noConversion"/>
  </si>
  <si>
    <t>DSM2408-02</t>
    <phoneticPr fontId="2" type="noConversion"/>
  </si>
  <si>
    <t>4107224502361X</t>
    <phoneticPr fontId="2" type="noConversion"/>
  </si>
  <si>
    <t>4107224502441X</t>
    <phoneticPr fontId="2" type="noConversion"/>
  </si>
  <si>
    <t>DSM2408-MC01</t>
    <phoneticPr fontId="2" type="noConversion"/>
  </si>
  <si>
    <t>4107224502329X</t>
    <phoneticPr fontId="2" type="noConversion"/>
  </si>
  <si>
    <t>DSM2408-MC02</t>
    <phoneticPr fontId="2" type="noConversion"/>
  </si>
  <si>
    <t>4107224502448X</t>
    <phoneticPr fontId="2" type="noConversion"/>
  </si>
  <si>
    <t>DSM2408-AL03</t>
    <phoneticPr fontId="2" type="noConversion"/>
  </si>
  <si>
    <t>DSM2408-03</t>
    <phoneticPr fontId="2" type="noConversion"/>
  </si>
  <si>
    <t>4107224502415X</t>
    <phoneticPr fontId="2" type="noConversion"/>
  </si>
  <si>
    <t>DSM2408-04</t>
    <phoneticPr fontId="2" type="noConversion"/>
  </si>
  <si>
    <t>4107224502416X</t>
    <phoneticPr fontId="2" type="noConversion"/>
  </si>
  <si>
    <t>DSM2408-05</t>
    <phoneticPr fontId="2" type="noConversion"/>
  </si>
  <si>
    <t>4107224502417X</t>
    <phoneticPr fontId="2" type="noConversion"/>
  </si>
  <si>
    <t>DSM2408-06</t>
    <phoneticPr fontId="2" type="noConversion"/>
  </si>
  <si>
    <t>4107224502491X</t>
    <phoneticPr fontId="2" type="noConversion"/>
  </si>
  <si>
    <t>DSM2408-07</t>
    <phoneticPr fontId="2" type="noConversion"/>
  </si>
  <si>
    <t>4107224502490X</t>
    <phoneticPr fontId="2" type="noConversion"/>
  </si>
  <si>
    <t>4107224502492X</t>
    <phoneticPr fontId="2" type="noConversion"/>
  </si>
  <si>
    <t>2408P09</t>
    <phoneticPr fontId="2" type="noConversion"/>
  </si>
  <si>
    <t>4107224502464X</t>
    <phoneticPr fontId="2" type="noConversion"/>
  </si>
  <si>
    <t>2408P10</t>
    <phoneticPr fontId="2" type="noConversion"/>
  </si>
  <si>
    <t>4107224502480X</t>
    <phoneticPr fontId="2" type="noConversion"/>
  </si>
  <si>
    <t>2408P11</t>
    <phoneticPr fontId="2" type="noConversion"/>
  </si>
  <si>
    <t>4107224502481X</t>
    <phoneticPr fontId="2" type="noConversion"/>
  </si>
  <si>
    <t>2408P12</t>
    <phoneticPr fontId="2" type="noConversion"/>
  </si>
  <si>
    <t>4112924080148X</t>
    <phoneticPr fontId="2" type="noConversion"/>
  </si>
  <si>
    <t>DSM2408-EM09</t>
    <phoneticPr fontId="2" type="noConversion"/>
  </si>
  <si>
    <t>4107224502502X</t>
    <phoneticPr fontId="2" type="noConversion"/>
  </si>
  <si>
    <t>DSM2408-EM10</t>
    <phoneticPr fontId="2" type="noConversion"/>
  </si>
  <si>
    <t>4107224502503X</t>
    <phoneticPr fontId="2" type="noConversion"/>
  </si>
  <si>
    <t>DSM2408-SK01</t>
    <phoneticPr fontId="2" type="noConversion"/>
  </si>
  <si>
    <t>4107224502351X</t>
    <phoneticPr fontId="2" type="noConversion"/>
  </si>
  <si>
    <t>DSM2408-SK02</t>
    <phoneticPr fontId="2" type="noConversion"/>
  </si>
  <si>
    <t>DSM2408-SK03</t>
    <phoneticPr fontId="2" type="noConversion"/>
  </si>
  <si>
    <t>4107224502410X</t>
    <phoneticPr fontId="2" type="noConversion"/>
  </si>
  <si>
    <t>4107224502484X</t>
    <phoneticPr fontId="2" type="noConversion"/>
  </si>
  <si>
    <t>4107224502517X</t>
    <phoneticPr fontId="2" type="noConversion"/>
  </si>
  <si>
    <t>DSM2408-AM01</t>
    <phoneticPr fontId="2" type="noConversion"/>
  </si>
  <si>
    <t>4107224502506X</t>
    <phoneticPr fontId="2" type="noConversion"/>
  </si>
  <si>
    <t>DSM2408-R01</t>
    <phoneticPr fontId="2" type="noConversion"/>
  </si>
  <si>
    <t>DSM2408-R02</t>
    <phoneticPr fontId="2" type="noConversion"/>
  </si>
  <si>
    <t>DSM2408-AL04</t>
    <phoneticPr fontId="2" type="noConversion"/>
  </si>
  <si>
    <t>2057624080614X</t>
    <phoneticPr fontId="2" type="noConversion"/>
  </si>
  <si>
    <t>4107224502596X</t>
    <phoneticPr fontId="2" type="noConversion"/>
  </si>
  <si>
    <t>DSM2408-08</t>
    <phoneticPr fontId="2" type="noConversion"/>
  </si>
  <si>
    <t>4107224502537X</t>
    <phoneticPr fontId="2" type="noConversion"/>
  </si>
  <si>
    <t>4107224502134X</t>
    <phoneticPr fontId="2" type="noConversion"/>
  </si>
  <si>
    <t>DSM2408-AL01TA</t>
    <phoneticPr fontId="2" type="noConversion"/>
  </si>
  <si>
    <t>DSM2408-AL01TB</t>
    <phoneticPr fontId="2" type="noConversion"/>
  </si>
  <si>
    <t>DSM2408-AT01</t>
    <phoneticPr fontId="2" type="noConversion"/>
  </si>
  <si>
    <t>DSM2408-AT02</t>
    <phoneticPr fontId="2" type="noConversion"/>
  </si>
  <si>
    <t>DSM2408-SK04</t>
    <phoneticPr fontId="2" type="noConversion"/>
  </si>
  <si>
    <t>2023 ~ 소재각인, 기포, 소재떨어짐 불량 13EA</t>
    <phoneticPr fontId="2" type="noConversion"/>
  </si>
  <si>
    <t>4107224502538X</t>
    <phoneticPr fontId="2" type="noConversion"/>
  </si>
  <si>
    <t>※ 2024년 9월 마감내역 ※</t>
    <phoneticPr fontId="3" type="noConversion"/>
  </si>
  <si>
    <t>4107224502684X</t>
    <phoneticPr fontId="2" type="noConversion"/>
  </si>
  <si>
    <t>4107224502718X</t>
    <phoneticPr fontId="2" type="noConversion"/>
  </si>
  <si>
    <t>DSM2409-AL01</t>
  </si>
  <si>
    <t>4107224502683X</t>
    <phoneticPr fontId="2" type="noConversion"/>
  </si>
  <si>
    <t>DSM2409-AM01</t>
    <phoneticPr fontId="2" type="noConversion"/>
  </si>
  <si>
    <t>2057624090227X</t>
    <phoneticPr fontId="2" type="noConversion"/>
  </si>
  <si>
    <t>DSM2409-SE01</t>
    <phoneticPr fontId="2" type="noConversion"/>
  </si>
  <si>
    <t>4107224502681X</t>
    <phoneticPr fontId="2" type="noConversion"/>
  </si>
  <si>
    <t>4107224201692X</t>
    <phoneticPr fontId="2" type="noConversion"/>
  </si>
  <si>
    <t>DSM2409-EM01</t>
    <phoneticPr fontId="2" type="noConversion"/>
  </si>
  <si>
    <t>DSM2409-EM02</t>
    <phoneticPr fontId="2" type="noConversion"/>
  </si>
  <si>
    <t>4107224201681X</t>
    <phoneticPr fontId="2" type="noConversion"/>
  </si>
  <si>
    <t>DSM2409-EM03</t>
    <phoneticPr fontId="2" type="noConversion"/>
  </si>
  <si>
    <t>4107224502588X</t>
    <phoneticPr fontId="2" type="noConversion"/>
  </si>
  <si>
    <t>DSM2409-EM04</t>
    <phoneticPr fontId="2" type="noConversion"/>
  </si>
  <si>
    <t>4107224502559X</t>
    <phoneticPr fontId="2" type="noConversion"/>
  </si>
  <si>
    <t>DSM2409-EM05</t>
    <phoneticPr fontId="2" type="noConversion"/>
  </si>
  <si>
    <t>4107224201767X</t>
    <phoneticPr fontId="2" type="noConversion"/>
  </si>
  <si>
    <t>DSM2409-EM06</t>
    <phoneticPr fontId="2" type="noConversion"/>
  </si>
  <si>
    <t>4107224502605X</t>
    <phoneticPr fontId="2" type="noConversion"/>
  </si>
  <si>
    <t>DSM2409-EM07</t>
    <phoneticPr fontId="2" type="noConversion"/>
  </si>
  <si>
    <t>4107224502606X</t>
    <phoneticPr fontId="2" type="noConversion"/>
  </si>
  <si>
    <t>DSM2409-MC01</t>
  </si>
  <si>
    <t>4107224502567X</t>
    <phoneticPr fontId="2" type="noConversion"/>
  </si>
  <si>
    <t>DSM2409-MC02</t>
    <phoneticPr fontId="2" type="noConversion"/>
  </si>
  <si>
    <t>4107224502688X</t>
    <phoneticPr fontId="2" type="noConversion"/>
  </si>
  <si>
    <t>2409P01</t>
    <phoneticPr fontId="2" type="noConversion"/>
  </si>
  <si>
    <t>4107224502543X</t>
    <phoneticPr fontId="2" type="noConversion"/>
  </si>
  <si>
    <t>2409P02</t>
    <phoneticPr fontId="2" type="noConversion"/>
  </si>
  <si>
    <t>4107224502545X</t>
    <phoneticPr fontId="2" type="noConversion"/>
  </si>
  <si>
    <t>2409P03</t>
    <phoneticPr fontId="2" type="noConversion"/>
  </si>
  <si>
    <t>4107224502544X</t>
    <phoneticPr fontId="2" type="noConversion"/>
  </si>
  <si>
    <t>2409P04</t>
    <phoneticPr fontId="2" type="noConversion"/>
  </si>
  <si>
    <t>4107224502701X</t>
    <phoneticPr fontId="2" type="noConversion"/>
  </si>
  <si>
    <t>2409P05</t>
    <phoneticPr fontId="2" type="noConversion"/>
  </si>
  <si>
    <t>4107224502641X</t>
    <phoneticPr fontId="2" type="noConversion"/>
  </si>
  <si>
    <t>2409P06</t>
    <phoneticPr fontId="2" type="noConversion"/>
  </si>
  <si>
    <t>4107224502700X</t>
    <phoneticPr fontId="2" type="noConversion"/>
  </si>
  <si>
    <t>DSM2409-SM01</t>
    <phoneticPr fontId="2" type="noConversion"/>
  </si>
  <si>
    <t>4112924090033X</t>
    <phoneticPr fontId="2" type="noConversion"/>
  </si>
  <si>
    <t>DSM2409-AL02</t>
    <phoneticPr fontId="2" type="noConversion"/>
  </si>
  <si>
    <t>4107224502741X</t>
    <phoneticPr fontId="2" type="noConversion"/>
  </si>
  <si>
    <t>DSM2409-01</t>
    <phoneticPr fontId="2" type="noConversion"/>
  </si>
  <si>
    <t>DSM2409-02</t>
    <phoneticPr fontId="2" type="noConversion"/>
  </si>
  <si>
    <t>4107224502720X</t>
    <phoneticPr fontId="2" type="noConversion"/>
  </si>
  <si>
    <t>DSM2409-EM10</t>
    <phoneticPr fontId="2" type="noConversion"/>
  </si>
  <si>
    <t>4107224502734X</t>
    <phoneticPr fontId="2" type="noConversion"/>
  </si>
  <si>
    <t>DSM2409-AM02</t>
    <phoneticPr fontId="2" type="noConversion"/>
  </si>
  <si>
    <t>DSM2409-SK01</t>
    <phoneticPr fontId="2" type="noConversion"/>
  </si>
  <si>
    <t>4107224201780X</t>
    <phoneticPr fontId="2" type="noConversion"/>
  </si>
  <si>
    <t>DSM2409-SK02</t>
    <phoneticPr fontId="2" type="noConversion"/>
  </si>
  <si>
    <t>4107224502686X</t>
    <phoneticPr fontId="2" type="noConversion"/>
  </si>
  <si>
    <t>DSM2409-SK02-1</t>
    <phoneticPr fontId="2" type="noConversion"/>
  </si>
  <si>
    <t>4107224502687X</t>
    <phoneticPr fontId="2" type="noConversion"/>
  </si>
  <si>
    <t>DSM2409-SK03</t>
    <phoneticPr fontId="2" type="noConversion"/>
  </si>
  <si>
    <t>4107224502714X</t>
    <phoneticPr fontId="2" type="noConversion"/>
  </si>
  <si>
    <t>DSM2409-SK04</t>
    <phoneticPr fontId="2" type="noConversion"/>
  </si>
  <si>
    <t>4107224502775X</t>
    <phoneticPr fontId="2" type="noConversion"/>
  </si>
  <si>
    <t>DSM2409-AL03</t>
    <phoneticPr fontId="2" type="noConversion"/>
  </si>
  <si>
    <t>4107224502790X</t>
    <phoneticPr fontId="2" type="noConversion"/>
  </si>
  <si>
    <t>DSM2409-MC03</t>
    <phoneticPr fontId="2" type="noConversion"/>
  </si>
  <si>
    <t>2410P01</t>
    <phoneticPr fontId="2" type="noConversion"/>
  </si>
  <si>
    <t>4107224502778X</t>
    <phoneticPr fontId="2" type="noConversion"/>
  </si>
  <si>
    <t>2410P02</t>
    <phoneticPr fontId="2" type="noConversion"/>
  </si>
  <si>
    <t>2410P03</t>
    <phoneticPr fontId="2" type="noConversion"/>
  </si>
  <si>
    <t>4107224502779X</t>
    <phoneticPr fontId="2" type="noConversion"/>
  </si>
  <si>
    <t>4107224502780X</t>
    <phoneticPr fontId="2" type="noConversion"/>
  </si>
  <si>
    <t>DSM2409-R01</t>
    <phoneticPr fontId="2" type="noConversion"/>
  </si>
  <si>
    <t>DSM2409-R02</t>
    <phoneticPr fontId="2" type="noConversion"/>
  </si>
  <si>
    <t>2409SCP</t>
    <phoneticPr fontId="2" type="noConversion"/>
  </si>
  <si>
    <t>2057624090628X</t>
    <phoneticPr fontId="2" type="noConversion"/>
  </si>
  <si>
    <t>DSM2409-EM09는 이전에 제가 아랍으로 물건을 잘못 더 보내서 실제 출하는 안했고 인보이스만 만들었어요!</t>
    <phoneticPr fontId="2" type="noConversion"/>
  </si>
  <si>
    <t>4107224502815X</t>
    <phoneticPr fontId="2" type="noConversion"/>
  </si>
  <si>
    <t>DSM2409-SK05</t>
    <phoneticPr fontId="2" type="noConversion"/>
  </si>
  <si>
    <t>4107224502788X</t>
    <phoneticPr fontId="2" type="noConversion"/>
  </si>
  <si>
    <t>08월 이월분</t>
    <phoneticPr fontId="2" type="noConversion"/>
  </si>
  <si>
    <t>09월 당월분</t>
    <phoneticPr fontId="3" type="noConversion"/>
  </si>
  <si>
    <t>4107224502799X</t>
    <phoneticPr fontId="2" type="noConversion"/>
  </si>
  <si>
    <t>DSM2409-EM12</t>
    <phoneticPr fontId="2" type="noConversion"/>
  </si>
  <si>
    <t xml:space="preserve">DSMABS3396-SK06 </t>
    <phoneticPr fontId="2" type="noConversion"/>
  </si>
  <si>
    <t>DSMABS3397-SK07</t>
    <phoneticPr fontId="2" type="noConversion"/>
  </si>
  <si>
    <t>DSMABS2643-SK068</t>
    <phoneticPr fontId="2" type="noConversion"/>
  </si>
  <si>
    <t>DSMABS2632-SK09</t>
    <phoneticPr fontId="2" type="noConversion"/>
  </si>
  <si>
    <t>4107224502914X</t>
    <phoneticPr fontId="2" type="noConversion"/>
  </si>
  <si>
    <t>DSM2410-AL01</t>
    <phoneticPr fontId="2" type="noConversion"/>
  </si>
  <si>
    <t>DSM2410-AL02</t>
    <phoneticPr fontId="2" type="noConversion"/>
  </si>
  <si>
    <t>DSM2410-AL03</t>
    <phoneticPr fontId="2" type="noConversion"/>
  </si>
  <si>
    <t>4107224502871X</t>
    <phoneticPr fontId="2" type="noConversion"/>
  </si>
  <si>
    <t>4107224202101X</t>
    <phoneticPr fontId="2" type="noConversion"/>
  </si>
  <si>
    <t>4107224503049X</t>
    <phoneticPr fontId="2" type="noConversion"/>
  </si>
  <si>
    <t>※ 2024년 10월 마감내역 ※</t>
    <phoneticPr fontId="3" type="noConversion"/>
  </si>
  <si>
    <t>2410P04</t>
    <phoneticPr fontId="2" type="noConversion"/>
  </si>
  <si>
    <t>2410P05</t>
    <phoneticPr fontId="2" type="noConversion"/>
  </si>
  <si>
    <t>2410P06</t>
    <phoneticPr fontId="2" type="noConversion"/>
  </si>
  <si>
    <t>4107224502867X</t>
    <phoneticPr fontId="2" type="noConversion"/>
  </si>
  <si>
    <t>4107224502920X</t>
    <phoneticPr fontId="2" type="noConversion"/>
  </si>
  <si>
    <t>2410P07</t>
    <phoneticPr fontId="2" type="noConversion"/>
  </si>
  <si>
    <t>2410P08</t>
    <phoneticPr fontId="2" type="noConversion"/>
  </si>
  <si>
    <t>4107224502874X</t>
    <phoneticPr fontId="2" type="noConversion"/>
  </si>
  <si>
    <t>4107224502969X</t>
    <phoneticPr fontId="2" type="noConversion"/>
  </si>
  <si>
    <t>4107224503030X</t>
    <phoneticPr fontId="2" type="noConversion"/>
  </si>
  <si>
    <t>DSM2410-02</t>
    <phoneticPr fontId="2" type="noConversion"/>
  </si>
  <si>
    <t>DSM2410-01</t>
    <phoneticPr fontId="2" type="noConversion"/>
  </si>
  <si>
    <t>DSM2410-03</t>
    <phoneticPr fontId="2" type="noConversion"/>
  </si>
  <si>
    <t>DSM2410-04</t>
    <phoneticPr fontId="2" type="noConversion"/>
  </si>
  <si>
    <t>4107224502963X</t>
    <phoneticPr fontId="2" type="noConversion"/>
  </si>
  <si>
    <t>4107224503013X</t>
    <phoneticPr fontId="2" type="noConversion"/>
  </si>
  <si>
    <t>4107224503014X</t>
    <phoneticPr fontId="2" type="noConversion"/>
  </si>
  <si>
    <t>DSM2410-PS01</t>
    <phoneticPr fontId="2" type="noConversion"/>
  </si>
  <si>
    <t>4107224502868X</t>
    <phoneticPr fontId="2" type="noConversion"/>
  </si>
  <si>
    <t>DSM2410-MC01</t>
    <phoneticPr fontId="2" type="noConversion"/>
  </si>
  <si>
    <t>4107224502939X</t>
    <phoneticPr fontId="2" type="noConversion"/>
  </si>
  <si>
    <t>Mercury China</t>
    <phoneticPr fontId="3" type="noConversion"/>
  </si>
  <si>
    <t>DSM2410-R01</t>
    <phoneticPr fontId="2" type="noConversion"/>
  </si>
  <si>
    <t>DSM2410-R02</t>
    <phoneticPr fontId="2" type="noConversion"/>
  </si>
  <si>
    <t>DSM2410-SM01</t>
    <phoneticPr fontId="2" type="noConversion"/>
  </si>
  <si>
    <t>4112924100067X</t>
    <phoneticPr fontId="2" type="noConversion"/>
  </si>
  <si>
    <t>DSM2410-SM02</t>
    <phoneticPr fontId="2" type="noConversion"/>
  </si>
  <si>
    <t>4112924100268X</t>
    <phoneticPr fontId="2" type="noConversion"/>
  </si>
  <si>
    <t>DSM2410-EM01</t>
    <phoneticPr fontId="2" type="noConversion"/>
  </si>
  <si>
    <t>4107224502786X</t>
    <phoneticPr fontId="2" type="noConversion"/>
  </si>
  <si>
    <t>DSM2410-EM02</t>
    <phoneticPr fontId="2" type="noConversion"/>
  </si>
  <si>
    <t>4107224502801X</t>
    <phoneticPr fontId="2" type="noConversion"/>
  </si>
  <si>
    <t>DSM2410-EM03</t>
    <phoneticPr fontId="2" type="noConversion"/>
  </si>
  <si>
    <t>4107224502877X</t>
    <phoneticPr fontId="2" type="noConversion"/>
  </si>
  <si>
    <t>DSM2410-EM04</t>
    <phoneticPr fontId="2" type="noConversion"/>
  </si>
  <si>
    <t>4107224502853X</t>
    <phoneticPr fontId="2" type="noConversion"/>
  </si>
  <si>
    <t>DSM2410-EM06</t>
    <phoneticPr fontId="2" type="noConversion"/>
  </si>
  <si>
    <t>4107224502921X</t>
    <phoneticPr fontId="2" type="noConversion"/>
  </si>
  <si>
    <t>DSM2410-EM07</t>
    <phoneticPr fontId="2" type="noConversion"/>
  </si>
  <si>
    <t>4107224502940X</t>
    <phoneticPr fontId="2" type="noConversion"/>
  </si>
  <si>
    <t>DSM2410-EM08</t>
    <phoneticPr fontId="2" type="noConversion"/>
  </si>
  <si>
    <t>4107224503005X</t>
    <phoneticPr fontId="2" type="noConversion"/>
  </si>
  <si>
    <t>DSM2410-EM09</t>
    <phoneticPr fontId="2" type="noConversion"/>
  </si>
  <si>
    <t>4107224502975X</t>
    <phoneticPr fontId="2" type="noConversion"/>
  </si>
  <si>
    <t>DSM2410-EM10</t>
    <phoneticPr fontId="2" type="noConversion"/>
  </si>
  <si>
    <t>4107224503006X</t>
    <phoneticPr fontId="2" type="noConversion"/>
  </si>
  <si>
    <t>DSM2410-AM01</t>
    <phoneticPr fontId="2" type="noConversion"/>
  </si>
  <si>
    <t>2057624100525X</t>
    <phoneticPr fontId="2" type="noConversion"/>
  </si>
  <si>
    <t>DSM2410-AM02</t>
    <phoneticPr fontId="2" type="noConversion"/>
  </si>
  <si>
    <t>DSM2410-SK01</t>
    <phoneticPr fontId="2" type="noConversion"/>
  </si>
  <si>
    <t>4107224502828X</t>
    <phoneticPr fontId="2" type="noConversion"/>
  </si>
  <si>
    <t>DSM2410-SK02</t>
    <phoneticPr fontId="2" type="noConversion"/>
  </si>
  <si>
    <t>4107224502909X</t>
    <phoneticPr fontId="2" type="noConversion"/>
  </si>
  <si>
    <t>DSM2410-SK03</t>
    <phoneticPr fontId="2" type="noConversion"/>
  </si>
  <si>
    <t>4107224502968X</t>
    <phoneticPr fontId="2" type="noConversion"/>
  </si>
  <si>
    <t>DSM2410-SK04</t>
    <phoneticPr fontId="2" type="noConversion"/>
  </si>
  <si>
    <t>4107224503029X</t>
    <phoneticPr fontId="2" type="noConversion"/>
  </si>
  <si>
    <t>DSM2410-SK05</t>
    <phoneticPr fontId="2" type="noConversion"/>
  </si>
  <si>
    <t>4107224503100X</t>
    <phoneticPr fontId="2" type="noConversion"/>
  </si>
  <si>
    <t>09월 이월분</t>
    <phoneticPr fontId="2" type="noConversion"/>
  </si>
  <si>
    <t>4107224502991X</t>
    <phoneticPr fontId="2" type="noConversion"/>
  </si>
  <si>
    <t>4107224503054X</t>
    <phoneticPr fontId="2" type="noConversion"/>
  </si>
  <si>
    <t>DSM2410-AT01</t>
    <phoneticPr fontId="2" type="noConversion"/>
  </si>
  <si>
    <t>DSM2410-AT02</t>
    <phoneticPr fontId="2" type="noConversion"/>
  </si>
  <si>
    <t>DSM2410-AT03</t>
    <phoneticPr fontId="2" type="noConversion"/>
  </si>
  <si>
    <t>DSM2410-AT04</t>
    <phoneticPr fontId="2" type="noConversion"/>
  </si>
  <si>
    <t>DSM2410-AT05</t>
    <phoneticPr fontId="2" type="noConversion"/>
  </si>
  <si>
    <t>2057624110031X</t>
    <phoneticPr fontId="2" type="noConversion"/>
  </si>
  <si>
    <t>DSM2409-Scp</t>
    <phoneticPr fontId="2" type="noConversion"/>
  </si>
  <si>
    <t>DSM2410-AL01TC</t>
    <phoneticPr fontId="2" type="noConversion"/>
  </si>
  <si>
    <t>※ 2024년 11월 마감내역 ※</t>
    <phoneticPr fontId="3" type="noConversion"/>
  </si>
  <si>
    <t>DSM2411-AL01</t>
    <phoneticPr fontId="2" type="noConversion"/>
  </si>
  <si>
    <t>DSM2411-AL02</t>
    <phoneticPr fontId="2" type="noConversion"/>
  </si>
  <si>
    <t>DSM2411-AL03</t>
    <phoneticPr fontId="2" type="noConversion"/>
  </si>
  <si>
    <t>2411P01</t>
    <phoneticPr fontId="2" type="noConversion"/>
  </si>
  <si>
    <t>4107224503177X</t>
    <phoneticPr fontId="2" type="noConversion"/>
  </si>
  <si>
    <t>4107224503273X</t>
    <phoneticPr fontId="2" type="noConversion"/>
  </si>
  <si>
    <t>4107224503375X</t>
    <phoneticPr fontId="2" type="noConversion"/>
  </si>
  <si>
    <t>4107224503125X</t>
    <phoneticPr fontId="2" type="noConversion"/>
  </si>
  <si>
    <t>2411P02</t>
    <phoneticPr fontId="2" type="noConversion"/>
  </si>
  <si>
    <t>4107224503257X</t>
    <phoneticPr fontId="2" type="noConversion"/>
  </si>
  <si>
    <t>2411P03</t>
    <phoneticPr fontId="2" type="noConversion"/>
  </si>
  <si>
    <t>4107224503340X</t>
    <phoneticPr fontId="2" type="noConversion"/>
  </si>
  <si>
    <t>2411P04</t>
    <phoneticPr fontId="2" type="noConversion"/>
  </si>
  <si>
    <t>4107224503341X</t>
    <phoneticPr fontId="2" type="noConversion"/>
  </si>
  <si>
    <t>DSM2411-01</t>
    <phoneticPr fontId="2" type="noConversion"/>
  </si>
  <si>
    <t>4107224202311X</t>
    <phoneticPr fontId="2" type="noConversion"/>
  </si>
  <si>
    <t>DSM2411-02</t>
    <phoneticPr fontId="2" type="noConversion"/>
  </si>
  <si>
    <t>4107224503235X</t>
    <phoneticPr fontId="2" type="noConversion"/>
  </si>
  <si>
    <t>DSM2411-03</t>
    <phoneticPr fontId="2" type="noConversion"/>
  </si>
  <si>
    <t>4107224503236X</t>
    <phoneticPr fontId="2" type="noConversion"/>
  </si>
  <si>
    <t>DSM2411-04</t>
    <phoneticPr fontId="2" type="noConversion"/>
  </si>
  <si>
    <t>4107224503210X</t>
    <phoneticPr fontId="2" type="noConversion"/>
  </si>
  <si>
    <t>DSM2411-05</t>
    <phoneticPr fontId="2" type="noConversion"/>
  </si>
  <si>
    <t>4107224503313X</t>
    <phoneticPr fontId="2" type="noConversion"/>
  </si>
  <si>
    <t>DSM2411-06</t>
    <phoneticPr fontId="2" type="noConversion"/>
  </si>
  <si>
    <t>4107224503211X</t>
    <phoneticPr fontId="2" type="noConversion"/>
  </si>
  <si>
    <t>DSM2411-07</t>
    <phoneticPr fontId="2" type="noConversion"/>
  </si>
  <si>
    <t>4107224503237X</t>
    <phoneticPr fontId="2" type="noConversion"/>
  </si>
  <si>
    <t>DSM2411-08</t>
    <phoneticPr fontId="2" type="noConversion"/>
  </si>
  <si>
    <t>4107224202394X</t>
    <phoneticPr fontId="2" type="noConversion"/>
  </si>
  <si>
    <t>DSM2411-09</t>
    <phoneticPr fontId="2" type="noConversion"/>
  </si>
  <si>
    <t>4107224503314X</t>
    <phoneticPr fontId="2" type="noConversion"/>
  </si>
  <si>
    <t>DSM2411-10</t>
    <phoneticPr fontId="2" type="noConversion"/>
  </si>
  <si>
    <t>4107224503379X</t>
    <phoneticPr fontId="2" type="noConversion"/>
  </si>
  <si>
    <t>DSM2411-11</t>
    <phoneticPr fontId="2" type="noConversion"/>
  </si>
  <si>
    <t>DSM2411-SM01</t>
    <phoneticPr fontId="2" type="noConversion"/>
  </si>
  <si>
    <t>4112924110204X</t>
    <phoneticPr fontId="2" type="noConversion"/>
  </si>
  <si>
    <t>DSM2411-EM01</t>
    <phoneticPr fontId="2" type="noConversion"/>
  </si>
  <si>
    <t>4107224503132X</t>
    <phoneticPr fontId="2" type="noConversion"/>
  </si>
  <si>
    <t>DSM2411-EM02</t>
    <phoneticPr fontId="2" type="noConversion"/>
  </si>
  <si>
    <t>4107224503133X</t>
    <phoneticPr fontId="2" type="noConversion"/>
  </si>
  <si>
    <t>DSM2411-EM03</t>
    <phoneticPr fontId="2" type="noConversion"/>
  </si>
  <si>
    <t>4107224503179X</t>
    <phoneticPr fontId="2" type="noConversion"/>
  </si>
  <si>
    <t>DSM2411-EM04</t>
    <phoneticPr fontId="2" type="noConversion"/>
  </si>
  <si>
    <t>4107224202395X</t>
    <phoneticPr fontId="2" type="noConversion"/>
  </si>
  <si>
    <t>DSM2411-EM05</t>
    <phoneticPr fontId="2" type="noConversion"/>
  </si>
  <si>
    <t>4107224503194X</t>
    <phoneticPr fontId="2" type="noConversion"/>
  </si>
  <si>
    <t>DSM2411-EM06</t>
    <phoneticPr fontId="2" type="noConversion"/>
  </si>
  <si>
    <t>4107224503215X</t>
    <phoneticPr fontId="2" type="noConversion"/>
  </si>
  <si>
    <t>DSM2411-EM07</t>
    <phoneticPr fontId="2" type="noConversion"/>
  </si>
  <si>
    <t>4107224503240X</t>
    <phoneticPr fontId="2" type="noConversion"/>
  </si>
  <si>
    <t>DSM2411-EM08</t>
    <phoneticPr fontId="2" type="noConversion"/>
  </si>
  <si>
    <t>4107224503218X</t>
    <phoneticPr fontId="2" type="noConversion"/>
  </si>
  <si>
    <t>DSM2411-EM09</t>
    <phoneticPr fontId="2" type="noConversion"/>
  </si>
  <si>
    <t>4107224503343X</t>
    <phoneticPr fontId="2" type="noConversion"/>
  </si>
  <si>
    <t>DSM2411-EM10</t>
    <phoneticPr fontId="2" type="noConversion"/>
  </si>
  <si>
    <t>4107224503344X</t>
    <phoneticPr fontId="2" type="noConversion"/>
  </si>
  <si>
    <t>DSM2411-EM11</t>
    <phoneticPr fontId="2" type="noConversion"/>
  </si>
  <si>
    <t>4107224202492X</t>
    <phoneticPr fontId="2" type="noConversion"/>
  </si>
  <si>
    <t>DSM2411-AM01</t>
    <phoneticPr fontId="2" type="noConversion"/>
  </si>
  <si>
    <t>2057624110207X</t>
    <phoneticPr fontId="2" type="noConversion"/>
  </si>
  <si>
    <t>DSM2411-SK01</t>
    <phoneticPr fontId="2" type="noConversion"/>
  </si>
  <si>
    <t>4107224202333X</t>
    <phoneticPr fontId="2" type="noConversion"/>
  </si>
  <si>
    <t>DSM2411-SK02</t>
    <phoneticPr fontId="2" type="noConversion"/>
  </si>
  <si>
    <t>4107224503251X</t>
    <phoneticPr fontId="2" type="noConversion"/>
  </si>
  <si>
    <t>DSM2411-SK03</t>
    <phoneticPr fontId="2" type="noConversion"/>
  </si>
  <si>
    <t>4107224503356X</t>
    <phoneticPr fontId="2" type="noConversion"/>
  </si>
  <si>
    <t>DSM2411-SK04</t>
    <phoneticPr fontId="2" type="noConversion"/>
  </si>
  <si>
    <t>4107224503393X</t>
    <phoneticPr fontId="2" type="noConversion"/>
  </si>
  <si>
    <t>10월 이월분</t>
    <phoneticPr fontId="2" type="noConversion"/>
  </si>
  <si>
    <t>4107224503339X</t>
    <phoneticPr fontId="2" type="noConversion"/>
  </si>
  <si>
    <t>4107224503246X</t>
    <phoneticPr fontId="2" type="noConversion"/>
  </si>
  <si>
    <t>2411P05</t>
    <phoneticPr fontId="2" type="noConversion"/>
  </si>
  <si>
    <t>4107224503342X</t>
    <phoneticPr fontId="2" type="noConversion"/>
  </si>
  <si>
    <t>DSM2411-MC01</t>
    <phoneticPr fontId="2" type="noConversion"/>
  </si>
  <si>
    <t>4107224202310X</t>
    <phoneticPr fontId="2" type="noConversion"/>
  </si>
  <si>
    <t>DSM2411-MC02</t>
    <phoneticPr fontId="2" type="noConversion"/>
  </si>
  <si>
    <t>DSM2411-R01</t>
    <phoneticPr fontId="2" type="noConversion"/>
  </si>
  <si>
    <t>DSM2411-R02</t>
    <phoneticPr fontId="2" type="noConversion"/>
  </si>
  <si>
    <t>BL 받아야함</t>
    <phoneticPr fontId="2" type="noConversion"/>
  </si>
  <si>
    <t>Polaris</t>
    <phoneticPr fontId="2" type="noConversion"/>
  </si>
  <si>
    <t>DSM ABS CMHI 282-02-SK05</t>
    <phoneticPr fontId="2" type="noConversion"/>
  </si>
  <si>
    <t>DSM ABS CMHI 2552-SK05</t>
    <phoneticPr fontId="2" type="noConversion"/>
  </si>
  <si>
    <t>DSM ABS CMHI 2572-SK05</t>
    <phoneticPr fontId="2" type="noConversion"/>
  </si>
  <si>
    <t>DSM CCS G175K-3-SK05</t>
    <phoneticPr fontId="2" type="noConversion"/>
  </si>
  <si>
    <t>DSM CCS H1909A-SK05</t>
    <phoneticPr fontId="2" type="noConversion"/>
  </si>
  <si>
    <t>DSM ABS CMHI 282-01-SK05</t>
    <phoneticPr fontId="2" type="noConversion"/>
  </si>
  <si>
    <t>2407P594TA</t>
    <phoneticPr fontId="2" type="noConversion"/>
  </si>
  <si>
    <t>2407P563TB</t>
    <phoneticPr fontId="2" type="noConversion"/>
  </si>
  <si>
    <t>DSM2411-AT01</t>
    <phoneticPr fontId="2" type="noConversion"/>
  </si>
  <si>
    <t>DSM2411-AT02</t>
    <phoneticPr fontId="2" type="noConversion"/>
  </si>
  <si>
    <t>DSM2411-AT03</t>
    <phoneticPr fontId="2" type="noConversion"/>
  </si>
  <si>
    <t>사  원</t>
    <phoneticPr fontId="2" type="noConversion"/>
  </si>
  <si>
    <t>선  임</t>
    <phoneticPr fontId="2" type="noConversion"/>
  </si>
  <si>
    <t>실  장</t>
    <phoneticPr fontId="2" type="noConversion"/>
  </si>
  <si>
    <t>4107224503454X</t>
    <phoneticPr fontId="2" type="noConversion"/>
  </si>
  <si>
    <t>사  원</t>
    <phoneticPr fontId="2" type="noConversion"/>
  </si>
  <si>
    <t>선 임</t>
    <phoneticPr fontId="2" type="noConversion"/>
  </si>
  <si>
    <t>실 장</t>
    <phoneticPr fontId="2" type="noConversion"/>
  </si>
  <si>
    <t>결
재</t>
    <phoneticPr fontId="2" type="noConversion"/>
  </si>
  <si>
    <t>DSM2411-AC01</t>
    <phoneticPr fontId="2" type="noConversion"/>
  </si>
  <si>
    <t>4107224202511X</t>
    <phoneticPr fontId="2" type="noConversion"/>
  </si>
  <si>
    <t>DSM2411-AM02</t>
    <phoneticPr fontId="2" type="noConversion"/>
  </si>
  <si>
    <t>2057624110367X</t>
    <phoneticPr fontId="2" type="noConversion"/>
  </si>
  <si>
    <t>DSM2410-EM05</t>
    <phoneticPr fontId="2" type="noConversion"/>
  </si>
  <si>
    <t>4107224502887X</t>
    <phoneticPr fontId="2" type="noConversion"/>
  </si>
  <si>
    <t>2412P01</t>
    <phoneticPr fontId="2" type="noConversion"/>
  </si>
  <si>
    <t>4107224503495X</t>
    <phoneticPr fontId="2" type="noConversion"/>
  </si>
  <si>
    <t>2412P02</t>
    <phoneticPr fontId="2" type="noConversion"/>
  </si>
  <si>
    <t>4107224202734X</t>
    <phoneticPr fontId="2" type="noConversion"/>
  </si>
  <si>
    <t>2412P03</t>
    <phoneticPr fontId="2" type="noConversion"/>
  </si>
  <si>
    <t>4107224503567X</t>
    <phoneticPr fontId="2" type="noConversion"/>
  </si>
  <si>
    <t>2412P04</t>
    <phoneticPr fontId="2" type="noConversion"/>
  </si>
  <si>
    <t>4107224503527X</t>
    <phoneticPr fontId="2" type="noConversion"/>
  </si>
  <si>
    <t>11월 이월분</t>
    <phoneticPr fontId="2" type="noConversion"/>
  </si>
  <si>
    <t>4107224503438X</t>
    <phoneticPr fontId="2" type="noConversion"/>
  </si>
  <si>
    <t>4107224503512X</t>
    <phoneticPr fontId="2" type="noConversion"/>
  </si>
  <si>
    <t>4107224503513X</t>
    <phoneticPr fontId="2" type="noConversion"/>
  </si>
  <si>
    <t>DSM2411-AM03</t>
    <phoneticPr fontId="2" type="noConversion"/>
  </si>
  <si>
    <t>2057624120320X</t>
    <phoneticPr fontId="2" type="noConversion"/>
  </si>
  <si>
    <t>BL</t>
    <phoneticPr fontId="2" type="noConversion"/>
  </si>
  <si>
    <t>팀  장</t>
    <phoneticPr fontId="2" type="noConversion"/>
  </si>
  <si>
    <t>2407P436TB</t>
    <phoneticPr fontId="2" type="noConversion"/>
  </si>
  <si>
    <t>2407P436TC</t>
    <phoneticPr fontId="2" type="noConversion"/>
  </si>
  <si>
    <t>2407P139TB</t>
    <phoneticPr fontId="2" type="noConversion"/>
  </si>
  <si>
    <t>2407P139TC</t>
    <phoneticPr fontId="2" type="noConversion"/>
  </si>
  <si>
    <t>2407P140TB</t>
    <phoneticPr fontId="2" type="noConversion"/>
  </si>
  <si>
    <t>2407P140TC</t>
    <phoneticPr fontId="2" type="noConversion"/>
  </si>
  <si>
    <t>※ 2025년 1월 마감내역 ※</t>
    <phoneticPr fontId="3" type="noConversion"/>
  </si>
  <si>
    <t>※ 2024년 12월 마감내역 ※</t>
    <phoneticPr fontId="3" type="noConversion"/>
  </si>
  <si>
    <t>DSM2412-AL01</t>
    <phoneticPr fontId="2" type="noConversion"/>
  </si>
  <si>
    <t>4107224503496X</t>
    <phoneticPr fontId="2" type="noConversion"/>
  </si>
  <si>
    <t>DSM2412-AL02</t>
    <phoneticPr fontId="2" type="noConversion"/>
  </si>
  <si>
    <t>4107224503580X</t>
    <phoneticPr fontId="2" type="noConversion"/>
  </si>
  <si>
    <t>DSM2411-AL01TA</t>
    <phoneticPr fontId="2" type="noConversion"/>
  </si>
  <si>
    <t>DSM2411-AL02TA</t>
    <phoneticPr fontId="2" type="noConversion"/>
  </si>
  <si>
    <t>DSM2411-AL03TA</t>
    <phoneticPr fontId="2" type="noConversion"/>
  </si>
  <si>
    <t>DSM2412-AL01TA</t>
    <phoneticPr fontId="2" type="noConversion"/>
  </si>
  <si>
    <t>DSM2412-AL02TA</t>
    <phoneticPr fontId="2" type="noConversion"/>
  </si>
  <si>
    <t>DSM2412-AL03TA</t>
    <phoneticPr fontId="2" type="noConversion"/>
  </si>
  <si>
    <t>DSM2412-AL04TA</t>
    <phoneticPr fontId="2" type="noConversion"/>
  </si>
  <si>
    <t>DSM2412-AL05TA</t>
    <phoneticPr fontId="2" type="noConversion"/>
  </si>
  <si>
    <t>DSM2412-AL06TA</t>
    <phoneticPr fontId="2" type="noConversion"/>
  </si>
  <si>
    <t>DSM2412-AL07TA</t>
    <phoneticPr fontId="2" type="noConversion"/>
  </si>
  <si>
    <t>DSM2412-AL08TA</t>
    <phoneticPr fontId="2" type="noConversion"/>
  </si>
  <si>
    <t>DSM2412-AL09TA</t>
    <phoneticPr fontId="2" type="noConversion"/>
  </si>
  <si>
    <t>DSM2412-AL10TA</t>
    <phoneticPr fontId="2" type="noConversion"/>
  </si>
  <si>
    <t>DSM2412-AL03</t>
    <phoneticPr fontId="2" type="noConversion"/>
  </si>
  <si>
    <t>4107224503641X</t>
    <phoneticPr fontId="2" type="noConversion"/>
  </si>
  <si>
    <t>DSM2412-01</t>
    <phoneticPr fontId="2" type="noConversion"/>
  </si>
  <si>
    <t>4107224503455X</t>
    <phoneticPr fontId="2" type="noConversion"/>
  </si>
  <si>
    <t>DSM2412-02</t>
    <phoneticPr fontId="2" type="noConversion"/>
  </si>
  <si>
    <t>4107224503456X</t>
    <phoneticPr fontId="2" type="noConversion"/>
  </si>
  <si>
    <t>DSM2412-03</t>
    <phoneticPr fontId="2" type="noConversion"/>
  </si>
  <si>
    <t>4107224202641X</t>
    <phoneticPr fontId="2" type="noConversion"/>
  </si>
  <si>
    <t>DSM2412-05</t>
    <phoneticPr fontId="2" type="noConversion"/>
  </si>
  <si>
    <t>4107224202643X</t>
    <phoneticPr fontId="2" type="noConversion"/>
  </si>
  <si>
    <t>DSM2412-06</t>
    <phoneticPr fontId="2" type="noConversion"/>
  </si>
  <si>
    <t>4107224202644X</t>
    <phoneticPr fontId="2" type="noConversion"/>
  </si>
  <si>
    <t>DSM2412-07</t>
    <phoneticPr fontId="2" type="noConversion"/>
  </si>
  <si>
    <t>4107224503583X</t>
    <phoneticPr fontId="2" type="noConversion"/>
  </si>
  <si>
    <t>DSM2412-04</t>
    <phoneticPr fontId="2" type="noConversion"/>
  </si>
  <si>
    <t>4107224202642X</t>
    <phoneticPr fontId="2" type="noConversion"/>
  </si>
  <si>
    <t>DSM2412-08</t>
    <phoneticPr fontId="2" type="noConversion"/>
  </si>
  <si>
    <t>4107224503584X</t>
    <phoneticPr fontId="2" type="noConversion"/>
  </si>
  <si>
    <t>DSM2412-09</t>
    <phoneticPr fontId="2" type="noConversion"/>
  </si>
  <si>
    <t>4107224503634X</t>
    <phoneticPr fontId="2" type="noConversion"/>
  </si>
  <si>
    <t>DSM2412-10</t>
    <phoneticPr fontId="2" type="noConversion"/>
  </si>
  <si>
    <t>4107224503635X</t>
    <phoneticPr fontId="2" type="noConversion"/>
  </si>
  <si>
    <t>DSM2412-11</t>
    <phoneticPr fontId="2" type="noConversion"/>
  </si>
  <si>
    <t>DSM2412-MC01</t>
    <phoneticPr fontId="2" type="noConversion"/>
  </si>
  <si>
    <t>4107224202725X</t>
    <phoneticPr fontId="2" type="noConversion"/>
  </si>
  <si>
    <t>DSM2412-SM01</t>
    <phoneticPr fontId="2" type="noConversion"/>
  </si>
  <si>
    <t>4112924120158X</t>
    <phoneticPr fontId="2" type="noConversion"/>
  </si>
  <si>
    <t>DSM2412-SE01</t>
    <phoneticPr fontId="2" type="noConversion"/>
  </si>
  <si>
    <t>4107224503502X</t>
    <phoneticPr fontId="2" type="noConversion"/>
  </si>
  <si>
    <t>DSM2412-SE02</t>
    <phoneticPr fontId="2" type="noConversion"/>
  </si>
  <si>
    <t>4107224503579X</t>
    <phoneticPr fontId="2" type="noConversion"/>
  </si>
  <si>
    <t>DSM2412-EM01</t>
    <phoneticPr fontId="2" type="noConversion"/>
  </si>
  <si>
    <t>4107224503394X</t>
    <phoneticPr fontId="2" type="noConversion"/>
  </si>
  <si>
    <t>DSM2412-EM02</t>
    <phoneticPr fontId="2" type="noConversion"/>
  </si>
  <si>
    <t>4107224503494X</t>
    <phoneticPr fontId="2" type="noConversion"/>
  </si>
  <si>
    <t>DSM2412-EM03</t>
    <phoneticPr fontId="2" type="noConversion"/>
  </si>
  <si>
    <t>4107224503517X</t>
    <phoneticPr fontId="2" type="noConversion"/>
  </si>
  <si>
    <t>DSM2412-EM04</t>
    <phoneticPr fontId="2" type="noConversion"/>
  </si>
  <si>
    <t>4107224503533X</t>
    <phoneticPr fontId="2" type="noConversion"/>
  </si>
  <si>
    <t>DSM2412-EM05</t>
    <phoneticPr fontId="2" type="noConversion"/>
  </si>
  <si>
    <t>4107224503535X</t>
    <phoneticPr fontId="2" type="noConversion"/>
  </si>
  <si>
    <t>DSM2412-EM06</t>
    <phoneticPr fontId="2" type="noConversion"/>
  </si>
  <si>
    <t>4107224503536X</t>
    <phoneticPr fontId="2" type="noConversion"/>
  </si>
  <si>
    <t>DSM2412-EM07</t>
    <phoneticPr fontId="2" type="noConversion"/>
  </si>
  <si>
    <t>4107224503551X</t>
    <phoneticPr fontId="2" type="noConversion"/>
  </si>
  <si>
    <t>DSM2412-EM08</t>
    <phoneticPr fontId="2" type="noConversion"/>
  </si>
  <si>
    <t>4107224503631X</t>
    <phoneticPr fontId="2" type="noConversion"/>
  </si>
  <si>
    <t>DSM2412-EM010</t>
    <phoneticPr fontId="2" type="noConversion"/>
  </si>
  <si>
    <t>4107224503617X</t>
    <phoneticPr fontId="2" type="noConversion"/>
  </si>
  <si>
    <t>DSM2412-EM11</t>
    <phoneticPr fontId="2" type="noConversion"/>
  </si>
  <si>
    <t>4107224503621X</t>
    <phoneticPr fontId="2" type="noConversion"/>
  </si>
  <si>
    <t>DSM2412-AM01</t>
    <phoneticPr fontId="2" type="noConversion"/>
  </si>
  <si>
    <t>2057624120557X</t>
    <phoneticPr fontId="2" type="noConversion"/>
  </si>
  <si>
    <t>DSM2412-SK01</t>
    <phoneticPr fontId="2" type="noConversion"/>
  </si>
  <si>
    <t>4107224503464X</t>
    <phoneticPr fontId="2" type="noConversion"/>
  </si>
  <si>
    <t>DSM2412-SK02</t>
    <phoneticPr fontId="2" type="noConversion"/>
  </si>
  <si>
    <t>4107224202665X</t>
    <phoneticPr fontId="2" type="noConversion"/>
  </si>
  <si>
    <t>DSM2412-SK03</t>
    <phoneticPr fontId="2" type="noConversion"/>
  </si>
  <si>
    <t>4107224503598X</t>
    <phoneticPr fontId="2" type="noConversion"/>
  </si>
  <si>
    <t>DSM2412-SK04</t>
    <phoneticPr fontId="2" type="noConversion"/>
  </si>
  <si>
    <t>4107224503639X</t>
    <phoneticPr fontId="2" type="noConversion"/>
  </si>
  <si>
    <t>DSM2412-AT01</t>
    <phoneticPr fontId="2" type="noConversion"/>
  </si>
  <si>
    <t>DSM2412-AT02</t>
    <phoneticPr fontId="2" type="noConversion"/>
  </si>
  <si>
    <t>DSM2412-AT03</t>
    <phoneticPr fontId="2" type="noConversion"/>
  </si>
  <si>
    <t>DSM2501-AL01</t>
  </si>
  <si>
    <t>4107225500137X</t>
    <phoneticPr fontId="2" type="noConversion"/>
  </si>
  <si>
    <t>DSM2501-AL02</t>
    <phoneticPr fontId="2" type="noConversion"/>
  </si>
  <si>
    <t>4107225500232X</t>
    <phoneticPr fontId="2" type="noConversion"/>
  </si>
  <si>
    <t>DSM2501-AL03</t>
    <phoneticPr fontId="2" type="noConversion"/>
  </si>
  <si>
    <t>4107225500251X</t>
    <phoneticPr fontId="2" type="noConversion"/>
  </si>
  <si>
    <t>4107225500020X</t>
    <phoneticPr fontId="2" type="noConversion"/>
  </si>
  <si>
    <t>2501P01</t>
  </si>
  <si>
    <t>4107225500142X</t>
    <phoneticPr fontId="2" type="noConversion"/>
  </si>
  <si>
    <t>2501P02</t>
    <phoneticPr fontId="2" type="noConversion"/>
  </si>
  <si>
    <t>4107225500143X</t>
    <phoneticPr fontId="2" type="noConversion"/>
  </si>
  <si>
    <t>2501P03</t>
    <phoneticPr fontId="2" type="noConversion"/>
  </si>
  <si>
    <t>4107225500144X</t>
    <phoneticPr fontId="2" type="noConversion"/>
  </si>
  <si>
    <t>2501P04</t>
    <phoneticPr fontId="2" type="noConversion"/>
  </si>
  <si>
    <t>4107225500145X</t>
    <phoneticPr fontId="2" type="noConversion"/>
  </si>
  <si>
    <t>2501P05</t>
    <phoneticPr fontId="2" type="noConversion"/>
  </si>
  <si>
    <t>4107225500187X</t>
    <phoneticPr fontId="2" type="noConversion"/>
  </si>
  <si>
    <t>2501P06</t>
    <phoneticPr fontId="2" type="noConversion"/>
  </si>
  <si>
    <t>DSM2501-01</t>
  </si>
  <si>
    <t>4107225500021X</t>
    <phoneticPr fontId="2" type="noConversion"/>
  </si>
  <si>
    <t>DSM2501-02</t>
    <phoneticPr fontId="2" type="noConversion"/>
  </si>
  <si>
    <t>4107225500086X</t>
    <phoneticPr fontId="2" type="noConversion"/>
  </si>
  <si>
    <t>체크비엘 확인</t>
    <phoneticPr fontId="2" type="noConversion"/>
  </si>
  <si>
    <t>DSM2501-03</t>
    <phoneticPr fontId="2" type="noConversion"/>
  </si>
  <si>
    <t>4107225500022X</t>
    <phoneticPr fontId="2" type="noConversion"/>
  </si>
  <si>
    <t>DSM2501-04</t>
    <phoneticPr fontId="2" type="noConversion"/>
  </si>
  <si>
    <t>4107225500168X</t>
    <phoneticPr fontId="2" type="noConversion"/>
  </si>
  <si>
    <t>DSM2501-05</t>
    <phoneticPr fontId="2" type="noConversion"/>
  </si>
  <si>
    <t>4107225500188X</t>
    <phoneticPr fontId="2" type="noConversion"/>
  </si>
  <si>
    <t>DSM2501-06</t>
    <phoneticPr fontId="2" type="noConversion"/>
  </si>
  <si>
    <t>4107225500189X</t>
    <phoneticPr fontId="2" type="noConversion"/>
  </si>
  <si>
    <t>DSM2501-07</t>
    <phoneticPr fontId="2" type="noConversion"/>
  </si>
  <si>
    <t>4107225200148X</t>
    <phoneticPr fontId="2" type="noConversion"/>
  </si>
  <si>
    <t>DSM2501-08</t>
    <phoneticPr fontId="2" type="noConversion"/>
  </si>
  <si>
    <t>4107225500230X</t>
    <phoneticPr fontId="2" type="noConversion"/>
  </si>
  <si>
    <t>DSM2501-09</t>
    <phoneticPr fontId="2" type="noConversion"/>
  </si>
  <si>
    <t>4107225500190X</t>
    <phoneticPr fontId="2" type="noConversion"/>
  </si>
  <si>
    <t>DSM2501-10</t>
    <phoneticPr fontId="2" type="noConversion"/>
  </si>
  <si>
    <t>4107225500231X</t>
    <phoneticPr fontId="2" type="noConversion"/>
  </si>
  <si>
    <t>DSM2501-11</t>
    <phoneticPr fontId="2" type="noConversion"/>
  </si>
  <si>
    <t>DSM2501-12</t>
    <phoneticPr fontId="2" type="noConversion"/>
  </si>
  <si>
    <t>DSM2501-MC01</t>
    <phoneticPr fontId="2" type="noConversion"/>
  </si>
  <si>
    <t>4107225500155X</t>
    <phoneticPr fontId="2" type="noConversion"/>
  </si>
  <si>
    <t>DSM2501-SM01</t>
  </si>
  <si>
    <t>4112925010127X</t>
    <phoneticPr fontId="2" type="noConversion"/>
  </si>
  <si>
    <t>DSM2501-SE01</t>
  </si>
  <si>
    <t>4107225500003X</t>
    <phoneticPr fontId="2" type="noConversion"/>
  </si>
  <si>
    <t>DSM2501-EM01</t>
  </si>
  <si>
    <t>4107225500107X</t>
    <phoneticPr fontId="2" type="noConversion"/>
  </si>
  <si>
    <t>DSM2501-EM02</t>
    <phoneticPr fontId="2" type="noConversion"/>
  </si>
  <si>
    <t>4107225500041X</t>
    <phoneticPr fontId="2" type="noConversion"/>
  </si>
  <si>
    <t>DSM2501-EM03</t>
    <phoneticPr fontId="2" type="noConversion"/>
  </si>
  <si>
    <t>4107225500042X</t>
    <phoneticPr fontId="2" type="noConversion"/>
  </si>
  <si>
    <t>DSM2501-EM04</t>
    <phoneticPr fontId="2" type="noConversion"/>
  </si>
  <si>
    <t>4107225500077X</t>
    <phoneticPr fontId="2" type="noConversion"/>
  </si>
  <si>
    <t>DSM2501-EM05</t>
    <phoneticPr fontId="2" type="noConversion"/>
  </si>
  <si>
    <t>4107225500134X</t>
    <phoneticPr fontId="2" type="noConversion"/>
  </si>
  <si>
    <t>DSM2501-EM06</t>
    <phoneticPr fontId="2" type="noConversion"/>
  </si>
  <si>
    <t>4107225500172X</t>
    <phoneticPr fontId="2" type="noConversion"/>
  </si>
  <si>
    <t>DSM2501-EM07</t>
    <phoneticPr fontId="2" type="noConversion"/>
  </si>
  <si>
    <t>4107225500247X</t>
    <phoneticPr fontId="2" type="noConversion"/>
  </si>
  <si>
    <t>DSM2501-AM01</t>
    <phoneticPr fontId="2" type="noConversion"/>
  </si>
  <si>
    <t>2057625010460X</t>
    <phoneticPr fontId="2" type="noConversion"/>
  </si>
  <si>
    <t>DSM2501-SK01</t>
  </si>
  <si>
    <t>4107225500101X</t>
    <phoneticPr fontId="2" type="noConversion"/>
  </si>
  <si>
    <t>DSM2501-SK02</t>
    <phoneticPr fontId="2" type="noConversion"/>
  </si>
  <si>
    <t>4107225500185X</t>
    <phoneticPr fontId="2" type="noConversion"/>
  </si>
  <si>
    <t>DSM2501-SK03</t>
    <phoneticPr fontId="2" type="noConversion"/>
  </si>
  <si>
    <t>4107225500243X</t>
    <phoneticPr fontId="2" type="noConversion"/>
  </si>
  <si>
    <t>DSM2501-SK04</t>
    <phoneticPr fontId="2" type="noConversion"/>
  </si>
  <si>
    <t>4107225500248X</t>
    <phoneticPr fontId="2" type="noConversion"/>
  </si>
  <si>
    <t>4107225500149X</t>
    <phoneticPr fontId="2" type="noConversion"/>
  </si>
  <si>
    <t>DSM2412-R02</t>
  </si>
  <si>
    <t>4107225200149X</t>
    <phoneticPr fontId="2" type="noConversion"/>
  </si>
  <si>
    <t>4107225500186X</t>
    <phoneticPr fontId="2" type="noConversion"/>
  </si>
  <si>
    <t>12월 이월분</t>
    <phoneticPr fontId="2" type="noConversion"/>
  </si>
  <si>
    <t>ㅇ</t>
    <phoneticPr fontId="2" type="noConversion"/>
  </si>
  <si>
    <t>DSM2501-AT01</t>
    <phoneticPr fontId="2" type="noConversion"/>
  </si>
  <si>
    <t>DSM2501-AT02</t>
    <phoneticPr fontId="2" type="noConversion"/>
  </si>
  <si>
    <t>확인</t>
    <phoneticPr fontId="2" type="noConversion"/>
  </si>
  <si>
    <t>※ 2025년 2월 마감내역 ※</t>
    <phoneticPr fontId="3" type="noConversion"/>
  </si>
  <si>
    <t>4107225500266X</t>
    <phoneticPr fontId="2" type="noConversion"/>
  </si>
  <si>
    <t>4107225500267X</t>
    <phoneticPr fontId="2" type="noConversion"/>
  </si>
  <si>
    <t>DSM2502-AL01</t>
    <phoneticPr fontId="2" type="noConversion"/>
  </si>
  <si>
    <t>4107225500345X</t>
    <phoneticPr fontId="2" type="noConversion"/>
  </si>
  <si>
    <t>DSM2502-AL02</t>
    <phoneticPr fontId="2" type="noConversion"/>
  </si>
  <si>
    <t>4107225200407X</t>
    <phoneticPr fontId="2" type="noConversion"/>
  </si>
  <si>
    <t>DSM2502-AL03</t>
    <phoneticPr fontId="2" type="noConversion"/>
  </si>
  <si>
    <t>2502P01</t>
    <phoneticPr fontId="2" type="noConversion"/>
  </si>
  <si>
    <t>4107225500380X</t>
    <phoneticPr fontId="2" type="noConversion"/>
  </si>
  <si>
    <t>2502P02</t>
    <phoneticPr fontId="2" type="noConversion"/>
  </si>
  <si>
    <t>4107225500338X</t>
    <phoneticPr fontId="2" type="noConversion"/>
  </si>
  <si>
    <t>2502P03</t>
    <phoneticPr fontId="2" type="noConversion"/>
  </si>
  <si>
    <t>4107225500339X</t>
    <phoneticPr fontId="2" type="noConversion"/>
  </si>
  <si>
    <t>2502P04</t>
    <phoneticPr fontId="2" type="noConversion"/>
  </si>
  <si>
    <t>4107225500340X</t>
    <phoneticPr fontId="2" type="noConversion"/>
  </si>
  <si>
    <t>2502P05</t>
    <phoneticPr fontId="2" type="noConversion"/>
  </si>
  <si>
    <t>4107225500404X</t>
    <phoneticPr fontId="2" type="noConversion"/>
  </si>
  <si>
    <t>2502P06</t>
    <phoneticPr fontId="2" type="noConversion"/>
  </si>
  <si>
    <t>2502P07</t>
    <phoneticPr fontId="2" type="noConversion"/>
  </si>
  <si>
    <t>4107225500470X</t>
    <phoneticPr fontId="2" type="noConversion"/>
  </si>
  <si>
    <t>4107225200402X</t>
    <phoneticPr fontId="2" type="noConversion"/>
  </si>
  <si>
    <t>DSM2502-01</t>
    <phoneticPr fontId="2" type="noConversion"/>
  </si>
  <si>
    <t>4107225500399X</t>
    <phoneticPr fontId="2" type="noConversion"/>
  </si>
  <si>
    <t>DSM2502-02</t>
    <phoneticPr fontId="2" type="noConversion"/>
  </si>
  <si>
    <t>4107225500341X</t>
    <phoneticPr fontId="2" type="noConversion"/>
  </si>
  <si>
    <t>DSM2502-03</t>
    <phoneticPr fontId="2" type="noConversion"/>
  </si>
  <si>
    <t>4107225500342X</t>
    <phoneticPr fontId="2" type="noConversion"/>
  </si>
  <si>
    <t>DSM2502-04</t>
    <phoneticPr fontId="2" type="noConversion"/>
  </si>
  <si>
    <t>DSM2502-05</t>
    <phoneticPr fontId="2" type="noConversion"/>
  </si>
  <si>
    <t>4107225500439X</t>
    <phoneticPr fontId="2" type="noConversion"/>
  </si>
  <si>
    <t>DSM2502-06</t>
    <phoneticPr fontId="2" type="noConversion"/>
  </si>
  <si>
    <t>4107225500440X</t>
    <phoneticPr fontId="2" type="noConversion"/>
  </si>
  <si>
    <t>DSM2502-07</t>
    <phoneticPr fontId="2" type="noConversion"/>
  </si>
  <si>
    <t>4107225500468X</t>
    <phoneticPr fontId="2" type="noConversion"/>
  </si>
  <si>
    <t>DSM2502-08</t>
    <phoneticPr fontId="2" type="noConversion"/>
  </si>
  <si>
    <t>DSM2502-09</t>
    <phoneticPr fontId="2" type="noConversion"/>
  </si>
  <si>
    <t>4107225500346X</t>
    <phoneticPr fontId="2" type="noConversion"/>
  </si>
  <si>
    <t>DSM2502-10</t>
    <phoneticPr fontId="2" type="noConversion"/>
  </si>
  <si>
    <t>4107225500461X</t>
    <phoneticPr fontId="2" type="noConversion"/>
  </si>
  <si>
    <t>DSM2502-11</t>
    <phoneticPr fontId="2" type="noConversion"/>
  </si>
  <si>
    <t>4164925770791X</t>
    <phoneticPr fontId="2" type="noConversion"/>
  </si>
  <si>
    <t>DSM2502-12</t>
    <phoneticPr fontId="2" type="noConversion"/>
  </si>
  <si>
    <t>DSM2502-13</t>
    <phoneticPr fontId="2" type="noConversion"/>
  </si>
  <si>
    <t>4107225500469X</t>
    <phoneticPr fontId="2" type="noConversion"/>
  </si>
  <si>
    <t>DSM2502-14</t>
    <phoneticPr fontId="2" type="noConversion"/>
  </si>
  <si>
    <t>DSM2502-15</t>
    <phoneticPr fontId="2" type="noConversion"/>
  </si>
  <si>
    <t>DSM2502-MC01</t>
    <phoneticPr fontId="2" type="noConversion"/>
  </si>
  <si>
    <t>4107225500274X</t>
    <phoneticPr fontId="2" type="noConversion"/>
  </si>
  <si>
    <t>DSM2502-SM01</t>
    <phoneticPr fontId="2" type="noConversion"/>
  </si>
  <si>
    <t>4112925020104X</t>
    <phoneticPr fontId="2" type="noConversion"/>
  </si>
  <si>
    <t>DSM2502-SE01</t>
    <phoneticPr fontId="2" type="noConversion"/>
  </si>
  <si>
    <t>4107225500344X</t>
    <phoneticPr fontId="2" type="noConversion"/>
  </si>
  <si>
    <t>DSM2502-EM01</t>
    <phoneticPr fontId="2" type="noConversion"/>
  </si>
  <si>
    <t>4107225500283X</t>
    <phoneticPr fontId="2" type="noConversion"/>
  </si>
  <si>
    <t>DSM2502-EM02</t>
    <phoneticPr fontId="2" type="noConversion"/>
  </si>
  <si>
    <t>4107225500264X</t>
    <phoneticPr fontId="2" type="noConversion"/>
  </si>
  <si>
    <t>DSM2502-EM03</t>
    <phoneticPr fontId="2" type="noConversion"/>
  </si>
  <si>
    <t>4107225500309X</t>
    <phoneticPr fontId="2" type="noConversion"/>
  </si>
  <si>
    <t>DSM2502-EM04</t>
    <phoneticPr fontId="2" type="noConversion"/>
  </si>
  <si>
    <t>4107225500284X</t>
    <phoneticPr fontId="2" type="noConversion"/>
  </si>
  <si>
    <t>DSM2502-EM05</t>
    <phoneticPr fontId="2" type="noConversion"/>
  </si>
  <si>
    <t>4107225500335X</t>
    <phoneticPr fontId="2" type="noConversion"/>
  </si>
  <si>
    <t>DSM2502-EM06</t>
    <phoneticPr fontId="2" type="noConversion"/>
  </si>
  <si>
    <t>4107225500355X</t>
    <phoneticPr fontId="2" type="noConversion"/>
  </si>
  <si>
    <t>DSM2502-EM07</t>
    <phoneticPr fontId="2" type="noConversion"/>
  </si>
  <si>
    <t>4107225500437X</t>
    <phoneticPr fontId="2" type="noConversion"/>
  </si>
  <si>
    <t>DSM2502-EM08</t>
    <phoneticPr fontId="2" type="noConversion"/>
  </si>
  <si>
    <t>DSM2502-AM01</t>
    <phoneticPr fontId="2" type="noConversion"/>
  </si>
  <si>
    <t>2057625020452X</t>
    <phoneticPr fontId="2" type="noConversion"/>
  </si>
  <si>
    <t>DSM2412-R01</t>
    <phoneticPr fontId="2" type="noConversion"/>
  </si>
  <si>
    <t>DSM2502-R01</t>
    <phoneticPr fontId="2" type="noConversion"/>
  </si>
  <si>
    <t>DSM2502-R02</t>
    <phoneticPr fontId="2" type="noConversion"/>
  </si>
  <si>
    <t>4107225500452X</t>
    <phoneticPr fontId="2" type="noConversion"/>
  </si>
  <si>
    <t>4107225500497X</t>
    <phoneticPr fontId="2" type="noConversion"/>
  </si>
  <si>
    <t>DSM2502-SK01</t>
    <phoneticPr fontId="2" type="noConversion"/>
  </si>
  <si>
    <t>4107225500322X</t>
    <phoneticPr fontId="2" type="noConversion"/>
  </si>
  <si>
    <t>DSM2502-SK02</t>
    <phoneticPr fontId="2" type="noConversion"/>
  </si>
  <si>
    <t>DSM2502-SK03</t>
    <phoneticPr fontId="2" type="noConversion"/>
  </si>
  <si>
    <t>4107225500395X</t>
    <phoneticPr fontId="2" type="noConversion"/>
  </si>
  <si>
    <t>4107225200422X</t>
    <phoneticPr fontId="2" type="noConversion"/>
  </si>
  <si>
    <t>DSM2502-SK04</t>
    <phoneticPr fontId="2" type="noConversion"/>
  </si>
  <si>
    <t>DSM2502-SK05</t>
    <phoneticPr fontId="2" type="noConversion"/>
  </si>
  <si>
    <t>4107225500492X</t>
    <phoneticPr fontId="2" type="noConversion"/>
  </si>
  <si>
    <t>4107225500527X</t>
    <phoneticPr fontId="2" type="noConversion"/>
  </si>
  <si>
    <t>1월 이월분</t>
    <phoneticPr fontId="2" type="noConversion"/>
  </si>
  <si>
    <t>4107225500505X</t>
    <phoneticPr fontId="2" type="noConversion"/>
  </si>
  <si>
    <t>4107225500539X</t>
    <phoneticPr fontId="2" type="noConversion"/>
  </si>
  <si>
    <t>4107225500343X</t>
    <phoneticPr fontId="2" type="noConversion"/>
  </si>
  <si>
    <t>DSM2502-AT01</t>
    <phoneticPr fontId="2" type="noConversion"/>
  </si>
  <si>
    <t>DSM2502-AT02</t>
    <phoneticPr fontId="2" type="noConversion"/>
  </si>
  <si>
    <t>4107225500451X</t>
    <phoneticPr fontId="2" type="noConversion"/>
  </si>
  <si>
    <t>4107225500561X</t>
    <phoneticPr fontId="2" type="noConversion"/>
  </si>
  <si>
    <t>3/16 선적</t>
    <phoneticPr fontId="2" type="noConversion"/>
  </si>
  <si>
    <t>DSM ABS 2645-SK02</t>
    <phoneticPr fontId="2" type="noConversion"/>
  </si>
  <si>
    <t>DSM ABS 2553-SK04</t>
    <phoneticPr fontId="2" type="noConversion"/>
  </si>
  <si>
    <t>DSM ABS 2664-SK05</t>
    <phoneticPr fontId="2" type="noConversion"/>
  </si>
  <si>
    <t>DSM ABS 2572-SK04</t>
    <phoneticPr fontId="2" type="noConversion"/>
  </si>
  <si>
    <t>DSM ABS 2568-SK01</t>
    <phoneticPr fontId="2" type="noConversion"/>
  </si>
  <si>
    <t>DSM ABS 3399-SK02</t>
    <phoneticPr fontId="2" type="noConversion"/>
  </si>
  <si>
    <t>DSM2502-SCP</t>
    <phoneticPr fontId="2" type="noConversion"/>
  </si>
  <si>
    <t>총계(출하)</t>
    <phoneticPr fontId="2" type="noConversion"/>
  </si>
  <si>
    <t>4107225500499X</t>
    <phoneticPr fontId="2" type="noConversion"/>
  </si>
  <si>
    <t>이월</t>
    <phoneticPr fontId="3" type="noConversion"/>
  </si>
  <si>
    <t>`</t>
    <phoneticPr fontId="2" type="noConversion"/>
  </si>
  <si>
    <t>전월 이월 + 당월 출하</t>
    <phoneticPr fontId="2" type="noConversion"/>
  </si>
  <si>
    <t>※ 2025년 3월 마감내역 ※</t>
    <phoneticPr fontId="3" type="noConversion"/>
  </si>
  <si>
    <t>DSM2502-AL02</t>
  </si>
  <si>
    <t>DSM2502-AL03</t>
  </si>
  <si>
    <t>2502P06</t>
  </si>
  <si>
    <t>DSM2502-08</t>
  </si>
  <si>
    <t>DSM2502-12</t>
  </si>
  <si>
    <t>DSM2502-13</t>
  </si>
  <si>
    <t>DSM2502-R02</t>
  </si>
  <si>
    <t>DSM2502-SK04</t>
  </si>
  <si>
    <t>4107225500492X</t>
  </si>
  <si>
    <t>DSM2502-SK05</t>
  </si>
  <si>
    <t>4107225500527X</t>
  </si>
  <si>
    <t>2월 이월분</t>
    <phoneticPr fontId="2" type="noConversion"/>
  </si>
  <si>
    <t>금          액</t>
    <phoneticPr fontId="3" type="noConversion"/>
  </si>
  <si>
    <t>DSM2503-AL01</t>
    <phoneticPr fontId="2" type="noConversion"/>
  </si>
  <si>
    <t>41072-25-500596X</t>
    <phoneticPr fontId="2" type="noConversion"/>
  </si>
  <si>
    <t>DSM2503-AL02</t>
    <phoneticPr fontId="2" type="noConversion"/>
  </si>
  <si>
    <t>41072-25-500692X</t>
    <phoneticPr fontId="2" type="noConversion"/>
  </si>
  <si>
    <t>DSM2503-AL03</t>
    <phoneticPr fontId="2" type="noConversion"/>
  </si>
  <si>
    <t>INVOICE</t>
    <phoneticPr fontId="2" type="noConversion"/>
  </si>
  <si>
    <t>PACKING</t>
    <phoneticPr fontId="2" type="noConversion"/>
  </si>
  <si>
    <t>서류 체크</t>
    <phoneticPr fontId="2" type="noConversion"/>
  </si>
  <si>
    <t>○</t>
    <phoneticPr fontId="2" type="noConversion"/>
  </si>
  <si>
    <t>41072-25-500779X</t>
    <phoneticPr fontId="2" type="noConversion"/>
  </si>
  <si>
    <t>41072-25-500563X</t>
    <phoneticPr fontId="2" type="noConversion"/>
  </si>
  <si>
    <t>41072-25-500638X</t>
    <phoneticPr fontId="2" type="noConversion"/>
  </si>
  <si>
    <t>41072-25-500775X</t>
    <phoneticPr fontId="2" type="noConversion"/>
  </si>
  <si>
    <t>41072-25-500560X</t>
    <phoneticPr fontId="2" type="noConversion"/>
  </si>
  <si>
    <t>2503P03</t>
  </si>
  <si>
    <t>41072-25-500639X</t>
    <phoneticPr fontId="2" type="noConversion"/>
  </si>
  <si>
    <t>2503P06</t>
    <phoneticPr fontId="2" type="noConversion"/>
  </si>
  <si>
    <t>41072-25-500681X</t>
    <phoneticPr fontId="2" type="noConversion"/>
  </si>
  <si>
    <t>2503P01</t>
    <phoneticPr fontId="2" type="noConversion"/>
  </si>
  <si>
    <t>2503P02</t>
  </si>
  <si>
    <t>2503P04</t>
  </si>
  <si>
    <t>2503P05</t>
  </si>
  <si>
    <t>2503P07</t>
  </si>
  <si>
    <t>2503P08</t>
  </si>
  <si>
    <t>2503P09</t>
  </si>
  <si>
    <t>2503P10</t>
  </si>
  <si>
    <t>41072-25-500581X</t>
    <phoneticPr fontId="2" type="noConversion"/>
  </si>
  <si>
    <t>41072-25-500640X</t>
    <phoneticPr fontId="2" type="noConversion"/>
  </si>
  <si>
    <t>41072-25-500641X</t>
    <phoneticPr fontId="2" type="noConversion"/>
  </si>
  <si>
    <t>41072-25-500642X</t>
    <phoneticPr fontId="2" type="noConversion"/>
  </si>
  <si>
    <t>DSM2503-01</t>
    <phoneticPr fontId="2" type="noConversion"/>
  </si>
  <si>
    <t>DSM2503-02</t>
    <phoneticPr fontId="2" type="noConversion"/>
  </si>
  <si>
    <t>DSM2503-03</t>
  </si>
  <si>
    <t>DSM2503-04</t>
  </si>
  <si>
    <t>DSM2503-05</t>
  </si>
  <si>
    <t>DSM2503-06</t>
  </si>
  <si>
    <t>DSM2503-07</t>
  </si>
  <si>
    <t>DSM2503-08</t>
  </si>
  <si>
    <t>DSM2503-09</t>
  </si>
  <si>
    <t>DSM2503-10</t>
  </si>
  <si>
    <t>DSM2503-11</t>
  </si>
  <si>
    <t>DSM2503-12</t>
  </si>
  <si>
    <t>DSM2503-13</t>
  </si>
  <si>
    <t>DSM2503-14</t>
  </si>
  <si>
    <t>DSM2503-15</t>
  </si>
  <si>
    <t>DSM2503-16</t>
  </si>
  <si>
    <t>DSM2503-17</t>
  </si>
  <si>
    <t>DSM2503-18</t>
  </si>
  <si>
    <t>DSM2503-19</t>
  </si>
  <si>
    <t>DSM2503-20</t>
  </si>
  <si>
    <t>DSM2503-21</t>
  </si>
  <si>
    <t>DSM2503-22</t>
  </si>
  <si>
    <t>DSM2503-23</t>
  </si>
  <si>
    <t>41072-25-500589X</t>
    <phoneticPr fontId="2" type="noConversion"/>
  </si>
  <si>
    <t>41072-25-500498X</t>
    <phoneticPr fontId="2" type="noConversion"/>
  </si>
  <si>
    <t>41072-25-500540X</t>
    <phoneticPr fontId="2" type="noConversion"/>
  </si>
  <si>
    <t>41072-25-500591X</t>
    <phoneticPr fontId="2" type="noConversion"/>
  </si>
  <si>
    <t>41072-25-500592X</t>
    <phoneticPr fontId="2" type="noConversion"/>
  </si>
  <si>
    <t>41072-25-500593X</t>
    <phoneticPr fontId="2" type="noConversion"/>
  </si>
  <si>
    <t>41072-25-500594X</t>
    <phoneticPr fontId="2" type="noConversion"/>
  </si>
  <si>
    <t>41072-25-500595X</t>
    <phoneticPr fontId="2" type="noConversion"/>
  </si>
  <si>
    <t>금액다름</t>
    <phoneticPr fontId="2" type="noConversion"/>
  </si>
  <si>
    <t>41072-25-500661X</t>
    <phoneticPr fontId="2" type="noConversion"/>
  </si>
  <si>
    <t>41072-25-500676X</t>
    <phoneticPr fontId="2" type="noConversion"/>
  </si>
  <si>
    <t>41072-25-500677X</t>
    <phoneticPr fontId="2" type="noConversion"/>
  </si>
  <si>
    <t>41072-25-500678X</t>
    <phoneticPr fontId="2" type="noConversion"/>
  </si>
  <si>
    <t>41072-25-500679X</t>
    <phoneticPr fontId="2" type="noConversion"/>
  </si>
  <si>
    <t>41072-25-500754X</t>
    <phoneticPr fontId="2" type="noConversion"/>
  </si>
  <si>
    <t>41072-25-500807X</t>
    <phoneticPr fontId="2" type="noConversion"/>
  </si>
  <si>
    <t>41072-25-500788X</t>
    <phoneticPr fontId="2" type="noConversion"/>
  </si>
  <si>
    <t>41072-25-500715X</t>
    <phoneticPr fontId="2" type="noConversion"/>
  </si>
  <si>
    <t>41072-25-500755X</t>
    <phoneticPr fontId="2" type="noConversion"/>
  </si>
  <si>
    <t>41072-25-500808X</t>
    <phoneticPr fontId="2" type="noConversion"/>
  </si>
  <si>
    <t>41649-25-100746X</t>
    <phoneticPr fontId="2" type="noConversion"/>
  </si>
  <si>
    <t>41649-25-100780X</t>
    <phoneticPr fontId="2" type="noConversion"/>
  </si>
  <si>
    <t>O</t>
    <phoneticPr fontId="2" type="noConversion"/>
  </si>
  <si>
    <t>41072-25-500809X</t>
    <phoneticPr fontId="2" type="noConversion"/>
  </si>
  <si>
    <t>X</t>
    <phoneticPr fontId="2" type="noConversion"/>
  </si>
  <si>
    <t>41072-25-500568X</t>
    <phoneticPr fontId="2" type="noConversion"/>
  </si>
  <si>
    <t>DSM2503-MC01</t>
    <phoneticPr fontId="2" type="noConversion"/>
  </si>
  <si>
    <t>DSM2503-MC02</t>
  </si>
  <si>
    <t>41072-25-500696X</t>
    <phoneticPr fontId="2" type="noConversion"/>
  </si>
  <si>
    <t>DSM2503-SM01</t>
    <phoneticPr fontId="2" type="noConversion"/>
  </si>
  <si>
    <t>41129-25-030159X</t>
    <phoneticPr fontId="2" type="noConversion"/>
  </si>
  <si>
    <t>SEASTAR</t>
    <phoneticPr fontId="2" type="noConversion"/>
  </si>
  <si>
    <t>DSM2503-SE01</t>
    <phoneticPr fontId="2" type="noConversion"/>
  </si>
  <si>
    <t>41072-25-500695X</t>
    <phoneticPr fontId="2" type="noConversion"/>
  </si>
  <si>
    <t>DSM2503-AM01</t>
    <phoneticPr fontId="2" type="noConversion"/>
  </si>
  <si>
    <t>20576-25-040006X</t>
    <phoneticPr fontId="2" type="noConversion"/>
  </si>
  <si>
    <t>총중량 다름</t>
    <phoneticPr fontId="2" type="noConversion"/>
  </si>
  <si>
    <t>DSM2503-AC01</t>
    <phoneticPr fontId="2" type="noConversion"/>
  </si>
  <si>
    <t>41072-25-500787X</t>
    <phoneticPr fontId="2" type="noConversion"/>
  </si>
  <si>
    <t>DSM2503-EM01</t>
    <phoneticPr fontId="2" type="noConversion"/>
  </si>
  <si>
    <t>DSM2503-EM02</t>
  </si>
  <si>
    <t>DSM2503-EM03</t>
  </si>
  <si>
    <t>DSM2503-EM04</t>
  </si>
  <si>
    <t>DSM2503-EM05</t>
  </si>
  <si>
    <t>DSM2503-EM06</t>
  </si>
  <si>
    <t>DSM2503-EM07</t>
  </si>
  <si>
    <t>41072-25-500520X</t>
    <phoneticPr fontId="2" type="noConversion"/>
  </si>
  <si>
    <t>41072-25-500576X</t>
    <phoneticPr fontId="2" type="noConversion"/>
  </si>
  <si>
    <t>41072-25-500538X</t>
    <phoneticPr fontId="2" type="noConversion"/>
  </si>
  <si>
    <t>중량다름</t>
    <phoneticPr fontId="2" type="noConversion"/>
  </si>
  <si>
    <t>41072-25-500569X</t>
    <phoneticPr fontId="2" type="noConversion"/>
  </si>
  <si>
    <t>41072-25-500598X</t>
    <phoneticPr fontId="2" type="noConversion"/>
  </si>
  <si>
    <t>41072-25-500810X</t>
    <phoneticPr fontId="2" type="noConversion"/>
  </si>
  <si>
    <t>41072-25-200695X</t>
    <phoneticPr fontId="2" type="noConversion"/>
  </si>
  <si>
    <t>DSM2503-SK01</t>
    <phoneticPr fontId="2" type="noConversion"/>
  </si>
  <si>
    <t>41072-25-200537X</t>
    <phoneticPr fontId="2" type="noConversion"/>
  </si>
  <si>
    <t>DSM2503-SK02</t>
    <phoneticPr fontId="2" type="noConversion"/>
  </si>
  <si>
    <t>41072-25-500674X</t>
    <phoneticPr fontId="2" type="noConversion"/>
  </si>
  <si>
    <t>DSM2503-SK03</t>
    <phoneticPr fontId="2" type="noConversion"/>
  </si>
  <si>
    <t>41072-25-500748X</t>
    <phoneticPr fontId="2" type="noConversion"/>
  </si>
  <si>
    <t>DSM2503-SK04</t>
    <phoneticPr fontId="2" type="noConversion"/>
  </si>
  <si>
    <t>41072-25-500802X</t>
    <phoneticPr fontId="2" type="noConversion"/>
  </si>
  <si>
    <t>DSM2503-SK05</t>
    <phoneticPr fontId="2" type="noConversion"/>
  </si>
  <si>
    <t>41072-25-500825X</t>
    <phoneticPr fontId="2" type="noConversion"/>
  </si>
  <si>
    <t>DSM2503-AL04</t>
    <phoneticPr fontId="2" type="noConversion"/>
  </si>
  <si>
    <t>41072-25-500827X</t>
    <phoneticPr fontId="2" type="noConversion"/>
  </si>
  <si>
    <t>41072-25-200407X</t>
    <phoneticPr fontId="2" type="noConversion"/>
  </si>
  <si>
    <t>41072-25-500505X</t>
    <phoneticPr fontId="2" type="noConversion"/>
  </si>
  <si>
    <t>41072-25-500470X</t>
    <phoneticPr fontId="2" type="noConversion"/>
  </si>
  <si>
    <t>O</t>
  </si>
  <si>
    <t>41072-25-500468X</t>
    <phoneticPr fontId="2" type="noConversion"/>
  </si>
  <si>
    <t>41072-25-500539X</t>
    <phoneticPr fontId="2" type="noConversion"/>
  </si>
  <si>
    <t>41072-25-500469X</t>
    <phoneticPr fontId="2" type="noConversion"/>
  </si>
  <si>
    <t>전월 이월, 당월 출하</t>
    <phoneticPr fontId="2" type="noConversion"/>
  </si>
  <si>
    <t>20576-25-020452X</t>
    <phoneticPr fontId="2" type="noConversion"/>
  </si>
  <si>
    <t>ATLAS COPCO</t>
  </si>
  <si>
    <t>DSM2503-AT01</t>
    <phoneticPr fontId="2" type="noConversion"/>
  </si>
  <si>
    <t>DNV 2634 선급검사비</t>
    <phoneticPr fontId="2" type="noConversion"/>
  </si>
  <si>
    <t>LR 2611 선급검사비</t>
    <phoneticPr fontId="2" type="noConversion"/>
  </si>
  <si>
    <t>LR 2607 선급검사비</t>
    <phoneticPr fontId="2" type="noConversion"/>
  </si>
  <si>
    <t>LR 2608 선급검사비</t>
    <phoneticPr fontId="2" type="noConversion"/>
  </si>
  <si>
    <t>ABS 2637 선급검사비</t>
    <phoneticPr fontId="2" type="noConversion"/>
  </si>
  <si>
    <t>LR2638 선급검사비</t>
    <phoneticPr fontId="2" type="noConversion"/>
  </si>
  <si>
    <t>ABS 2609 선급검사비</t>
    <phoneticPr fontId="2" type="noConversion"/>
  </si>
  <si>
    <t>LR 2619 선급검사비</t>
    <phoneticPr fontId="2" type="noConversion"/>
  </si>
  <si>
    <t>아트라스콥코 (중국)</t>
    <phoneticPr fontId="2" type="noConversion"/>
  </si>
  <si>
    <t>아트라스콥코 (한국)</t>
    <phoneticPr fontId="2" type="noConversion"/>
  </si>
  <si>
    <t>3월 환율</t>
    <phoneticPr fontId="2" type="noConversion"/>
  </si>
  <si>
    <t>DSM2503-R01</t>
    <phoneticPr fontId="2" type="noConversion"/>
  </si>
  <si>
    <t>41072-25-500794X</t>
    <phoneticPr fontId="2" type="noConversion"/>
  </si>
  <si>
    <t>41072-25-500561X</t>
    <phoneticPr fontId="2" type="noConversion"/>
  </si>
  <si>
    <t>DSM2503-R02</t>
    <phoneticPr fontId="2" type="noConversion"/>
  </si>
  <si>
    <t>41072-25-500945X</t>
    <phoneticPr fontId="2" type="noConversion"/>
  </si>
  <si>
    <t>보험등록여/부</t>
    <phoneticPr fontId="2" type="noConversion"/>
  </si>
  <si>
    <t>O</t>
    <phoneticPr fontId="2" type="noConversion"/>
  </si>
  <si>
    <t>-</t>
    <phoneticPr fontId="2" type="noConversion"/>
  </si>
  <si>
    <t>DSM2503-AL03</t>
  </si>
  <si>
    <t>41072-25-500779X</t>
  </si>
  <si>
    <t>-</t>
  </si>
  <si>
    <t>DSM2503-AL04</t>
  </si>
  <si>
    <t>41072-25-500827X</t>
  </si>
  <si>
    <t>41072-25-500775X</t>
  </si>
  <si>
    <t>41072-25-500807X</t>
  </si>
  <si>
    <t>41072-25-500788X</t>
  </si>
  <si>
    <t>41072-25-500755X</t>
  </si>
  <si>
    <t>41072-25-500808X</t>
  </si>
  <si>
    <t>41072-25-500809X</t>
  </si>
  <si>
    <t>DSM2503-R02</t>
  </si>
  <si>
    <t>41072-25-500945X</t>
  </si>
  <si>
    <t>DSM2503-SK05</t>
  </si>
  <si>
    <t>41072-25-500825X</t>
  </si>
  <si>
    <t>DSM2503-AM01</t>
  </si>
  <si>
    <t>20576-25-040006X</t>
  </si>
  <si>
    <t>DSM2504-AL01</t>
    <phoneticPr fontId="2" type="noConversion"/>
  </si>
  <si>
    <t>DSM2504-AL02</t>
  </si>
  <si>
    <t>DSM2504-AL03</t>
  </si>
  <si>
    <t>PL</t>
    <phoneticPr fontId="2" type="noConversion"/>
  </si>
  <si>
    <t>O</t>
    <phoneticPr fontId="2" type="noConversion"/>
  </si>
  <si>
    <t>41072-25-500753X</t>
    <phoneticPr fontId="2" type="noConversion"/>
  </si>
  <si>
    <t>41072-25-500753X</t>
    <phoneticPr fontId="2" type="noConversion"/>
  </si>
  <si>
    <t>41072-25-500972X</t>
    <phoneticPr fontId="2" type="noConversion"/>
  </si>
  <si>
    <t>41072-25-501051X</t>
    <phoneticPr fontId="2" type="noConversion"/>
  </si>
  <si>
    <t>주소지</t>
    <phoneticPr fontId="2" type="noConversion"/>
  </si>
  <si>
    <t>41072-25-501139X</t>
    <phoneticPr fontId="2" type="noConversion"/>
  </si>
  <si>
    <t>2504P01</t>
    <phoneticPr fontId="2" type="noConversion"/>
  </si>
  <si>
    <t>2504P02</t>
  </si>
  <si>
    <t>2504P03</t>
  </si>
  <si>
    <t>2504P04</t>
  </si>
  <si>
    <t>2504P05</t>
  </si>
  <si>
    <t>2504P06</t>
  </si>
  <si>
    <t>2504P07</t>
  </si>
  <si>
    <t>2504P08</t>
  </si>
  <si>
    <t>2504P09</t>
  </si>
  <si>
    <t>2504P10</t>
  </si>
  <si>
    <t>2504P11</t>
  </si>
  <si>
    <t>2504P12</t>
  </si>
  <si>
    <t>41072-25-500846X</t>
    <phoneticPr fontId="2" type="noConversion"/>
  </si>
  <si>
    <t>41072-25-500931X</t>
    <phoneticPr fontId="2" type="noConversion"/>
  </si>
  <si>
    <t>41072-25-500932X</t>
    <phoneticPr fontId="2" type="noConversion"/>
  </si>
  <si>
    <t>41072-25-500933X</t>
    <phoneticPr fontId="2" type="noConversion"/>
  </si>
  <si>
    <t>41072-25-500964X</t>
    <phoneticPr fontId="2" type="noConversion"/>
  </si>
  <si>
    <t>41072-25-501002X</t>
    <phoneticPr fontId="2" type="noConversion"/>
  </si>
  <si>
    <t>41072-25-501003X</t>
  </si>
  <si>
    <t>41072-25-501004X</t>
  </si>
  <si>
    <t>41072-25-501035X</t>
    <phoneticPr fontId="2" type="noConversion"/>
  </si>
  <si>
    <t>41072-25-501076X</t>
    <phoneticPr fontId="2" type="noConversion"/>
  </si>
  <si>
    <t>41072-25-501128X</t>
    <phoneticPr fontId="2" type="noConversion"/>
  </si>
  <si>
    <t>41072-25-501097X</t>
    <phoneticPr fontId="2" type="noConversion"/>
  </si>
  <si>
    <t>DSM2504-MC01</t>
    <phoneticPr fontId="2" type="noConversion"/>
  </si>
  <si>
    <t>DSM2504-MC02</t>
    <phoneticPr fontId="2" type="noConversion"/>
  </si>
  <si>
    <t>41072-25-500848X</t>
    <phoneticPr fontId="2" type="noConversion"/>
  </si>
  <si>
    <t>41072-25-501066X</t>
    <phoneticPr fontId="2" type="noConversion"/>
  </si>
  <si>
    <t>DSM2504-R01</t>
    <phoneticPr fontId="2" type="noConversion"/>
  </si>
  <si>
    <t>41129-25-040255X</t>
    <phoneticPr fontId="2" type="noConversion"/>
  </si>
  <si>
    <t>DSM2504-SM01</t>
    <phoneticPr fontId="2" type="noConversion"/>
  </si>
  <si>
    <t>DSM2503-AM02</t>
    <phoneticPr fontId="2" type="noConversion"/>
  </si>
  <si>
    <t>DSM2504-AM01</t>
    <phoneticPr fontId="2" type="noConversion"/>
  </si>
  <si>
    <t>20576-25-040022X</t>
    <phoneticPr fontId="2" type="noConversion"/>
  </si>
  <si>
    <t>O</t>
    <phoneticPr fontId="2" type="noConversion"/>
  </si>
  <si>
    <t>X</t>
    <phoneticPr fontId="2" type="noConversion"/>
  </si>
  <si>
    <t>41072-25-500925X</t>
    <phoneticPr fontId="2" type="noConversion"/>
  </si>
  <si>
    <t>DSM2504-SE01</t>
    <phoneticPr fontId="2" type="noConversion"/>
  </si>
  <si>
    <t>DSM2504-SE02</t>
    <phoneticPr fontId="2" type="noConversion"/>
  </si>
  <si>
    <t>41072-25-200845X</t>
    <phoneticPr fontId="2" type="noConversion"/>
  </si>
  <si>
    <t>DSM2504-EM01</t>
    <phoneticPr fontId="2" type="noConversion"/>
  </si>
  <si>
    <t>DSM2504-EM02</t>
  </si>
  <si>
    <t>DSM2504-EM03</t>
  </si>
  <si>
    <t>DSM2504-EM04</t>
  </si>
  <si>
    <t>DSM2504-EM05</t>
  </si>
  <si>
    <t>DSM2504-EM06</t>
  </si>
  <si>
    <t>DSM2504-EM07</t>
  </si>
  <si>
    <t>DSM2504-EM08</t>
  </si>
  <si>
    <t>DSM2504-EM09</t>
  </si>
  <si>
    <t>DSM2504-EM10</t>
  </si>
  <si>
    <t>41072-25-500873X</t>
    <phoneticPr fontId="2" type="noConversion"/>
  </si>
  <si>
    <t>41072-25-500912X</t>
    <phoneticPr fontId="2" type="noConversion"/>
  </si>
  <si>
    <t>41072-25-500859X</t>
    <phoneticPr fontId="2" type="noConversion"/>
  </si>
  <si>
    <t>41072-25-500913X</t>
    <phoneticPr fontId="2" type="noConversion"/>
  </si>
  <si>
    <t>41072-25-500914X</t>
    <phoneticPr fontId="2" type="noConversion"/>
  </si>
  <si>
    <t>41072-25-200875X</t>
    <phoneticPr fontId="2" type="noConversion"/>
  </si>
  <si>
    <t>41072-25-501080X</t>
    <phoneticPr fontId="2" type="noConversion"/>
  </si>
  <si>
    <t>41072-25-501087X</t>
    <phoneticPr fontId="2" type="noConversion"/>
  </si>
  <si>
    <t>41072-25-501115X</t>
    <phoneticPr fontId="2" type="noConversion"/>
  </si>
  <si>
    <t>41072-25-501102X</t>
    <phoneticPr fontId="2" type="noConversion"/>
  </si>
  <si>
    <t>주소지 확인요청</t>
    <phoneticPr fontId="2" type="noConversion"/>
  </si>
  <si>
    <t>DSM2504-01</t>
    <phoneticPr fontId="2" type="noConversion"/>
  </si>
  <si>
    <t>DSM2504-02</t>
  </si>
  <si>
    <t>DSM2504-03</t>
  </si>
  <si>
    <t>DSM2504-04</t>
  </si>
  <si>
    <t>DSM2504-05</t>
  </si>
  <si>
    <t>DSM2504-06</t>
  </si>
  <si>
    <t>DSM2504-07</t>
  </si>
  <si>
    <t>DSM2504-08</t>
  </si>
  <si>
    <t>DSM2504-09</t>
  </si>
  <si>
    <t>DSM2504-10</t>
  </si>
  <si>
    <t>DSM2504-11</t>
  </si>
  <si>
    <t>DSM2504-12</t>
  </si>
  <si>
    <t>DSM2504-13</t>
  </si>
  <si>
    <t>DSM2504-14</t>
  </si>
  <si>
    <t>DSM2504-15</t>
  </si>
  <si>
    <t>DSM2504-16</t>
  </si>
  <si>
    <t>41072-25-500903X</t>
    <phoneticPr fontId="2" type="noConversion"/>
  </si>
  <si>
    <t>41072-25-500990X</t>
    <phoneticPr fontId="2" type="noConversion"/>
  </si>
  <si>
    <t>41072-25-500911X</t>
    <phoneticPr fontId="2" type="noConversion"/>
  </si>
  <si>
    <t>41072-25-500991X</t>
    <phoneticPr fontId="2" type="noConversion"/>
  </si>
  <si>
    <t>41251-25-005441X</t>
    <phoneticPr fontId="2" type="noConversion"/>
  </si>
  <si>
    <t>41072-25-501059X</t>
    <phoneticPr fontId="2" type="noConversion"/>
  </si>
  <si>
    <t>41072-25-501060X</t>
    <phoneticPr fontId="2" type="noConversion"/>
  </si>
  <si>
    <t>41072-25-500926X</t>
    <phoneticPr fontId="2" type="noConversion"/>
  </si>
  <si>
    <t>41072-25-501061X</t>
    <phoneticPr fontId="2" type="noConversion"/>
  </si>
  <si>
    <t>41072-25-501071X</t>
    <phoneticPr fontId="2" type="noConversion"/>
  </si>
  <si>
    <t>41072-25-501133X</t>
    <phoneticPr fontId="2" type="noConversion"/>
  </si>
  <si>
    <t>41072-25-501134X</t>
    <phoneticPr fontId="2" type="noConversion"/>
  </si>
  <si>
    <t>41072-25-501135X</t>
    <phoneticPr fontId="2" type="noConversion"/>
  </si>
  <si>
    <t>41072-25-501127X</t>
    <phoneticPr fontId="2" type="noConversion"/>
  </si>
  <si>
    <t>DSM2504-SK01</t>
    <phoneticPr fontId="2" type="noConversion"/>
  </si>
  <si>
    <t>DSM2504-SK02</t>
  </si>
  <si>
    <t>DSM2504-SK03</t>
  </si>
  <si>
    <t>DSM2504-SK04</t>
  </si>
  <si>
    <t>DSM2504-SK05</t>
  </si>
  <si>
    <t>41072-25-500896X</t>
    <phoneticPr fontId="2" type="noConversion"/>
  </si>
  <si>
    <t>41072-25-500971X</t>
    <phoneticPr fontId="2" type="noConversion"/>
  </si>
  <si>
    <t>41072-25-501040X</t>
    <phoneticPr fontId="2" type="noConversion"/>
  </si>
  <si>
    <t>41072-25-501073X</t>
    <phoneticPr fontId="2" type="noConversion"/>
  </si>
  <si>
    <t>41072-25-200978X</t>
    <phoneticPr fontId="2" type="noConversion"/>
  </si>
  <si>
    <t>41072-25-501140X</t>
    <phoneticPr fontId="2" type="noConversion"/>
  </si>
  <si>
    <t>JS TECH(코마텍)</t>
    <phoneticPr fontId="2" type="noConversion"/>
  </si>
  <si>
    <t>DSM2504-JS01</t>
    <phoneticPr fontId="2" type="noConversion"/>
  </si>
  <si>
    <t>41072-25-501108X</t>
    <phoneticPr fontId="2" type="noConversion"/>
  </si>
  <si>
    <t>ABS 2596 선급검사비</t>
  </si>
  <si>
    <t>ABS 2641 선급검사비</t>
  </si>
  <si>
    <t>ABS 2643 선급검사비</t>
  </si>
  <si>
    <t>LR 2642 선급검사비</t>
  </si>
  <si>
    <t>LR 2651 선급검사비</t>
  </si>
  <si>
    <t>DSM2504-AT01</t>
    <phoneticPr fontId="2" type="noConversion"/>
  </si>
  <si>
    <t>DSM2504-AT02</t>
    <phoneticPr fontId="2" type="noConversion"/>
  </si>
  <si>
    <t>3월 이월분</t>
    <phoneticPr fontId="2" type="noConversion"/>
  </si>
  <si>
    <t>DSM2504-R02</t>
  </si>
  <si>
    <t>비엘없음</t>
    <phoneticPr fontId="2" type="noConversion"/>
  </si>
  <si>
    <t>41072-25-200959X</t>
    <phoneticPr fontId="2" type="noConversion"/>
  </si>
  <si>
    <t>기타 (ATLAS중국)</t>
    <phoneticPr fontId="2" type="noConversion"/>
  </si>
  <si>
    <t>DSM2504-SK06</t>
    <phoneticPr fontId="2" type="noConversion"/>
  </si>
  <si>
    <t>수신예정</t>
    <phoneticPr fontId="2" type="noConversion"/>
  </si>
  <si>
    <t>※ 2025년 4월 마감내역 ※</t>
    <phoneticPr fontId="3" type="noConversion"/>
  </si>
  <si>
    <t>DSM2501-SM01
DSM2502-SM02</t>
    <phoneticPr fontId="2" type="noConversion"/>
  </si>
  <si>
    <t>4/14 불량 12EA 재수입</t>
    <phoneticPr fontId="2" type="noConversion"/>
  </si>
  <si>
    <t>41649-25-101291X</t>
    <phoneticPr fontId="2" type="noConversion"/>
  </si>
  <si>
    <t>DSM2504-AC01</t>
    <phoneticPr fontId="2" type="noConversion"/>
  </si>
  <si>
    <t>41072-25-501075X</t>
    <phoneticPr fontId="2" type="noConversion"/>
  </si>
  <si>
    <t>무역보험공사 등록 여부</t>
    <phoneticPr fontId="2" type="noConversion"/>
  </si>
  <si>
    <t>-</t>
    <phoneticPr fontId="2" type="noConversion"/>
  </si>
  <si>
    <t>O</t>
    <phoneticPr fontId="2" type="noConversion"/>
  </si>
  <si>
    <t>DSM2505-AL01</t>
    <phoneticPr fontId="2" type="noConversion"/>
  </si>
  <si>
    <t>41072-25-501232X</t>
    <phoneticPr fontId="2" type="noConversion"/>
  </si>
  <si>
    <t>41072-25-501139X</t>
  </si>
  <si>
    <t>DSM2505-AL02</t>
    <phoneticPr fontId="2" type="noConversion"/>
  </si>
  <si>
    <t>DSM2505-AL03</t>
    <phoneticPr fontId="2" type="noConversion"/>
  </si>
  <si>
    <t>2504P11</t>
    <phoneticPr fontId="2" type="noConversion"/>
  </si>
  <si>
    <t>41072-25-501128X</t>
    <phoneticPr fontId="2" type="noConversion"/>
  </si>
  <si>
    <t>2505P01</t>
    <phoneticPr fontId="2" type="noConversion"/>
  </si>
  <si>
    <t>2505P02</t>
  </si>
  <si>
    <t>2505P03</t>
  </si>
  <si>
    <t>2505P04</t>
  </si>
  <si>
    <t>2505P06</t>
  </si>
  <si>
    <t>2505P07</t>
  </si>
  <si>
    <t>2505P08</t>
  </si>
  <si>
    <t>2505P09</t>
  </si>
  <si>
    <t>2505P10</t>
  </si>
  <si>
    <t>2505P11</t>
  </si>
  <si>
    <t>O</t>
    <phoneticPr fontId="2" type="noConversion"/>
  </si>
  <si>
    <t>41072-25-501129X</t>
    <phoneticPr fontId="2" type="noConversion"/>
  </si>
  <si>
    <t>41072-25-501221X</t>
    <phoneticPr fontId="2" type="noConversion"/>
  </si>
  <si>
    <t>41072-25-501170X</t>
    <phoneticPr fontId="2" type="noConversion"/>
  </si>
  <si>
    <t>41072-25-501235X</t>
    <phoneticPr fontId="2" type="noConversion"/>
  </si>
  <si>
    <t>2505P05</t>
    <phoneticPr fontId="2" type="noConversion"/>
  </si>
  <si>
    <t>41072-25-501360X</t>
    <phoneticPr fontId="2" type="noConversion"/>
  </si>
  <si>
    <t>X</t>
    <phoneticPr fontId="2" type="noConversion"/>
  </si>
  <si>
    <t>41072-25-501348X</t>
    <phoneticPr fontId="2" type="noConversion"/>
  </si>
  <si>
    <t>41072-25-501130X</t>
    <phoneticPr fontId="2" type="noConversion"/>
  </si>
  <si>
    <t>※ 2025년 5월 마감내역 ※</t>
    <phoneticPr fontId="3" type="noConversion"/>
  </si>
  <si>
    <t>41072-25-501181X</t>
    <phoneticPr fontId="2" type="noConversion"/>
  </si>
  <si>
    <t>41072-25-501300X</t>
    <phoneticPr fontId="2" type="noConversion"/>
  </si>
  <si>
    <t>41072-25-501301X</t>
    <phoneticPr fontId="2" type="noConversion"/>
  </si>
  <si>
    <t>41072-25-501302X</t>
    <phoneticPr fontId="2" type="noConversion"/>
  </si>
  <si>
    <t>2505P12</t>
  </si>
  <si>
    <t>41072-25-501303X</t>
    <phoneticPr fontId="2" type="noConversion"/>
  </si>
  <si>
    <t>41072-25-501133X</t>
  </si>
  <si>
    <t>41072-25-501134X</t>
  </si>
  <si>
    <t>41072-25-200959X</t>
  </si>
  <si>
    <t>41072-25-501135X</t>
  </si>
  <si>
    <t>DSM2505-01</t>
    <phoneticPr fontId="2" type="noConversion"/>
  </si>
  <si>
    <t>DSM2505-02</t>
  </si>
  <si>
    <t>DSM2505-03</t>
  </si>
  <si>
    <t>DSM2505-04</t>
  </si>
  <si>
    <t>DSM2505-05</t>
  </si>
  <si>
    <t>DSM2505-06</t>
  </si>
  <si>
    <t>DSM2505-07</t>
  </si>
  <si>
    <t>DSM2505-08</t>
  </si>
  <si>
    <t>DSM2505-09</t>
  </si>
  <si>
    <t>DSM2505-10</t>
  </si>
  <si>
    <t>DSM2505-11</t>
  </si>
  <si>
    <t>DSM2505-12</t>
  </si>
  <si>
    <t>41072-25-201114X</t>
    <phoneticPr fontId="2" type="noConversion"/>
  </si>
  <si>
    <t>41072-25-501210X</t>
    <phoneticPr fontId="2" type="noConversion"/>
  </si>
  <si>
    <t>41072-25-501282X</t>
    <phoneticPr fontId="2" type="noConversion"/>
  </si>
  <si>
    <t>41072-25-501283X</t>
    <phoneticPr fontId="2" type="noConversion"/>
  </si>
  <si>
    <t>41072-25-501365X</t>
    <phoneticPr fontId="2" type="noConversion"/>
  </si>
  <si>
    <t>41072-25-501180X</t>
    <phoneticPr fontId="2" type="noConversion"/>
  </si>
  <si>
    <t>41072-25-201181X</t>
    <phoneticPr fontId="2" type="noConversion"/>
  </si>
  <si>
    <t>41072-25-501366X</t>
    <phoneticPr fontId="2" type="noConversion"/>
  </si>
  <si>
    <t>확인요청</t>
    <phoneticPr fontId="2" type="noConversion"/>
  </si>
  <si>
    <t>41072-25-501367X</t>
    <phoneticPr fontId="2" type="noConversion"/>
  </si>
  <si>
    <t>41072-25-501311X</t>
    <phoneticPr fontId="2" type="noConversion"/>
  </si>
  <si>
    <t>DSM2505-13</t>
  </si>
  <si>
    <t>DSM2505-14</t>
  </si>
  <si>
    <t>DSM2505-15</t>
  </si>
  <si>
    <t>41072-25-501350X</t>
    <phoneticPr fontId="2" type="noConversion"/>
  </si>
  <si>
    <t>DSM2505-MC01</t>
    <phoneticPr fontId="2" type="noConversion"/>
  </si>
  <si>
    <t>41072-25-501262X</t>
    <phoneticPr fontId="2" type="noConversion"/>
  </si>
  <si>
    <t>DSM2504-R01</t>
  </si>
  <si>
    <t>41072-25-501249X</t>
    <phoneticPr fontId="2" type="noConversion"/>
  </si>
  <si>
    <t>DSM2504-SM01</t>
  </si>
  <si>
    <t>41129-25-040255X</t>
  </si>
  <si>
    <t>DSM2505-SE01</t>
    <phoneticPr fontId="2" type="noConversion"/>
  </si>
  <si>
    <t>41072-25-501171X</t>
    <phoneticPr fontId="2" type="noConversion"/>
  </si>
  <si>
    <t>DSM2505-EM01</t>
    <phoneticPr fontId="2" type="noConversion"/>
  </si>
  <si>
    <t>DSM2505-EM02</t>
  </si>
  <si>
    <t>DSM2505-EM03</t>
  </si>
  <si>
    <t>DSM2505-EM04</t>
  </si>
  <si>
    <t>DSM2505-EM05</t>
  </si>
  <si>
    <t>DSM2505-EM06</t>
  </si>
  <si>
    <t>41072-25-501153X</t>
    <phoneticPr fontId="2" type="noConversion"/>
  </si>
  <si>
    <t>41072-25-501154X</t>
    <phoneticPr fontId="2" type="noConversion"/>
  </si>
  <si>
    <t>41072-25-501166X</t>
    <phoneticPr fontId="2" type="noConversion"/>
  </si>
  <si>
    <t>41072-25-501220X</t>
    <phoneticPr fontId="2" type="noConversion"/>
  </si>
  <si>
    <t>41072-25-501234X</t>
    <phoneticPr fontId="2" type="noConversion"/>
  </si>
  <si>
    <t>41072-25-501305X</t>
    <phoneticPr fontId="2" type="noConversion"/>
  </si>
  <si>
    <t>DSM2504-AM01</t>
  </si>
  <si>
    <t>DSM2505-AM01</t>
    <phoneticPr fontId="2" type="noConversion"/>
  </si>
  <si>
    <t>DSM2505-AM02</t>
  </si>
  <si>
    <t>DSM2505-AM03</t>
  </si>
  <si>
    <t>DSM2505-AM04</t>
  </si>
  <si>
    <t>20576-25-050164X</t>
    <phoneticPr fontId="2" type="noConversion"/>
  </si>
  <si>
    <t>DSM2504-SK06</t>
  </si>
  <si>
    <t>41072-25-501140X</t>
  </si>
  <si>
    <t>DSM2505-SM01</t>
    <phoneticPr fontId="2" type="noConversion"/>
  </si>
  <si>
    <t>DSM2505-R01</t>
    <phoneticPr fontId="2" type="noConversion"/>
  </si>
  <si>
    <t>DSM2505-R02</t>
  </si>
  <si>
    <t>DSM2505-MC02</t>
  </si>
  <si>
    <t>O</t>
    <phoneticPr fontId="2" type="noConversion"/>
  </si>
  <si>
    <t>X</t>
    <phoneticPr fontId="2" type="noConversion"/>
  </si>
  <si>
    <t>41072-25-501395X</t>
    <phoneticPr fontId="2" type="noConversion"/>
  </si>
  <si>
    <t>미발행</t>
    <phoneticPr fontId="2" type="noConversion"/>
  </si>
  <si>
    <t>미발행(6월 이월 예정)</t>
    <phoneticPr fontId="2" type="noConversion"/>
  </si>
  <si>
    <t>DSM2505-R04</t>
    <phoneticPr fontId="2" type="noConversion"/>
  </si>
  <si>
    <t>41072-25-501304X</t>
    <phoneticPr fontId="2" type="noConversion"/>
  </si>
  <si>
    <t>수정</t>
    <phoneticPr fontId="2" type="noConversion"/>
  </si>
  <si>
    <t>41072-25-501308X</t>
    <phoneticPr fontId="2" type="noConversion"/>
  </si>
  <si>
    <t>41072-25-501309X</t>
    <phoneticPr fontId="2" type="noConversion"/>
  </si>
  <si>
    <t>41072-25-501418X</t>
    <phoneticPr fontId="2" type="noConversion"/>
  </si>
  <si>
    <t>DSM2505-AC01</t>
    <phoneticPr fontId="2" type="noConversion"/>
  </si>
  <si>
    <t>41072-25-501312X</t>
    <phoneticPr fontId="2" type="noConversion"/>
  </si>
  <si>
    <t>O</t>
    <phoneticPr fontId="2" type="noConversion"/>
  </si>
  <si>
    <t>미발행</t>
    <phoneticPr fontId="2" type="noConversion"/>
  </si>
  <si>
    <t>41072-25-501419X</t>
    <phoneticPr fontId="2" type="noConversion"/>
  </si>
  <si>
    <t>20576-25-050289X</t>
    <phoneticPr fontId="2" type="noConversion"/>
  </si>
  <si>
    <t>20576-25-050435X</t>
    <phoneticPr fontId="2" type="noConversion"/>
  </si>
  <si>
    <t>20576-25-050032X</t>
    <phoneticPr fontId="2" type="noConversion"/>
  </si>
  <si>
    <t>DSM2505-SK01</t>
    <phoneticPr fontId="2" type="noConversion"/>
  </si>
  <si>
    <t>DSM2505-SK02</t>
  </si>
  <si>
    <t>DSM2505-SK03</t>
  </si>
  <si>
    <t>41072-25-501202X</t>
    <phoneticPr fontId="2" type="noConversion"/>
  </si>
  <si>
    <t>41072-25-501255X</t>
    <phoneticPr fontId="2" type="noConversion"/>
  </si>
  <si>
    <t>41072-25-501346X</t>
    <phoneticPr fontId="2" type="noConversion"/>
  </si>
  <si>
    <t>ABS CMHI-282-03-SK03</t>
    <phoneticPr fontId="2" type="noConversion"/>
  </si>
  <si>
    <t>ABS 3401-SK01</t>
    <phoneticPr fontId="2" type="noConversion"/>
  </si>
  <si>
    <t>ABS 3400-SK01</t>
    <phoneticPr fontId="2" type="noConversion"/>
  </si>
  <si>
    <t>ABS 3998-SK05</t>
    <phoneticPr fontId="2" type="noConversion"/>
  </si>
  <si>
    <t>ABS 2647-SK07</t>
    <phoneticPr fontId="2" type="noConversion"/>
  </si>
  <si>
    <t>ABS 2569-SK01</t>
    <phoneticPr fontId="2" type="noConversion"/>
  </si>
  <si>
    <t>ABS 2316-SK02</t>
    <phoneticPr fontId="2" type="noConversion"/>
  </si>
  <si>
    <t>JS TECH(코마츠)</t>
    <phoneticPr fontId="2" type="noConversion"/>
  </si>
  <si>
    <t>DSM2504-JS03</t>
  </si>
  <si>
    <t>41072-25-501352X</t>
    <phoneticPr fontId="2" type="noConversion"/>
  </si>
  <si>
    <t>ABS 2645</t>
    <phoneticPr fontId="2" type="noConversion"/>
  </si>
  <si>
    <t>DNV 2644</t>
    <phoneticPr fontId="2" type="noConversion"/>
  </si>
  <si>
    <t>KR 2632</t>
    <phoneticPr fontId="2" type="noConversion"/>
  </si>
  <si>
    <t>KR2633</t>
    <phoneticPr fontId="2" type="noConversion"/>
  </si>
  <si>
    <t>LR 2652</t>
    <phoneticPr fontId="2" type="noConversion"/>
  </si>
  <si>
    <t>LR 2653</t>
    <phoneticPr fontId="2" type="noConversion"/>
  </si>
  <si>
    <t>DSM2505-AT01</t>
    <phoneticPr fontId="2" type="noConversion"/>
  </si>
  <si>
    <t>DSM2505-AT02</t>
  </si>
  <si>
    <t>4월 이월분</t>
    <phoneticPr fontId="2" type="noConversion"/>
  </si>
  <si>
    <t>O</t>
    <phoneticPr fontId="2" type="noConversion"/>
  </si>
  <si>
    <t>O</t>
    <phoneticPr fontId="2" type="noConversion"/>
  </si>
  <si>
    <t>-</t>
    <phoneticPr fontId="2" type="noConversion"/>
  </si>
  <si>
    <t>DSM2505-SK04</t>
    <phoneticPr fontId="2" type="noConversion"/>
  </si>
  <si>
    <t>41072-25-501417X</t>
    <phoneticPr fontId="2" type="noConversion"/>
  </si>
  <si>
    <t>DSM2505-AL03</t>
  </si>
  <si>
    <t>41072-25-501419X</t>
  </si>
  <si>
    <t>2505P05</t>
  </si>
  <si>
    <t>41072-25-501360X</t>
  </si>
  <si>
    <t>41072-25-501348X</t>
  </si>
  <si>
    <t>41072-25-501365X</t>
  </si>
  <si>
    <t>41072-25-501366X</t>
  </si>
  <si>
    <t>41072-25-501395X</t>
  </si>
  <si>
    <t>41072-25-501367X</t>
  </si>
  <si>
    <t>DSM2505-SK04</t>
  </si>
  <si>
    <t>41072-25-501417X</t>
  </si>
  <si>
    <t>P/I 주소지</t>
    <phoneticPr fontId="2" type="noConversion"/>
  </si>
  <si>
    <t>DSM2506-AL01</t>
    <phoneticPr fontId="2" type="noConversion"/>
  </si>
  <si>
    <t>41072-25-501515X</t>
    <phoneticPr fontId="2" type="noConversion"/>
  </si>
  <si>
    <t>DSM2506-AL02</t>
    <phoneticPr fontId="2" type="noConversion"/>
  </si>
  <si>
    <t>41072-25-501630X</t>
    <phoneticPr fontId="2" type="noConversion"/>
  </si>
  <si>
    <t>DSM2506-AL03</t>
    <phoneticPr fontId="2" type="noConversion"/>
  </si>
  <si>
    <t>41072-25-501681X</t>
    <phoneticPr fontId="2" type="noConversion"/>
  </si>
  <si>
    <t>※ 2025년 6월 마감내역 ※</t>
    <phoneticPr fontId="3" type="noConversion"/>
  </si>
  <si>
    <t>2506P01</t>
    <phoneticPr fontId="2" type="noConversion"/>
  </si>
  <si>
    <t>2506P02</t>
  </si>
  <si>
    <t>2506P03</t>
  </si>
  <si>
    <t>2506P04</t>
  </si>
  <si>
    <t>2506P05</t>
  </si>
  <si>
    <t>2506P06</t>
  </si>
  <si>
    <t>2506P07</t>
  </si>
  <si>
    <t>2506P08</t>
  </si>
  <si>
    <t>2506P09</t>
  </si>
  <si>
    <t>2506P10</t>
  </si>
  <si>
    <t>2506P11</t>
  </si>
  <si>
    <t>41072-25-501425X</t>
    <phoneticPr fontId="2" type="noConversion"/>
  </si>
  <si>
    <t>41072-25-501426X</t>
    <phoneticPr fontId="2" type="noConversion"/>
  </si>
  <si>
    <t>41072-25-501427X</t>
    <phoneticPr fontId="2" type="noConversion"/>
  </si>
  <si>
    <t>41072-25-501461X</t>
    <phoneticPr fontId="2" type="noConversion"/>
  </si>
  <si>
    <t>41072-25-501556X</t>
    <phoneticPr fontId="2" type="noConversion"/>
  </si>
  <si>
    <t>O</t>
    <phoneticPr fontId="2" type="noConversion"/>
  </si>
  <si>
    <t>41072-25-501546X</t>
    <phoneticPr fontId="2" type="noConversion"/>
  </si>
  <si>
    <t>41072-25-501578X</t>
    <phoneticPr fontId="2" type="noConversion"/>
  </si>
  <si>
    <t>41072-25-501547X</t>
    <phoneticPr fontId="2" type="noConversion"/>
  </si>
  <si>
    <t>41072-25-501498X</t>
    <phoneticPr fontId="2" type="noConversion"/>
  </si>
  <si>
    <t>41072-25-501648X</t>
    <phoneticPr fontId="2" type="noConversion"/>
  </si>
  <si>
    <t>41072-25-501644X</t>
    <phoneticPr fontId="2" type="noConversion"/>
  </si>
  <si>
    <t>41072-25-501448X</t>
    <phoneticPr fontId="2" type="noConversion"/>
  </si>
  <si>
    <t>41072-25-501423X</t>
    <phoneticPr fontId="2" type="noConversion"/>
  </si>
  <si>
    <t>DSM2506-01</t>
    <phoneticPr fontId="2" type="noConversion"/>
  </si>
  <si>
    <t>DSM2506-02</t>
  </si>
  <si>
    <t>DSM2506-03</t>
  </si>
  <si>
    <t>DSM2506-04</t>
  </si>
  <si>
    <t>DSM2506-05</t>
  </si>
  <si>
    <t>DSM2506-06</t>
  </si>
  <si>
    <t>DSM2506-07</t>
  </si>
  <si>
    <t>DSM2506-08</t>
  </si>
  <si>
    <t>DSM2506-09</t>
  </si>
  <si>
    <t>DSM2506-10</t>
  </si>
  <si>
    <t>DSM2506-11</t>
  </si>
  <si>
    <t>DSM2506-12</t>
  </si>
  <si>
    <t>DSM2506-13</t>
  </si>
  <si>
    <t>X</t>
    <phoneticPr fontId="2" type="noConversion"/>
  </si>
  <si>
    <t>41072-25-501424X</t>
    <phoneticPr fontId="2" type="noConversion"/>
  </si>
  <si>
    <t>DSM2506-14</t>
  </si>
  <si>
    <t>DSM2506-15</t>
  </si>
  <si>
    <t>DSM2506-16</t>
  </si>
  <si>
    <t>DSM2506-17</t>
  </si>
  <si>
    <t>DSM2506-18</t>
  </si>
  <si>
    <t>DSM2506-19</t>
  </si>
  <si>
    <t>DSM2506-20</t>
  </si>
  <si>
    <t>DSM2506-21</t>
  </si>
  <si>
    <t>41072-25-501475X</t>
    <phoneticPr fontId="2" type="noConversion"/>
  </si>
  <si>
    <t>41072-25-501476X</t>
    <phoneticPr fontId="2" type="noConversion"/>
  </si>
  <si>
    <t>41072-25-501477X</t>
    <phoneticPr fontId="2" type="noConversion"/>
  </si>
  <si>
    <t>41072-25-201397X</t>
    <phoneticPr fontId="2" type="noConversion"/>
  </si>
  <si>
    <t>41072-25-201398X</t>
    <phoneticPr fontId="2" type="noConversion"/>
  </si>
  <si>
    <t>41072-25-501534X</t>
    <phoneticPr fontId="2" type="noConversion"/>
  </si>
  <si>
    <t>41072-25-501535X</t>
    <phoneticPr fontId="2" type="noConversion"/>
  </si>
  <si>
    <t>41072-25-501463X</t>
    <phoneticPr fontId="2" type="noConversion"/>
  </si>
  <si>
    <t>41072-25-501480X</t>
    <phoneticPr fontId="2" type="noConversion"/>
  </si>
  <si>
    <t>41072-25-501609X</t>
    <phoneticPr fontId="2" type="noConversion"/>
  </si>
  <si>
    <t>41072-25-501558X</t>
  </si>
  <si>
    <t>41072-25-501610X</t>
    <phoneticPr fontId="2" type="noConversion"/>
  </si>
  <si>
    <t>41072-25-501508X</t>
    <phoneticPr fontId="2" type="noConversion"/>
  </si>
  <si>
    <t>41072-25-501557X</t>
    <phoneticPr fontId="2" type="noConversion"/>
  </si>
  <si>
    <t>41072-25-501626X</t>
    <phoneticPr fontId="2" type="noConversion"/>
  </si>
  <si>
    <t>41072-25-501611X</t>
    <phoneticPr fontId="2" type="noConversion"/>
  </si>
  <si>
    <t>41072-25-501612X</t>
    <phoneticPr fontId="2" type="noConversion"/>
  </si>
  <si>
    <t>41072-25-501693X</t>
    <phoneticPr fontId="2" type="noConversion"/>
  </si>
  <si>
    <t>41072-25-501654X</t>
    <phoneticPr fontId="2" type="noConversion"/>
  </si>
  <si>
    <t>41072-25-501694X</t>
    <phoneticPr fontId="2" type="noConversion"/>
  </si>
  <si>
    <t>DSM2506-MC01</t>
    <phoneticPr fontId="2" type="noConversion"/>
  </si>
  <si>
    <t>41072-25-501428X</t>
    <phoneticPr fontId="2" type="noConversion"/>
  </si>
  <si>
    <t>DSM2506-MC02</t>
  </si>
  <si>
    <t>41072-25-201396X</t>
    <phoneticPr fontId="2" type="noConversion"/>
  </si>
  <si>
    <t>DSM2506-MC03</t>
    <phoneticPr fontId="2" type="noConversion"/>
  </si>
  <si>
    <t>확인요청</t>
    <phoneticPr fontId="2" type="noConversion"/>
  </si>
  <si>
    <t>DSM2506-SM01</t>
    <phoneticPr fontId="2" type="noConversion"/>
  </si>
  <si>
    <t>DSM2505-R04</t>
    <phoneticPr fontId="2" type="noConversion"/>
  </si>
  <si>
    <t>43039-25-501506X</t>
    <phoneticPr fontId="2" type="noConversion"/>
  </si>
  <si>
    <t>DSM2506-R01</t>
    <phoneticPr fontId="2" type="noConversion"/>
  </si>
  <si>
    <t>41072-25-501711X</t>
    <phoneticPr fontId="2" type="noConversion"/>
  </si>
  <si>
    <t>DSM2506-R02</t>
    <phoneticPr fontId="2" type="noConversion"/>
  </si>
  <si>
    <t>41072-25-501726X</t>
    <phoneticPr fontId="2" type="noConversion"/>
  </si>
  <si>
    <t>DSM2506-SE01</t>
    <phoneticPr fontId="2" type="noConversion"/>
  </si>
  <si>
    <t>41072-25-501466X</t>
    <phoneticPr fontId="2" type="noConversion"/>
  </si>
  <si>
    <t>DSM2506-SE02</t>
    <phoneticPr fontId="2" type="noConversion"/>
  </si>
  <si>
    <t>41072-25-501647X</t>
    <phoneticPr fontId="2" type="noConversion"/>
  </si>
  <si>
    <t>DSM2506-EM01</t>
    <phoneticPr fontId="2" type="noConversion"/>
  </si>
  <si>
    <t>DSM2506-EM02</t>
  </si>
  <si>
    <t>DSM2506-EM03</t>
  </si>
  <si>
    <t>DSM2506-EM04</t>
  </si>
  <si>
    <t>DSM2506-EM05</t>
  </si>
  <si>
    <t>41072-25-501507X</t>
    <phoneticPr fontId="2" type="noConversion"/>
  </si>
  <si>
    <t>41072-25-501559X</t>
    <phoneticPr fontId="2" type="noConversion"/>
  </si>
  <si>
    <t>41072-25-501579X</t>
    <phoneticPr fontId="2" type="noConversion"/>
  </si>
  <si>
    <t>41072-25-501560X</t>
    <phoneticPr fontId="2" type="noConversion"/>
  </si>
  <si>
    <t>41072-25-501491X</t>
    <phoneticPr fontId="2" type="noConversion"/>
  </si>
  <si>
    <t>DSM2506-AM01</t>
    <phoneticPr fontId="2" type="noConversion"/>
  </si>
  <si>
    <t>20576-25-060572X</t>
    <phoneticPr fontId="2" type="noConversion"/>
  </si>
  <si>
    <t>DSM2506-AM02</t>
  </si>
  <si>
    <t>20576-25-060534X</t>
    <phoneticPr fontId="2" type="noConversion"/>
  </si>
  <si>
    <t>20576-25-060276X</t>
    <phoneticPr fontId="2" type="noConversion"/>
  </si>
  <si>
    <t>41072-25-501516X</t>
    <phoneticPr fontId="2" type="noConversion"/>
  </si>
  <si>
    <t>DSM2506-SK01</t>
    <phoneticPr fontId="2" type="noConversion"/>
  </si>
  <si>
    <t>DSM2506-SK02</t>
  </si>
  <si>
    <t>DSM2506-SK03</t>
  </si>
  <si>
    <t>41072-25-501586X</t>
    <phoneticPr fontId="2" type="noConversion"/>
  </si>
  <si>
    <t>41072-25-501659X</t>
    <phoneticPr fontId="2" type="noConversion"/>
  </si>
  <si>
    <t>DSM2506-JS01</t>
    <phoneticPr fontId="2" type="noConversion"/>
  </si>
  <si>
    <t>DSM2506-JS02</t>
  </si>
  <si>
    <t>41072-25-501429X</t>
    <phoneticPr fontId="2" type="noConversion"/>
  </si>
  <si>
    <t>41072-25-201399X</t>
    <phoneticPr fontId="2" type="noConversion"/>
  </si>
  <si>
    <t>DSM2506-AT01</t>
    <phoneticPr fontId="2" type="noConversion"/>
  </si>
  <si>
    <t>DSM2506-AT02</t>
  </si>
  <si>
    <t>DSM2506-AT03</t>
  </si>
  <si>
    <t>DSM2506-AT04</t>
  </si>
  <si>
    <t>41072-25-501625X</t>
    <phoneticPr fontId="2" type="noConversion"/>
  </si>
  <si>
    <t>DSM2506-SCP</t>
    <phoneticPr fontId="2" type="noConversion"/>
  </si>
  <si>
    <t>MERCURY CRADLE</t>
    <phoneticPr fontId="2" type="noConversion"/>
  </si>
  <si>
    <t>외관불량</t>
    <phoneticPr fontId="2" type="noConversion"/>
  </si>
  <si>
    <t>34EA</t>
    <phoneticPr fontId="2" type="noConversion"/>
  </si>
  <si>
    <t>-</t>
    <phoneticPr fontId="2" type="noConversion"/>
  </si>
  <si>
    <t>O</t>
    <phoneticPr fontId="2" type="noConversion"/>
  </si>
  <si>
    <t>DSM2506-AL03</t>
  </si>
  <si>
    <t>41072-25-501681X</t>
  </si>
  <si>
    <t>DSM2507-AL01</t>
    <phoneticPr fontId="2" type="noConversion"/>
  </si>
  <si>
    <t>DSM2507-AL02</t>
    <phoneticPr fontId="2" type="noConversion"/>
  </si>
  <si>
    <t>41072-25-501851X</t>
    <phoneticPr fontId="2" type="noConversion"/>
  </si>
  <si>
    <t>41072-25-501969X</t>
    <phoneticPr fontId="2" type="noConversion"/>
  </si>
  <si>
    <t>DOMETIC</t>
    <phoneticPr fontId="2" type="noConversion"/>
  </si>
  <si>
    <t>BERGEN ENGINE</t>
    <phoneticPr fontId="2" type="noConversion"/>
  </si>
  <si>
    <t>41072-25-501648X</t>
  </si>
  <si>
    <t>41072-25-501644X</t>
  </si>
  <si>
    <t>2507P01</t>
    <phoneticPr fontId="2" type="noConversion"/>
  </si>
  <si>
    <t>2507P02</t>
  </si>
  <si>
    <t>2507P03</t>
  </si>
  <si>
    <t>2507P04</t>
  </si>
  <si>
    <t>2507P05</t>
  </si>
  <si>
    <t>2507P06</t>
  </si>
  <si>
    <t>2507P07</t>
  </si>
  <si>
    <t>2507P08</t>
  </si>
  <si>
    <t>2507P09</t>
  </si>
  <si>
    <t>2507P11</t>
  </si>
  <si>
    <t>2507P12</t>
  </si>
  <si>
    <t>2507P13</t>
  </si>
  <si>
    <t>2507P14</t>
  </si>
  <si>
    <t>41072-25-501702X</t>
    <phoneticPr fontId="2" type="noConversion"/>
  </si>
  <si>
    <t>41072-25-501703X</t>
    <phoneticPr fontId="2" type="noConversion"/>
  </si>
  <si>
    <t>41072-25-501835X</t>
    <phoneticPr fontId="2" type="noConversion"/>
  </si>
  <si>
    <t>41072-25-201693X</t>
    <phoneticPr fontId="2" type="noConversion"/>
  </si>
  <si>
    <t>41072-25-501836X</t>
    <phoneticPr fontId="2" type="noConversion"/>
  </si>
  <si>
    <t>41072-25-501877X</t>
  </si>
  <si>
    <t>41072-25-501920X</t>
  </si>
  <si>
    <t>41072-25-501959X</t>
  </si>
  <si>
    <t>41072-25-501837X</t>
    <phoneticPr fontId="2" type="noConversion"/>
  </si>
  <si>
    <t>2507P10</t>
    <phoneticPr fontId="2" type="noConversion"/>
  </si>
  <si>
    <t>41072-25-501921X</t>
    <phoneticPr fontId="2" type="noConversion"/>
  </si>
  <si>
    <t>41072-25-501743X</t>
    <phoneticPr fontId="2" type="noConversion"/>
  </si>
  <si>
    <t>41072-25-501744X</t>
    <phoneticPr fontId="2" type="noConversion"/>
  </si>
  <si>
    <t>41072-25-501866X</t>
    <phoneticPr fontId="2" type="noConversion"/>
  </si>
  <si>
    <t>41072-25-501938X</t>
  </si>
  <si>
    <t>41072-25-501612X</t>
  </si>
  <si>
    <t>41072-25-501693X</t>
  </si>
  <si>
    <t>41072-25-501654X</t>
  </si>
  <si>
    <t>41072-25-501694X</t>
  </si>
  <si>
    <t>DSM2507-01</t>
    <phoneticPr fontId="2" type="noConversion"/>
  </si>
  <si>
    <t>DSM2507-02</t>
  </si>
  <si>
    <t>DSM2507-03</t>
  </si>
  <si>
    <t>DSM2507-04</t>
  </si>
  <si>
    <t>DSM2507-05</t>
  </si>
  <si>
    <t>DSM2507-06</t>
  </si>
  <si>
    <t>DSM2507-07</t>
  </si>
  <si>
    <t>DSM2507-08</t>
  </si>
  <si>
    <t>DSM2507-09</t>
  </si>
  <si>
    <t>DSM2507-10</t>
  </si>
  <si>
    <t>DSM2507-11</t>
  </si>
  <si>
    <t>DSM2507-12</t>
  </si>
  <si>
    <t>DSM2507-13</t>
  </si>
  <si>
    <t>DSM2507-14</t>
  </si>
  <si>
    <t>DSM2507-15</t>
  </si>
  <si>
    <t>DSM2507-16</t>
  </si>
  <si>
    <t>DSM2507-17</t>
  </si>
  <si>
    <t>DSM2507-18</t>
  </si>
  <si>
    <t>41072-25-501691X</t>
    <phoneticPr fontId="2" type="noConversion"/>
  </si>
  <si>
    <t>DSM2506-22</t>
    <phoneticPr fontId="2" type="noConversion"/>
  </si>
  <si>
    <t>X</t>
    <phoneticPr fontId="2" type="noConversion"/>
  </si>
  <si>
    <t>41072-25-501712X</t>
    <phoneticPr fontId="2" type="noConversion"/>
  </si>
  <si>
    <t>41072-25-501655X</t>
    <phoneticPr fontId="2" type="noConversion"/>
  </si>
  <si>
    <t>41072-25-501727X</t>
    <phoneticPr fontId="2" type="noConversion"/>
  </si>
  <si>
    <t>41072-25-501728X</t>
    <phoneticPr fontId="2" type="noConversion"/>
  </si>
  <si>
    <t>41072-25-501761X</t>
    <phoneticPr fontId="2" type="noConversion"/>
  </si>
  <si>
    <t>41072-25-501762X</t>
    <phoneticPr fontId="2" type="noConversion"/>
  </si>
  <si>
    <t>41072-25-501729X</t>
    <phoneticPr fontId="2" type="noConversion"/>
  </si>
  <si>
    <t>41072-25-201703X</t>
    <phoneticPr fontId="2" type="noConversion"/>
  </si>
  <si>
    <t>41072-25-201704X</t>
    <phoneticPr fontId="2" type="noConversion"/>
  </si>
  <si>
    <t>41072-25-501822X</t>
    <phoneticPr fontId="2" type="noConversion"/>
  </si>
  <si>
    <t>41072-25-501823X</t>
    <phoneticPr fontId="2" type="noConversion"/>
  </si>
  <si>
    <t>41072-25-501896X</t>
    <phoneticPr fontId="2" type="noConversion"/>
  </si>
  <si>
    <t>41072-25-501897X</t>
    <phoneticPr fontId="2" type="noConversion"/>
  </si>
  <si>
    <t>41072-25-501898X</t>
    <phoneticPr fontId="2" type="noConversion"/>
  </si>
  <si>
    <t>41072-25-501899X</t>
    <phoneticPr fontId="2" type="noConversion"/>
  </si>
  <si>
    <t>41072-25-501900X</t>
    <phoneticPr fontId="2" type="noConversion"/>
  </si>
  <si>
    <t>41072-25-501961X</t>
  </si>
  <si>
    <t>DSM2506-R01</t>
  </si>
  <si>
    <t>41072-25-501711X</t>
  </si>
  <si>
    <t>DSM2506-R02</t>
  </si>
  <si>
    <t>41072-25-501726X</t>
  </si>
  <si>
    <t>DSM2507-R05</t>
    <phoneticPr fontId="2" type="noConversion"/>
  </si>
  <si>
    <t>41072-25-501758X</t>
    <phoneticPr fontId="2" type="noConversion"/>
  </si>
  <si>
    <t>DSM2507-MC01</t>
    <phoneticPr fontId="2" type="noConversion"/>
  </si>
  <si>
    <t>DSM2507-MC02</t>
  </si>
  <si>
    <t>DSM2507-MC03</t>
  </si>
  <si>
    <t>41072-25-201716X</t>
    <phoneticPr fontId="2" type="noConversion"/>
  </si>
  <si>
    <t>410725-25-501917X</t>
    <phoneticPr fontId="2" type="noConversion"/>
  </si>
  <si>
    <t>DSM2507-R01</t>
    <phoneticPr fontId="2" type="noConversion"/>
  </si>
  <si>
    <t>DSM2507-R02</t>
  </si>
  <si>
    <t>DSM2507-R03</t>
  </si>
  <si>
    <t>DSM2507-R04</t>
  </si>
  <si>
    <t>41072-25-501829X</t>
    <phoneticPr fontId="2" type="noConversion"/>
  </si>
  <si>
    <t>41072-25-501944X</t>
    <phoneticPr fontId="2" type="noConversion"/>
  </si>
  <si>
    <t>41072-25-501913X</t>
    <phoneticPr fontId="2" type="noConversion"/>
  </si>
  <si>
    <t>41072-25-501993X</t>
    <phoneticPr fontId="2" type="noConversion"/>
  </si>
  <si>
    <t>면장미발행</t>
    <phoneticPr fontId="2" type="noConversion"/>
  </si>
  <si>
    <t>DSM2506-SE02</t>
  </si>
  <si>
    <t>41072-25-501647X</t>
  </si>
  <si>
    <t>41129-25-070038X</t>
    <phoneticPr fontId="2" type="noConversion"/>
  </si>
  <si>
    <t>DSM2506-SM01
DSM2507-SM01</t>
    <phoneticPr fontId="2" type="noConversion"/>
  </si>
  <si>
    <t>DSM2507-SE01</t>
    <phoneticPr fontId="2" type="noConversion"/>
  </si>
  <si>
    <t>41072-25-501718X</t>
    <phoneticPr fontId="2" type="noConversion"/>
  </si>
  <si>
    <t>DSM2507-SE02</t>
  </si>
  <si>
    <t>41072-25-501934X</t>
    <phoneticPr fontId="2" type="noConversion"/>
  </si>
  <si>
    <t>DSM2507-EM01</t>
    <phoneticPr fontId="2" type="noConversion"/>
  </si>
  <si>
    <t>DSM2507-EM02</t>
  </si>
  <si>
    <t>DSM2507-EM03</t>
  </si>
  <si>
    <t>DSM2507-EM04</t>
  </si>
  <si>
    <t>DSM2507-EM05</t>
  </si>
  <si>
    <t>DSM2507-EM06</t>
  </si>
  <si>
    <t>41072-25-501700X</t>
    <phoneticPr fontId="2" type="noConversion"/>
  </si>
  <si>
    <t>41072-25-501770X</t>
    <phoneticPr fontId="2" type="noConversion"/>
  </si>
  <si>
    <t>41072-25-501730X</t>
    <phoneticPr fontId="2" type="noConversion"/>
  </si>
  <si>
    <t>41072-25-501748X</t>
    <phoneticPr fontId="2" type="noConversion"/>
  </si>
  <si>
    <t>41072-25-501870X</t>
    <phoneticPr fontId="2" type="noConversion"/>
  </si>
  <si>
    <t>41072-25-501695X</t>
    <phoneticPr fontId="2" type="noConversion"/>
  </si>
  <si>
    <t>DSM2507-AM01</t>
    <phoneticPr fontId="2" type="noConversion"/>
  </si>
  <si>
    <t>DSM2507-AM02</t>
  </si>
  <si>
    <t>DSM2507-AM03</t>
  </si>
  <si>
    <t>20576-25-070398X</t>
    <phoneticPr fontId="2" type="noConversion"/>
  </si>
  <si>
    <t>면장미발행</t>
    <phoneticPr fontId="3" type="noConversion"/>
  </si>
  <si>
    <t>20576-25-070338X</t>
    <phoneticPr fontId="2" type="noConversion"/>
  </si>
  <si>
    <t>41072-25-501790X</t>
    <phoneticPr fontId="2" type="noConversion"/>
  </si>
  <si>
    <t>DSM2507-AC01</t>
    <phoneticPr fontId="2" type="noConversion"/>
  </si>
  <si>
    <t>DSM2506-SK04</t>
    <phoneticPr fontId="2" type="noConversion"/>
  </si>
  <si>
    <t>DSM2507-SK01</t>
    <phoneticPr fontId="2" type="noConversion"/>
  </si>
  <si>
    <t>DSM2507-SK02</t>
  </si>
  <si>
    <t>DSM2507-SK03</t>
  </si>
  <si>
    <t>DSM2507-SK04</t>
    <phoneticPr fontId="2" type="noConversion"/>
  </si>
  <si>
    <t>41072-25-201608X</t>
    <phoneticPr fontId="2" type="noConversion"/>
  </si>
  <si>
    <t>41072-25-501976X</t>
    <phoneticPr fontId="2" type="noConversion"/>
  </si>
  <si>
    <t>41072-25-501789X</t>
    <phoneticPr fontId="2" type="noConversion"/>
  </si>
  <si>
    <t>41072-25-501958X</t>
    <phoneticPr fontId="2" type="noConversion"/>
  </si>
  <si>
    <t>41072-25-300022X</t>
    <phoneticPr fontId="2" type="noConversion"/>
  </si>
  <si>
    <t>DSM2507-JS01</t>
    <phoneticPr fontId="2" type="noConversion"/>
  </si>
  <si>
    <t>DSM2507-JS02</t>
  </si>
  <si>
    <t>DSM2507-JS03</t>
  </si>
  <si>
    <t>DSM2507-JS04</t>
  </si>
  <si>
    <t>41072-25-501811X</t>
    <phoneticPr fontId="2" type="noConversion"/>
  </si>
  <si>
    <t>41072-25-501853X</t>
    <phoneticPr fontId="2" type="noConversion"/>
  </si>
  <si>
    <t>41072-25-501903X</t>
    <phoneticPr fontId="2" type="noConversion"/>
  </si>
  <si>
    <t>41072-25-501943X</t>
    <phoneticPr fontId="2" type="noConversion"/>
  </si>
  <si>
    <t>DSM2503-01TA</t>
    <phoneticPr fontId="2" type="noConversion"/>
  </si>
  <si>
    <t>SN2646 선급검사비</t>
    <phoneticPr fontId="2" type="noConversion"/>
  </si>
  <si>
    <t>SN2647 선급검사비</t>
    <phoneticPr fontId="2" type="noConversion"/>
  </si>
  <si>
    <t>SN2662 선급검사비</t>
    <phoneticPr fontId="2" type="noConversion"/>
  </si>
  <si>
    <t>SN2664 선급검사비</t>
    <phoneticPr fontId="2" type="noConversion"/>
  </si>
  <si>
    <t>SN2687 선급검사비</t>
    <phoneticPr fontId="2" type="noConversion"/>
  </si>
  <si>
    <t>5월 이월분</t>
    <phoneticPr fontId="2" type="noConversion"/>
  </si>
  <si>
    <t>6월 이월분</t>
    <phoneticPr fontId="2" type="noConversion"/>
  </si>
  <si>
    <t>Allison
(마산2)</t>
    <phoneticPr fontId="3" type="noConversion"/>
  </si>
  <si>
    <t>Polaris
(마산1)</t>
    <phoneticPr fontId="2" type="noConversion"/>
  </si>
  <si>
    <t>Mercury
(마산1)</t>
    <phoneticPr fontId="2" type="noConversion"/>
  </si>
  <si>
    <t>Mercury China
(마산1)</t>
    <phoneticPr fontId="3" type="noConversion"/>
  </si>
  <si>
    <t>BERGEN ENGINE
(마산1)</t>
    <phoneticPr fontId="2" type="noConversion"/>
  </si>
  <si>
    <t>SAM
(마산3)</t>
    <phoneticPr fontId="2" type="noConversion"/>
  </si>
  <si>
    <t>DOMETIC
(마산1)</t>
    <phoneticPr fontId="2" type="noConversion"/>
  </si>
  <si>
    <t>Emerson
(마산3)</t>
    <phoneticPr fontId="3" type="noConversion"/>
  </si>
  <si>
    <t>AMAT
(마산3)</t>
    <phoneticPr fontId="3" type="noConversion"/>
  </si>
  <si>
    <t>JS TECH(코마츠)
(창원)</t>
    <phoneticPr fontId="2" type="noConversion"/>
  </si>
  <si>
    <t>SINKO IND LTD
(창원)</t>
    <phoneticPr fontId="2" type="noConversion"/>
  </si>
  <si>
    <t>ATLAS COPCO
(중국)(마산3)</t>
    <phoneticPr fontId="3" type="noConversion"/>
  </si>
  <si>
    <t>ATLAS COPCO
(한국)(마산3)</t>
    <phoneticPr fontId="2" type="noConversion"/>
  </si>
  <si>
    <t>Z-DRIVE 65K</t>
    <phoneticPr fontId="2" type="noConversion"/>
  </si>
  <si>
    <t xml:space="preserve">3EA </t>
    <phoneticPr fontId="2" type="noConversion"/>
  </si>
  <si>
    <t>-</t>
    <phoneticPr fontId="2" type="noConversion"/>
  </si>
  <si>
    <t>O</t>
    <phoneticPr fontId="2" type="noConversion"/>
  </si>
  <si>
    <t>O</t>
    <phoneticPr fontId="2" type="noConversion"/>
  </si>
  <si>
    <t>-</t>
    <phoneticPr fontId="2" type="noConversion"/>
  </si>
  <si>
    <t>※ 2025년 7월 마감내역 ※</t>
    <phoneticPr fontId="3" type="noConversion"/>
  </si>
  <si>
    <t>※ 2025년 8월 마감내역 ※</t>
    <phoneticPr fontId="3" type="noConversion"/>
  </si>
  <si>
    <t>DSM2507-SK04</t>
  </si>
  <si>
    <t>41072-25-501976X</t>
  </si>
  <si>
    <t>41072-25-501993X</t>
  </si>
  <si>
    <t>DSM2507-R05</t>
  </si>
  <si>
    <t>2507P10</t>
  </si>
  <si>
    <t>41072-25-501921X</t>
  </si>
  <si>
    <t>DSM2507-AL02</t>
  </si>
  <si>
    <t>41072-25-501969X</t>
  </si>
  <si>
    <t>DSM2508-AL01</t>
    <phoneticPr fontId="2" type="noConversion"/>
  </si>
  <si>
    <t>DSM2508-AL02</t>
  </si>
  <si>
    <t>41072-25-502072X</t>
    <phoneticPr fontId="2" type="noConversion"/>
  </si>
  <si>
    <t>41072-25-502153X</t>
    <phoneticPr fontId="2" type="noConversion"/>
  </si>
  <si>
    <t>2508P01</t>
    <phoneticPr fontId="2" type="noConversion"/>
  </si>
  <si>
    <t>2508P02</t>
  </si>
  <si>
    <t>2508P03</t>
  </si>
  <si>
    <t>2508P04</t>
  </si>
  <si>
    <t>2508P05</t>
  </si>
  <si>
    <t>2508P06</t>
  </si>
  <si>
    <t>2508P07</t>
  </si>
  <si>
    <t>2508P08</t>
  </si>
  <si>
    <t>2508P09</t>
  </si>
  <si>
    <t>2508P10</t>
  </si>
  <si>
    <t>2508P11</t>
  </si>
  <si>
    <t>41072-25-502030X</t>
    <phoneticPr fontId="2" type="noConversion"/>
  </si>
  <si>
    <t>41072-25-502031X</t>
    <phoneticPr fontId="2" type="noConversion"/>
  </si>
  <si>
    <t>41072-25-502132X</t>
    <phoneticPr fontId="2" type="noConversion"/>
  </si>
  <si>
    <t>41072-25-502068X</t>
    <phoneticPr fontId="2" type="noConversion"/>
  </si>
  <si>
    <t>41072-25-502032X</t>
    <phoneticPr fontId="2" type="noConversion"/>
  </si>
  <si>
    <t>41072-25-502100X</t>
  </si>
  <si>
    <t>41072-25-502033X</t>
    <phoneticPr fontId="2" type="noConversion"/>
  </si>
  <si>
    <t>41072-25-502179X</t>
  </si>
  <si>
    <t>41072-25-502101X</t>
    <phoneticPr fontId="2" type="noConversion"/>
  </si>
  <si>
    <t>41072-25-502102X</t>
    <phoneticPr fontId="2" type="noConversion"/>
  </si>
  <si>
    <t>2508P12</t>
  </si>
  <si>
    <t>2508P13</t>
  </si>
  <si>
    <t>41072-25-502190X</t>
  </si>
  <si>
    <t>41072-25-502133X</t>
    <phoneticPr fontId="2" type="noConversion"/>
  </si>
  <si>
    <t>41072-25-502134X</t>
    <phoneticPr fontId="2" type="noConversion"/>
  </si>
  <si>
    <t>DSM2508-01</t>
    <phoneticPr fontId="2" type="noConversion"/>
  </si>
  <si>
    <t>DSM2508-02</t>
  </si>
  <si>
    <t>DSM2508-03</t>
  </si>
  <si>
    <t>DSM2508-04</t>
  </si>
  <si>
    <t>DSM2508-05</t>
  </si>
  <si>
    <t>DSM2508-06</t>
  </si>
  <si>
    <t>DSM2508-07</t>
  </si>
  <si>
    <t>DSM2508-08</t>
  </si>
  <si>
    <t>DSM2508-09</t>
  </si>
  <si>
    <t>DSM2508-10</t>
  </si>
  <si>
    <t>DSM2508-11</t>
  </si>
  <si>
    <t>DSM2508-12</t>
  </si>
  <si>
    <t>DSM2508-13</t>
  </si>
  <si>
    <t>DSM2508-14</t>
  </si>
  <si>
    <t>41072-25-502056X</t>
    <phoneticPr fontId="2" type="noConversion"/>
  </si>
  <si>
    <t>41072-25-502057X</t>
    <phoneticPr fontId="2" type="noConversion"/>
  </si>
  <si>
    <t>41072-25-502058X</t>
    <phoneticPr fontId="2" type="noConversion"/>
  </si>
  <si>
    <t>41072-25-502108X</t>
    <phoneticPr fontId="2" type="noConversion"/>
  </si>
  <si>
    <t>41072-25-502110X</t>
    <phoneticPr fontId="2" type="noConversion"/>
  </si>
  <si>
    <t>41072-25-502111X</t>
    <phoneticPr fontId="2" type="noConversion"/>
  </si>
  <si>
    <t>41072-25-502200X</t>
    <phoneticPr fontId="2" type="noConversion"/>
  </si>
  <si>
    <t>41072-25-502201X</t>
    <phoneticPr fontId="2" type="noConversion"/>
  </si>
  <si>
    <t>41072-25-502202X</t>
    <phoneticPr fontId="2" type="noConversion"/>
  </si>
  <si>
    <t>DSM2508-MC01</t>
    <phoneticPr fontId="2" type="noConversion"/>
  </si>
  <si>
    <t>DSM2508-MC02</t>
  </si>
  <si>
    <t>41072-25-201898X</t>
    <phoneticPr fontId="2" type="noConversion"/>
  </si>
  <si>
    <t>41072-25-502138X</t>
    <phoneticPr fontId="2" type="noConversion"/>
  </si>
  <si>
    <t>DSM2508-SE01</t>
    <phoneticPr fontId="2" type="noConversion"/>
  </si>
  <si>
    <t>41072-25-502077X</t>
    <phoneticPr fontId="2" type="noConversion"/>
  </si>
  <si>
    <t>DSM2508-EM02</t>
  </si>
  <si>
    <t>DSM2508-EM03</t>
  </si>
  <si>
    <t>DSM2508-EM04</t>
  </si>
  <si>
    <t>DSM2508-EM05</t>
  </si>
  <si>
    <t>41072-25-502051X</t>
    <phoneticPr fontId="2" type="noConversion"/>
  </si>
  <si>
    <t>41072-25-502034X</t>
    <phoneticPr fontId="2" type="noConversion"/>
  </si>
  <si>
    <t>41072-25-502107X</t>
    <phoneticPr fontId="2" type="noConversion"/>
  </si>
  <si>
    <t>41072-25-201889X</t>
    <phoneticPr fontId="2" type="noConversion"/>
  </si>
  <si>
    <t>41072-25-201890X</t>
    <phoneticPr fontId="2" type="noConversion"/>
  </si>
  <si>
    <t>41072-25-502063X</t>
    <phoneticPr fontId="2" type="noConversion"/>
  </si>
  <si>
    <t>20576-25-080265X</t>
    <phoneticPr fontId="2" type="noConversion"/>
  </si>
  <si>
    <t>DSM2508-EM07</t>
    <phoneticPr fontId="2" type="noConversion"/>
  </si>
  <si>
    <t>DSM2508-EM08</t>
    <phoneticPr fontId="2" type="noConversion"/>
  </si>
  <si>
    <t>DSM2508-AM01</t>
    <phoneticPr fontId="2" type="noConversion"/>
  </si>
  <si>
    <t>DSM2508-AM02</t>
  </si>
  <si>
    <t>DSM2508-AM03</t>
  </si>
  <si>
    <t>DSM2508-AM04</t>
  </si>
  <si>
    <t>20576-25-080437X</t>
    <phoneticPr fontId="2" type="noConversion"/>
  </si>
  <si>
    <t>20576-25-080562X</t>
    <phoneticPr fontId="2" type="noConversion"/>
  </si>
  <si>
    <t>20576-25-080560X</t>
    <phoneticPr fontId="2" type="noConversion"/>
  </si>
  <si>
    <t>20576-25-090034X</t>
    <phoneticPr fontId="2" type="noConversion"/>
  </si>
  <si>
    <t>DSM2508-AM05</t>
    <phoneticPr fontId="2" type="noConversion"/>
  </si>
  <si>
    <t>Emerson
(마산3)</t>
    <phoneticPr fontId="2" type="noConversion"/>
  </si>
  <si>
    <t>DSM2508-R01</t>
    <phoneticPr fontId="2" type="noConversion"/>
  </si>
  <si>
    <t>DSM2508-R02</t>
    <phoneticPr fontId="2" type="noConversion"/>
  </si>
  <si>
    <t>41072-25-502225X</t>
    <phoneticPr fontId="2" type="noConversion"/>
  </si>
  <si>
    <t>DSM2507-19</t>
    <phoneticPr fontId="2" type="noConversion"/>
  </si>
  <si>
    <t>DSM2508-SK01</t>
    <phoneticPr fontId="2" type="noConversion"/>
  </si>
  <si>
    <t>41072-25-502162X</t>
    <phoneticPr fontId="2" type="noConversion"/>
  </si>
  <si>
    <t>DSM2508-SCP</t>
    <phoneticPr fontId="2" type="noConversion"/>
  </si>
  <si>
    <t>스크랩물품대</t>
    <phoneticPr fontId="2" type="noConversion"/>
  </si>
  <si>
    <t>DSM2508-SK02</t>
    <phoneticPr fontId="2" type="noConversion"/>
  </si>
  <si>
    <t>41072-25-502252X</t>
    <phoneticPr fontId="2" type="noConversion"/>
  </si>
  <si>
    <t>DSM2508-JS01</t>
    <phoneticPr fontId="2" type="noConversion"/>
  </si>
  <si>
    <t>DSM2508-JS02</t>
  </si>
  <si>
    <t>DSM2508-JS03</t>
  </si>
  <si>
    <t>DSM2508-JS04</t>
  </si>
  <si>
    <t>DSM2508-JS05</t>
  </si>
  <si>
    <t>DSM2508-JS06</t>
  </si>
  <si>
    <t>41072-25-201905X</t>
    <phoneticPr fontId="2" type="noConversion"/>
  </si>
  <si>
    <t>41072-25-502105X</t>
    <phoneticPr fontId="2" type="noConversion"/>
  </si>
  <si>
    <t>41072-25-502139X</t>
    <phoneticPr fontId="2" type="noConversion"/>
  </si>
  <si>
    <t>41072-25-502184X</t>
    <phoneticPr fontId="2" type="noConversion"/>
  </si>
  <si>
    <t>41072-25-502218X</t>
    <phoneticPr fontId="2" type="noConversion"/>
  </si>
  <si>
    <t>41072-25-502251X</t>
    <phoneticPr fontId="2" type="noConversion"/>
  </si>
  <si>
    <t>-</t>
    <phoneticPr fontId="2" type="noConversion"/>
  </si>
  <si>
    <t>DSM2507-AT01</t>
    <phoneticPr fontId="2" type="noConversion"/>
  </si>
  <si>
    <t>DSM2507-AT02</t>
    <phoneticPr fontId="2" type="noConversion"/>
  </si>
  <si>
    <t>DSM2508-AT01</t>
    <phoneticPr fontId="2" type="noConversion"/>
  </si>
  <si>
    <t>DSM2508-AT02</t>
    <phoneticPr fontId="2" type="noConversion"/>
  </si>
  <si>
    <t>41072-25-502292X</t>
    <phoneticPr fontId="2" type="noConversion"/>
  </si>
  <si>
    <t>41072-25-502223X</t>
    <phoneticPr fontId="2" type="noConversion"/>
  </si>
  <si>
    <t>41072-25-502224X</t>
    <phoneticPr fontId="2" type="noConversion"/>
  </si>
  <si>
    <t>41072-25-502226X</t>
    <phoneticPr fontId="2" type="noConversion"/>
  </si>
  <si>
    <t>41072-25-502208X</t>
    <phoneticPr fontId="2" type="noConversion"/>
  </si>
  <si>
    <t>41072-25-501918X</t>
    <phoneticPr fontId="2" type="noConversion"/>
  </si>
  <si>
    <t>41072-25-502245X</t>
    <phoneticPr fontId="2" type="noConversion"/>
  </si>
  <si>
    <t>7월 이월분</t>
    <phoneticPr fontId="2" type="noConversion"/>
  </si>
  <si>
    <t>-</t>
    <phoneticPr fontId="2" type="noConversion"/>
  </si>
  <si>
    <t>O</t>
    <phoneticPr fontId="2" type="noConversion"/>
  </si>
  <si>
    <t>O</t>
    <phoneticPr fontId="2" type="noConversion"/>
  </si>
  <si>
    <t>-</t>
    <phoneticPr fontId="2" type="noConversion"/>
  </si>
  <si>
    <t>DSM2508-AL03</t>
  </si>
  <si>
    <t>41072-25-502276X</t>
  </si>
  <si>
    <t>DSM2508-AL01(관세)</t>
    <phoneticPr fontId="2" type="noConversion"/>
  </si>
  <si>
    <t>DSM2508-AL02(관세)</t>
    <phoneticPr fontId="2" type="noConversion"/>
  </si>
  <si>
    <t>DSM2507-AL02(관세)</t>
    <phoneticPr fontId="2" type="noConversion"/>
  </si>
  <si>
    <t>DSM2508-AL03(관세)</t>
    <phoneticPr fontId="2" type="noConversion"/>
  </si>
  <si>
    <t>-</t>
    <phoneticPr fontId="2" type="noConversion"/>
  </si>
  <si>
    <t>거래처원장</t>
    <phoneticPr fontId="2" type="noConversion"/>
  </si>
  <si>
    <t>41072-25-502076X</t>
    <phoneticPr fontId="2" type="noConversion"/>
  </si>
  <si>
    <t>※ 2025년 9월 마감내역 ※</t>
    <phoneticPr fontId="3" type="noConversion"/>
  </si>
  <si>
    <t>DSM2508-AL03(관세)</t>
  </si>
  <si>
    <t>41072-25-502200X</t>
  </si>
  <si>
    <t>41072-25-502201X</t>
  </si>
  <si>
    <t>41072-25-502202X</t>
  </si>
  <si>
    <t>41072-25-502223X</t>
  </si>
  <si>
    <t>41072-25-502224X</t>
  </si>
  <si>
    <t>41072-25-502225X</t>
  </si>
  <si>
    <t>41072-25-502226X</t>
  </si>
  <si>
    <t>DSM2508-R02</t>
  </si>
  <si>
    <t>41072-25-502292X</t>
  </si>
  <si>
    <t>DSM2508-AM05</t>
  </si>
  <si>
    <t>20576-25-090034X</t>
  </si>
  <si>
    <t>DSM2508-SK02</t>
  </si>
  <si>
    <t>41072-25-502252X</t>
  </si>
  <si>
    <t>DSM2509-AL01</t>
    <phoneticPr fontId="2" type="noConversion"/>
  </si>
  <si>
    <t>41072-25-502433X</t>
    <phoneticPr fontId="2" type="noConversion"/>
  </si>
  <si>
    <t>DSM2509-AL01(관세)</t>
    <phoneticPr fontId="2" type="noConversion"/>
  </si>
  <si>
    <t>-</t>
    <phoneticPr fontId="2" type="noConversion"/>
  </si>
  <si>
    <t>DSM2509-AL02</t>
    <phoneticPr fontId="2" type="noConversion"/>
  </si>
  <si>
    <t>DSM2509-AL02(관세)</t>
    <phoneticPr fontId="2" type="noConversion"/>
  </si>
  <si>
    <t>DSM2509-01</t>
    <phoneticPr fontId="2" type="noConversion"/>
  </si>
  <si>
    <t>41072-25-502364X</t>
    <phoneticPr fontId="2" type="noConversion"/>
  </si>
  <si>
    <t>DSM2509-02</t>
    <phoneticPr fontId="2" type="noConversion"/>
  </si>
  <si>
    <t>DSM2509-03</t>
  </si>
  <si>
    <t>DSM2509-04</t>
  </si>
  <si>
    <t>DSM2509-05</t>
  </si>
  <si>
    <t>41072-25-502365X</t>
    <phoneticPr fontId="2" type="noConversion"/>
  </si>
  <si>
    <t>41072-25-502366X</t>
    <phoneticPr fontId="2" type="noConversion"/>
  </si>
  <si>
    <t>41072-25-502448X</t>
    <phoneticPr fontId="2" type="noConversion"/>
  </si>
  <si>
    <t>41072-25-502517X</t>
  </si>
  <si>
    <t>DSM2509-06</t>
    <phoneticPr fontId="2" type="noConversion"/>
  </si>
  <si>
    <t>DSM2509-07</t>
  </si>
  <si>
    <t>DSM2509-08</t>
  </si>
  <si>
    <t>DSM2509-09</t>
  </si>
  <si>
    <t>DSM2509-10</t>
  </si>
  <si>
    <t>DSM2509-11</t>
  </si>
  <si>
    <t>DSM2509-12</t>
  </si>
  <si>
    <t>41072-25-202194X</t>
    <phoneticPr fontId="2" type="noConversion"/>
  </si>
  <si>
    <t>41072-25-502495X</t>
    <phoneticPr fontId="2" type="noConversion"/>
  </si>
  <si>
    <t>41072-25-502518X</t>
  </si>
  <si>
    <t>41072-25-502519X</t>
  </si>
  <si>
    <t>41072-25-502570X</t>
    <phoneticPr fontId="2" type="noConversion"/>
  </si>
  <si>
    <t>41072-25-502599X</t>
    <phoneticPr fontId="2" type="noConversion"/>
  </si>
  <si>
    <t>41072-25-502600X</t>
    <phoneticPr fontId="2" type="noConversion"/>
  </si>
  <si>
    <t>41072-25-502320X</t>
    <phoneticPr fontId="2" type="noConversion"/>
  </si>
  <si>
    <t>DSM2509-MC01</t>
    <phoneticPr fontId="2" type="noConversion"/>
  </si>
  <si>
    <t>DSM2509-MC02</t>
    <phoneticPr fontId="2" type="noConversion"/>
  </si>
  <si>
    <t>41072-25-502474X</t>
    <phoneticPr fontId="2" type="noConversion"/>
  </si>
  <si>
    <t>DSM2509-R01</t>
    <phoneticPr fontId="2" type="noConversion"/>
  </si>
  <si>
    <t>41072-25-502595X</t>
    <phoneticPr fontId="2" type="noConversion"/>
  </si>
  <si>
    <t>DSM2509-R02</t>
    <phoneticPr fontId="2" type="noConversion"/>
  </si>
  <si>
    <t>DSM2509-SE01</t>
    <phoneticPr fontId="2" type="noConversion"/>
  </si>
  <si>
    <t>41072-25-502516X</t>
    <phoneticPr fontId="2" type="noConversion"/>
  </si>
  <si>
    <t>DSM2509-EM01</t>
    <phoneticPr fontId="2" type="noConversion"/>
  </si>
  <si>
    <t>DSM2509-EM02</t>
  </si>
  <si>
    <t>DSM2509-EM03</t>
  </si>
  <si>
    <t>DSM2509-EM04</t>
  </si>
  <si>
    <t>DSM2509-EM05</t>
  </si>
  <si>
    <t>DSM2509-EM06</t>
  </si>
  <si>
    <t>DSM2509-EM07</t>
  </si>
  <si>
    <t>DSM2509-EM08</t>
  </si>
  <si>
    <t>DSM2509-EM09</t>
  </si>
  <si>
    <t>41072-25-502274X</t>
    <phoneticPr fontId="2" type="noConversion"/>
  </si>
  <si>
    <t>41072-25-502275X</t>
    <phoneticPr fontId="2" type="noConversion"/>
  </si>
  <si>
    <t>41072-25-502307X</t>
    <phoneticPr fontId="2" type="noConversion"/>
  </si>
  <si>
    <t>41072-25-502471X</t>
    <phoneticPr fontId="2" type="noConversion"/>
  </si>
  <si>
    <t>41072-25-502256X</t>
    <phoneticPr fontId="2" type="noConversion"/>
  </si>
  <si>
    <t>41072-25-502362X</t>
    <phoneticPr fontId="2" type="noConversion"/>
  </si>
  <si>
    <t>41072-25-502293X</t>
    <phoneticPr fontId="2" type="noConversion"/>
  </si>
  <si>
    <t>DSM2509-AM01</t>
    <phoneticPr fontId="2" type="noConversion"/>
  </si>
  <si>
    <t>20576-25-090275X</t>
    <phoneticPr fontId="2" type="noConversion"/>
  </si>
  <si>
    <t>DSM2509-SK01</t>
    <phoneticPr fontId="2" type="noConversion"/>
  </si>
  <si>
    <t>41072-25-502431X</t>
    <phoneticPr fontId="2" type="noConversion"/>
  </si>
  <si>
    <t>DSM2509-SK02</t>
    <phoneticPr fontId="2" type="noConversion"/>
  </si>
  <si>
    <t>DSM2509-SK03</t>
    <phoneticPr fontId="2" type="noConversion"/>
  </si>
  <si>
    <t>41072-25-502535X</t>
    <phoneticPr fontId="2" type="noConversion"/>
  </si>
  <si>
    <t>41072-25-502611X</t>
    <phoneticPr fontId="2" type="noConversion"/>
  </si>
  <si>
    <t>DSM2509-JS01</t>
    <phoneticPr fontId="2" type="noConversion"/>
  </si>
  <si>
    <t>DSM2509-JS02</t>
  </si>
  <si>
    <t>DSM2509-JS03</t>
  </si>
  <si>
    <t>DSM2509-JS04</t>
  </si>
  <si>
    <t>DSM2509-JS05</t>
  </si>
  <si>
    <t>DSM2509-JS06</t>
  </si>
  <si>
    <t>DSM2509-JS07</t>
  </si>
  <si>
    <t>DSM2509-JS08</t>
  </si>
  <si>
    <t>DSM2509-JS09</t>
  </si>
  <si>
    <t>DSM2509-JS10</t>
  </si>
  <si>
    <t>DSM2509-JS11</t>
  </si>
  <si>
    <t>DSM2509-JS12</t>
  </si>
  <si>
    <t>41072-25-502271X</t>
    <phoneticPr fontId="2" type="noConversion"/>
  </si>
  <si>
    <t>41072-25-502344X</t>
    <phoneticPr fontId="2" type="noConversion"/>
  </si>
  <si>
    <t>41072-25-502361X</t>
    <phoneticPr fontId="2" type="noConversion"/>
  </si>
  <si>
    <t>41072-25-502398X</t>
    <phoneticPr fontId="2" type="noConversion"/>
  </si>
  <si>
    <t>41072-25-502426X</t>
    <phoneticPr fontId="2" type="noConversion"/>
  </si>
  <si>
    <t>41072-25-502438X</t>
    <phoneticPr fontId="2" type="noConversion"/>
  </si>
  <si>
    <t>41072-25-202195X</t>
    <phoneticPr fontId="2" type="noConversion"/>
  </si>
  <si>
    <t>41072-25-502480X</t>
    <phoneticPr fontId="2" type="noConversion"/>
  </si>
  <si>
    <t>41072-25-502497X</t>
    <phoneticPr fontId="2" type="noConversion"/>
  </si>
  <si>
    <t>41072-25-202266X</t>
    <phoneticPr fontId="2" type="noConversion"/>
  </si>
  <si>
    <t>41072-25-502544X</t>
    <phoneticPr fontId="2" type="noConversion"/>
  </si>
  <si>
    <t>41072-25-502562X</t>
    <phoneticPr fontId="2" type="noConversion"/>
  </si>
  <si>
    <t>DSM2509-AT01</t>
    <phoneticPr fontId="2" type="noConversion"/>
  </si>
  <si>
    <t>DSM2509-AT02</t>
  </si>
  <si>
    <t>DSM2509-AT03</t>
  </si>
  <si>
    <t>2509P01</t>
    <phoneticPr fontId="2" type="noConversion"/>
  </si>
  <si>
    <t>2509P02</t>
  </si>
  <si>
    <t>2509P03</t>
  </si>
  <si>
    <t>2509P04</t>
  </si>
  <si>
    <t>2509P05</t>
  </si>
  <si>
    <t>2509P07</t>
  </si>
  <si>
    <t>2509P08</t>
  </si>
  <si>
    <t>2509P09</t>
  </si>
  <si>
    <t>41072-25-502287X</t>
    <phoneticPr fontId="2" type="noConversion"/>
  </si>
  <si>
    <t>41072-25-502291X</t>
    <phoneticPr fontId="2" type="noConversion"/>
  </si>
  <si>
    <t>41072-25-502434X</t>
    <phoneticPr fontId="2" type="noConversion"/>
  </si>
  <si>
    <t>41072-25-502506X</t>
    <phoneticPr fontId="2" type="noConversion"/>
  </si>
  <si>
    <t>41072-25-502288X</t>
    <phoneticPr fontId="2" type="noConversion"/>
  </si>
  <si>
    <t>41072-25-502289X</t>
    <phoneticPr fontId="2" type="noConversion"/>
  </si>
  <si>
    <t>41072-25-502290X</t>
    <phoneticPr fontId="2" type="noConversion"/>
  </si>
  <si>
    <t>8월 이월분</t>
    <phoneticPr fontId="2" type="noConversion"/>
  </si>
  <si>
    <t>41072-25-502311X</t>
  </si>
  <si>
    <t>41072-25-502449X</t>
  </si>
  <si>
    <t>2509P10</t>
  </si>
  <si>
    <t>41072-25-502203X</t>
    <phoneticPr fontId="2" type="noConversion"/>
  </si>
  <si>
    <t>DSM2510-EM01</t>
    <phoneticPr fontId="2" type="noConversion"/>
  </si>
  <si>
    <t>41072-25-502441X</t>
  </si>
  <si>
    <t>41072-25-502520X</t>
  </si>
  <si>
    <t>41072-25-502554X</t>
    <phoneticPr fontId="2" type="noConversion"/>
  </si>
  <si>
    <t>DSM2509-01TA</t>
    <phoneticPr fontId="2" type="noConversion"/>
  </si>
  <si>
    <t>DSM250925-AL1TA</t>
    <phoneticPr fontId="2" type="noConversion"/>
  </si>
  <si>
    <t>DSM250901-AL1TA</t>
    <phoneticPr fontId="2" type="noConversion"/>
  </si>
  <si>
    <t>DSM250901-AL2TA</t>
    <phoneticPr fontId="2" type="noConversion"/>
  </si>
  <si>
    <t>-</t>
    <phoneticPr fontId="2" type="noConversion"/>
  </si>
  <si>
    <t>O</t>
    <phoneticPr fontId="2" type="noConversion"/>
  </si>
  <si>
    <t>※ 2025년 10월 마감내역 ※</t>
    <phoneticPr fontId="3" type="noConversion"/>
  </si>
  <si>
    <t>DSM2509-AL02</t>
  </si>
  <si>
    <t>DSM2509-AL02(관세)</t>
  </si>
  <si>
    <t>41072-25-502570X</t>
  </si>
  <si>
    <t>41072-25-502599X</t>
  </si>
  <si>
    <t>41072-25-502600X</t>
  </si>
  <si>
    <t>DSM2509-R01</t>
  </si>
  <si>
    <t>41072-25-502595X</t>
  </si>
  <si>
    <t>DSM2509-R02</t>
  </si>
  <si>
    <t>DSM2509-SK02</t>
  </si>
  <si>
    <t>41072-25-502535X</t>
  </si>
  <si>
    <t>DSM2509-SK03</t>
  </si>
  <si>
    <t>41072-25-502611X</t>
  </si>
  <si>
    <t>41072-25-502530X</t>
    <phoneticPr fontId="2" type="noConversion"/>
  </si>
  <si>
    <t>DSM2510-AL03</t>
    <phoneticPr fontId="2" type="noConversion"/>
  </si>
  <si>
    <t>-</t>
    <phoneticPr fontId="2" type="noConversion"/>
  </si>
  <si>
    <t>DSM2510-AL03(관세)</t>
    <phoneticPr fontId="2" type="noConversion"/>
  </si>
  <si>
    <t>DSM2510-AL01</t>
    <phoneticPr fontId="2" type="noConversion"/>
  </si>
  <si>
    <t>DSM2510-AL02</t>
    <phoneticPr fontId="2" type="noConversion"/>
  </si>
  <si>
    <t>DSM2510-AL01(관세)</t>
    <phoneticPr fontId="2" type="noConversion"/>
  </si>
  <si>
    <t>DSM2510-AL02(관세)</t>
    <phoneticPr fontId="2" type="noConversion"/>
  </si>
  <si>
    <t>41072-25-502604X</t>
    <phoneticPr fontId="2" type="noConversion"/>
  </si>
  <si>
    <t>41072-25-502733X</t>
    <phoneticPr fontId="2" type="noConversion"/>
  </si>
  <si>
    <t>DSM2510-01TA</t>
  </si>
  <si>
    <t>DSM2510-02TA</t>
  </si>
  <si>
    <t>DSM2510-03TA</t>
  </si>
  <si>
    <t>2510P04</t>
    <phoneticPr fontId="2" type="noConversion"/>
  </si>
  <si>
    <t>41072-25-502777X</t>
    <phoneticPr fontId="2" type="noConversion"/>
  </si>
  <si>
    <t>2510P01</t>
    <phoneticPr fontId="2" type="noConversion"/>
  </si>
  <si>
    <t>2510P02</t>
  </si>
  <si>
    <t>2510P03</t>
  </si>
  <si>
    <t>2510P05</t>
    <phoneticPr fontId="2" type="noConversion"/>
  </si>
  <si>
    <t>2510P06</t>
  </si>
  <si>
    <t>2510P07</t>
  </si>
  <si>
    <t>DSM2510-06</t>
    <phoneticPr fontId="2" type="noConversion"/>
  </si>
  <si>
    <t>41072-25-502791X</t>
    <phoneticPr fontId="2" type="noConversion"/>
  </si>
  <si>
    <t>DSM2510-01</t>
    <phoneticPr fontId="2" type="noConversion"/>
  </si>
  <si>
    <t>DSM2510-02</t>
  </si>
  <si>
    <t>DSM2510-03</t>
  </si>
  <si>
    <t>DSM2510-05</t>
  </si>
  <si>
    <t>DSM2510-07</t>
  </si>
  <si>
    <t>41072-25-502792X</t>
    <phoneticPr fontId="2" type="noConversion"/>
  </si>
  <si>
    <t>DSM2510-08</t>
    <phoneticPr fontId="2" type="noConversion"/>
  </si>
  <si>
    <t>41072-25-502793X</t>
    <phoneticPr fontId="2" type="noConversion"/>
  </si>
  <si>
    <t>DSM2510-09</t>
  </si>
  <si>
    <t>41072-25-502846X</t>
    <phoneticPr fontId="2" type="noConversion"/>
  </si>
  <si>
    <t>DSM2510-10</t>
    <phoneticPr fontId="2" type="noConversion"/>
  </si>
  <si>
    <t>DSM2510-11</t>
  </si>
  <si>
    <t>41072-25-502794X</t>
  </si>
  <si>
    <t>DSM2510-12</t>
    <phoneticPr fontId="2" type="noConversion"/>
  </si>
  <si>
    <t>41072-25-502847X</t>
    <phoneticPr fontId="2" type="noConversion"/>
  </si>
  <si>
    <t>DSM2510-SM01</t>
    <phoneticPr fontId="2" type="noConversion"/>
  </si>
  <si>
    <t>DSM2510-SE01</t>
    <phoneticPr fontId="2" type="noConversion"/>
  </si>
  <si>
    <t>41072-25-502817X</t>
    <phoneticPr fontId="2" type="noConversion"/>
  </si>
  <si>
    <t>DSM2510-EM02</t>
    <phoneticPr fontId="2" type="noConversion"/>
  </si>
  <si>
    <t>기표</t>
    <phoneticPr fontId="2" type="noConversion"/>
  </si>
  <si>
    <t>O</t>
    <phoneticPr fontId="2" type="noConversion"/>
  </si>
  <si>
    <t>41072-25-502642X</t>
    <phoneticPr fontId="2" type="noConversion"/>
  </si>
  <si>
    <t>41072-25-502643X</t>
    <phoneticPr fontId="2" type="noConversion"/>
  </si>
  <si>
    <t>41072-25-502709X</t>
    <phoneticPr fontId="2" type="noConversion"/>
  </si>
  <si>
    <t>41072-25-502644X</t>
    <phoneticPr fontId="2" type="noConversion"/>
  </si>
  <si>
    <t>41072-25-502645X</t>
    <phoneticPr fontId="2" type="noConversion"/>
  </si>
  <si>
    <t>41072-25-502708X</t>
    <phoneticPr fontId="2" type="noConversion"/>
  </si>
  <si>
    <t>41072-25-502686X</t>
    <phoneticPr fontId="2" type="noConversion"/>
  </si>
  <si>
    <t>41072-25-202449X</t>
    <phoneticPr fontId="2" type="noConversion"/>
  </si>
  <si>
    <t>41072-25-202451X</t>
    <phoneticPr fontId="2" type="noConversion"/>
  </si>
  <si>
    <t>DSM2510-13</t>
    <phoneticPr fontId="2" type="noConversion"/>
  </si>
  <si>
    <t>O</t>
    <phoneticPr fontId="2" type="noConversion"/>
  </si>
  <si>
    <t>DSM2510-MC01</t>
    <phoneticPr fontId="2" type="noConversion"/>
  </si>
  <si>
    <t>DSM2510-MC02</t>
    <phoneticPr fontId="2" type="noConversion"/>
  </si>
  <si>
    <t>43077-25-901091X</t>
    <phoneticPr fontId="2" type="noConversion"/>
  </si>
  <si>
    <t>41072-25-502687X</t>
    <phoneticPr fontId="2" type="noConversion"/>
  </si>
  <si>
    <t>DSM2510-EM04</t>
    <phoneticPr fontId="2" type="noConversion"/>
  </si>
  <si>
    <t>DSM2510-EM05</t>
  </si>
  <si>
    <t>DSM2510-EM06</t>
  </si>
  <si>
    <t>41072-25-502615X</t>
    <phoneticPr fontId="2" type="noConversion"/>
  </si>
  <si>
    <t>41072-25-502581X</t>
    <phoneticPr fontId="2" type="noConversion"/>
  </si>
  <si>
    <t>41072-25-502582X</t>
    <phoneticPr fontId="2" type="noConversion"/>
  </si>
  <si>
    <t>41072-25-502555X</t>
    <phoneticPr fontId="2" type="noConversion"/>
  </si>
  <si>
    <t>10월 매출없음</t>
    <phoneticPr fontId="2" type="noConversion"/>
  </si>
  <si>
    <t>9월 이월분</t>
    <phoneticPr fontId="2" type="noConversion"/>
  </si>
  <si>
    <t>41072-25-202452X</t>
    <phoneticPr fontId="2" type="noConversion"/>
  </si>
  <si>
    <t>DSM2510-R01</t>
    <phoneticPr fontId="2" type="noConversion"/>
  </si>
  <si>
    <t>DSM2510-R02</t>
  </si>
  <si>
    <t>DSM2510-R03</t>
  </si>
  <si>
    <t>41072-25-502700X</t>
    <phoneticPr fontId="2" type="noConversion"/>
  </si>
  <si>
    <t>DSM2510-04</t>
    <phoneticPr fontId="2" type="noConversion"/>
  </si>
  <si>
    <t>41072-25-502627X</t>
    <phoneticPr fontId="2" type="noConversion"/>
  </si>
  <si>
    <t>41072-25-502659X</t>
    <phoneticPr fontId="2" type="noConversion"/>
  </si>
  <si>
    <t>O</t>
    <phoneticPr fontId="2" type="noConversion"/>
  </si>
  <si>
    <t>DSM2510-SK01</t>
    <phoneticPr fontId="2" type="noConversion"/>
  </si>
  <si>
    <t>DSM2510-SK02</t>
  </si>
  <si>
    <t>41072-25-502702X</t>
    <phoneticPr fontId="2" type="noConversion"/>
  </si>
  <si>
    <t>41072-25-502758X</t>
    <phoneticPr fontId="2" type="noConversion"/>
  </si>
  <si>
    <t>DSM2510-SK03</t>
    <phoneticPr fontId="2" type="noConversion"/>
  </si>
  <si>
    <t>41072-25-202572X</t>
    <phoneticPr fontId="2" type="noConversion"/>
  </si>
  <si>
    <t>DSM2510-JS01</t>
    <phoneticPr fontId="2" type="noConversion"/>
  </si>
  <si>
    <t>DSM2510-JS02</t>
  </si>
  <si>
    <t>DSM2510-JS03</t>
  </si>
  <si>
    <t>DSM2510-JS04</t>
  </si>
  <si>
    <t>DSM2510-JS05</t>
  </si>
  <si>
    <t>41072-25-502586X</t>
    <phoneticPr fontId="2" type="noConversion"/>
  </si>
  <si>
    <t>41072-25-502614X</t>
    <phoneticPr fontId="2" type="noConversion"/>
  </si>
  <si>
    <t>41072-25-502661X</t>
    <phoneticPr fontId="2" type="noConversion"/>
  </si>
  <si>
    <t>41072-25-502717X</t>
    <phoneticPr fontId="2" type="noConversion"/>
  </si>
  <si>
    <t>41072-25-502759X</t>
    <phoneticPr fontId="2" type="noConversion"/>
  </si>
  <si>
    <t>DSM2510-AT01</t>
    <phoneticPr fontId="2" type="noConversion"/>
  </si>
  <si>
    <t>DSM2510-AT02</t>
  </si>
  <si>
    <t>DSM2510-R04</t>
    <phoneticPr fontId="2" type="noConversion"/>
  </si>
  <si>
    <t>-</t>
    <phoneticPr fontId="2" type="noConversion"/>
  </si>
  <si>
    <t>O</t>
    <phoneticPr fontId="2" type="noConversion"/>
  </si>
  <si>
    <t>※ 2025년 11월 마감내역 ※</t>
    <phoneticPr fontId="3" type="noConversion"/>
  </si>
  <si>
    <t>DSM2510-AL03</t>
  </si>
  <si>
    <t>DSM2510-AL03(관세)</t>
  </si>
  <si>
    <t>2510P04</t>
  </si>
  <si>
    <t>41072-25-502777X</t>
  </si>
  <si>
    <t>DSM2510-06</t>
  </si>
  <si>
    <t>41072-25-502791X</t>
  </si>
  <si>
    <t>41072-25-502792X</t>
  </si>
  <si>
    <t>DSM2510-08</t>
  </si>
  <si>
    <t>41072-25-502793X</t>
  </si>
  <si>
    <t>41072-25-502846X</t>
  </si>
  <si>
    <t>DSM2510-10</t>
  </si>
  <si>
    <t>DSM2510-12</t>
  </si>
  <si>
    <t>41072-25-502847X</t>
  </si>
  <si>
    <t>DSM2510-13</t>
  </si>
  <si>
    <t>DSM2510-R04</t>
  </si>
  <si>
    <t>DSM2510-SE01</t>
  </si>
  <si>
    <t>41072-25-502817X</t>
  </si>
  <si>
    <t>DSM2510-SK03</t>
  </si>
  <si>
    <t>41072-25-202572X</t>
  </si>
  <si>
    <t>41072-25-202557X</t>
    <phoneticPr fontId="2" type="noConversion"/>
  </si>
  <si>
    <t>DSM2511-AL01</t>
    <phoneticPr fontId="2" type="noConversion"/>
  </si>
  <si>
    <t>DSM2511-AL02</t>
    <phoneticPr fontId="2" type="noConversion"/>
  </si>
  <si>
    <t>41072-25-502970X</t>
    <phoneticPr fontId="2" type="noConversion"/>
  </si>
  <si>
    <t>DSM2511-AL01(관세)</t>
    <phoneticPr fontId="2" type="noConversion"/>
  </si>
  <si>
    <t>-</t>
    <phoneticPr fontId="2" type="noConversion"/>
  </si>
  <si>
    <t>DSM2511-AL1TA</t>
    <phoneticPr fontId="2" type="noConversion"/>
  </si>
  <si>
    <t>41072-25-202736X</t>
    <phoneticPr fontId="2" type="noConversion"/>
  </si>
  <si>
    <t>DSM2511-AL01TA</t>
    <phoneticPr fontId="2" type="noConversion"/>
  </si>
  <si>
    <t>DSM2511-AL02TA</t>
  </si>
  <si>
    <t>41072-25-503113X</t>
    <phoneticPr fontId="2" type="noConversion"/>
  </si>
  <si>
    <t>DSM2511-AL02(관세)</t>
    <phoneticPr fontId="2" type="noConversion"/>
  </si>
  <si>
    <t>2511P01</t>
    <phoneticPr fontId="2" type="noConversion"/>
  </si>
  <si>
    <t>2511P02</t>
  </si>
  <si>
    <t>2511P03</t>
  </si>
  <si>
    <t>2511P04</t>
  </si>
  <si>
    <t>2511P05</t>
  </si>
  <si>
    <t>41072-25-502914X</t>
    <phoneticPr fontId="2" type="noConversion"/>
  </si>
  <si>
    <t>41072-25-502911X</t>
    <phoneticPr fontId="2" type="noConversion"/>
  </si>
  <si>
    <t>41072-25-503058X</t>
  </si>
  <si>
    <t>41072-25-503045X</t>
  </si>
  <si>
    <t>41072-25-502858X</t>
    <phoneticPr fontId="2" type="noConversion"/>
  </si>
  <si>
    <t>DSM2511-EM01</t>
    <phoneticPr fontId="2" type="noConversion"/>
  </si>
  <si>
    <t>DSM2511-EM02</t>
  </si>
  <si>
    <t>DSM2511-EM03</t>
  </si>
  <si>
    <t>DSM2511-EM04</t>
  </si>
  <si>
    <t>DSM2511-EM05</t>
  </si>
  <si>
    <t>DSM2511-EM06</t>
  </si>
  <si>
    <t>DSM2511-EM07</t>
  </si>
  <si>
    <t>41072-25-502816X</t>
    <phoneticPr fontId="2" type="noConversion"/>
  </si>
  <si>
    <t>41072-25-502877X</t>
    <phoneticPr fontId="2" type="noConversion"/>
  </si>
  <si>
    <t>41072-25-502901X</t>
    <phoneticPr fontId="2" type="noConversion"/>
  </si>
  <si>
    <t>41072-25-502990X</t>
    <phoneticPr fontId="2" type="noConversion"/>
  </si>
  <si>
    <t>41072-25-503075X</t>
  </si>
  <si>
    <t>41072-25-502949X</t>
    <phoneticPr fontId="2" type="noConversion"/>
  </si>
  <si>
    <t>41072-25-502902X</t>
    <phoneticPr fontId="2" type="noConversion"/>
  </si>
  <si>
    <t>41072-25-502876X</t>
    <phoneticPr fontId="2" type="noConversion"/>
  </si>
  <si>
    <t>41072-25-502875X</t>
    <phoneticPr fontId="2" type="noConversion"/>
  </si>
  <si>
    <t>DSM2511-01</t>
    <phoneticPr fontId="2" type="noConversion"/>
  </si>
  <si>
    <t>DSM2511-02</t>
  </si>
  <si>
    <t>DSM2511-03</t>
  </si>
  <si>
    <t>DSM2511-04</t>
  </si>
  <si>
    <t>DSM2511-05</t>
  </si>
  <si>
    <t>DSM2511-06</t>
  </si>
  <si>
    <t>DSM2511-07</t>
  </si>
  <si>
    <t>DSM2511-08</t>
  </si>
  <si>
    <t>DSM2511-09</t>
  </si>
  <si>
    <t>DSM2511-10</t>
  </si>
  <si>
    <t>DSM2511-11</t>
  </si>
  <si>
    <t>DSM2511-12</t>
  </si>
  <si>
    <t>DSM2511-13</t>
  </si>
  <si>
    <t>DSM2511-14</t>
  </si>
  <si>
    <t>DSM2511-15</t>
  </si>
  <si>
    <t>DSM2511-16</t>
  </si>
  <si>
    <t>41072-25-502926X</t>
    <phoneticPr fontId="2" type="noConversion"/>
  </si>
  <si>
    <t>41072-25-502927X</t>
    <phoneticPr fontId="2" type="noConversion"/>
  </si>
  <si>
    <t>41072-25-503085X</t>
    <phoneticPr fontId="2" type="noConversion"/>
  </si>
  <si>
    <t>41072-25-503020X</t>
    <phoneticPr fontId="2" type="noConversion"/>
  </si>
  <si>
    <t>41072-25-202721X</t>
    <phoneticPr fontId="2" type="noConversion"/>
  </si>
  <si>
    <t>41072-25-202655X</t>
    <phoneticPr fontId="2" type="noConversion"/>
  </si>
  <si>
    <t>41072-25-503021X</t>
    <phoneticPr fontId="2" type="noConversion"/>
  </si>
  <si>
    <t>41072-25-503157X</t>
  </si>
  <si>
    <t>41072-25-503086X</t>
    <phoneticPr fontId="2" type="noConversion"/>
  </si>
  <si>
    <t>41072-25-202843X</t>
  </si>
  <si>
    <t>41072-25-503141X</t>
  </si>
  <si>
    <t>41072-25-503142X</t>
  </si>
  <si>
    <t>41072-25-202844X</t>
  </si>
  <si>
    <t>41072-25-503004X</t>
    <phoneticPr fontId="2" type="noConversion"/>
  </si>
  <si>
    <t>41072-25-502951X</t>
    <phoneticPr fontId="2" type="noConversion"/>
  </si>
  <si>
    <t>41072-25-503158X</t>
  </si>
  <si>
    <t>41072-25-502887X</t>
    <phoneticPr fontId="2" type="noConversion"/>
  </si>
  <si>
    <t>DSM2511-MC01</t>
    <phoneticPr fontId="2" type="noConversion"/>
  </si>
  <si>
    <t>41072-25-502869X</t>
    <phoneticPr fontId="2" type="noConversion"/>
  </si>
  <si>
    <t>41072-25-502870X</t>
    <phoneticPr fontId="2" type="noConversion"/>
  </si>
  <si>
    <t>DSM2511-R01</t>
    <phoneticPr fontId="2" type="noConversion"/>
  </si>
  <si>
    <t>DSM2511-R02</t>
  </si>
  <si>
    <t>DSM2511-R03</t>
  </si>
  <si>
    <t>41072-25-503025X</t>
    <phoneticPr fontId="2" type="noConversion"/>
  </si>
  <si>
    <t>41072-25-503140X</t>
    <phoneticPr fontId="2" type="noConversion"/>
  </si>
  <si>
    <t>41129-25-110030X</t>
    <phoneticPr fontId="2" type="noConversion"/>
  </si>
  <si>
    <t>DSM2511-SK01</t>
    <phoneticPr fontId="2" type="noConversion"/>
  </si>
  <si>
    <t>DSM2511-SK02</t>
  </si>
  <si>
    <t>DSM2511-SK03</t>
  </si>
  <si>
    <t>DSM2511-SK04</t>
  </si>
  <si>
    <t>DSM2511-SK05</t>
  </si>
  <si>
    <t>ABS 251-SK01</t>
    <phoneticPr fontId="2" type="noConversion"/>
  </si>
  <si>
    <t>ABS CMHI-282-06-SK01</t>
    <phoneticPr fontId="2" type="noConversion"/>
  </si>
  <si>
    <t>CCS H1887-SK01</t>
    <phoneticPr fontId="2" type="noConversion"/>
  </si>
  <si>
    <t>ABS 2316-SK02</t>
    <phoneticPr fontId="2" type="noConversion"/>
  </si>
  <si>
    <t>ABS 2569-SK02</t>
    <phoneticPr fontId="2" type="noConversion"/>
  </si>
  <si>
    <t>41072-25-202803X</t>
    <phoneticPr fontId="2" type="noConversion"/>
  </si>
  <si>
    <t>41072-25-503057X</t>
    <phoneticPr fontId="2" type="noConversion"/>
  </si>
  <si>
    <t>41072-25-502978X</t>
    <phoneticPr fontId="2" type="noConversion"/>
  </si>
  <si>
    <t>41072-25-502908X</t>
    <phoneticPr fontId="2" type="noConversion"/>
  </si>
  <si>
    <t>41072-25-503125X</t>
    <phoneticPr fontId="2" type="noConversion"/>
  </si>
  <si>
    <t>DSM2511-JS01</t>
    <phoneticPr fontId="2" type="noConversion"/>
  </si>
  <si>
    <t>DSM2511-JS02</t>
  </si>
  <si>
    <t>41072-25-502886X</t>
    <phoneticPr fontId="2" type="noConversion"/>
  </si>
  <si>
    <t>41072-25-202720X</t>
    <phoneticPr fontId="2" type="noConversion"/>
  </si>
  <si>
    <t>DSM2511-AM01</t>
    <phoneticPr fontId="2" type="noConversion"/>
  </si>
  <si>
    <t>DSM2511-AM02</t>
  </si>
  <si>
    <t>DSM2511-AM03</t>
  </si>
  <si>
    <t>20576-25-110452X</t>
    <phoneticPr fontId="2" type="noConversion"/>
  </si>
  <si>
    <t>20576-25-120080X</t>
    <phoneticPr fontId="2" type="noConversion"/>
  </si>
  <si>
    <t>20576-25-120092X</t>
    <phoneticPr fontId="2" type="noConversion"/>
  </si>
  <si>
    <t>O</t>
    <phoneticPr fontId="2" type="noConversion"/>
  </si>
  <si>
    <t>-</t>
    <phoneticPr fontId="2" type="noConversion"/>
  </si>
  <si>
    <t>DSM2511-AT01</t>
    <phoneticPr fontId="2" type="noConversion"/>
  </si>
  <si>
    <t>DSM2511-AT02</t>
    <phoneticPr fontId="2" type="noConversion"/>
  </si>
  <si>
    <t>O</t>
    <phoneticPr fontId="2" type="noConversion"/>
  </si>
  <si>
    <t>DSM2511-AL02</t>
  </si>
  <si>
    <t>41072-25-503113X</t>
  </si>
  <si>
    <t>DSM2511-AL02(관세)</t>
  </si>
  <si>
    <t>2511P01</t>
  </si>
  <si>
    <t>41072-25-502914X</t>
  </si>
  <si>
    <t>※ 2025년 12월 마감내역 ※</t>
    <phoneticPr fontId="3" type="noConversion"/>
  </si>
  <si>
    <t>26.01월 이월분</t>
    <phoneticPr fontId="3" type="noConversion"/>
  </si>
  <si>
    <t>DSM2512-AL01</t>
    <phoneticPr fontId="2" type="noConversion"/>
  </si>
  <si>
    <t>DSM2512-AL1TA</t>
    <phoneticPr fontId="2" type="noConversion"/>
  </si>
  <si>
    <t>2512P01</t>
    <phoneticPr fontId="2" type="noConversion"/>
  </si>
  <si>
    <t>2512P02</t>
    <phoneticPr fontId="2" type="noConversion"/>
  </si>
  <si>
    <t>2512P03</t>
  </si>
  <si>
    <t>2512P04</t>
  </si>
  <si>
    <t>2512P05</t>
  </si>
  <si>
    <t>2512P06</t>
  </si>
  <si>
    <t>2512P07</t>
  </si>
  <si>
    <t>2512P08</t>
  </si>
  <si>
    <t>DSM2512-01</t>
    <phoneticPr fontId="2" type="noConversion"/>
  </si>
  <si>
    <t>DSM2512-02</t>
    <phoneticPr fontId="2" type="noConversion"/>
  </si>
  <si>
    <t>DSM2512-03</t>
  </si>
  <si>
    <t>DSM2512-04</t>
  </si>
  <si>
    <t>DSM2512-05</t>
  </si>
  <si>
    <t>DSM2512-06</t>
  </si>
  <si>
    <t>DSM2512-07</t>
  </si>
  <si>
    <t>DSM2512-08</t>
  </si>
  <si>
    <t>DSM2512-09</t>
  </si>
  <si>
    <t>DSM2512-11</t>
  </si>
  <si>
    <t>DSM2512-12</t>
  </si>
  <si>
    <t>DSM2512-13</t>
  </si>
  <si>
    <t>DSM2512-14</t>
  </si>
  <si>
    <t>DSM2512-10</t>
    <phoneticPr fontId="2" type="noConversion"/>
  </si>
  <si>
    <t>DSM2512-15</t>
    <phoneticPr fontId="2" type="noConversion"/>
  </si>
  <si>
    <t>DSM2512-MC01</t>
    <phoneticPr fontId="2" type="noConversion"/>
  </si>
  <si>
    <t>DSM2512-MC02</t>
  </si>
  <si>
    <t>DSM2512-R02</t>
  </si>
  <si>
    <t>DSM2512-SM01</t>
    <phoneticPr fontId="2" type="noConversion"/>
  </si>
  <si>
    <t>DSM2512-SE01</t>
    <phoneticPr fontId="2" type="noConversion"/>
  </si>
  <si>
    <t>DSM2512-EM01</t>
    <phoneticPr fontId="2" type="noConversion"/>
  </si>
  <si>
    <t>DSM2512-EM02</t>
  </si>
  <si>
    <t>DSM2512-EM03</t>
  </si>
  <si>
    <t>DSM2512-AM01</t>
    <phoneticPr fontId="2" type="noConversion"/>
  </si>
  <si>
    <t>DSM2512-AM02</t>
  </si>
  <si>
    <t>DSM2512-AM03</t>
  </si>
  <si>
    <t>41072-25-503238X</t>
    <phoneticPr fontId="2" type="noConversion"/>
  </si>
  <si>
    <t>DSM2512-AL01(관세)</t>
    <phoneticPr fontId="2" type="noConversion"/>
  </si>
  <si>
    <t>-</t>
    <phoneticPr fontId="2" type="noConversion"/>
  </si>
  <si>
    <t>DSM2512-AL02</t>
    <phoneticPr fontId="2" type="noConversion"/>
  </si>
  <si>
    <t>41072-25-503326X</t>
    <phoneticPr fontId="2" type="noConversion"/>
  </si>
  <si>
    <t>DSM2512-AL02(관세)</t>
    <phoneticPr fontId="2" type="noConversion"/>
  </si>
  <si>
    <t>41072-25-503332X</t>
    <phoneticPr fontId="2" type="noConversion"/>
  </si>
  <si>
    <t>41072-25-203033X</t>
    <phoneticPr fontId="2" type="noConversion"/>
  </si>
  <si>
    <t>DSM2512-AL2TA</t>
    <phoneticPr fontId="2" type="noConversion"/>
  </si>
  <si>
    <t>41072-25-503155X</t>
    <phoneticPr fontId="2" type="noConversion"/>
  </si>
  <si>
    <t>41072-25-503196X</t>
    <phoneticPr fontId="2" type="noConversion"/>
  </si>
  <si>
    <t>41072-25-503268X</t>
    <phoneticPr fontId="2" type="noConversion"/>
  </si>
  <si>
    <t>41072-25-503299X</t>
  </si>
  <si>
    <t>41072-25-503192X</t>
    <phoneticPr fontId="2" type="noConversion"/>
  </si>
  <si>
    <t>41072-25-503269X</t>
    <phoneticPr fontId="2" type="noConversion"/>
  </si>
  <si>
    <t>41072-25-503270X</t>
    <phoneticPr fontId="2" type="noConversion"/>
  </si>
  <si>
    <t>41072-25-503271X</t>
    <phoneticPr fontId="2" type="noConversion"/>
  </si>
  <si>
    <t>41072-25-202919X</t>
    <phoneticPr fontId="2" type="noConversion"/>
  </si>
  <si>
    <t>41072-25-202920X</t>
    <phoneticPr fontId="2" type="noConversion"/>
  </si>
  <si>
    <t>41072-25-503288X</t>
    <phoneticPr fontId="2" type="noConversion"/>
  </si>
  <si>
    <t>41072-25-203030X</t>
    <phoneticPr fontId="2" type="noConversion"/>
  </si>
  <si>
    <t>41072-25-503221X</t>
    <phoneticPr fontId="2" type="noConversion"/>
  </si>
  <si>
    <t>41072-25-203031X</t>
    <phoneticPr fontId="2" type="noConversion"/>
  </si>
  <si>
    <t>41072-25-203032X</t>
    <phoneticPr fontId="2" type="noConversion"/>
  </si>
  <si>
    <t>41072-26-500005X</t>
    <phoneticPr fontId="2" type="noConversion"/>
  </si>
  <si>
    <t>DSM2512-R01</t>
    <phoneticPr fontId="2" type="noConversion"/>
  </si>
  <si>
    <t>41072-25-503344X</t>
    <phoneticPr fontId="2" type="noConversion"/>
  </si>
  <si>
    <t>41129-25-120318X</t>
    <phoneticPr fontId="2" type="noConversion"/>
  </si>
  <si>
    <t>41072-25-503087X</t>
    <phoneticPr fontId="2" type="noConversion"/>
  </si>
  <si>
    <t>41072-25-503075X</t>
    <phoneticPr fontId="2" type="noConversion"/>
  </si>
  <si>
    <t>41072-25-503226X</t>
    <phoneticPr fontId="2" type="noConversion"/>
  </si>
  <si>
    <t>41072-25-503228X</t>
    <phoneticPr fontId="2" type="noConversion"/>
  </si>
  <si>
    <t>41072-25-503261X</t>
    <phoneticPr fontId="2" type="noConversion"/>
  </si>
  <si>
    <t>41072-25-503140X</t>
    <phoneticPr fontId="2" type="noConversion"/>
  </si>
  <si>
    <t>20576-25-120080X</t>
    <phoneticPr fontId="2" type="noConversion"/>
  </si>
  <si>
    <t>20576-25-120092X</t>
    <phoneticPr fontId="2" type="noConversion"/>
  </si>
  <si>
    <t>41072-25-203027X</t>
    <phoneticPr fontId="2" type="noConversion"/>
  </si>
  <si>
    <t>20576-25-120688X</t>
    <phoneticPr fontId="2" type="noConversion"/>
  </si>
  <si>
    <t>DSM2512-SK01</t>
    <phoneticPr fontId="2" type="noConversion"/>
  </si>
  <si>
    <t>DSM2512-SK02</t>
  </si>
  <si>
    <t>DSM2512-SK03</t>
  </si>
  <si>
    <t>DSM2512-SK04</t>
  </si>
  <si>
    <t>DSM2512-SK05</t>
  </si>
  <si>
    <t>41072-25-503184X</t>
    <phoneticPr fontId="2" type="noConversion"/>
  </si>
  <si>
    <t>41072-25-503248X</t>
    <phoneticPr fontId="2" type="noConversion"/>
  </si>
  <si>
    <t>41072-25-503322X</t>
    <phoneticPr fontId="2" type="noConversion"/>
  </si>
  <si>
    <t>41072-25-503368X</t>
    <phoneticPr fontId="2" type="noConversion"/>
  </si>
  <si>
    <t>41072-25-503369X</t>
    <phoneticPr fontId="2" type="noConversion"/>
  </si>
  <si>
    <t>DSM2512-JS01</t>
    <phoneticPr fontId="2" type="noConversion"/>
  </si>
  <si>
    <t>DSM2512-JS02</t>
  </si>
  <si>
    <t>41072-25-503168X</t>
    <phoneticPr fontId="2" type="noConversion"/>
  </si>
  <si>
    <t>41072-25-503346X</t>
    <phoneticPr fontId="2" type="noConversion"/>
  </si>
  <si>
    <t>SN2655, SN2316 선급검사비</t>
    <phoneticPr fontId="2" type="noConversion"/>
  </si>
  <si>
    <t>2663 선급검사비</t>
    <phoneticPr fontId="2" type="noConversion"/>
  </si>
  <si>
    <t>2693, H2694, SN2696, 2695 선급검사비</t>
    <phoneticPr fontId="2" type="noConversion"/>
  </si>
  <si>
    <t>H2585, H2586, H2593 선금검사비</t>
    <phoneticPr fontId="2" type="noConversion"/>
  </si>
  <si>
    <t>41072-25-503345X</t>
  </si>
  <si>
    <t>41072-25-503328X</t>
  </si>
  <si>
    <t>41072-25-503208X</t>
    <phoneticPr fontId="2" type="noConversion"/>
  </si>
  <si>
    <t>41072-25-503370X</t>
    <phoneticPr fontId="2" type="noConversion"/>
  </si>
  <si>
    <t>41072-25-503290X</t>
    <phoneticPr fontId="2" type="noConversion"/>
  </si>
  <si>
    <t>41072-25-503185X</t>
  </si>
  <si>
    <t>41072-25-503289X</t>
  </si>
  <si>
    <t>DSM2510-16TA</t>
    <phoneticPr fontId="2" type="noConversion"/>
  </si>
  <si>
    <t>41072-25-503305X</t>
    <phoneticPr fontId="2" type="noConversion"/>
  </si>
  <si>
    <t>-</t>
    <phoneticPr fontId="2" type="noConversion"/>
  </si>
  <si>
    <t>DSM2512-AL03</t>
    <phoneticPr fontId="2" type="noConversion"/>
  </si>
  <si>
    <t>DSM2512-AL03(관세)</t>
    <phoneticPr fontId="2" type="noConversion"/>
  </si>
  <si>
    <t>무보 
등록 여부</t>
    <phoneticPr fontId="2" type="noConversion"/>
  </si>
  <si>
    <t>O</t>
    <phoneticPr fontId="2" type="noConversion"/>
  </si>
  <si>
    <t>10-16TA 매출잡기</t>
    <phoneticPr fontId="2" type="noConversion"/>
  </si>
  <si>
    <t>※ 2026년 01월 마감내역 ※</t>
    <phoneticPr fontId="3" type="noConversion"/>
  </si>
  <si>
    <t>툴링</t>
    <phoneticPr fontId="2" type="noConversion"/>
  </si>
  <si>
    <t>전월 출하 당월 선적</t>
    <phoneticPr fontId="2" type="noConversion"/>
  </si>
  <si>
    <t>당월 출하 차월 선적</t>
    <phoneticPr fontId="2" type="noConversion"/>
  </si>
  <si>
    <t>41072-25-203030X</t>
  </si>
  <si>
    <t>41072-25-203031X</t>
  </si>
  <si>
    <t>41072-25-203032X</t>
  </si>
  <si>
    <t>DSM2512-10</t>
  </si>
  <si>
    <t>DSM2512-15</t>
  </si>
  <si>
    <t>DSM2512-R01</t>
  </si>
  <si>
    <t>41072-26-500005X</t>
  </si>
  <si>
    <t>41072-25-503371x</t>
    <phoneticPr fontId="2" type="noConversion"/>
  </si>
  <si>
    <t>41072-25-503372x</t>
    <phoneticPr fontId="2" type="noConversion"/>
  </si>
  <si>
    <t>41072-25-503373x</t>
    <phoneticPr fontId="2" type="noConversion"/>
  </si>
  <si>
    <t>41072-25-503374x</t>
    <phoneticPr fontId="2" type="noConversion"/>
  </si>
  <si>
    <t>20576-25-120752X</t>
    <phoneticPr fontId="2" type="noConversion"/>
  </si>
  <si>
    <t>SAM
(마산3)</t>
  </si>
  <si>
    <t>DSM2512-SM01</t>
  </si>
  <si>
    <t>41129-25-120318X</t>
  </si>
  <si>
    <t>DOMETIC
(마산1)</t>
    <phoneticPr fontId="3" type="noConversion"/>
  </si>
  <si>
    <t>Allison
(마산2)</t>
    <phoneticPr fontId="2" type="noConversion"/>
  </si>
  <si>
    <t>DSM2601-AL03</t>
    <phoneticPr fontId="2" type="noConversion"/>
  </si>
  <si>
    <t>DSM2601-SK01</t>
    <phoneticPr fontId="2" type="noConversion"/>
  </si>
  <si>
    <t>DSM2601-SK02</t>
  </si>
  <si>
    <t>DSM2601-SK03</t>
  </si>
  <si>
    <t>41072-26-200100X</t>
    <phoneticPr fontId="2" type="noConversion"/>
  </si>
  <si>
    <t>41072-26-500090X</t>
    <phoneticPr fontId="2" type="noConversion"/>
  </si>
  <si>
    <t>41072-26-500221X</t>
    <phoneticPr fontId="2" type="noConversion"/>
  </si>
  <si>
    <t>DSM2601-SK04</t>
    <phoneticPr fontId="2" type="noConversion"/>
  </si>
  <si>
    <t>41072-26-500283X</t>
    <phoneticPr fontId="2" type="noConversion"/>
  </si>
  <si>
    <t>DSM2601-JS01</t>
    <phoneticPr fontId="2" type="noConversion"/>
  </si>
  <si>
    <t>41072-26-500193X</t>
    <phoneticPr fontId="2" type="noConversion"/>
  </si>
  <si>
    <t>DSM2601-SE01</t>
    <phoneticPr fontId="2" type="noConversion"/>
  </si>
  <si>
    <t>41072-26-500022X</t>
    <phoneticPr fontId="2" type="noConversion"/>
  </si>
  <si>
    <t>2601P01</t>
    <phoneticPr fontId="2" type="noConversion"/>
  </si>
  <si>
    <t>2601P02</t>
  </si>
  <si>
    <t>2601P03</t>
  </si>
  <si>
    <t>2601P04</t>
  </si>
  <si>
    <t>2601P05</t>
  </si>
  <si>
    <t>2601P06</t>
  </si>
  <si>
    <t>2601P07</t>
  </si>
  <si>
    <t>2601P08</t>
  </si>
  <si>
    <t>41072-26-500038X</t>
    <phoneticPr fontId="2" type="noConversion"/>
  </si>
  <si>
    <t>41072-26-500074X</t>
    <phoneticPr fontId="2" type="noConversion"/>
  </si>
  <si>
    <t>41072-26-500235X</t>
    <phoneticPr fontId="2" type="noConversion"/>
  </si>
  <si>
    <t>41072-26-500178X</t>
    <phoneticPr fontId="2" type="noConversion"/>
  </si>
  <si>
    <t>41072-26-500236X</t>
    <phoneticPr fontId="2" type="noConversion"/>
  </si>
  <si>
    <t>41072-26-500105X</t>
    <phoneticPr fontId="2" type="noConversion"/>
  </si>
  <si>
    <t>41072-26-500237X</t>
    <phoneticPr fontId="2" type="noConversion"/>
  </si>
  <si>
    <t>41072-26-500238X</t>
    <phoneticPr fontId="2" type="noConversion"/>
  </si>
  <si>
    <t>DSM2601-01</t>
    <phoneticPr fontId="2" type="noConversion"/>
  </si>
  <si>
    <t>41072-26-500107X</t>
    <phoneticPr fontId="2" type="noConversion"/>
  </si>
  <si>
    <t>DSM2601-02</t>
  </si>
  <si>
    <t>DSM2601-03</t>
  </si>
  <si>
    <t>DSM2601-04</t>
  </si>
  <si>
    <t>DSM2601-05</t>
  </si>
  <si>
    <t>DSM2601-06</t>
  </si>
  <si>
    <t>DSM2601-07</t>
  </si>
  <si>
    <t>41072-26-500108X</t>
    <phoneticPr fontId="2" type="noConversion"/>
  </si>
  <si>
    <t>41072-26-500109X</t>
    <phoneticPr fontId="2" type="noConversion"/>
  </si>
  <si>
    <t>41072-26-500110X</t>
    <phoneticPr fontId="2" type="noConversion"/>
  </si>
  <si>
    <t>41072-26-500150X</t>
    <phoneticPr fontId="2" type="noConversion"/>
  </si>
  <si>
    <t>41072-26-500151X</t>
    <phoneticPr fontId="2" type="noConversion"/>
  </si>
  <si>
    <t>41072-26-500152X</t>
    <phoneticPr fontId="2" type="noConversion"/>
  </si>
  <si>
    <t>DSM2601-08</t>
  </si>
  <si>
    <t>41072-26-500153X</t>
  </si>
  <si>
    <t>DSM2601-10</t>
  </si>
  <si>
    <t>DSM2601-11</t>
  </si>
  <si>
    <t>DSM2601-15</t>
  </si>
  <si>
    <t>41072-26-500222X</t>
    <phoneticPr fontId="2" type="noConversion"/>
  </si>
  <si>
    <t>DSM2601-09</t>
    <phoneticPr fontId="2" type="noConversion"/>
  </si>
  <si>
    <t>41072-26-500223X</t>
    <phoneticPr fontId="2" type="noConversion"/>
  </si>
  <si>
    <t>41072-26-500224X</t>
    <phoneticPr fontId="2" type="noConversion"/>
  </si>
  <si>
    <t>DSM2601-12</t>
    <phoneticPr fontId="2" type="noConversion"/>
  </si>
  <si>
    <t>41072-26-500285X</t>
    <phoneticPr fontId="2" type="noConversion"/>
  </si>
  <si>
    <t>DSM2601-13</t>
    <phoneticPr fontId="2" type="noConversion"/>
  </si>
  <si>
    <t>41072-26-500286X</t>
    <phoneticPr fontId="2" type="noConversion"/>
  </si>
  <si>
    <t>DSM2601-14</t>
    <phoneticPr fontId="2" type="noConversion"/>
  </si>
  <si>
    <t>41072-26-200213X</t>
    <phoneticPr fontId="2" type="noConversion"/>
  </si>
  <si>
    <t>41072-26-200214X</t>
    <phoneticPr fontId="2" type="noConversion"/>
  </si>
  <si>
    <t>DSM2601-MC01</t>
    <phoneticPr fontId="2" type="noConversion"/>
  </si>
  <si>
    <t>DSM2601-MC02</t>
  </si>
  <si>
    <t>DSM2601-MC03</t>
  </si>
  <si>
    <t>41072-26-500093X</t>
    <phoneticPr fontId="2" type="noConversion"/>
  </si>
  <si>
    <t>41072-26-500181X</t>
    <phoneticPr fontId="2" type="noConversion"/>
  </si>
  <si>
    <t>41072-26-500177x</t>
    <phoneticPr fontId="2" type="noConversion"/>
  </si>
  <si>
    <t>DSM2601-R01</t>
    <phoneticPr fontId="2" type="noConversion"/>
  </si>
  <si>
    <t>41072-26-500202X</t>
    <phoneticPr fontId="2" type="noConversion"/>
  </si>
  <si>
    <t>41072-26-500306X</t>
    <phoneticPr fontId="2" type="noConversion"/>
  </si>
  <si>
    <t>DSM2601-R04T</t>
    <phoneticPr fontId="2" type="noConversion"/>
  </si>
  <si>
    <t>DSM2601-R03T</t>
    <phoneticPr fontId="2" type="noConversion"/>
  </si>
  <si>
    <t>DSM2601-AL01</t>
    <phoneticPr fontId="2" type="noConversion"/>
  </si>
  <si>
    <t>41072-26-200079X</t>
    <phoneticPr fontId="2" type="noConversion"/>
  </si>
  <si>
    <t>DSM2601-AL01(관세)</t>
    <phoneticPr fontId="2" type="noConversion"/>
  </si>
  <si>
    <t>DSM2601-AL02</t>
    <phoneticPr fontId="2" type="noConversion"/>
  </si>
  <si>
    <t>DSM2601-AL02(관세)</t>
    <phoneticPr fontId="2" type="noConversion"/>
  </si>
  <si>
    <t>DSM2601-AL03(관세)</t>
    <phoneticPr fontId="2" type="noConversion"/>
  </si>
  <si>
    <t>-</t>
    <phoneticPr fontId="2" type="noConversion"/>
  </si>
  <si>
    <t>41072-26-500204X</t>
    <phoneticPr fontId="2" type="noConversion"/>
  </si>
  <si>
    <t>DSM2601-EM01</t>
    <phoneticPr fontId="2" type="noConversion"/>
  </si>
  <si>
    <t>DSM2601-EM02</t>
  </si>
  <si>
    <t>DSM2601-EM03</t>
  </si>
  <si>
    <t>DSM2601-EM04</t>
  </si>
  <si>
    <t>DSM2601-EM05</t>
  </si>
  <si>
    <t>41072-26-500092X</t>
    <phoneticPr fontId="2" type="noConversion"/>
  </si>
  <si>
    <t>41072-26-500051X</t>
    <phoneticPr fontId="2" type="noConversion"/>
  </si>
  <si>
    <t>41072-26-500094X</t>
    <phoneticPr fontId="2" type="noConversion"/>
  </si>
  <si>
    <t>41072-26-500246X</t>
    <phoneticPr fontId="2" type="noConversion"/>
  </si>
  <si>
    <t>4072-26-500164X</t>
    <phoneticPr fontId="2" type="noConversion"/>
  </si>
  <si>
    <t>DSM2601-AT01</t>
    <phoneticPr fontId="2" type="noConversion"/>
  </si>
  <si>
    <t>DSM2601-AT02</t>
  </si>
  <si>
    <t>DSM2601-AT03</t>
  </si>
  <si>
    <t>SN2640 선급검사비</t>
    <phoneticPr fontId="2" type="noConversion"/>
  </si>
  <si>
    <t>DSM2601-AM01</t>
    <phoneticPr fontId="2" type="noConversion"/>
  </si>
  <si>
    <t>DSM2601-SM01</t>
    <phoneticPr fontId="2" type="noConversion"/>
  </si>
  <si>
    <t>26.02월 이월분</t>
    <phoneticPr fontId="3" type="noConversion"/>
  </si>
  <si>
    <t>26.01월 당월분</t>
    <phoneticPr fontId="3" type="noConversion"/>
  </si>
  <si>
    <t>25.12월 이월분</t>
    <phoneticPr fontId="2" type="noConversion"/>
  </si>
  <si>
    <t>DSM2510-16TA</t>
    <phoneticPr fontId="2" type="noConversion"/>
  </si>
  <si>
    <t>DSM2512-AL02TA</t>
    <phoneticPr fontId="2" type="noConversion"/>
  </si>
  <si>
    <t>DSM2512-AL03TA</t>
  </si>
  <si>
    <t>DSM2512-AL04TA</t>
  </si>
  <si>
    <t>DSM2512-AL05TA</t>
  </si>
  <si>
    <t>DSM2512-AL06TA</t>
  </si>
  <si>
    <t>-</t>
    <phoneticPr fontId="2" type="noConversion"/>
  </si>
  <si>
    <t>O</t>
    <phoneticPr fontId="2" type="noConversion"/>
  </si>
  <si>
    <t>※ 2026년 02월 마감내역 ※</t>
    <phoneticPr fontId="3" type="noConversion"/>
  </si>
  <si>
    <t>01월 이월분</t>
    <phoneticPr fontId="2" type="noConversion"/>
  </si>
  <si>
    <t>DSM2601-SK04</t>
  </si>
  <si>
    <t>41072-26-500283X</t>
  </si>
  <si>
    <t>41072-26-500235X</t>
  </si>
  <si>
    <t>41072-26-500236X</t>
  </si>
  <si>
    <t>41072-26-500237X</t>
  </si>
  <si>
    <t>41072-26-500238X</t>
  </si>
  <si>
    <t>DSM2601-09</t>
  </si>
  <si>
    <t>41072-26-500222X</t>
  </si>
  <si>
    <t>41072-26-500223X</t>
  </si>
  <si>
    <t>41072-26-500224X</t>
  </si>
  <si>
    <t>DSM2601-12</t>
  </si>
  <si>
    <t>41072-26-500285X</t>
  </si>
  <si>
    <t>DSM2601-13</t>
  </si>
  <si>
    <t>41072-26-500286X</t>
  </si>
  <si>
    <t>DSM2601-14</t>
  </si>
  <si>
    <t>41072-26-200213X</t>
  </si>
  <si>
    <t>41072-26-200214X</t>
  </si>
  <si>
    <t>41072-26-500306X</t>
  </si>
  <si>
    <t>DSM2601-AL02</t>
  </si>
  <si>
    <t>41072-26-500204X</t>
  </si>
  <si>
    <t>DSM2601-AL02(관세)</t>
  </si>
  <si>
    <t>DSM2601-AL03</t>
  </si>
  <si>
    <t>DSM2601-AL03(관세)</t>
  </si>
  <si>
    <t>DSM2601-AM01</t>
  </si>
  <si>
    <t>DSM2601-R02</t>
    <phoneticPr fontId="2" type="noConversion"/>
  </si>
  <si>
    <t>DSM2601-R03</t>
  </si>
  <si>
    <t>41072-26-200366X</t>
    <phoneticPr fontId="2" type="noConversion"/>
  </si>
  <si>
    <t>41072-26-500270X</t>
    <phoneticPr fontId="2" type="noConversion"/>
  </si>
  <si>
    <t>DSM2602-SK01</t>
    <phoneticPr fontId="2" type="noConversion"/>
  </si>
  <si>
    <t>DSM2602-SK02</t>
  </si>
  <si>
    <t>DSM2602-SK03</t>
  </si>
  <si>
    <t>DSM2602-SK04</t>
  </si>
  <si>
    <t>41072-26-500347X</t>
    <phoneticPr fontId="2" type="noConversion"/>
  </si>
  <si>
    <t>41072-26-200380X</t>
    <phoneticPr fontId="2" type="noConversion"/>
  </si>
  <si>
    <t>41072-26-200450X</t>
    <phoneticPr fontId="2" type="noConversion"/>
  </si>
  <si>
    <t>41072-26-200451X</t>
    <phoneticPr fontId="2" type="noConversion"/>
  </si>
  <si>
    <t>DSM2602-JS01</t>
    <phoneticPr fontId="2" type="noConversion"/>
  </si>
  <si>
    <t>DSM2602-JS02</t>
  </si>
  <si>
    <t>41072-26-500319X</t>
    <phoneticPr fontId="2" type="noConversion"/>
  </si>
  <si>
    <t>41072-26-500355X</t>
    <phoneticPr fontId="2" type="noConversion"/>
  </si>
  <si>
    <t>DSM2602-SE01</t>
    <phoneticPr fontId="2" type="noConversion"/>
  </si>
  <si>
    <t>41072-26-500248X</t>
    <phoneticPr fontId="2" type="noConversion"/>
  </si>
  <si>
    <t>2602P01</t>
    <phoneticPr fontId="2" type="noConversion"/>
  </si>
  <si>
    <t>2602P02</t>
  </si>
  <si>
    <t>2602P03</t>
  </si>
  <si>
    <t>2602P04</t>
  </si>
  <si>
    <t>2602P05</t>
  </si>
  <si>
    <t>2602P06</t>
  </si>
  <si>
    <t>2602P07</t>
  </si>
  <si>
    <t>2602P08</t>
  </si>
  <si>
    <t>41072-26-500284X</t>
    <phoneticPr fontId="2" type="noConversion"/>
  </si>
  <si>
    <t>41072-26-200339X</t>
    <phoneticPr fontId="2" type="noConversion"/>
  </si>
  <si>
    <t>41072-26-200302X</t>
    <phoneticPr fontId="2" type="noConversion"/>
  </si>
  <si>
    <t>41072-26-200340X</t>
    <phoneticPr fontId="2" type="noConversion"/>
  </si>
  <si>
    <t>41072-26-500359X</t>
    <phoneticPr fontId="2" type="noConversion"/>
  </si>
  <si>
    <t>41072-26-500360X</t>
    <phoneticPr fontId="2" type="noConversion"/>
  </si>
  <si>
    <t>41072-26-200341X</t>
    <phoneticPr fontId="2" type="noConversion"/>
  </si>
  <si>
    <t>41072-26-200303X</t>
  </si>
  <si>
    <t>2602P09</t>
    <phoneticPr fontId="2" type="noConversion"/>
  </si>
  <si>
    <t>41072-26-500318X</t>
    <phoneticPr fontId="2" type="noConversion"/>
  </si>
  <si>
    <t>DSM2601-15</t>
    <phoneticPr fontId="2" type="noConversion"/>
  </si>
  <si>
    <t>DSM2602-01</t>
    <phoneticPr fontId="2" type="noConversion"/>
  </si>
  <si>
    <t>DSM2602-02</t>
  </si>
  <si>
    <t>DSM2602-03</t>
  </si>
  <si>
    <t>DSM2602-04</t>
  </si>
  <si>
    <t>DSM2602-05</t>
  </si>
  <si>
    <t>DSM2602-06</t>
  </si>
  <si>
    <t>DSM2602-07</t>
  </si>
  <si>
    <t>DSM2602-08</t>
  </si>
  <si>
    <t>41072-26-500287X</t>
    <phoneticPr fontId="2" type="noConversion"/>
  </si>
  <si>
    <t>41072-26-200304X</t>
    <phoneticPr fontId="2" type="noConversion"/>
  </si>
  <si>
    <t>41072-26-200392X</t>
    <phoneticPr fontId="2" type="noConversion"/>
  </si>
  <si>
    <t>41072-26-200393X</t>
    <phoneticPr fontId="2" type="noConversion"/>
  </si>
  <si>
    <t>41072-26-200432X</t>
    <phoneticPr fontId="2" type="noConversion"/>
  </si>
  <si>
    <t>41072-26-200532X</t>
    <phoneticPr fontId="2" type="noConversion"/>
  </si>
  <si>
    <t>41072-26-200394X</t>
  </si>
  <si>
    <t>41072-26-200395X</t>
  </si>
  <si>
    <t>DSM2602-09</t>
  </si>
  <si>
    <t>DSM2602-10</t>
  </si>
  <si>
    <t>DSM2602-11</t>
  </si>
  <si>
    <t>DSM2602-12</t>
  </si>
  <si>
    <t>DSM2602-13</t>
  </si>
  <si>
    <t>DSM2602-14</t>
  </si>
  <si>
    <t>DSM2602-15</t>
  </si>
  <si>
    <t>41072-26-200433X</t>
    <phoneticPr fontId="2" type="noConversion"/>
  </si>
  <si>
    <t>41072-26-200434X</t>
    <phoneticPr fontId="2" type="noConversion"/>
  </si>
  <si>
    <t>41072-26-200396X</t>
  </si>
  <si>
    <t>41072-26-200435X</t>
    <phoneticPr fontId="2" type="noConversion"/>
  </si>
  <si>
    <t>41072-26-200533X</t>
    <phoneticPr fontId="2" type="noConversion"/>
  </si>
  <si>
    <t>41072-26-200534X</t>
    <phoneticPr fontId="2" type="noConversion"/>
  </si>
  <si>
    <t>41072-26-200535X</t>
    <phoneticPr fontId="2" type="noConversion"/>
  </si>
  <si>
    <t>DSM2602-16</t>
  </si>
  <si>
    <t>DSM2602-17</t>
  </si>
  <si>
    <t>41072-26-200436X</t>
    <phoneticPr fontId="2" type="noConversion"/>
  </si>
  <si>
    <t>41072-26-200350X</t>
  </si>
  <si>
    <t>DSM2602-19</t>
  </si>
  <si>
    <t>41072-26-200571X</t>
    <phoneticPr fontId="2" type="noConversion"/>
  </si>
  <si>
    <t>41072-26-200575X</t>
    <phoneticPr fontId="2" type="noConversion"/>
  </si>
  <si>
    <t>DSM2602-R01</t>
    <phoneticPr fontId="2" type="noConversion"/>
  </si>
  <si>
    <t>DSM2602-R02</t>
  </si>
  <si>
    <t>DSM2602-R03</t>
  </si>
  <si>
    <t>DSM2602-R04</t>
  </si>
  <si>
    <t>41072-26-200551X</t>
    <phoneticPr fontId="2" type="noConversion"/>
  </si>
  <si>
    <t>DSM2602-AL01</t>
    <phoneticPr fontId="2" type="noConversion"/>
  </si>
  <si>
    <t>DSM2602-AL02</t>
  </si>
  <si>
    <t>DSM2602-AL01(관세)</t>
    <phoneticPr fontId="2" type="noConversion"/>
  </si>
  <si>
    <t>DSM2602-AL02(관세)</t>
    <phoneticPr fontId="2" type="noConversion"/>
  </si>
  <si>
    <t>41072-26-300014X</t>
    <phoneticPr fontId="2" type="noConversion"/>
  </si>
  <si>
    <t>DSM2602-SM01</t>
    <phoneticPr fontId="2" type="noConversion"/>
  </si>
  <si>
    <t>DSM2602-SM02</t>
  </si>
  <si>
    <t>41129-26-020046X</t>
    <phoneticPr fontId="2" type="noConversion"/>
  </si>
  <si>
    <t>20576-26-020257X</t>
    <phoneticPr fontId="2" type="noConversion"/>
  </si>
  <si>
    <t>DSM2602-EM02</t>
  </si>
  <si>
    <t>DSM2602-EM03</t>
  </si>
  <si>
    <t>DSM2602-EM04</t>
  </si>
  <si>
    <t>DSM2602-EM01</t>
    <phoneticPr fontId="2" type="noConversion"/>
  </si>
  <si>
    <t>41072-26-200424X</t>
    <phoneticPr fontId="2" type="noConversion"/>
  </si>
  <si>
    <t>41072-26-200286X</t>
    <phoneticPr fontId="2" type="noConversion"/>
  </si>
  <si>
    <t>41072-26-200301X</t>
    <phoneticPr fontId="2" type="noConversion"/>
  </si>
  <si>
    <t>41072-26-200545X</t>
  </si>
  <si>
    <t>DSM2602-EM05</t>
    <phoneticPr fontId="2" type="noConversion"/>
  </si>
  <si>
    <t>DSM2602-EM06</t>
    <phoneticPr fontId="2" type="noConversion"/>
  </si>
  <si>
    <t>41072-26-500272X</t>
    <phoneticPr fontId="2" type="noConversion"/>
  </si>
  <si>
    <t>41129-26-030031X</t>
    <phoneticPr fontId="2" type="noConversion"/>
  </si>
  <si>
    <t>DSM2602-MC01</t>
    <phoneticPr fontId="2" type="noConversion"/>
  </si>
  <si>
    <t>41072-26-500313X</t>
    <phoneticPr fontId="2" type="noConversion"/>
  </si>
  <si>
    <t>DSM2602-MC02</t>
    <phoneticPr fontId="2" type="noConversion"/>
  </si>
  <si>
    <t>41072-26-200528X</t>
    <phoneticPr fontId="2" type="noConversion"/>
  </si>
  <si>
    <t>DSM2602-PPAP2</t>
    <phoneticPr fontId="2" type="noConversion"/>
  </si>
  <si>
    <t>41072-26-200577X</t>
    <phoneticPr fontId="2" type="noConversion"/>
  </si>
  <si>
    <t>41072-26-200578X</t>
    <phoneticPr fontId="2" type="noConversion"/>
  </si>
  <si>
    <t>41072-26-200579X</t>
    <phoneticPr fontId="2" type="noConversion"/>
  </si>
  <si>
    <t>41072-26-200550X</t>
    <phoneticPr fontId="2" type="noConversion"/>
  </si>
  <si>
    <t>41072-26-200585X</t>
    <phoneticPr fontId="2" type="noConversion"/>
  </si>
  <si>
    <t>유니패스
BL 일자체크</t>
    <phoneticPr fontId="2" type="noConversion"/>
  </si>
  <si>
    <t>조회 X</t>
  </si>
  <si>
    <t>조회 X</t>
    <phoneticPr fontId="2" type="noConversion"/>
  </si>
  <si>
    <t>DSM2602-AL02TA</t>
    <phoneticPr fontId="2" type="noConversion"/>
  </si>
  <si>
    <t>DSM2602-AL01TA</t>
    <phoneticPr fontId="2" type="noConversion"/>
  </si>
  <si>
    <t>DSM2602-AT01</t>
  </si>
  <si>
    <t>DSM2602-18 (항공)</t>
    <phoneticPr fontId="2" type="noConversion"/>
  </si>
  <si>
    <t>외화</t>
    <phoneticPr fontId="2" type="noConversion"/>
  </si>
  <si>
    <t>원화</t>
  </si>
  <si>
    <t>확인</t>
    <phoneticPr fontId="2" type="noConversion"/>
  </si>
  <si>
    <t>OK</t>
    <phoneticPr fontId="2" type="noConversion"/>
  </si>
  <si>
    <t>해외영업마감대조 [당월분]</t>
    <phoneticPr fontId="2" type="noConversion"/>
  </si>
  <si>
    <t>41072-26-200528X</t>
  </si>
  <si>
    <t>DSM2602-PPAP3</t>
    <phoneticPr fontId="2" type="noConversion"/>
  </si>
  <si>
    <t>DSM2601-SM01</t>
    <phoneticPr fontId="2" type="noConversion"/>
  </si>
  <si>
    <t>41129-26-10276X</t>
    <phoneticPr fontId="2" type="noConversion"/>
  </si>
  <si>
    <t>JS TECH(코마츠)</t>
  </si>
  <si>
    <t>DOMETIC</t>
    <phoneticPr fontId="3" type="noConversion"/>
  </si>
  <si>
    <t>MECURY U</t>
    <phoneticPr fontId="2" type="noConversion"/>
  </si>
  <si>
    <t>MECURY C</t>
    <phoneticPr fontId="2" type="noConversion"/>
  </si>
  <si>
    <t>ALLISON</t>
    <phoneticPr fontId="2" type="noConversion"/>
  </si>
  <si>
    <t>SAM</t>
    <phoneticPr fontId="2" type="noConversion"/>
  </si>
  <si>
    <t>EMERSON</t>
    <phoneticPr fontId="2" type="noConversion"/>
  </si>
  <si>
    <t>AMAT</t>
    <phoneticPr fontId="2" type="noConversion"/>
  </si>
  <si>
    <t>ATLAS COPCO</t>
    <phoneticPr fontId="2" type="noConversion"/>
  </si>
  <si>
    <t>합                  계</t>
    <phoneticPr fontId="2" type="noConversion"/>
  </si>
  <si>
    <t>공장구분</t>
    <phoneticPr fontId="2" type="noConversion"/>
  </si>
  <si>
    <t xml:space="preserve">SHINKO </t>
  </si>
  <si>
    <t xml:space="preserve">SHINKO </t>
    <phoneticPr fontId="2" type="noConversion"/>
  </si>
  <si>
    <t>창원</t>
  </si>
  <si>
    <t>마산1</t>
  </si>
  <si>
    <t>MERCURY C</t>
  </si>
  <si>
    <t>MERCURY C</t>
    <phoneticPr fontId="3" type="noConversion"/>
  </si>
  <si>
    <t>MERCURY U</t>
  </si>
  <si>
    <t>MERCURY U</t>
    <phoneticPr fontId="2" type="noConversion"/>
  </si>
  <si>
    <t>BERGEN ENG</t>
  </si>
  <si>
    <t>BERGEN ENG</t>
    <phoneticPr fontId="2" type="noConversion"/>
  </si>
  <si>
    <t>마산2</t>
  </si>
  <si>
    <t>마산3</t>
  </si>
  <si>
    <t>마산3</t>
    <phoneticPr fontId="2" type="noConversion"/>
  </si>
  <si>
    <t>ATLAS KOREA</t>
    <phoneticPr fontId="2" type="noConversion"/>
  </si>
  <si>
    <t>합  계</t>
    <phoneticPr fontId="2" type="noConversion"/>
  </si>
  <si>
    <t>익월이월</t>
    <phoneticPr fontId="2" type="noConversion"/>
  </si>
  <si>
    <t>TOTAL</t>
    <phoneticPr fontId="2" type="noConversion"/>
  </si>
  <si>
    <t>전월이월(A)</t>
    <phoneticPr fontId="2" type="noConversion"/>
  </si>
  <si>
    <t>당 월 출 하(B)</t>
    <phoneticPr fontId="2" type="noConversion"/>
  </si>
  <si>
    <t>당월매출(A+B)</t>
    <phoneticPr fontId="2" type="noConversion"/>
  </si>
  <si>
    <t>총      계 [국외매출]</t>
    <phoneticPr fontId="3" type="noConversion"/>
  </si>
  <si>
    <t>해외매출
거래처별
합     계</t>
    <phoneticPr fontId="2" type="noConversion"/>
  </si>
  <si>
    <t>공장별합계</t>
    <phoneticPr fontId="2" type="noConversion"/>
  </si>
  <si>
    <t>TOOLING
현황</t>
    <phoneticPr fontId="2" type="noConversion"/>
  </si>
  <si>
    <t>◆ 국외매출 업체별 상세내역</t>
    <phoneticPr fontId="2" type="noConversion"/>
  </si>
  <si>
    <t>5건</t>
    <phoneticPr fontId="2" type="noConversion"/>
  </si>
  <si>
    <t>창원</t>
    <phoneticPr fontId="2" type="noConversion"/>
  </si>
  <si>
    <t>1건</t>
    <phoneticPr fontId="2" type="noConversion"/>
  </si>
  <si>
    <t>DSM2602-SK01-01</t>
    <phoneticPr fontId="2" type="noConversion"/>
  </si>
  <si>
    <t>-</t>
    <phoneticPr fontId="2" type="noConversion"/>
  </si>
  <si>
    <t>TOOLING(금형비) 1건</t>
    <phoneticPr fontId="2" type="noConversion"/>
  </si>
  <si>
    <t>ATLAS COPCO 제외 금액(해외매출)</t>
    <phoneticPr fontId="2" type="noConversion"/>
  </si>
  <si>
    <t>관세 3건, TOOLING 2건</t>
    <phoneticPr fontId="2" type="noConversion"/>
  </si>
  <si>
    <t>※ 2026년 03월 마감내역 ※</t>
    <phoneticPr fontId="3" type="noConversion"/>
  </si>
  <si>
    <t>41072-26-500359X</t>
  </si>
  <si>
    <t>41072-26-500360X</t>
  </si>
  <si>
    <t>41072-26-200341X</t>
  </si>
  <si>
    <t>41072-26-200432X</t>
  </si>
  <si>
    <t>41072-26-200532X</t>
  </si>
  <si>
    <t>41072-26-200433X</t>
  </si>
  <si>
    <t>41072-26-200434X</t>
  </si>
  <si>
    <t>41072-26-200435X</t>
  </si>
  <si>
    <t>41072-26-200533X</t>
  </si>
  <si>
    <t>41072-26-200534X</t>
  </si>
  <si>
    <t>41072-26-200535X</t>
  </si>
  <si>
    <t>41072-26-200436X</t>
  </si>
  <si>
    <t>DSM2602-18 (항공)</t>
  </si>
  <si>
    <t>41072-26-200575X</t>
  </si>
  <si>
    <t>DSM2602-MC02</t>
  </si>
  <si>
    <t>DSM2602-R01</t>
  </si>
  <si>
    <t>41072-26-200551X</t>
  </si>
  <si>
    <t>41072-26-200577X</t>
  </si>
  <si>
    <t>41072-26-200578X</t>
  </si>
  <si>
    <t>41072-26-200579X</t>
  </si>
  <si>
    <t>41072-26-200550X</t>
  </si>
  <si>
    <t>DSM2602-AL02(관세)</t>
  </si>
  <si>
    <t>41129-26-030031X</t>
  </si>
  <si>
    <t>DSM2602-EM01</t>
  </si>
  <si>
    <t>41072-26-200424X</t>
  </si>
  <si>
    <t>DSM2602-EM06</t>
  </si>
  <si>
    <t>41072-26-200585X</t>
  </si>
  <si>
    <t>DSM2603-AT01</t>
    <phoneticPr fontId="2" type="noConversion"/>
  </si>
  <si>
    <t>DSM2603-AT02</t>
  </si>
  <si>
    <t>DSM2603-AT03</t>
  </si>
  <si>
    <t>DSM2603-SK01</t>
    <phoneticPr fontId="2" type="noConversion"/>
  </si>
  <si>
    <t>DSM2603-SK02</t>
    <phoneticPr fontId="2" type="noConversion"/>
  </si>
  <si>
    <t>DSM2603-SK03</t>
    <phoneticPr fontId="2" type="noConversion"/>
  </si>
  <si>
    <t>유니패스
BL
일자체크</t>
    <phoneticPr fontId="2" type="noConversion"/>
  </si>
  <si>
    <t>DSM2603-SK04</t>
    <phoneticPr fontId="2" type="noConversion"/>
  </si>
  <si>
    <t>41072-26-400026X</t>
    <phoneticPr fontId="2" type="noConversion"/>
  </si>
  <si>
    <t>41072-26-200819X</t>
    <phoneticPr fontId="2" type="noConversion"/>
  </si>
  <si>
    <t>41072-26-700058X</t>
    <phoneticPr fontId="2" type="noConversion"/>
  </si>
  <si>
    <t>41072-26-700111X</t>
    <phoneticPr fontId="2" type="noConversion"/>
  </si>
  <si>
    <t>DSM2603-SK05</t>
    <phoneticPr fontId="2" type="noConversion"/>
  </si>
  <si>
    <t>41072-26-700125X</t>
    <phoneticPr fontId="2" type="noConversion"/>
  </si>
  <si>
    <t>DSM2603-JS02</t>
    <phoneticPr fontId="2" type="noConversion"/>
  </si>
  <si>
    <t>41072-26-700090X</t>
    <phoneticPr fontId="2" type="noConversion"/>
  </si>
  <si>
    <t>DSM2603-SE01</t>
  </si>
  <si>
    <t>41072-26-200708X</t>
  </si>
  <si>
    <t>2603P01</t>
  </si>
  <si>
    <t>41072-26-200749X</t>
  </si>
  <si>
    <t>2603P02</t>
  </si>
  <si>
    <t>41072-26-200618X</t>
  </si>
  <si>
    <t>2603P03</t>
  </si>
  <si>
    <t>41072-26-200750X</t>
  </si>
  <si>
    <t>2603P05</t>
  </si>
  <si>
    <t>41072-26-700049X</t>
  </si>
  <si>
    <t>2603P06</t>
  </si>
  <si>
    <t>2603P08</t>
  </si>
  <si>
    <t>41072-26-200751X</t>
  </si>
  <si>
    <t>2603P09</t>
  </si>
  <si>
    <t>41072-26-200752X</t>
  </si>
  <si>
    <t>2603P10</t>
  </si>
  <si>
    <t>41072-26-200753X</t>
  </si>
  <si>
    <t>DSM2603-01</t>
  </si>
  <si>
    <t>DSM2603-02</t>
  </si>
  <si>
    <t>DSM2603-03</t>
  </si>
  <si>
    <t>DSM2603-04</t>
  </si>
  <si>
    <t>DSM2603-05</t>
  </si>
  <si>
    <t>DSM2603-06</t>
  </si>
  <si>
    <t>DSM2603-07</t>
  </si>
  <si>
    <t>DSM2603-08</t>
  </si>
  <si>
    <t>DSM2603-09</t>
  </si>
  <si>
    <t>DSM2603-10</t>
  </si>
  <si>
    <t>DSM2603-11</t>
  </si>
  <si>
    <t>DSM2603-12</t>
  </si>
  <si>
    <t>41072-26-300027X</t>
  </si>
  <si>
    <t>41072-26-300028X</t>
  </si>
  <si>
    <t>41072-26-200754X</t>
  </si>
  <si>
    <t>41072-26-300029X</t>
  </si>
  <si>
    <t>41072-26-300031X</t>
  </si>
  <si>
    <t>41072-26-300030X</t>
  </si>
  <si>
    <t>41072-26-200773X</t>
  </si>
  <si>
    <t>41072-26-200774X</t>
  </si>
  <si>
    <t>41072-26-200775X</t>
  </si>
  <si>
    <t>41072-26-700053X</t>
  </si>
  <si>
    <t>41072-26-700054X</t>
  </si>
  <si>
    <t>41072-26-700055X</t>
  </si>
  <si>
    <t>DSM2603-MC01</t>
  </si>
  <si>
    <t>41072-26-200661X</t>
  </si>
  <si>
    <t>DSM2603-MC02</t>
  </si>
  <si>
    <t>41072-26-100002X</t>
  </si>
  <si>
    <t>DSM2603-MC03</t>
  </si>
  <si>
    <t>41072-26-700043X</t>
  </si>
  <si>
    <t>DSM2603-R01</t>
  </si>
  <si>
    <t>41072-26-700071X</t>
  </si>
  <si>
    <t>DSM2603-AL01(관세)</t>
  </si>
  <si>
    <t>DSM2603-AL02</t>
  </si>
  <si>
    <t>41072-26-700042X</t>
  </si>
  <si>
    <t>DSM2603-AL02(관세)</t>
  </si>
  <si>
    <t>DSM2603-AL03</t>
  </si>
  <si>
    <t>41072-26-700095X</t>
  </si>
  <si>
    <t>DSM2603-AL03(관세)</t>
  </si>
  <si>
    <t>DSM2603-SM01</t>
  </si>
  <si>
    <t>41129-26-030032X</t>
  </si>
  <si>
    <t>DSM2603-SM02</t>
  </si>
  <si>
    <t>41129-26-030101X</t>
  </si>
  <si>
    <t>DSM2603-EM01</t>
  </si>
  <si>
    <t>41072-26-200642X</t>
  </si>
  <si>
    <t>DSM2603-EM02</t>
  </si>
  <si>
    <t>41072-26-200733X</t>
  </si>
  <si>
    <t>DSM2603-EM03</t>
  </si>
  <si>
    <t>41072-26-700044X</t>
  </si>
  <si>
    <t>DSM2603-AM01</t>
  </si>
  <si>
    <t>20576-26-030342X</t>
  </si>
  <si>
    <t>2603P04</t>
  </si>
  <si>
    <t>41072-26-700074X</t>
  </si>
  <si>
    <t>2603P07</t>
  </si>
  <si>
    <t>41072-26-700100X</t>
  </si>
  <si>
    <t>DSM2603-13</t>
  </si>
  <si>
    <t>41072-26-700056X</t>
  </si>
  <si>
    <t>DSM2603-14</t>
  </si>
  <si>
    <t>41072-26-700104X</t>
  </si>
  <si>
    <t>DSM2603-15</t>
  </si>
  <si>
    <t>41072-26-700105X</t>
  </si>
  <si>
    <t>DSM2603-16</t>
  </si>
  <si>
    <t>41072-26-700057X</t>
  </si>
  <si>
    <t>DSM2603-17</t>
  </si>
  <si>
    <t>41072-26-700106X</t>
  </si>
  <si>
    <t>DSM2603-18</t>
  </si>
  <si>
    <t>41072-26-700107X</t>
  </si>
  <si>
    <t>DSM2603-R02</t>
    <phoneticPr fontId="2" type="noConversion"/>
  </si>
  <si>
    <t>DSM2603-R03</t>
    <phoneticPr fontId="2" type="noConversion"/>
  </si>
  <si>
    <t>41072-26-700097X</t>
  </si>
  <si>
    <t>41072-26-700098X</t>
  </si>
  <si>
    <t>DSM2603-SM03</t>
    <phoneticPr fontId="2" type="noConversion"/>
  </si>
  <si>
    <t>DSM2603-EM04</t>
    <phoneticPr fontId="2" type="noConversion"/>
  </si>
  <si>
    <t>DSM2603-EM05</t>
    <phoneticPr fontId="2" type="noConversion"/>
  </si>
  <si>
    <t>41072-26-700108X</t>
  </si>
  <si>
    <t>41072-26-700072X</t>
  </si>
  <si>
    <t>DSM2603-AM02</t>
    <phoneticPr fontId="2" type="noConversion"/>
  </si>
  <si>
    <t>41072-26-200669X</t>
    <phoneticPr fontId="2" type="noConversion"/>
  </si>
  <si>
    <t>DSM2603-AL01</t>
  </si>
  <si>
    <t>41072-26-100003X</t>
  </si>
  <si>
    <t>2504T01</t>
  </si>
  <si>
    <t>2504T02</t>
  </si>
  <si>
    <t>TOOLING 4건</t>
    <phoneticPr fontId="2" type="noConversion"/>
  </si>
  <si>
    <t>4건</t>
    <phoneticPr fontId="2" type="noConversion"/>
  </si>
  <si>
    <t>DSM2603-AL1TA</t>
  </si>
  <si>
    <t>DSM2603-AL3TA</t>
  </si>
  <si>
    <t>DSM2603-AL4TA</t>
  </si>
  <si>
    <t>DSM2603-AL5TA</t>
  </si>
  <si>
    <t>사형</t>
    <phoneticPr fontId="2" type="noConversion"/>
  </si>
  <si>
    <t>자동</t>
    <phoneticPr fontId="2" type="noConversion"/>
  </si>
  <si>
    <t>금형1</t>
    <phoneticPr fontId="2" type="noConversion"/>
  </si>
  <si>
    <t>금형2</t>
  </si>
  <si>
    <t>가공1</t>
    <phoneticPr fontId="2" type="noConversion"/>
  </si>
  <si>
    <t>가공2</t>
  </si>
  <si>
    <t>가공3</t>
  </si>
  <si>
    <t>차액</t>
    <phoneticPr fontId="2" type="noConversion"/>
  </si>
  <si>
    <t>당월 출하 차월 선적(이월)</t>
    <phoneticPr fontId="2" type="noConversion"/>
  </si>
  <si>
    <t>-</t>
    <phoneticPr fontId="2" type="noConversion"/>
  </si>
  <si>
    <t>마산1</t>
    <phoneticPr fontId="2" type="noConversion"/>
  </si>
  <si>
    <t>4건</t>
    <phoneticPr fontId="2" type="noConversion"/>
  </si>
  <si>
    <t>3건</t>
    <phoneticPr fontId="2" type="noConversion"/>
  </si>
  <si>
    <t>TOOLING 3건</t>
    <phoneticPr fontId="2" type="noConversion"/>
  </si>
  <si>
    <t>관세 4건</t>
    <phoneticPr fontId="2" type="noConversion"/>
  </si>
  <si>
    <t>DSM2603-JS01</t>
    <phoneticPr fontId="2" type="noConversion"/>
  </si>
  <si>
    <t>DSM2602-SK05 PARTS FOR LIQUID PUMP ￥16,094,477.00*@9.1338</t>
    <phoneticPr fontId="2" type="noConversion"/>
  </si>
  <si>
    <t>DSM2602-SK05</t>
    <phoneticPr fontId="2" type="noConversion"/>
  </si>
  <si>
    <t>DSM2602-SK06 PARTS FOR LIQUID PUMP ￥4,501,800.00*@9.1338</t>
    <phoneticPr fontId="2" type="noConversion"/>
  </si>
  <si>
    <t>DSM2602-SK06</t>
    <phoneticPr fontId="2" type="noConversion"/>
  </si>
  <si>
    <t>41072-26-200570X</t>
    <phoneticPr fontId="2" type="noConversion"/>
  </si>
  <si>
    <t>41072-26-200853X</t>
    <phoneticPr fontId="2" type="noConversion"/>
  </si>
  <si>
    <t>41072-26-200574X</t>
    <phoneticPr fontId="2" type="noConversion"/>
  </si>
  <si>
    <t>국내매출</t>
    <phoneticPr fontId="2" type="noConversion"/>
  </si>
  <si>
    <t>국외매출</t>
    <phoneticPr fontId="2" type="noConversion"/>
  </si>
  <si>
    <t>TOTAL</t>
    <phoneticPr fontId="2" type="noConversion"/>
  </si>
  <si>
    <t>소계 (국내영업 매출마감)</t>
    <phoneticPr fontId="2" type="noConversion"/>
  </si>
  <si>
    <t>소계 (해외영업 매출마감)</t>
    <phoneticPr fontId="2" type="noConversion"/>
  </si>
  <si>
    <t>DSM2602-R02</t>
    <phoneticPr fontId="2" type="noConversion"/>
  </si>
  <si>
    <t>※ 2026년 04월 마감내역 ※</t>
    <phoneticPr fontId="3" type="noConversion"/>
  </si>
  <si>
    <t>DSM2604-JS01</t>
    <phoneticPr fontId="2" type="noConversion"/>
  </si>
  <si>
    <t>DSM2604-JS02</t>
    <phoneticPr fontId="2" type="noConversion"/>
  </si>
  <si>
    <t>41072-26-700398X</t>
    <phoneticPr fontId="2" type="noConversion"/>
  </si>
  <si>
    <t>41072-26-700190X</t>
    <phoneticPr fontId="2" type="noConversion"/>
  </si>
  <si>
    <t>41072-26-700475X</t>
    <phoneticPr fontId="2" type="noConversion"/>
  </si>
  <si>
    <t>DSM2604-SE01</t>
  </si>
  <si>
    <t xml:space="preserve">41072-26-700225X </t>
  </si>
  <si>
    <t>2604P01</t>
  </si>
  <si>
    <t>41072-26-700191X</t>
  </si>
  <si>
    <t>2604P02</t>
  </si>
  <si>
    <t>41072-26-700133X</t>
  </si>
  <si>
    <t>2604P03</t>
  </si>
  <si>
    <t>41072-26-700287X</t>
  </si>
  <si>
    <t>2604P04</t>
  </si>
  <si>
    <t>41072-26-700357X</t>
  </si>
  <si>
    <t>2604P07</t>
  </si>
  <si>
    <t>41072-26-700288X</t>
  </si>
  <si>
    <t>DSM2604-01</t>
  </si>
  <si>
    <t>41072-26-700164X</t>
  </si>
  <si>
    <t>DSM2604-02</t>
  </si>
  <si>
    <t>41072-26-700165X</t>
  </si>
  <si>
    <t>DSM2604-03</t>
  </si>
  <si>
    <t>41072-26-700166X</t>
  </si>
  <si>
    <t>DSM2604-04</t>
  </si>
  <si>
    <t>41072-26-700167X</t>
  </si>
  <si>
    <t>DSM2604-05</t>
  </si>
  <si>
    <t>41072-26-700264X</t>
  </si>
  <si>
    <t>DSM2604-06</t>
  </si>
  <si>
    <t>41072-26-700265X</t>
  </si>
  <si>
    <t>DSM2604-07</t>
  </si>
  <si>
    <t>41072-26-700266X</t>
  </si>
  <si>
    <t>DSM2604-08</t>
  </si>
  <si>
    <t>41072-26-700168X</t>
  </si>
  <si>
    <t>DSM2604-09</t>
  </si>
  <si>
    <t>41072-26-700267X</t>
  </si>
  <si>
    <t>DSM2604-10</t>
  </si>
  <si>
    <t>DSM2604-25</t>
  </si>
  <si>
    <t>DSM2604-MC01</t>
  </si>
  <si>
    <t>41072-26-700144X</t>
  </si>
  <si>
    <t>DSM2604-MC02</t>
  </si>
  <si>
    <t>41072-26-700243X</t>
  </si>
  <si>
    <t>DSM2604-MC03</t>
  </si>
  <si>
    <t>DSM2604-MC04</t>
  </si>
  <si>
    <t>41072-26-700353X</t>
  </si>
  <si>
    <t>DSM2604-MC05</t>
  </si>
  <si>
    <t>41072-26-700434X</t>
  </si>
  <si>
    <t>DSM2604-R01</t>
  </si>
  <si>
    <t>41072-26-700343X</t>
  </si>
  <si>
    <t>DSM2604-R02</t>
  </si>
  <si>
    <t>41072-26-700442X</t>
  </si>
  <si>
    <t>DSM2604-R04</t>
  </si>
  <si>
    <t>41072-26-700344X</t>
  </si>
  <si>
    <t>DSM2604-R05</t>
  </si>
  <si>
    <t>41072-26-700443X</t>
  </si>
  <si>
    <t>DSM2604-AL01</t>
    <phoneticPr fontId="2" type="noConversion"/>
  </si>
  <si>
    <t>DSM2604-AL02</t>
    <phoneticPr fontId="2" type="noConversion"/>
  </si>
  <si>
    <t>41072-26-700251X</t>
    <phoneticPr fontId="2" type="noConversion"/>
  </si>
  <si>
    <t>41072-26-700389X</t>
    <phoneticPr fontId="2" type="noConversion"/>
  </si>
  <si>
    <t>DSM2604-AL6TA</t>
  </si>
  <si>
    <t>41072-26-700416X</t>
  </si>
  <si>
    <t>DSM2604-AL7TA</t>
  </si>
  <si>
    <t>41072-26-700417X</t>
  </si>
  <si>
    <t>DSM2603-SM03</t>
  </si>
  <si>
    <t>DSM2604-SM01</t>
    <phoneticPr fontId="2" type="noConversion"/>
  </si>
  <si>
    <t>DSM2604-SM02</t>
    <phoneticPr fontId="2" type="noConversion"/>
  </si>
  <si>
    <t>DSM2604-SM03</t>
    <phoneticPr fontId="2" type="noConversion"/>
  </si>
  <si>
    <t>41129-26-040045X</t>
  </si>
  <si>
    <t>41129-26-040124X</t>
  </si>
  <si>
    <t>41129-26-040176X</t>
  </si>
  <si>
    <t>DSM2603-EM05</t>
  </si>
  <si>
    <t>DSM2604-EM01</t>
  </si>
  <si>
    <t>41072-26-700329X</t>
  </si>
  <si>
    <t>DSM2604-EM02</t>
  </si>
  <si>
    <t>41072-26-700169X</t>
  </si>
  <si>
    <t>DSM2604-EM03</t>
  </si>
  <si>
    <t>41072-26-700269X</t>
  </si>
  <si>
    <t>DSM2604-EM04</t>
  </si>
  <si>
    <t>41072-26-700216X</t>
  </si>
  <si>
    <t>DSM2604-EM05</t>
  </si>
  <si>
    <t>41072-26-700121X</t>
  </si>
  <si>
    <t>DSM2604-EM06</t>
  </si>
  <si>
    <t>41072-26-700490X</t>
  </si>
  <si>
    <t>DSM2604-EM08</t>
  </si>
  <si>
    <t>41072-26-700341X</t>
  </si>
  <si>
    <t>DSM2603-AM02</t>
  </si>
  <si>
    <t>20576-26-040015X</t>
  </si>
  <si>
    <t>DSM2604-AM01</t>
  </si>
  <si>
    <t>20576-26-040231X</t>
  </si>
  <si>
    <t>DSM2604-AM02</t>
  </si>
  <si>
    <t>DSM2604-AT01</t>
    <phoneticPr fontId="2" type="noConversion"/>
  </si>
  <si>
    <t>DSM2604-AT02</t>
    <phoneticPr fontId="2" type="noConversion"/>
  </si>
  <si>
    <t>2604P05</t>
  </si>
  <si>
    <t>41072-26-700513X</t>
  </si>
  <si>
    <t>2604P06</t>
  </si>
  <si>
    <t>41072-26-700465X</t>
  </si>
  <si>
    <t>DSM2604-11</t>
  </si>
  <si>
    <t>DSM2604-12</t>
  </si>
  <si>
    <t>DSM2604-13</t>
  </si>
  <si>
    <t>DSM2604-14</t>
  </si>
  <si>
    <t>DSM2604-15</t>
  </si>
  <si>
    <t>DSM2604-16</t>
  </si>
  <si>
    <t>DSM2604-17</t>
  </si>
  <si>
    <t>DSM2604-18</t>
  </si>
  <si>
    <t>DSM2604-19</t>
  </si>
  <si>
    <t>DSM2604-20</t>
  </si>
  <si>
    <t>DSM2604-21</t>
  </si>
  <si>
    <t>DSM2604-22</t>
  </si>
  <si>
    <t>DSM2604-23</t>
  </si>
  <si>
    <t>DSM2604-24</t>
  </si>
  <si>
    <t>41072-26-700378X</t>
  </si>
  <si>
    <t>41072-26-700379X</t>
  </si>
  <si>
    <t>41072-26-700380X</t>
  </si>
  <si>
    <t>41072-26-700381X</t>
  </si>
  <si>
    <t>41072-26-700382X</t>
  </si>
  <si>
    <t>41072-26-700384X</t>
  </si>
  <si>
    <t>41072-26-700385X</t>
  </si>
  <si>
    <t>41072-26-700386X</t>
  </si>
  <si>
    <t>41072-26-700239X</t>
  </si>
  <si>
    <t>41072-26-700492X</t>
  </si>
  <si>
    <t>41072-26-700493X</t>
  </si>
  <si>
    <t>41072-26-700494X</t>
  </si>
  <si>
    <t>41072-26-700495X</t>
  </si>
  <si>
    <t>조회 X</t>
    <phoneticPr fontId="2" type="noConversion"/>
  </si>
  <si>
    <t>41072-26-700268X</t>
    <phoneticPr fontId="2" type="noConversion"/>
  </si>
  <si>
    <t>41072-26-700317X</t>
  </si>
  <si>
    <t>MERCURY C</t>
    <phoneticPr fontId="2" type="noConversion"/>
  </si>
  <si>
    <t>41072-26-700534X</t>
    <phoneticPr fontId="2" type="noConversion"/>
  </si>
  <si>
    <t>BERGEN ENG</t>
    <phoneticPr fontId="2" type="noConversion"/>
  </si>
  <si>
    <t>DSM2604-R03</t>
    <phoneticPr fontId="2" type="noConversion"/>
  </si>
  <si>
    <t>DSM2604-MC06</t>
    <phoneticPr fontId="2" type="noConversion"/>
  </si>
  <si>
    <t>ALLISON</t>
    <phoneticPr fontId="2" type="noConversion"/>
  </si>
  <si>
    <t>마산2</t>
    <phoneticPr fontId="2" type="noConversion"/>
  </si>
  <si>
    <t>SAM</t>
    <phoneticPr fontId="2" type="noConversion"/>
  </si>
  <si>
    <t>마산3</t>
    <phoneticPr fontId="2" type="noConversion"/>
  </si>
  <si>
    <t>DSM2604-SM04</t>
    <phoneticPr fontId="2" type="noConversion"/>
  </si>
  <si>
    <t>DSM2604-EM07</t>
    <phoneticPr fontId="2" type="noConversion"/>
  </si>
  <si>
    <t>41072-26-700447X</t>
    <phoneticPr fontId="2" type="noConversion"/>
  </si>
  <si>
    <t>DSM2604-AM03</t>
    <phoneticPr fontId="2" type="noConversion"/>
  </si>
  <si>
    <t>DSM2604-AL1TA</t>
  </si>
  <si>
    <t>DSM2604-AL2TA</t>
  </si>
  <si>
    <t>DSM2604-AL3TA</t>
  </si>
  <si>
    <t>DSM2604-AL4TA</t>
  </si>
  <si>
    <t>DSM2604-AL5TA</t>
  </si>
  <si>
    <t>DSM2604-AL8TA</t>
  </si>
  <si>
    <t>41072-26-700204X</t>
  </si>
  <si>
    <t>41072-26-700205X</t>
  </si>
  <si>
    <t>41072-26-700206X</t>
  </si>
  <si>
    <t>41072-26-700276X</t>
  </si>
  <si>
    <t>41072-26-700323X</t>
  </si>
  <si>
    <t>41072-26-700546X</t>
  </si>
  <si>
    <t>DSM2603-EM04</t>
  </si>
  <si>
    <t>DSM2604-AL10TA</t>
  </si>
  <si>
    <t>DSM2604-AL11TA</t>
  </si>
  <si>
    <t>41072-26-700581X</t>
  </si>
  <si>
    <t>DSM2604-AL03</t>
  </si>
  <si>
    <t>20576-26-040409X</t>
  </si>
  <si>
    <t>20576-26-050006X</t>
  </si>
  <si>
    <t>41072-26-700491X</t>
  </si>
  <si>
    <t>41072-26-700449X</t>
  </si>
  <si>
    <t>41072-26-700504X</t>
  </si>
  <si>
    <t>41129-26-030177X</t>
    <phoneticPr fontId="2" type="noConversion"/>
  </si>
  <si>
    <t>DSM2604-AL01(관세)</t>
    <phoneticPr fontId="2" type="noConversion"/>
  </si>
  <si>
    <t>DSM2604-AL02(관세)</t>
    <phoneticPr fontId="2" type="noConversion"/>
  </si>
  <si>
    <t>국외매출-신코-JS테크-익월이월</t>
    <phoneticPr fontId="2" type="noConversion"/>
  </si>
  <si>
    <t>관세 2건</t>
    <phoneticPr fontId="2" type="noConversion"/>
  </si>
  <si>
    <t>1건</t>
    <phoneticPr fontId="2" type="noConversion"/>
  </si>
  <si>
    <t>TOOLING 1건</t>
    <phoneticPr fontId="2" type="noConversion"/>
  </si>
  <si>
    <t>-</t>
    <phoneticPr fontId="2" type="noConversion"/>
  </si>
  <si>
    <t>무상견품</t>
    <phoneticPr fontId="2" type="noConversion"/>
  </si>
  <si>
    <t>DSM2604-AL9TA</t>
    <phoneticPr fontId="2" type="noConversion"/>
  </si>
  <si>
    <t>-</t>
    <phoneticPr fontId="2" type="noConversion"/>
  </si>
  <si>
    <t>누락</t>
    <phoneticPr fontId="2" type="noConversion"/>
  </si>
  <si>
    <t>외화금액 수정</t>
    <phoneticPr fontId="2" type="noConversion"/>
  </si>
  <si>
    <t>DSM2604-EM09T</t>
    <phoneticPr fontId="2" type="noConversion"/>
  </si>
  <si>
    <t>41072-26-700170X</t>
    <phoneticPr fontId="2" type="noConversion"/>
  </si>
  <si>
    <t>41072-26-700274X</t>
    <phoneticPr fontId="2" type="noConversion"/>
  </si>
  <si>
    <t>41072-26-700275X</t>
    <phoneticPr fontId="2" type="noConversion"/>
  </si>
  <si>
    <t>-</t>
    <phoneticPr fontId="2" type="noConversion"/>
  </si>
  <si>
    <t>※ 2026년 05월 마감내역 ※</t>
    <phoneticPr fontId="3" type="noConversion"/>
  </si>
  <si>
    <t>DSM2604-R03</t>
  </si>
  <si>
    <t>DSM2604-SM04</t>
  </si>
  <si>
    <t>DSM2604-EM07</t>
  </si>
  <si>
    <t>41072-26-700447X</t>
  </si>
  <si>
    <t>DSM2604-AM03</t>
  </si>
  <si>
    <t>DSM2605-AT01</t>
    <phoneticPr fontId="2" type="noConversion"/>
  </si>
  <si>
    <t>DSM2605-AT02</t>
    <phoneticPr fontId="2" type="noConversion"/>
  </si>
  <si>
    <t>DSM2605-AT03</t>
    <phoneticPr fontId="2" type="noConversion"/>
  </si>
  <si>
    <t>DSM2604-SK01</t>
    <phoneticPr fontId="2" type="noConversion"/>
  </si>
  <si>
    <t>DSM2604-SK02</t>
    <phoneticPr fontId="2" type="noConversion"/>
  </si>
  <si>
    <t>DSM2604-SK03</t>
    <phoneticPr fontId="2" type="noConversion"/>
  </si>
  <si>
    <t>DSM2604-SK04</t>
    <phoneticPr fontId="2" type="noConversion"/>
  </si>
  <si>
    <t>DSM2604-SK05</t>
  </si>
  <si>
    <t>DSM2604-SK05</t>
    <phoneticPr fontId="2" type="noConversion"/>
  </si>
  <si>
    <t>41072-26-700589X</t>
    <phoneticPr fontId="2" type="noConversion"/>
  </si>
  <si>
    <t>DSM2605-SK01</t>
    <phoneticPr fontId="2" type="noConversion"/>
  </si>
  <si>
    <t>DSM2605-SK02</t>
  </si>
  <si>
    <t>DSM2605-SK03</t>
  </si>
  <si>
    <t>DSM2605-SK04</t>
  </si>
  <si>
    <t>DSM2605-SK05</t>
  </si>
  <si>
    <t>41072-26-700683X</t>
    <phoneticPr fontId="2" type="noConversion"/>
  </si>
  <si>
    <t>41072-26-700792X</t>
    <phoneticPr fontId="2" type="noConversion"/>
  </si>
  <si>
    <t>41072-26-700852X</t>
    <phoneticPr fontId="2" type="noConversion"/>
  </si>
  <si>
    <t>41072-26-700953X</t>
    <phoneticPr fontId="2" type="noConversion"/>
  </si>
  <si>
    <t>41072-26-700998X</t>
    <phoneticPr fontId="2" type="noConversion"/>
  </si>
  <si>
    <t>DSM CCS G175K-16</t>
    <phoneticPr fontId="2" type="noConversion"/>
  </si>
  <si>
    <t>DSM ABS 2581-SK02</t>
    <phoneticPr fontId="2" type="noConversion"/>
  </si>
  <si>
    <t>DSM ABS 2602-SK01</t>
    <phoneticPr fontId="2" type="noConversion"/>
  </si>
  <si>
    <t>DSM CCS H1891A-SK01</t>
    <phoneticPr fontId="2" type="noConversion"/>
  </si>
  <si>
    <t>DSM ABS 2717-SK01</t>
    <phoneticPr fontId="2" type="noConversion"/>
  </si>
  <si>
    <t>DSM ABS CMHI282-04-SK01</t>
    <phoneticPr fontId="2" type="noConversion"/>
  </si>
  <si>
    <t>DSM2605-JS01</t>
    <phoneticPr fontId="2" type="noConversion"/>
  </si>
  <si>
    <t>DSM2605-JS02</t>
    <phoneticPr fontId="2" type="noConversion"/>
  </si>
  <si>
    <t>DSM2605-JS03</t>
    <phoneticPr fontId="2" type="noConversion"/>
  </si>
  <si>
    <t>DSM2605-JS04</t>
    <phoneticPr fontId="2" type="noConversion"/>
  </si>
  <si>
    <t>41072-26-700633X</t>
  </si>
  <si>
    <t>2605P02</t>
  </si>
  <si>
    <t>41072-26-700569X</t>
  </si>
  <si>
    <t>2605P03</t>
  </si>
  <si>
    <t>41072-26-700881X</t>
  </si>
  <si>
    <t>2605P04</t>
  </si>
  <si>
    <t>41072-26-700754X</t>
  </si>
  <si>
    <t>2605P07</t>
  </si>
  <si>
    <t>41072-26-700638X</t>
  </si>
  <si>
    <t>2605P08</t>
  </si>
  <si>
    <t>41072-26-700634X</t>
  </si>
  <si>
    <t>2605P09</t>
  </si>
  <si>
    <t>41072-26-700635X</t>
  </si>
  <si>
    <t>41072-26-700636X</t>
  </si>
  <si>
    <t>2605P01</t>
  </si>
  <si>
    <t>2605P10</t>
  </si>
  <si>
    <t>2605P05</t>
  </si>
  <si>
    <t>41072-26-700961X</t>
  </si>
  <si>
    <t>2605P06</t>
  </si>
  <si>
    <t>41072-26-700962X</t>
  </si>
  <si>
    <t>41072-26-700548X</t>
  </si>
  <si>
    <t>DSM2605-02</t>
  </si>
  <si>
    <t>41072-26-700549X</t>
  </si>
  <si>
    <t>DSM2605-03</t>
  </si>
  <si>
    <t>41072-26-700550X</t>
  </si>
  <si>
    <t>DSM2605-04</t>
  </si>
  <si>
    <t>41072-26-700650X</t>
  </si>
  <si>
    <t>DSM2605-05</t>
  </si>
  <si>
    <t>41072-26-700641X</t>
  </si>
  <si>
    <t>DSM2605-06</t>
  </si>
  <si>
    <t>41072-26-700642X</t>
  </si>
  <si>
    <t>DSM2605-07</t>
  </si>
  <si>
    <t>41072-26-700644X</t>
  </si>
  <si>
    <t>DSM2605-08</t>
  </si>
  <si>
    <t>41072-26-700763X</t>
  </si>
  <si>
    <t>DSM2605-09</t>
  </si>
  <si>
    <t>41072-26-700764X</t>
  </si>
  <si>
    <t>DSM2605-10</t>
  </si>
  <si>
    <t>41072-26-700765X</t>
  </si>
  <si>
    <t>DSM2605-11</t>
  </si>
  <si>
    <t>41072-26-700766X</t>
  </si>
  <si>
    <t>DSM2605-12</t>
  </si>
  <si>
    <t>41072-26-700767X</t>
  </si>
  <si>
    <t>DSM2605-13</t>
  </si>
  <si>
    <t>41072-26-700654X</t>
  </si>
  <si>
    <t>DSM2605-14</t>
  </si>
  <si>
    <t>41072-26-700872X</t>
  </si>
  <si>
    <t>DSM2605-15</t>
  </si>
  <si>
    <t>41072-26-700873X</t>
  </si>
  <si>
    <t>DSM2605-16</t>
  </si>
  <si>
    <t>41072-26-700874X</t>
  </si>
  <si>
    <t>DSM2605-17</t>
  </si>
  <si>
    <t>41072-26-700875X</t>
  </si>
  <si>
    <t>41072-26-700655X</t>
  </si>
  <si>
    <t>DSM2605-21</t>
  </si>
  <si>
    <t>41072-26-701003X</t>
  </si>
  <si>
    <t>DSM2605-26</t>
  </si>
  <si>
    <t>41072-26-700876X</t>
  </si>
  <si>
    <t>DSM2605-01</t>
  </si>
  <si>
    <t>DSM2605-18</t>
  </si>
  <si>
    <t>DSM2605-19</t>
  </si>
  <si>
    <t>41072-26-700979X</t>
  </si>
  <si>
    <t>DSM2605-20</t>
  </si>
  <si>
    <t>41072-26-700980X</t>
  </si>
  <si>
    <t>DSM2605-22</t>
  </si>
  <si>
    <t>41072-26-700981X</t>
  </si>
  <si>
    <t>DSM2605-23</t>
  </si>
  <si>
    <t>41072-26-700982X</t>
  </si>
  <si>
    <t>DSM2605-24</t>
  </si>
  <si>
    <t>41072-26-700983X</t>
  </si>
  <si>
    <t>DSM2605-25</t>
  </si>
  <si>
    <t>41072-26-700984X</t>
  </si>
  <si>
    <t>DSM2605-MC01</t>
  </si>
  <si>
    <t>41072-26-700671X</t>
  </si>
  <si>
    <t>DSM2605-MC02</t>
  </si>
  <si>
    <t xml:space="preserve">41072-26-700847X </t>
  </si>
  <si>
    <t>DSM2605-R01</t>
  </si>
  <si>
    <t>41072-26-201200X</t>
  </si>
  <si>
    <t>DSM2605-R02</t>
  </si>
  <si>
    <t>41072-26-700902X</t>
  </si>
  <si>
    <t>DSM2605-R03</t>
  </si>
  <si>
    <t>41072-26-201201X</t>
  </si>
  <si>
    <t>DSM2605-R04</t>
  </si>
  <si>
    <t>41072-26-201202X</t>
  </si>
  <si>
    <t>DSM2605-R05</t>
  </si>
  <si>
    <t>41072-26-201203X</t>
  </si>
  <si>
    <t>DSM2605-R06</t>
  </si>
  <si>
    <t>41072-26-201204X</t>
  </si>
  <si>
    <t>DSM2605-AL01</t>
  </si>
  <si>
    <t>41072-26-700684X</t>
  </si>
  <si>
    <t>DSM2605-AL02</t>
  </si>
  <si>
    <t>DSM2605-AL03</t>
  </si>
  <si>
    <t>41072-26-700900X</t>
  </si>
  <si>
    <t>DSM2605-AL1TA</t>
  </si>
  <si>
    <t>DSM2605-AL2TA</t>
  </si>
  <si>
    <t>41072-26-700824X</t>
  </si>
  <si>
    <t>DSM2605-AL4TA</t>
  </si>
  <si>
    <t>41072-26-700825X</t>
  </si>
  <si>
    <t>DSM2605-AL5TA</t>
  </si>
  <si>
    <t>41072-26-700922X</t>
  </si>
  <si>
    <t>DSM2605-R08</t>
  </si>
  <si>
    <t>DSM2605-R07</t>
  </si>
  <si>
    <t>41072-26-700937X</t>
  </si>
  <si>
    <t>DSM2605-EM01</t>
  </si>
  <si>
    <t>41072-26-700752X</t>
  </si>
  <si>
    <t>DSM2605-EM02</t>
  </si>
  <si>
    <t>41072-26-700623X</t>
  </si>
  <si>
    <t>DSM2605-EM03</t>
  </si>
  <si>
    <t>41072-26-700917X</t>
  </si>
  <si>
    <t>DSM2605-EM04</t>
  </si>
  <si>
    <t>41072-26-700656X</t>
  </si>
  <si>
    <t>DSM2605-EM05</t>
  </si>
  <si>
    <t>41072-26-700657X</t>
  </si>
  <si>
    <t>DSM2605-EM06</t>
  </si>
  <si>
    <t>DSM2605-EM07</t>
  </si>
  <si>
    <t>41072-26-700772X</t>
  </si>
  <si>
    <t>DSM2605-EM08</t>
  </si>
  <si>
    <t>41072-26-700780X</t>
  </si>
  <si>
    <t>DSM2605-EM09</t>
  </si>
  <si>
    <t>41072-26-700834X</t>
  </si>
  <si>
    <t>DSM2605-EM10</t>
  </si>
  <si>
    <t>41072-26-700936X</t>
  </si>
  <si>
    <t>DSM2605-SM01</t>
  </si>
  <si>
    <t>DSM2605-SM02</t>
  </si>
  <si>
    <t>41129-26-050097X</t>
  </si>
  <si>
    <t>DSM2605-SM03</t>
  </si>
  <si>
    <t>41129-26-050159X</t>
  </si>
  <si>
    <t>DSM2605-MC03</t>
  </si>
  <si>
    <t>41072-26-700978X</t>
  </si>
  <si>
    <t>DSM2605-AM01</t>
  </si>
  <si>
    <t>20576-26-050059X</t>
  </si>
  <si>
    <t>DSM2605-AM02</t>
  </si>
  <si>
    <t>20576-26-050500X</t>
  </si>
  <si>
    <t>TOOLING</t>
    <phoneticPr fontId="2" type="noConversion"/>
  </si>
  <si>
    <t>관세</t>
    <phoneticPr fontId="2" type="noConversion"/>
  </si>
  <si>
    <t>DSM2604-AL03(관세)</t>
  </si>
  <si>
    <t>DSM2605-AL01(관세)</t>
  </si>
  <si>
    <t>DSM2605-AL02(관세)</t>
  </si>
  <si>
    <t>DSM2605-AL03(관세)</t>
  </si>
  <si>
    <t>6건</t>
    <phoneticPr fontId="2" type="noConversion"/>
  </si>
  <si>
    <t>TOOLING 7건</t>
    <phoneticPr fontId="2" type="noConversion"/>
  </si>
  <si>
    <t>국내영업</t>
    <phoneticPr fontId="2" type="noConversion"/>
  </si>
  <si>
    <t>해외영업</t>
    <phoneticPr fontId="2" type="noConversion"/>
  </si>
  <si>
    <t>매 출</t>
    <phoneticPr fontId="2" type="noConversion"/>
  </si>
  <si>
    <t>부  서</t>
    <phoneticPr fontId="2" type="noConversion"/>
  </si>
  <si>
    <t>외 화</t>
    <phoneticPr fontId="2" type="noConversion"/>
  </si>
  <si>
    <t>원 화</t>
    <phoneticPr fontId="2" type="noConversion"/>
  </si>
  <si>
    <t>5월 수출매출 합계</t>
    <phoneticPr fontId="2" type="noConversion"/>
  </si>
  <si>
    <t>유니패스 DSMETAL/dsmma1011@</t>
    <phoneticPr fontId="2" type="noConversion"/>
  </si>
  <si>
    <t>41072-26-700589X</t>
    <phoneticPr fontId="2" type="noConversion"/>
  </si>
  <si>
    <t>41072-26-700611X</t>
    <phoneticPr fontId="2" type="noConversion"/>
  </si>
  <si>
    <t>41072-26-700828X</t>
    <phoneticPr fontId="2" type="noConversion"/>
  </si>
  <si>
    <t>41072-26-700941X</t>
    <phoneticPr fontId="2" type="noConversion"/>
  </si>
  <si>
    <t>41072-26-700969X</t>
    <phoneticPr fontId="2" type="noConversion"/>
  </si>
  <si>
    <t>41072-26-700597X</t>
    <phoneticPr fontId="2" type="noConversion"/>
  </si>
  <si>
    <t>41072-26-700867X</t>
    <phoneticPr fontId="2" type="noConversion"/>
  </si>
  <si>
    <t>41129-26-050016X</t>
    <phoneticPr fontId="2" type="noConversion"/>
  </si>
  <si>
    <t>41072-26-700718X</t>
    <phoneticPr fontId="2" type="noConversion"/>
  </si>
  <si>
    <t>면장</t>
    <phoneticPr fontId="2" type="noConversion"/>
  </si>
  <si>
    <t>IN</t>
    <phoneticPr fontId="2" type="noConversion"/>
  </si>
  <si>
    <t>PK</t>
    <phoneticPr fontId="2" type="noConversion"/>
  </si>
  <si>
    <t>BL</t>
    <phoneticPr fontId="2" type="noConversion"/>
  </si>
  <si>
    <t>●</t>
    <phoneticPr fontId="2" type="noConversion"/>
  </si>
  <si>
    <t>41072-26-700658X</t>
    <phoneticPr fontId="2" type="noConversion"/>
  </si>
  <si>
    <t>금주선적예정</t>
    <phoneticPr fontId="2" type="noConversion"/>
  </si>
  <si>
    <t>금일출항</t>
    <phoneticPr fontId="2" type="noConversion"/>
  </si>
  <si>
    <t>DSM2605-AL03TA</t>
    <phoneticPr fontId="2" type="noConversion"/>
  </si>
  <si>
    <t>DSM2603-AL02TA</t>
    <phoneticPr fontId="2" type="noConversion"/>
  </si>
  <si>
    <t>※ 2026년 06월 마감내역 ※</t>
    <phoneticPr fontId="3" type="noConversion"/>
  </si>
  <si>
    <t xml:space="preserve">BL </t>
    <phoneticPr fontId="2" type="noConversion"/>
  </si>
  <si>
    <t>마사1</t>
    <phoneticPr fontId="2" type="noConversion"/>
  </si>
  <si>
    <t>6월 수출매출 합계</t>
    <phoneticPr fontId="2" type="noConversion"/>
  </si>
  <si>
    <t>2606P01</t>
  </si>
  <si>
    <t>41072-26-701092X</t>
  </si>
  <si>
    <t>2606P02</t>
  </si>
  <si>
    <t>41072-26-701043X</t>
  </si>
  <si>
    <t>41072-26-701093X</t>
  </si>
  <si>
    <t>2606P05</t>
  </si>
  <si>
    <t>41072-26-701300X</t>
  </si>
  <si>
    <t>2606P06</t>
  </si>
  <si>
    <t>41072-26-701326X</t>
  </si>
  <si>
    <t>2606P07</t>
  </si>
  <si>
    <t>41072-26-701094X</t>
  </si>
  <si>
    <t>2606P08</t>
  </si>
  <si>
    <t>41072-26-701095X</t>
  </si>
  <si>
    <t>2606P09</t>
  </si>
  <si>
    <t>41072-26-701096X</t>
  </si>
  <si>
    <t>41072-26-701065X</t>
  </si>
  <si>
    <t>DSM2606-02</t>
  </si>
  <si>
    <t>41072-26-701066X</t>
  </si>
  <si>
    <t>DSM2606-03</t>
  </si>
  <si>
    <t>41072-26-701067X</t>
  </si>
  <si>
    <t>DSM2606-04</t>
  </si>
  <si>
    <t>41072-26-701068X</t>
  </si>
  <si>
    <t>DSM2606-05</t>
  </si>
  <si>
    <t>41072-26-701069X</t>
  </si>
  <si>
    <t>DSM2606-06</t>
  </si>
  <si>
    <t>41072-26-701070X</t>
  </si>
  <si>
    <t>DSM2606-07</t>
  </si>
  <si>
    <t>41072-26-701071X</t>
  </si>
  <si>
    <t>DSM2606-08</t>
  </si>
  <si>
    <t>41072-26-701174X</t>
  </si>
  <si>
    <t>DSM2606-09</t>
  </si>
  <si>
    <t>41072-26-701175X</t>
  </si>
  <si>
    <t>DSM2606-10</t>
  </si>
  <si>
    <t>41072-26-701072X</t>
  </si>
  <si>
    <t>DSM2606-11</t>
  </si>
  <si>
    <t>41072-26-701176X</t>
  </si>
  <si>
    <t>DSM2606-12</t>
  </si>
  <si>
    <t>41072-26-701177X</t>
  </si>
  <si>
    <t>DSM2606-17</t>
  </si>
  <si>
    <t>41072-26-701285X</t>
  </si>
  <si>
    <t>DSM2606-23</t>
  </si>
  <si>
    <t>41072-26-701286X</t>
  </si>
  <si>
    <t>DSM2606-MC01</t>
  </si>
  <si>
    <t>41072-26-701132X</t>
  </si>
  <si>
    <t>DSM2606-MC02</t>
  </si>
  <si>
    <t>41072-26-701288X</t>
  </si>
  <si>
    <t>41072-26-701109X</t>
  </si>
  <si>
    <t>DSM2606-R01</t>
  </si>
  <si>
    <t>41072-26-701134X</t>
  </si>
  <si>
    <t>DSM2606-R02</t>
  </si>
  <si>
    <t>41072-26-701240X</t>
  </si>
  <si>
    <t>DSM2606-R03</t>
  </si>
  <si>
    <t>41072-26-701337X</t>
  </si>
  <si>
    <t>DSM2606-SM01</t>
  </si>
  <si>
    <t>41129-26-060024X</t>
  </si>
  <si>
    <t>DSM2606-SM02</t>
  </si>
  <si>
    <t>41129-26-060143X</t>
  </si>
  <si>
    <t>DSM2606-SM03</t>
  </si>
  <si>
    <t>41129-26-060134X</t>
  </si>
  <si>
    <t>DSM2606-SM04</t>
  </si>
  <si>
    <t>41129-26-060227X</t>
  </si>
  <si>
    <t>DSM2606-EM01</t>
  </si>
  <si>
    <t>41072-26-701039X</t>
  </si>
  <si>
    <t>DSM2606-EM02</t>
  </si>
  <si>
    <t>41072-26-701040X</t>
  </si>
  <si>
    <t>DSM2606-EM03</t>
  </si>
  <si>
    <t>41072-26-701031X</t>
  </si>
  <si>
    <t>DSM2606-EM04</t>
  </si>
  <si>
    <t>41072-26-701144X</t>
  </si>
  <si>
    <t>DSM2606-EM05</t>
  </si>
  <si>
    <t>41072-26-701275X</t>
  </si>
  <si>
    <t>20576-26-060281X</t>
  </si>
  <si>
    <t>20576-26-060102X</t>
  </si>
  <si>
    <t>20576-26-060175X</t>
  </si>
  <si>
    <t>DSM2606-AM04</t>
  </si>
  <si>
    <t>20576-26-060490X</t>
  </si>
  <si>
    <t>20576-26-060692X</t>
  </si>
  <si>
    <t>DSM2606-AM01</t>
  </si>
  <si>
    <t>DSM2606-AM02</t>
  </si>
  <si>
    <t>DSM2606-AM03</t>
  </si>
  <si>
    <t>DSM2606-AM06</t>
  </si>
  <si>
    <t xml:space="preserve">                                     </t>
    <phoneticPr fontId="2" type="noConversion"/>
  </si>
  <si>
    <t>DSM2606-AL02</t>
  </si>
  <si>
    <t>DSM2606-AL03</t>
  </si>
  <si>
    <t>DSM2606-AL04</t>
  </si>
  <si>
    <t>DSM2606-AL2TA</t>
  </si>
  <si>
    <t>DSM2606-AL3TA</t>
  </si>
  <si>
    <t>DSM2606-AL4TA</t>
  </si>
  <si>
    <t>DSM2606-AL6TA</t>
  </si>
  <si>
    <t>DSM2606-AL7TA</t>
  </si>
  <si>
    <t>DSM2606-AL8TA</t>
  </si>
  <si>
    <t>ALLISON</t>
    <phoneticPr fontId="2" type="noConversion"/>
  </si>
  <si>
    <t>DSM2606-AL01</t>
  </si>
  <si>
    <t>DSM2606-AL1TA</t>
  </si>
  <si>
    <t>41072-26-701111X</t>
  </si>
  <si>
    <t>41072-26-701329X</t>
  </si>
  <si>
    <t>2606P04</t>
  </si>
  <si>
    <t>41072-26-701210X</t>
  </si>
  <si>
    <t>DSM2606-13</t>
  </si>
  <si>
    <t>41072-26-701282X</t>
  </si>
  <si>
    <t>DSM2606-14</t>
  </si>
  <si>
    <t>41072-26-701283X</t>
  </si>
  <si>
    <t>DSM2606-15</t>
  </si>
  <si>
    <t>41072-26-701284X</t>
  </si>
  <si>
    <t>DSM2606-16</t>
  </si>
  <si>
    <t>41072-26-701394X</t>
  </si>
  <si>
    <t>DSM2606-20</t>
  </si>
  <si>
    <t>41072-26-701395X</t>
  </si>
  <si>
    <t>DSM2606-21</t>
  </si>
  <si>
    <t>41072-26-701396X</t>
  </si>
  <si>
    <t>DSM2606-22</t>
  </si>
  <si>
    <t>41072-26-701397X</t>
  </si>
  <si>
    <t>DSM2606-24</t>
  </si>
  <si>
    <t>41072-26-701398X</t>
  </si>
  <si>
    <t>DSM2606-25</t>
  </si>
  <si>
    <t>41072-26-701440X</t>
  </si>
  <si>
    <t>DSM2606-MC03</t>
  </si>
  <si>
    <t>41072-26-701412X</t>
  </si>
  <si>
    <t>DSM2606-R04</t>
  </si>
  <si>
    <t>41072-26-701460X</t>
  </si>
  <si>
    <t>DSM2606-EM06</t>
  </si>
  <si>
    <t>41072-26-701211X</t>
  </si>
  <si>
    <t>DSM2606-EM07</t>
  </si>
  <si>
    <t>41072-26-701327X</t>
  </si>
  <si>
    <t>DSM2606-EM08</t>
  </si>
  <si>
    <t>41072-26-701384X</t>
  </si>
  <si>
    <t>DSM2606-AM05</t>
  </si>
  <si>
    <t>20576-26-060627X</t>
  </si>
  <si>
    <t>DSM2606-T01</t>
  </si>
  <si>
    <t>41072-26-701236X</t>
  </si>
  <si>
    <t>DSM2606-EM02T</t>
  </si>
  <si>
    <t>툴링비</t>
  </si>
  <si>
    <t>DSM2606-AL01(관세)</t>
  </si>
  <si>
    <t>DSM2606-AL02(관세)</t>
  </si>
  <si>
    <t>DSM2606-AL03(관세)</t>
  </si>
  <si>
    <t>DSM2606-AL04(관세)</t>
  </si>
  <si>
    <t>DSM2606-AL5TA</t>
  </si>
  <si>
    <t>41072-26-701181X</t>
  </si>
  <si>
    <t>41072-26-701219X</t>
  </si>
  <si>
    <t>41072-26-701408X</t>
  </si>
  <si>
    <t>41072-26-701073X</t>
  </si>
  <si>
    <t>41072-26-701074X</t>
  </si>
  <si>
    <t>41072-26-701146X</t>
  </si>
  <si>
    <t>41072-26-701180X</t>
  </si>
  <si>
    <t>41072-26-701263X</t>
  </si>
  <si>
    <t>41072-26-701321X</t>
  </si>
  <si>
    <t>41072-26-701374X</t>
  </si>
  <si>
    <t>DSM2606-AT01</t>
    <phoneticPr fontId="2" type="noConversion"/>
  </si>
  <si>
    <t>전자세금계산서</t>
    <phoneticPr fontId="2" type="noConversion"/>
  </si>
  <si>
    <t>DSM2606-AT02</t>
  </si>
  <si>
    <t>DSM2606-JS01</t>
    <phoneticPr fontId="2" type="noConversion"/>
  </si>
  <si>
    <t>41072-26-701289-X</t>
    <phoneticPr fontId="2" type="noConversion"/>
  </si>
  <si>
    <t>DSM2606-SK01</t>
    <phoneticPr fontId="2" type="noConversion"/>
  </si>
  <si>
    <t>DSM2606-SK02</t>
    <phoneticPr fontId="2" type="noConversion"/>
  </si>
  <si>
    <t>DSM2606-SK03</t>
    <phoneticPr fontId="2" type="noConversion"/>
  </si>
  <si>
    <t>41072-26-701202-X</t>
    <phoneticPr fontId="2" type="noConversion"/>
  </si>
  <si>
    <t>41072-26-701317-X</t>
    <phoneticPr fontId="2" type="noConversion"/>
  </si>
  <si>
    <t>41072-26-700961X</t>
    <phoneticPr fontId="2" type="noConversion"/>
  </si>
  <si>
    <t>금형</t>
    <phoneticPr fontId="2" type="noConversion"/>
  </si>
  <si>
    <t>가공2</t>
    <phoneticPr fontId="2" type="noConversion"/>
  </si>
  <si>
    <t>가공3</t>
    <phoneticPr fontId="2" type="noConversion"/>
  </si>
  <si>
    <t>41072-26-701421-X</t>
    <phoneticPr fontId="2" type="noConversion"/>
  </si>
  <si>
    <t>8708.80-0000</t>
  </si>
  <si>
    <t>2606P03</t>
    <phoneticPr fontId="2" type="noConversion"/>
  </si>
  <si>
    <t>8409.91-2000</t>
    <phoneticPr fontId="2" type="noConversion"/>
  </si>
  <si>
    <t>DSM2606-01</t>
    <phoneticPr fontId="2" type="noConversion"/>
  </si>
  <si>
    <t>8409.99-8030</t>
  </si>
  <si>
    <t>8708.40-0000</t>
  </si>
  <si>
    <t>8486.90-2090</t>
  </si>
  <si>
    <t>2607P02</t>
  </si>
  <si>
    <t>41072-26-701568X</t>
  </si>
  <si>
    <t>2607P01</t>
  </si>
  <si>
    <t>41072-26-701575X</t>
  </si>
  <si>
    <t>2607P03</t>
  </si>
  <si>
    <t>41072-26-701576X</t>
  </si>
  <si>
    <t>2607P04</t>
  </si>
  <si>
    <t>41072-26-701715X</t>
  </si>
  <si>
    <t>2607P05</t>
  </si>
  <si>
    <t>41072-26-701716X</t>
  </si>
  <si>
    <t>2607P06</t>
  </si>
  <si>
    <t>41072-26-701848X</t>
  </si>
  <si>
    <t>2607P07</t>
  </si>
  <si>
    <t>41072-26-701717X</t>
  </si>
  <si>
    <t>2607P08</t>
  </si>
  <si>
    <t>41072-26-701577X</t>
  </si>
  <si>
    <t>2607P09</t>
  </si>
  <si>
    <t>41072-26-701578X</t>
  </si>
  <si>
    <t>※ 2026년 07월 마감내역 ※</t>
    <phoneticPr fontId="3" type="noConversion"/>
  </si>
  <si>
    <t>DSM2607-01</t>
  </si>
  <si>
    <t>41072-26-701497X</t>
  </si>
  <si>
    <t>DSM2607-02</t>
  </si>
  <si>
    <t>41072-26-701498X</t>
  </si>
  <si>
    <t>DSM2607-03</t>
  </si>
  <si>
    <t>41072-26-701499X</t>
  </si>
  <si>
    <t>DSM2607-05</t>
  </si>
  <si>
    <t>41072-26-701500X</t>
  </si>
  <si>
    <t>DSM2607-06</t>
  </si>
  <si>
    <t>41072-26-701501X</t>
  </si>
  <si>
    <t>DSM2607-07</t>
  </si>
  <si>
    <t>41072-26-701502X</t>
  </si>
  <si>
    <t>DSM2607-09</t>
  </si>
  <si>
    <t>41072-26-701613X</t>
  </si>
  <si>
    <t>DSM2607-10</t>
  </si>
  <si>
    <t>41072-26-701614X</t>
  </si>
  <si>
    <t>DSM2607-11</t>
  </si>
  <si>
    <t>41072-26-701503X</t>
  </si>
  <si>
    <t>DSM2607-14</t>
  </si>
  <si>
    <t>41072-26-701702X</t>
  </si>
  <si>
    <t>DSM2607-15</t>
  </si>
  <si>
    <t>41072-26-701703X</t>
  </si>
  <si>
    <t>DSM2607-16</t>
  </si>
  <si>
    <t>41072-26-701704X</t>
  </si>
  <si>
    <t>DSM2607-18</t>
  </si>
  <si>
    <t>41072-26-701473X</t>
  </si>
  <si>
    <t>DSM2607-19</t>
  </si>
  <si>
    <t>41072-26-701528X</t>
  </si>
  <si>
    <t>DSM2607-20</t>
  </si>
  <si>
    <t>41072-26-701615X</t>
  </si>
  <si>
    <t>DSM2607-21</t>
  </si>
  <si>
    <t>41072-26-701652X</t>
  </si>
  <si>
    <t>41072-26-701738X</t>
  </si>
  <si>
    <t>DSM2607-22(PPAP샘플)</t>
    <phoneticPr fontId="2" type="noConversion"/>
  </si>
  <si>
    <t>DSM2607-04</t>
  </si>
  <si>
    <t>41072-26-701611X</t>
  </si>
  <si>
    <t>DSM2607-08</t>
  </si>
  <si>
    <t>41072-26-701612X</t>
  </si>
  <si>
    <t>DSM2607-12</t>
  </si>
  <si>
    <t>41072-26-701622X</t>
  </si>
  <si>
    <t>DSM2607-13</t>
  </si>
  <si>
    <t>41072-26-701829X</t>
  </si>
  <si>
    <t>DSM2607-17</t>
  </si>
  <si>
    <t>41072-26-701830X</t>
  </si>
  <si>
    <t>DSM2607-23</t>
  </si>
  <si>
    <t>41072-26-701831X</t>
  </si>
  <si>
    <t>DSM2607-24</t>
  </si>
  <si>
    <t>41072-26-701832X</t>
  </si>
  <si>
    <t>DSM2607-25</t>
  </si>
  <si>
    <t>41072-26-701833X</t>
  </si>
  <si>
    <t>DSM2607-26</t>
  </si>
  <si>
    <t>41072-26-701834X</t>
  </si>
  <si>
    <t>DSM2607-27</t>
  </si>
  <si>
    <t>41072-26-701835X</t>
  </si>
  <si>
    <t>DSM2607-28</t>
  </si>
  <si>
    <t>41072-26-701940X</t>
  </si>
  <si>
    <t>DSM2607-29</t>
  </si>
  <si>
    <t>41072-26-701941X</t>
  </si>
  <si>
    <t>DSM2607-SE01</t>
  </si>
  <si>
    <t>41072-26-701772X</t>
  </si>
  <si>
    <t>DSM2607-MC01</t>
  </si>
  <si>
    <t>41072-26-701623X</t>
  </si>
  <si>
    <t>DSM2607-MC02</t>
  </si>
  <si>
    <t>41072-26-701731X</t>
  </si>
  <si>
    <t>DSM2607-MC03</t>
  </si>
  <si>
    <t>41072-26-701880X</t>
  </si>
  <si>
    <t>DSM2607-R01</t>
  </si>
  <si>
    <t>41072-26-701751X</t>
  </si>
  <si>
    <t>DSM2607-R03</t>
  </si>
  <si>
    <t>41072-26-701788X</t>
  </si>
  <si>
    <t>DSM2607-R04</t>
  </si>
  <si>
    <t>41072-26-701752X</t>
  </si>
  <si>
    <t>DSM2607-R05</t>
  </si>
  <si>
    <t>41072-26-701753X</t>
  </si>
  <si>
    <t>DSM2607-R02</t>
  </si>
  <si>
    <t>41072-26-701912X</t>
  </si>
  <si>
    <t>DSM2607-R06</t>
  </si>
  <si>
    <t>41072-26-701911X</t>
  </si>
  <si>
    <t>DSM2607-R07</t>
  </si>
  <si>
    <t>41072-26-701938X</t>
  </si>
  <si>
    <t>DSM2607-AL01</t>
  </si>
  <si>
    <t>41072-26-701512X</t>
  </si>
  <si>
    <t>DSM2607-AL02</t>
  </si>
  <si>
    <t>41072-26-701648X</t>
  </si>
  <si>
    <t>DSM2607-AL03</t>
  </si>
  <si>
    <t>41072-26-701636X</t>
  </si>
  <si>
    <t>DSM2607-AL04</t>
  </si>
  <si>
    <t>41072-26-701768X</t>
  </si>
  <si>
    <t>DSM2607-AL06</t>
  </si>
  <si>
    <t>41072-26-701894X</t>
  </si>
  <si>
    <t>DSM2606-AL09TA</t>
  </si>
  <si>
    <t>41072-26-701511X</t>
  </si>
  <si>
    <t>DSM2607-AL1TA</t>
  </si>
  <si>
    <t>41072-26-701649X</t>
  </si>
  <si>
    <t>DSM2607-AL05</t>
  </si>
  <si>
    <t>41072-26-701789X</t>
  </si>
  <si>
    <t>DSM2607-AL07</t>
  </si>
  <si>
    <t>41072-26-701964X</t>
  </si>
  <si>
    <t>DSM2607-AL3TA</t>
  </si>
  <si>
    <t>41072-26-701963X</t>
  </si>
  <si>
    <t>DSM2607-ALSMPL01</t>
  </si>
  <si>
    <t>DSM2607-AL01(관세)</t>
  </si>
  <si>
    <t>DSM2607-AL02(관세)</t>
  </si>
  <si>
    <t>DSM2607-AL03(관세)</t>
  </si>
  <si>
    <t>DSM2607-AL04(관세)</t>
  </si>
  <si>
    <t>DSM2607-AL06(관세)</t>
  </si>
  <si>
    <t>관세</t>
    <phoneticPr fontId="2" type="noConversion"/>
  </si>
  <si>
    <t>DSM2607-SM01</t>
  </si>
  <si>
    <t>41129-26-070018X</t>
  </si>
  <si>
    <t>DSM2607-SM02</t>
  </si>
  <si>
    <t>41129-26-070069X</t>
  </si>
  <si>
    <t>DSM2607-SM03</t>
  </si>
  <si>
    <t>41129-26-070120X</t>
  </si>
  <si>
    <t>DSM2607-SM04</t>
  </si>
  <si>
    <t>41129-26-070234X</t>
  </si>
  <si>
    <t>DSM2607-EM01</t>
  </si>
  <si>
    <t>41072-26-701563X</t>
  </si>
  <si>
    <t>DSM2607-EM02</t>
  </si>
  <si>
    <t>41072-26-701548X</t>
  </si>
  <si>
    <t>DSM2607-EM03</t>
  </si>
  <si>
    <t>41072-26-701626X</t>
  </si>
  <si>
    <t>DSM2607-EM06</t>
  </si>
  <si>
    <t>41072-26-701771X</t>
  </si>
  <si>
    <t>DSM2607-EM07</t>
  </si>
  <si>
    <t>41072-26-701678X</t>
  </si>
  <si>
    <t>DSM2607-EM01T</t>
  </si>
  <si>
    <t>DSM2607-EM04</t>
  </si>
  <si>
    <t>41072-26-701616X</t>
  </si>
  <si>
    <t>DSM2607-EM05</t>
  </si>
  <si>
    <t>41072-26-701672X</t>
  </si>
  <si>
    <t>DSM2607-AM01</t>
  </si>
  <si>
    <t>20576-26-070291X</t>
  </si>
  <si>
    <t>DSM2607-AM02</t>
  </si>
  <si>
    <t>20576-26-070408X</t>
  </si>
  <si>
    <t>DSM2607-AM03</t>
  </si>
  <si>
    <t>DSM2607-AT01</t>
  </si>
  <si>
    <t>DSM2607-AT02</t>
  </si>
  <si>
    <t>20576-26-070680X</t>
  </si>
  <si>
    <t>840991-2000</t>
    <phoneticPr fontId="2" type="noConversion"/>
  </si>
  <si>
    <t>관세 5건</t>
    <phoneticPr fontId="2" type="noConversion"/>
  </si>
  <si>
    <t>DSM2606-SK04</t>
  </si>
  <si>
    <t>DSM2607-SK01</t>
  </si>
  <si>
    <t>DSM2607-SK02</t>
  </si>
  <si>
    <t>DSM2607-SK03</t>
  </si>
  <si>
    <t>41072-26-701453X</t>
    <phoneticPr fontId="2" type="noConversion"/>
  </si>
  <si>
    <t>41072-26-701621X</t>
    <phoneticPr fontId="2" type="noConversion"/>
  </si>
  <si>
    <t>41072-26-701735X</t>
    <phoneticPr fontId="2" type="noConversion"/>
  </si>
  <si>
    <t>41072-26-701852X</t>
    <phoneticPr fontId="2" type="noConversion"/>
  </si>
  <si>
    <t>41072-26-701406X</t>
    <phoneticPr fontId="2" type="noConversion"/>
  </si>
  <si>
    <t>41072-26-701651X</t>
    <phoneticPr fontId="2" type="noConversion"/>
  </si>
  <si>
    <t>41072-26-701847X</t>
    <phoneticPr fontId="2" type="noConversion"/>
  </si>
  <si>
    <t>기타</t>
    <phoneticPr fontId="2" type="noConversion"/>
  </si>
  <si>
    <t>DSM2606-JS02</t>
  </si>
  <si>
    <t>DSM2607-JS01</t>
  </si>
  <si>
    <t>DSM2607-JS02</t>
  </si>
  <si>
    <t>확인</t>
    <phoneticPr fontId="2" type="noConversion"/>
  </si>
  <si>
    <t>차이</t>
    <phoneticPr fontId="2" type="noConversion"/>
  </si>
  <si>
    <t>ALLISON (관세포함)</t>
    <phoneticPr fontId="2" type="noConversion"/>
  </si>
  <si>
    <t>차액</t>
    <phoneticPr fontId="2" type="noConversion"/>
  </si>
  <si>
    <t>검증 (국내/국외)</t>
    <phoneticPr fontId="2" type="noConversion"/>
  </si>
  <si>
    <t>검증
(당월매출-국외매출)</t>
    <phoneticPr fontId="2" type="noConversion"/>
  </si>
  <si>
    <t>해외영업(국내매출)</t>
    <phoneticPr fontId="2" type="noConversion"/>
  </si>
  <si>
    <t>7월 수출매출(국내영업+해외영업) 합계</t>
    <phoneticPr fontId="2" type="noConversion"/>
  </si>
  <si>
    <t>[검증]</t>
    <phoneticPr fontId="2" type="noConversion"/>
  </si>
  <si>
    <t>TOOLING
현황
(관세포함)</t>
    <phoneticPr fontId="2" type="noConversion"/>
  </si>
  <si>
    <t>총 TOOLING 7건</t>
    <phoneticPr fontId="2" type="noConversion"/>
  </si>
  <si>
    <t>총 TOOLING-8건</t>
    <phoneticPr fontId="2" type="noConversion"/>
  </si>
  <si>
    <t>8413.91-9000</t>
  </si>
  <si>
    <t>HS코드/서비스코드</t>
    <phoneticPr fontId="2" type="noConversion"/>
  </si>
  <si>
    <t>8714.10-9000</t>
    <phoneticPr fontId="2" type="noConversion"/>
  </si>
  <si>
    <t>미국대서양</t>
    <phoneticPr fontId="2" type="noConversion"/>
  </si>
  <si>
    <t>8409.91-2000</t>
  </si>
  <si>
    <t>미국대서양BRUNSWICK CORPORATION</t>
    <phoneticPr fontId="2" type="noConversion"/>
  </si>
  <si>
    <t>미국대서양</t>
    <phoneticPr fontId="2" type="noConversion"/>
  </si>
  <si>
    <t>※ 2026년 08월 마감내역 ※</t>
    <phoneticPr fontId="3" type="noConversion"/>
  </si>
  <si>
    <t>DSM2607-SK04</t>
  </si>
  <si>
    <t>DSM2508-JS02</t>
    <phoneticPr fontId="2" type="noConversion"/>
  </si>
  <si>
    <t>41072-26-702052X</t>
    <phoneticPr fontId="2" type="noConversion"/>
  </si>
  <si>
    <t>41072-26-702205X</t>
    <phoneticPr fontId="2" type="noConversion"/>
  </si>
  <si>
    <t>2608P01</t>
  </si>
  <si>
    <t>41072-26-702006X</t>
  </si>
  <si>
    <t>2608P03</t>
  </si>
  <si>
    <t>41072-26-702136X</t>
  </si>
  <si>
    <t>2608P05</t>
  </si>
  <si>
    <t>41072-26-702138X</t>
  </si>
  <si>
    <t>2608P07</t>
  </si>
  <si>
    <t>41072-26-702011X</t>
  </si>
  <si>
    <t>2608P08</t>
  </si>
  <si>
    <t>41072-26-702007X</t>
  </si>
  <si>
    <t>2608P09</t>
  </si>
  <si>
    <t>41072-26-702008X</t>
  </si>
  <si>
    <t>2608P10</t>
  </si>
  <si>
    <t>41072-26-702009X</t>
  </si>
  <si>
    <t>2608P11</t>
  </si>
  <si>
    <t>2608P02</t>
  </si>
  <si>
    <t>41072-26-702010X</t>
  </si>
  <si>
    <t>2608P04</t>
  </si>
  <si>
    <t>41072-26-702183X</t>
  </si>
  <si>
    <t>2608P06</t>
  </si>
  <si>
    <t>41072-26-702340X</t>
  </si>
  <si>
    <t>DSM2608-01</t>
  </si>
  <si>
    <t>41072-26-701994X</t>
  </si>
  <si>
    <t>DSM2608-02</t>
  </si>
  <si>
    <t>41072-26-701995X</t>
  </si>
  <si>
    <t>DSM2608-03</t>
  </si>
  <si>
    <t>DSM2608-21</t>
  </si>
  <si>
    <t>41072-26-702310X</t>
  </si>
  <si>
    <t>2608T01</t>
  </si>
  <si>
    <t>DSM2608-AL01TA</t>
  </si>
  <si>
    <t>DSM2608-AL02TA</t>
  </si>
  <si>
    <t>DSM2608-AL03TA</t>
  </si>
  <si>
    <t>DSM2608-AL04TA</t>
  </si>
  <si>
    <t>DSM2608-AL05TA</t>
  </si>
  <si>
    <t>DSM2608-04</t>
  </si>
  <si>
    <t>DSM2608-05</t>
  </si>
  <si>
    <t>DSM2608-06</t>
  </si>
  <si>
    <t>DSM2608-07</t>
  </si>
  <si>
    <t>DSM2608-08</t>
  </si>
  <si>
    <t>DSM2608-09</t>
  </si>
  <si>
    <t>DSM2608-10</t>
  </si>
  <si>
    <t>DSM2608-11</t>
  </si>
  <si>
    <t>DSM2608-12</t>
  </si>
  <si>
    <t>DSM2608-13</t>
  </si>
  <si>
    <t>DSM2608-14</t>
  </si>
  <si>
    <t>DSM2608-15</t>
  </si>
  <si>
    <t>DSM2608-16</t>
  </si>
  <si>
    <t>DSM2608-17</t>
  </si>
  <si>
    <t>DSM2608-18</t>
  </si>
  <si>
    <t>DSM2608-19</t>
  </si>
  <si>
    <t>DSM2608-20</t>
  </si>
  <si>
    <t>41072-26-702170X</t>
  </si>
  <si>
    <t>41072-26-702171X</t>
  </si>
  <si>
    <t>41072-26-702073X</t>
  </si>
  <si>
    <t>41072-26-702074X</t>
  </si>
  <si>
    <t>41072-26-702172X</t>
  </si>
  <si>
    <t>41072-26-702075X</t>
  </si>
  <si>
    <t>41072-26-702173X</t>
  </si>
  <si>
    <t>41072-26-702174X</t>
  </si>
  <si>
    <t>41072-26-702175X</t>
  </si>
  <si>
    <t>41072-26-702076X</t>
  </si>
  <si>
    <t>41072-26-702176X</t>
  </si>
  <si>
    <t>41072-26-702306X</t>
  </si>
  <si>
    <t>41072-26-702307X</t>
  </si>
  <si>
    <t>41072-26-702308X</t>
  </si>
  <si>
    <t>41072-26-702309X</t>
  </si>
  <si>
    <t>41072-26-201550X</t>
  </si>
  <si>
    <t>DSM2608-MC01</t>
  </si>
  <si>
    <t>41072-26-702012X</t>
  </si>
  <si>
    <t>DSM2608-MC02</t>
  </si>
  <si>
    <t>41072-26-702102X</t>
  </si>
  <si>
    <t>DSM2608-MC03</t>
  </si>
  <si>
    <t>41072-26-702233X</t>
  </si>
  <si>
    <t>DSM2608-MC04</t>
  </si>
  <si>
    <t>41072-26-702280X</t>
  </si>
  <si>
    <t>DSM2608-R01</t>
  </si>
  <si>
    <t>41072-26-702289X</t>
  </si>
  <si>
    <t>DSM2608-AL02</t>
  </si>
  <si>
    <t>41072-26-702104X</t>
  </si>
  <si>
    <t>DSM2608-AL03</t>
  </si>
  <si>
    <t>41072-26-702115X</t>
  </si>
  <si>
    <t>DSM2608-AL04</t>
  </si>
  <si>
    <t>41072-26-702260X</t>
  </si>
  <si>
    <t>41072-26-702149X</t>
  </si>
  <si>
    <t>DSM2607-AL05(관세)</t>
  </si>
  <si>
    <t>DSM2607-AL07(관세)</t>
  </si>
  <si>
    <t>DSM2608-AL02(관세)</t>
  </si>
  <si>
    <t>DSM2608-AL03(관세)</t>
  </si>
  <si>
    <t>DSM2608-AL04(관세)</t>
  </si>
  <si>
    <t>DSM2608-AL05</t>
  </si>
  <si>
    <t>41072-26-702341X</t>
  </si>
  <si>
    <t>DSM2608-AL06</t>
  </si>
  <si>
    <t>41072-26-702346X</t>
  </si>
  <si>
    <t>DSM2608-SM01</t>
  </si>
  <si>
    <t>41129-26-080094X</t>
  </si>
  <si>
    <t>DSM2608-SM02</t>
  </si>
  <si>
    <t>41129-26-080188X</t>
  </si>
  <si>
    <t>DSM2608-EM01</t>
  </si>
  <si>
    <t>DSM2608-EM02</t>
  </si>
  <si>
    <t>DSM2608-EM03</t>
  </si>
  <si>
    <t>DSM2608-EM04</t>
  </si>
  <si>
    <t>41072-26-702071X</t>
  </si>
  <si>
    <t>41072-26-702000X</t>
  </si>
  <si>
    <t>41072-26-702093X</t>
  </si>
  <si>
    <t>41072-26-702094X</t>
  </si>
  <si>
    <t>DSM2608-AM01</t>
  </si>
  <si>
    <t>20576-26-080250X</t>
  </si>
  <si>
    <t>DSM2608-AM02</t>
  </si>
  <si>
    <t>20576-26-080599X</t>
  </si>
  <si>
    <t>DSM2608-AM03</t>
  </si>
  <si>
    <t>20576-26-090059X</t>
  </si>
  <si>
    <t>DSM2608-AT01</t>
  </si>
  <si>
    <t>전자세금계산서</t>
  </si>
  <si>
    <t>DSM2608-AT02</t>
  </si>
  <si>
    <t>DSM2608-SK01-01</t>
    <phoneticPr fontId="2" type="noConversion"/>
  </si>
  <si>
    <t>DSM2608-SK04</t>
  </si>
  <si>
    <t>DSM ABS 3401-SK02</t>
  </si>
  <si>
    <t>DSM ABS 2608-SK01</t>
  </si>
  <si>
    <t>선급비</t>
    <phoneticPr fontId="2" type="noConversion"/>
  </si>
  <si>
    <t>인듀서 대용량 중자비</t>
    <phoneticPr fontId="2" type="noConversion"/>
  </si>
  <si>
    <t>DSM2608-SK01</t>
  </si>
  <si>
    <t>DSM2608-SK02</t>
  </si>
  <si>
    <t>DSM2608-SK03</t>
    <phoneticPr fontId="2" type="noConversion"/>
  </si>
  <si>
    <t>41072-26-701962X</t>
    <phoneticPr fontId="2" type="noConversion"/>
  </si>
  <si>
    <t>41072-26-702103X</t>
    <phoneticPr fontId="2" type="noConversion"/>
  </si>
  <si>
    <t>41072-26-702203X</t>
    <phoneticPr fontId="2" type="noConversion"/>
  </si>
  <si>
    <t>41072-26-702204X</t>
    <phoneticPr fontId="2" type="noConversion"/>
  </si>
  <si>
    <t>41072-26-702331X</t>
    <phoneticPr fontId="2" type="noConversion"/>
  </si>
  <si>
    <t>DSM ABS CMHI-282-04-SK02</t>
    <phoneticPr fontId="2" type="noConversion"/>
  </si>
  <si>
    <t>DSM ABS CMHI-282-04-SK03</t>
    <phoneticPr fontId="2" type="noConversion"/>
  </si>
  <si>
    <t>DSM ABS CMHI-282-05-SK01</t>
    <phoneticPr fontId="2" type="noConversion"/>
  </si>
  <si>
    <t>DSM ABS 2609-SK01</t>
    <phoneticPr fontId="2" type="noConversion"/>
  </si>
  <si>
    <t>DSM ABS 2669-SK01</t>
    <phoneticPr fontId="2" type="noConversion"/>
  </si>
  <si>
    <t>DSM ABS 2607-SK01</t>
    <phoneticPr fontId="2" type="noConversion"/>
  </si>
  <si>
    <t>DSM ABS 2318-SK01</t>
    <phoneticPr fontId="2" type="noConversion"/>
  </si>
  <si>
    <t>DSM ABS 2606-SK01</t>
    <phoneticPr fontId="2" type="noConversion"/>
  </si>
  <si>
    <t>TOOLING 6건</t>
    <phoneticPr fontId="2" type="noConversion"/>
  </si>
  <si>
    <t>선급,중자11건</t>
    <phoneticPr fontId="2" type="noConversion"/>
  </si>
  <si>
    <t>총 TOOLING-22건</t>
    <phoneticPr fontId="2" type="noConversion"/>
  </si>
  <si>
    <t>관세포함,툴링포함</t>
    <phoneticPr fontId="2" type="noConversion"/>
  </si>
  <si>
    <t>41072-26-701848X</t>
    <phoneticPr fontId="2" type="noConversion"/>
  </si>
  <si>
    <t>41072-26-702162X</t>
    <phoneticPr fontId="2" type="noConversion"/>
  </si>
  <si>
    <t>41072-26-701996X</t>
    <phoneticPr fontId="2" type="noConversion"/>
  </si>
  <si>
    <t>신코</t>
    <phoneticPr fontId="2" type="noConversion"/>
  </si>
  <si>
    <t>코마츠</t>
    <phoneticPr fontId="2" type="noConversion"/>
  </si>
  <si>
    <t>DSM2608-AL01</t>
    <phoneticPr fontId="2" type="noConversion"/>
  </si>
  <si>
    <t>결제통지X</t>
    <phoneticPr fontId="2" type="noConversion"/>
  </si>
  <si>
    <t>) MARKETE</t>
  </si>
  <si>
    <t>2609P02</t>
  </si>
  <si>
    <t>41072-26-702487X</t>
  </si>
  <si>
    <t>2609P04</t>
  </si>
  <si>
    <t>41072-26-702638X</t>
  </si>
  <si>
    <t>2609P03</t>
  </si>
  <si>
    <t>2609P05</t>
  </si>
  <si>
    <t>2609P06</t>
  </si>
  <si>
    <t>2609P07</t>
  </si>
  <si>
    <t>41072-26-702486X</t>
  </si>
  <si>
    <t>41072-26-702529X</t>
  </si>
  <si>
    <t>41072-26-702492X</t>
  </si>
  <si>
    <t>41072-26-702771X</t>
  </si>
  <si>
    <t>41072-26-702488X</t>
  </si>
  <si>
    <t>2609P01</t>
  </si>
  <si>
    <t>41072-26-702465X</t>
    <phoneticPr fontId="2" type="noConversion"/>
  </si>
  <si>
    <t>41072-26-702629X</t>
    <phoneticPr fontId="2" type="noConversion"/>
  </si>
  <si>
    <t>41072-26-702700X</t>
    <phoneticPr fontId="2" type="noConversion"/>
  </si>
  <si>
    <t>DSM2608-SK05</t>
    <phoneticPr fontId="2" type="noConversion"/>
  </si>
  <si>
    <t>DSM2609-SK01</t>
    <phoneticPr fontId="2" type="noConversion"/>
  </si>
  <si>
    <t>DSM2609-SK02</t>
    <phoneticPr fontId="2" type="noConversion"/>
  </si>
  <si>
    <t>DSM2609-SK03</t>
    <phoneticPr fontId="2" type="noConversion"/>
  </si>
  <si>
    <t>DSM2609-SK04</t>
    <phoneticPr fontId="2" type="noConversion"/>
  </si>
  <si>
    <t>41072-26-702348X</t>
    <phoneticPr fontId="2" type="noConversion"/>
  </si>
  <si>
    <t>41072-26-702439X</t>
    <phoneticPr fontId="2" type="noConversion"/>
  </si>
  <si>
    <t>41072-26-702583X</t>
    <phoneticPr fontId="2" type="noConversion"/>
  </si>
  <si>
    <t>41072-26-702665X</t>
    <phoneticPr fontId="2" type="noConversion"/>
  </si>
  <si>
    <t>41072-26-702741X</t>
    <phoneticPr fontId="2" type="noConversion"/>
  </si>
  <si>
    <t xml:space="preserve">DSM2609-SE01 </t>
  </si>
  <si>
    <t xml:space="preserve">41072-26-702473X </t>
  </si>
  <si>
    <t>DSM2609-01</t>
  </si>
  <si>
    <t>41072-26-702429X</t>
  </si>
  <si>
    <t>DSM2609-02</t>
  </si>
  <si>
    <t>41072-26-702430X</t>
  </si>
  <si>
    <t>DSM2609-03</t>
  </si>
  <si>
    <t>41072-26-702489X</t>
  </si>
  <si>
    <t>DSM2609-04</t>
  </si>
  <si>
    <t>41072-26-702490X</t>
  </si>
  <si>
    <t>DSM2609-08</t>
  </si>
  <si>
    <t>41072-26-702565X</t>
  </si>
  <si>
    <t>DSM2609-09</t>
  </si>
  <si>
    <t>41072-26-702431X</t>
  </si>
  <si>
    <t>DSM2609-12</t>
  </si>
  <si>
    <t>41072-26-201636X</t>
  </si>
  <si>
    <t>DSM2609-21</t>
  </si>
  <si>
    <t>41072-26-702580X</t>
  </si>
  <si>
    <t>DSM2609-05</t>
  </si>
  <si>
    <t>41072-26-702562X</t>
  </si>
  <si>
    <t>DSM2609-06</t>
  </si>
  <si>
    <t>41072-26-702563X</t>
  </si>
  <si>
    <t>DSM2609-07</t>
  </si>
  <si>
    <t>41072-26-702564X</t>
  </si>
  <si>
    <t>DSM2609-10</t>
  </si>
  <si>
    <t>41072-26-702566X</t>
  </si>
  <si>
    <t>DSM2609-13</t>
  </si>
  <si>
    <t>41072-26-201637X</t>
  </si>
  <si>
    <t>DSM2609-14</t>
  </si>
  <si>
    <t>41072-26-201638X</t>
  </si>
  <si>
    <t>DSM2609-15</t>
  </si>
  <si>
    <t>41072-26-201639X</t>
  </si>
  <si>
    <t>DSM2609-16</t>
  </si>
  <si>
    <t>41072-26-201640X</t>
  </si>
  <si>
    <t>DSM2609-18</t>
  </si>
  <si>
    <t>41072-26-702718X</t>
  </si>
  <si>
    <t>DSM2609-19</t>
  </si>
  <si>
    <t>41072-26-702719X</t>
  </si>
  <si>
    <t>DSM2609-20</t>
  </si>
  <si>
    <t>41072-26-702720X</t>
  </si>
  <si>
    <t>DSM2609-SAMPLE1(툴링비)</t>
    <phoneticPr fontId="2" type="noConversion"/>
  </si>
  <si>
    <t>DSM2609-MC01</t>
  </si>
  <si>
    <t>DSM2609-MC02</t>
  </si>
  <si>
    <t>DSM2609-MC03</t>
  </si>
  <si>
    <t>41072-26-702561X</t>
  </si>
  <si>
    <t>41072-26-702728X</t>
  </si>
  <si>
    <t>DSM2609-R01</t>
  </si>
  <si>
    <t>41072-26-702484X</t>
  </si>
  <si>
    <t>DSM2608-AL05(관세)</t>
  </si>
  <si>
    <t>DSM2609-AL01(관세)</t>
  </si>
  <si>
    <t>DSM2609-AL02(관세)</t>
  </si>
  <si>
    <t>DSM2609-AL03(관세)</t>
  </si>
  <si>
    <t>DSM2609-AL04(관세)</t>
  </si>
  <si>
    <t>DSM2609-AL06(관세)</t>
  </si>
  <si>
    <t>DSM2609-AL07(관세)</t>
  </si>
  <si>
    <t>8월 오기재DSM2608-AL03(관세)</t>
    <phoneticPr fontId="2" type="noConversion"/>
  </si>
  <si>
    <t>관세</t>
  </si>
  <si>
    <t>DSM2609-AL09</t>
  </si>
  <si>
    <t>41072-26-702792X</t>
  </si>
  <si>
    <t>DSM2609-AL01</t>
  </si>
  <si>
    <t>41072-26-702438X</t>
  </si>
  <si>
    <t>DSM2609-AL02</t>
  </si>
  <si>
    <t>41072-26-702543X</t>
  </si>
  <si>
    <t>DSM2609-AL03</t>
  </si>
  <si>
    <t>41072-26-702570X</t>
  </si>
  <si>
    <t>DSM2609-AL04</t>
  </si>
  <si>
    <t>41072-26-702727X</t>
  </si>
  <si>
    <t>DSM2609-AL06</t>
  </si>
  <si>
    <t>41072-26-702677X</t>
  </si>
  <si>
    <t>DSM2609-AL07</t>
  </si>
  <si>
    <t>41072-26-702716X</t>
  </si>
  <si>
    <t>DSM2609-SM01</t>
  </si>
  <si>
    <t>41129-26-090105X</t>
  </si>
  <si>
    <t>DSM2609-SM03</t>
  </si>
  <si>
    <t>41129-26-090201X</t>
  </si>
  <si>
    <t>DSM2609-SM04</t>
  </si>
  <si>
    <t>41129-26-090282X</t>
  </si>
  <si>
    <t>DSM2609-AM01</t>
  </si>
  <si>
    <t>20576-26-090160X</t>
  </si>
  <si>
    <t>DSM2609-AM02</t>
  </si>
  <si>
    <t>20576-26-090233X</t>
  </si>
  <si>
    <t>DSM2609-AM03</t>
  </si>
  <si>
    <t>20576-26-090564X</t>
  </si>
  <si>
    <t>DSM2609-AM04</t>
  </si>
  <si>
    <t>DSM2609-EM01</t>
  </si>
  <si>
    <t>41072-26-702374X</t>
  </si>
  <si>
    <t>DSM2609-EM02</t>
  </si>
  <si>
    <t>41072-26-702427X</t>
  </si>
  <si>
    <t>DSM2609-EM03</t>
  </si>
  <si>
    <t>41072-26-702428X</t>
  </si>
  <si>
    <t>DSM2609-EM04</t>
  </si>
  <si>
    <t>41072-26-702637X</t>
  </si>
  <si>
    <t>DSM2609-EM05</t>
  </si>
  <si>
    <t>41072-26-702509X</t>
  </si>
  <si>
    <t>DSM2609-EM06</t>
  </si>
  <si>
    <t>41072-26-702508X</t>
  </si>
  <si>
    <t>DSM2609-EM08</t>
  </si>
  <si>
    <t>41072-26-702540X</t>
  </si>
  <si>
    <t>DSM2609-EM07</t>
  </si>
  <si>
    <t>41072-26-702539X</t>
  </si>
  <si>
    <t>DSM2609-EM09</t>
  </si>
  <si>
    <t>41072-26-702756X</t>
  </si>
  <si>
    <t>DSM2609-AT02</t>
    <phoneticPr fontId="2" type="noConversion"/>
  </si>
  <si>
    <t>DSM2609-AT01</t>
    <phoneticPr fontId="2" type="noConversion"/>
  </si>
  <si>
    <t>DSM2609-R02</t>
  </si>
  <si>
    <t>41072-26-201642X</t>
  </si>
  <si>
    <t>DSM2609-R03</t>
    <phoneticPr fontId="2" type="noConversion"/>
  </si>
  <si>
    <t>41072-26-702849X</t>
    <phoneticPr fontId="2" type="noConversion"/>
  </si>
  <si>
    <t>DSM2609-R04</t>
    <phoneticPr fontId="2" type="noConversion"/>
  </si>
  <si>
    <t>41072-26-702795X</t>
    <phoneticPr fontId="2" type="noConversion"/>
  </si>
  <si>
    <t>TOOLING 0건</t>
    <phoneticPr fontId="2" type="noConversion"/>
  </si>
  <si>
    <t>관세 8건</t>
    <phoneticPr fontId="2" type="noConversion"/>
  </si>
  <si>
    <t>선급,중자0건</t>
    <phoneticPr fontId="2" type="noConversion"/>
  </si>
  <si>
    <t>41072-26-702010X</t>
    <phoneticPr fontId="2" type="noConversion"/>
  </si>
  <si>
    <t>41072-26-702334X</t>
  </si>
  <si>
    <t>41072-26-702435X</t>
    <phoneticPr fontId="2" type="noConversion"/>
  </si>
  <si>
    <t>영세율첨부서류 넣을떄 조심하기 *하기 100</t>
    <phoneticPr fontId="2" type="noConversion"/>
  </si>
  <si>
    <t>※ 2026년 09월 마감내역 ※</t>
    <phoneticPr fontId="3" type="noConversion"/>
  </si>
  <si>
    <t>DSM2609-JS01</t>
    <phoneticPr fontId="2" type="noConversion"/>
  </si>
  <si>
    <t>DSM2609-JS02</t>
    <phoneticPr fontId="2" type="noConversion"/>
  </si>
  <si>
    <t>DSM2609-JS03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</si>
</sst>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0">
    <numFmt numFmtId="6" formatCode="&quot;₩&quot;#,##0;[Red]\-&quot;₩&quot;#,##0"/>
    <numFmt numFmtId="8" formatCode="&quot;₩&quot;#,##0.00;[Red]\-&quot;₩&quot;#,##0.0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-* #,##0.00_-;\-* #,##0.00_-;_-* &quot;-&quot;_-;_-@_-"/>
    <numFmt numFmtId="177" formatCode="&quot;₩&quot;#,##0_);[Red]\(&quot;₩&quot;#,##0\)"/>
    <numFmt numFmtId="178" formatCode="mm&quot;월&quot;\ dd&quot;일&quot;"/>
    <numFmt numFmtId="179" formatCode="\$#,##0.00;[Red]\-\$#,##0.00"/>
    <numFmt numFmtId="180" formatCode="[$¥-411]#,##0.00;[Red]\-[$¥-411]#,##0.00"/>
    <numFmt numFmtId="181" formatCode="_(* #,##0_);_(* \(#,##0\);_(* &quot;-&quot;_);_(@_)"/>
    <numFmt numFmtId="182" formatCode="###,##0"/>
    <numFmt numFmtId="183" formatCode="_-* #,##0.0000_-;\-* #,##0.0000_-;_-* &quot;-&quot;_-;_-@_-"/>
    <numFmt numFmtId="184" formatCode="###,##0.00"/>
    <numFmt numFmtId="185" formatCode="_-* #,##0.0_-;\-* #,##0.0_-;_-* &quot;-&quot;_-;_-@_-"/>
    <numFmt numFmtId="186" formatCode="_ * #,##0_ ;_ * \-#,##0_ ;_ * &quot;-&quot;_ ;_ @_ "/>
    <numFmt numFmtId="187" formatCode="_-[$₩-412]* #,##0_-;\-[$₩-412]* #,##0_-;_-[$₩-412]* &quot;-&quot;??_-;_-@_-"/>
    <numFmt numFmtId="188" formatCode="_-[$¥-411]* #,##0.00_-;\-[$¥-411]* #,##0.00_-;_-[$¥-411]* &quot;-&quot;??_-;_-@_-"/>
    <numFmt numFmtId="189" formatCode="yyyy/mm/dd;@"/>
    <numFmt numFmtId="190" formatCode="&quot;₩&quot;#,##0_);\(&quot;₩&quot;#,##0\)"/>
    <numFmt numFmtId="191" formatCode="_-* #,##0.0000000_-;\-* #,##0.0000000_-;_-* &quot;-&quot;_-;_-@_-"/>
    <numFmt numFmtId="192" formatCode="&quot;$&quot;#,##0.00_);\(&quot;$&quot;#,##0.00\)"/>
    <numFmt numFmtId="193" formatCode="_ &quot;₩&quot;* #,##0_ ;_ &quot;₩&quot;* \-#,##0_ ;_ &quot;₩&quot;* &quot;-&quot;_ ;_ @_ "/>
    <numFmt numFmtId="194" formatCode="_ &quot;₩&quot;* #,##0.00_ ;_ &quot;₩&quot;* \-#,##0.00_ ;_ &quot;₩&quot;* &quot;-&quot;??_ ;_ @_ "/>
    <numFmt numFmtId="195" formatCode="&quot;₩&quot;#,##0;&quot;₩&quot;\-#,##0"/>
    <numFmt numFmtId="196" formatCode="&quot;₩&quot;#,##0.00\ ;\(&quot;₩&quot;#,##0.00\)"/>
    <numFmt numFmtId="197" formatCode="#,##0;[Red]&quot;-&quot;#,##0"/>
    <numFmt numFmtId="198" formatCode="#,##0_-;&quot;△&quot;#,##0_-"/>
    <numFmt numFmtId="199" formatCode="&quot;₩&quot;#,##0.00;[Red]&quot;₩&quot;\-#,##0.00"/>
    <numFmt numFmtId="200" formatCode="@\ \ \ \ \ \ \ \ \ \ \ \ \ \ \ "/>
    <numFmt numFmtId="201" formatCode="#,##0%;[Red]\(#,##0%\)"/>
    <numFmt numFmtId="202" formatCode="#,##0;[Red]&quot;△&quot;#,##0"/>
    <numFmt numFmtId="203" formatCode="#,##0.0"/>
    <numFmt numFmtId="204" formatCode="_-[$€-2]* #,##0.00_-;\-[$€-2]* #,##0.00_-;_-[$€-2]* &quot;-&quot;??_-"/>
    <numFmt numFmtId="205" formatCode="#,##0\ &quot;F&quot;;[Red]\-#,##0\ &quot;F&quot;"/>
    <numFmt numFmtId="206" formatCode="#,##0.00;[Red]&quot;-&quot;#,##0.00"/>
    <numFmt numFmtId="207" formatCode="_ &quot;₩&quot;* #,##0.00_ ;_ &quot;₩&quot;* &quot;₩&quot;&quot;₩&quot;&quot;₩&quot;&quot;₩&quot;&quot;₩&quot;&quot;₩&quot;&quot;₩&quot;\-#,##0.00_ ;_ &quot;₩&quot;* &quot;-&quot;??_ ;_ @_ "/>
    <numFmt numFmtId="208" formatCode="&quot;₩&quot;#,##0;&quot;₩&quot;&quot;₩&quot;&quot;₩&quot;&quot;₩&quot;&quot;₩&quot;&quot;₩&quot;&quot;₩&quot;&quot;₩&quot;&quot;₩&quot;\-#,##0"/>
    <numFmt numFmtId="209" formatCode="&quot;₩&quot;#,##0;[Red]&quot;₩&quot;\-#,##0"/>
    <numFmt numFmtId="210" formatCode="&quot;₩&quot;#,##0.00;&quot;₩&quot;\-#,##0.00"/>
    <numFmt numFmtId="211" formatCode="&quot;$&quot;\ #,##0"/>
    <numFmt numFmtId="212" formatCode="&quot;₩&quot;#,##0;&quot;₩&quot;&quot;₩&quot;&quot;₩&quot;&quot;₩&quot;&quot;₩&quot;&quot;₩&quot;&quot;₩&quot;&quot;₩&quot;\-#,##0"/>
    <numFmt numFmtId="213" formatCode="_ * #,##0.00_ ;_ * &quot;₩&quot;&quot;₩&quot;&quot;₩&quot;&quot;₩&quot;&quot;₩&quot;&quot;₩&quot;&quot;₩&quot;&quot;₩&quot;&quot;₩&quot;&quot;₩&quot;\-#,##0.00_ ;_ * &quot;-&quot;??_ ;_ @_ "/>
    <numFmt numFmtId="214" formatCode="_ * #,##0_ ;_ * &quot;₩&quot;&quot;₩&quot;&quot;₩&quot;&quot;₩&quot;&quot;₩&quot;&quot;₩&quot;\-#,##0_ ;_ * &quot;-&quot;_ ;_ @_ "/>
    <numFmt numFmtId="215" formatCode="_ &quot;₩&quot;* #,##0_ ;_ &quot;₩&quot;* &quot;₩&quot;\-#,##0_ ;_ &quot;₩&quot;* &quot;-&quot;_ ;_ @_ "/>
    <numFmt numFmtId="216" formatCode="#."/>
    <numFmt numFmtId="217" formatCode="m&quot;월&quot;\ d&quot;일&quot;;@"/>
    <numFmt numFmtId="218" formatCode="&quot;₩&quot;#,##0"/>
    <numFmt numFmtId="219" formatCode="[$¥-411]#,##0"/>
  </numFmts>
  <fonts count="20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6"/>
      <name val="맑은 고딕"/>
      <family val="3"/>
      <charset val="129"/>
      <scheme val="major"/>
    </font>
    <font>
      <sz val="11"/>
      <name val="돋움"/>
      <family val="3"/>
      <charset val="129"/>
    </font>
    <font>
      <b/>
      <sz val="10"/>
      <name val="맑은 고딕"/>
      <family val="3"/>
      <charset val="129"/>
      <scheme val="major"/>
    </font>
    <font>
      <sz val="8"/>
      <name val="맑은 고딕"/>
      <family val="3"/>
      <charset val="129"/>
    </font>
    <font>
      <sz val="1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name val="Arial"/>
      <family val="2"/>
    </font>
    <font>
      <b/>
      <sz val="10"/>
      <color theme="1"/>
      <name val="맑은 고딕"/>
      <family val="3"/>
      <charset val="129"/>
      <scheme val="major"/>
    </font>
    <font>
      <b/>
      <i/>
      <sz val="10"/>
      <name val="Arial"/>
      <family val="2"/>
    </font>
    <font>
      <sz val="9"/>
      <color indexed="8"/>
      <name val="굴림체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9"/>
      <name val="굴림체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rgb="FF333333"/>
      <name val="돋움"/>
      <family val="3"/>
      <charset val="129"/>
    </font>
    <font>
      <b/>
      <sz val="9"/>
      <color rgb="FF333333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sz val="12"/>
      <color theme="0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ajor"/>
    </font>
    <font>
      <sz val="12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inor"/>
    </font>
    <font>
      <b/>
      <sz val="26"/>
      <name val="맑은 고딕"/>
      <family val="3"/>
      <charset val="129"/>
      <scheme val="major"/>
    </font>
    <font>
      <b/>
      <sz val="28"/>
      <name val="맑은 고딕"/>
      <family val="3"/>
      <charset val="129"/>
      <scheme val="major"/>
    </font>
    <font>
      <b/>
      <sz val="12"/>
      <color rgb="FFFF0000"/>
      <name val="맑은 고딕"/>
      <family val="3"/>
      <charset val="129"/>
      <scheme val="major"/>
    </font>
    <font>
      <b/>
      <sz val="11"/>
      <color rgb="FF0000FF"/>
      <name val="맑은 고딕"/>
      <family val="3"/>
      <charset val="129"/>
      <scheme val="major"/>
    </font>
    <font>
      <b/>
      <sz val="12"/>
      <color rgb="FF0000FF"/>
      <name val="맑은 고딕"/>
      <family val="3"/>
      <charset val="129"/>
      <scheme val="major"/>
    </font>
    <font>
      <sz val="12"/>
      <color rgb="FF0000FF"/>
      <name val="맑은 고딕"/>
      <family val="3"/>
      <charset val="129"/>
      <scheme val="major"/>
    </font>
    <font>
      <sz val="12"/>
      <color rgb="FF0000FF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6"/>
      <color rgb="FF0000FF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sz val="16"/>
      <color rgb="FF0000FF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sz val="10"/>
      <color rgb="FF000000"/>
      <name val="Times New Roman"/>
      <family val="1"/>
    </font>
    <font>
      <sz val="8.5"/>
      <color rgb="FF666666"/>
      <name val="Malgun Gothic"/>
      <family val="2"/>
    </font>
    <font>
      <b/>
      <sz val="11"/>
      <name val="맑은 고딕"/>
      <family val="3"/>
      <charset val="129"/>
      <scheme val="major"/>
    </font>
    <font>
      <sz val="11"/>
      <color rgb="FF9C0006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9"/>
      <name val="Times New Roman"/>
      <family val="1"/>
    </font>
    <font>
      <sz val="10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20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10"/>
      <name val="Bookman Old Style"/>
      <family val="1"/>
    </font>
    <font>
      <u/>
      <sz val="10"/>
      <color indexed="12"/>
      <name val="Bookman Old Style"/>
      <family val="1"/>
    </font>
    <font>
      <b/>
      <sz val="12"/>
      <name val="Arial"/>
      <family val="2"/>
    </font>
    <font>
      <sz val="8"/>
      <name val="Arial"/>
      <family val="2"/>
    </font>
    <font>
      <sz val="9"/>
      <name val="굴림"/>
      <family val="3"/>
      <charset val="129"/>
    </font>
    <font>
      <b/>
      <sz val="9"/>
      <name val="Times New Roman"/>
      <family val="1"/>
    </font>
    <font>
      <sz val="12"/>
      <name val="돋움"/>
      <family val="3"/>
      <charset val="129"/>
    </font>
    <font>
      <sz val="12"/>
      <name val="Times New Roman"/>
      <family val="1"/>
    </font>
    <font>
      <sz val="12"/>
      <name val="돋움체"/>
      <family val="3"/>
      <charset val="129"/>
    </font>
    <font>
      <sz val="12"/>
      <name val="바탕체"/>
      <family val="1"/>
      <charset val="129"/>
    </font>
    <font>
      <sz val="12"/>
      <name val="¹UAAA¼"/>
      <family val="1"/>
      <charset val="129"/>
    </font>
    <font>
      <sz val="11"/>
      <name val="μ¸¿o"/>
      <family val="3"/>
      <charset val="129"/>
    </font>
    <font>
      <sz val="10"/>
      <name val="굴림체"/>
      <family val="3"/>
      <charset val="129"/>
    </font>
    <font>
      <sz val="10"/>
      <name val="Helv"/>
      <family val="2"/>
    </font>
    <font>
      <sz val="7"/>
      <name val="바탕체"/>
      <family val="1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u/>
      <sz val="10"/>
      <color indexed="14"/>
      <name val="MS Sans Serif"/>
      <family val="2"/>
    </font>
    <font>
      <sz val="14"/>
      <name val="뼻뮝"/>
      <family val="3"/>
      <charset val="129"/>
    </font>
    <font>
      <sz val="12"/>
      <name val="뼻뮝"/>
      <family val="3"/>
      <charset val="129"/>
    </font>
    <font>
      <b/>
      <sz val="12"/>
      <color indexed="16"/>
      <name val="굴림체"/>
      <family val="3"/>
      <charset val="129"/>
    </font>
    <font>
      <b/>
      <sz val="18"/>
      <name val="궁서체"/>
      <family val="1"/>
      <charset val="129"/>
    </font>
    <font>
      <sz val="12"/>
      <name val="굴림체"/>
      <family val="3"/>
      <charset val="129"/>
    </font>
    <font>
      <sz val="11"/>
      <name val="굴림체"/>
      <family val="3"/>
      <charset val="129"/>
    </font>
    <font>
      <sz val="11"/>
      <name val="돋움체"/>
      <family val="3"/>
      <charset val="129"/>
    </font>
    <font>
      <sz val="12"/>
      <name val="©öUAAA¨ù"/>
      <family val="3"/>
      <charset val="129"/>
    </font>
    <font>
      <sz val="12"/>
      <name val="¹ÙÅÁÃ¼"/>
      <family val="1"/>
      <charset val="129"/>
    </font>
    <font>
      <sz val="11"/>
      <name val="µ¸¿ò"/>
      <family val="3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2"/>
      <name val="ⓒoUAAA¨u"/>
      <family val="1"/>
      <charset val="129"/>
    </font>
    <font>
      <sz val="14"/>
      <name val="¾©"/>
      <family val="1"/>
      <charset val="129"/>
    </font>
    <font>
      <sz val="12"/>
      <name val="±¼¸²A¼"/>
      <family val="3"/>
      <charset val="129"/>
    </font>
    <font>
      <sz val="12"/>
      <color indexed="32"/>
      <name val="MIN 훈민08체"/>
      <family val="3"/>
      <charset val="129"/>
    </font>
    <font>
      <sz val="12"/>
      <name val="System"/>
      <family val="2"/>
      <charset val="129"/>
    </font>
    <font>
      <sz val="18"/>
      <name val="HY견고딕"/>
      <family val="1"/>
      <charset val="129"/>
    </font>
    <font>
      <sz val="10"/>
      <name val="¹ÙÅÁÃ¼"/>
      <family val="1"/>
      <charset val="129"/>
    </font>
    <font>
      <sz val="10"/>
      <name val="¹UAAA¼"/>
      <family val="1"/>
      <charset val="129"/>
    </font>
    <font>
      <sz val="12"/>
      <name val="±¼¸²Ã¼"/>
      <family val="3"/>
      <charset val="129"/>
    </font>
    <font>
      <sz val="8"/>
      <name val="¹UAAA¼"/>
      <family val="1"/>
      <charset val="129"/>
    </font>
    <font>
      <i/>
      <sz val="14"/>
      <name val="HY헤드라인M"/>
      <family val="1"/>
      <charset val="129"/>
    </font>
    <font>
      <u/>
      <sz val="9"/>
      <color indexed="36"/>
      <name val="바탕체"/>
      <family val="1"/>
      <charset val="129"/>
    </font>
    <font>
      <sz val="10"/>
      <name val="±¼¸²A¼"/>
      <family val="3"/>
      <charset val="129"/>
    </font>
    <font>
      <sz val="10"/>
      <name val="±¼¸²Ã¼"/>
      <family val="3"/>
      <charset val="129"/>
    </font>
    <font>
      <b/>
      <sz val="10"/>
      <name val="Helv"/>
      <family val="2"/>
    </font>
    <font>
      <b/>
      <sz val="12"/>
      <name val="Helv"/>
      <family val="2"/>
    </font>
    <font>
      <sz val="10"/>
      <name val="MS Sans Serif"/>
      <family val="2"/>
    </font>
    <font>
      <b/>
      <sz val="11"/>
      <name val="Helv"/>
      <family val="2"/>
    </font>
    <font>
      <sz val="7"/>
      <name val="Small Fonts"/>
      <family val="2"/>
    </font>
    <font>
      <sz val="10"/>
      <color indexed="8"/>
      <name val="Arial"/>
      <family val="2"/>
    </font>
    <font>
      <sz val="14"/>
      <name val="–¾’©"/>
      <family val="3"/>
      <charset val="129"/>
    </font>
    <font>
      <sz val="12"/>
      <color indexed="32"/>
      <name val="모음디"/>
      <family val="1"/>
      <charset val="129"/>
    </font>
    <font>
      <sz val="12"/>
      <name val="¾©"/>
      <family val="1"/>
      <charset val="129"/>
    </font>
    <font>
      <sz val="12"/>
      <name val="¨?¨Ï"/>
      <family val="1"/>
      <charset val="129"/>
    </font>
    <font>
      <sz val="11"/>
      <color indexed="8"/>
      <name val="宋体"/>
      <family val="3"/>
      <charset val="255"/>
    </font>
    <font>
      <sz val="11"/>
      <color indexed="9"/>
      <name val="宋体"/>
      <family val="3"/>
      <charset val="255"/>
    </font>
    <font>
      <sz val="12"/>
      <name val="¨IoUAAA¡§u"/>
      <family val="1"/>
      <charset val="129"/>
    </font>
    <font>
      <sz val="10"/>
      <name val="MS Serif"/>
      <family val="1"/>
    </font>
    <font>
      <sz val="10"/>
      <color indexed="16"/>
      <name val="MS Serif"/>
      <family val="1"/>
    </font>
    <font>
      <b/>
      <sz val="18"/>
      <name val="Arial"/>
      <family val="2"/>
    </font>
    <font>
      <sz val="10"/>
      <color indexed="12"/>
      <name val="Arial"/>
      <family val="2"/>
    </font>
    <font>
      <sz val="8"/>
      <color indexed="16"/>
      <name val="Century Schoolbook"/>
      <family val="1"/>
    </font>
    <font>
      <sz val="8"/>
      <name val="Helv"/>
      <family val="2"/>
    </font>
    <font>
      <b/>
      <i/>
      <sz val="10"/>
      <name val="Times New Roman"/>
      <family val="1"/>
    </font>
    <font>
      <b/>
      <sz val="8"/>
      <color indexed="8"/>
      <name val="Helv"/>
      <family val="2"/>
    </font>
    <font>
      <sz val="8"/>
      <color indexed="12"/>
      <name val="Arial"/>
      <family val="2"/>
    </font>
    <font>
      <b/>
      <sz val="18"/>
      <color indexed="56"/>
      <name val="宋体"/>
      <family val="3"/>
      <charset val="255"/>
    </font>
    <font>
      <b/>
      <sz val="11"/>
      <color indexed="9"/>
      <name val="宋体"/>
      <family val="3"/>
      <charset val="255"/>
    </font>
    <font>
      <sz val="11"/>
      <color indexed="60"/>
      <name val="宋体"/>
      <family val="3"/>
      <charset val="255"/>
    </font>
    <font>
      <sz val="11"/>
      <color indexed="52"/>
      <name val="宋体"/>
      <family val="3"/>
      <charset val="255"/>
    </font>
    <font>
      <b/>
      <sz val="15"/>
      <color indexed="56"/>
      <name val="宋体"/>
      <family val="3"/>
      <charset val="255"/>
    </font>
    <font>
      <b/>
      <sz val="13"/>
      <color indexed="56"/>
      <name val="宋体"/>
      <family val="3"/>
      <charset val="255"/>
    </font>
    <font>
      <b/>
      <sz val="11"/>
      <color indexed="56"/>
      <name val="宋体"/>
      <family val="3"/>
      <charset val="255"/>
    </font>
    <font>
      <sz val="11"/>
      <color indexed="10"/>
      <name val="宋体"/>
      <family val="3"/>
      <charset val="255"/>
    </font>
    <font>
      <b/>
      <sz val="11"/>
      <color indexed="52"/>
      <name val="宋体"/>
      <family val="3"/>
      <charset val="255"/>
    </font>
    <font>
      <sz val="11"/>
      <color indexed="17"/>
      <name val="宋体"/>
      <family val="3"/>
      <charset val="255"/>
    </font>
    <font>
      <sz val="12"/>
      <name val="宋体"/>
      <family val="3"/>
      <charset val="255"/>
    </font>
    <font>
      <i/>
      <sz val="11"/>
      <color indexed="23"/>
      <name val="宋体"/>
      <family val="3"/>
      <charset val="255"/>
    </font>
    <font>
      <sz val="11"/>
      <color indexed="62"/>
      <name val="宋体"/>
      <family val="3"/>
      <charset val="255"/>
    </font>
    <font>
      <b/>
      <sz val="11"/>
      <color indexed="63"/>
      <name val="宋体"/>
      <family val="3"/>
      <charset val="255"/>
    </font>
    <font>
      <sz val="11"/>
      <color indexed="20"/>
      <name val="宋体"/>
      <family val="3"/>
      <charset val="255"/>
    </font>
    <font>
      <sz val="12"/>
      <name val="新細明體"/>
      <family val="1"/>
      <charset val="134"/>
    </font>
    <font>
      <b/>
      <sz val="11"/>
      <color indexed="8"/>
      <name val="宋体"/>
      <family val="3"/>
      <charset val="255"/>
    </font>
    <font>
      <sz val="11"/>
      <name val="ＭＳ Ｐゴシック"/>
      <family val="2"/>
      <charset val="128"/>
    </font>
    <font>
      <sz val="11"/>
      <name val="明朝"/>
      <family val="1"/>
      <charset val="128"/>
    </font>
    <font>
      <sz val="10"/>
      <name val="ＭＳ Ｐゴシック"/>
      <family val="2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"/>
      <color indexed="0"/>
      <name val="Courier"/>
      <family val="3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1"/>
      <color theme="10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2"/>
      <color indexed="81"/>
      <name val="Tahoma"/>
      <family val="2"/>
    </font>
    <font>
      <b/>
      <sz val="12"/>
      <color indexed="81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22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22"/>
      <color rgb="FFFF0000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12"/>
      <color rgb="FF0000FF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6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rgb="FF0000FF"/>
      <name val="맑은 고딕"/>
      <family val="3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3"/>
      <color rgb="FF555555"/>
      <name val="Pretendard GOV"/>
      <family val="2"/>
    </font>
  </fonts>
  <fills count="7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lightGray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gray0625">
        <fgColor indexed="15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5"/>
        <bgColor indexed="64"/>
      </patternFill>
    </fill>
    <fill>
      <patternFill patternType="gray0625">
        <fgColor indexed="13"/>
      </patternFill>
    </fill>
    <fill>
      <patternFill patternType="solid">
        <fgColor indexed="43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2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rgb="FFCFD0CF"/>
      </right>
      <top style="thin">
        <color rgb="FFCFD0CF"/>
      </top>
      <bottom style="thin">
        <color rgb="FFCFD0CF"/>
      </bottom>
      <diagonal/>
    </border>
    <border>
      <left style="thin">
        <color rgb="FFCFD0CF"/>
      </left>
      <right/>
      <top style="thin">
        <color rgb="FFCFD0CF"/>
      </top>
      <bottom style="thin">
        <color rgb="FFCFD0CF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theme="0" tint="-0.34998626667073579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theme="0" tint="-0.34998626667073579"/>
      </right>
      <top/>
      <bottom style="hair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/>
      <diagonal/>
    </border>
    <border>
      <left style="thin">
        <color theme="0" tint="-0.34998626667073579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theme="0" tint="-0.34998626667073579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34998626667073579"/>
      </right>
      <top style="hair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hair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hair">
        <color indexed="64"/>
      </bottom>
      <diagonal/>
    </border>
    <border>
      <left style="thin">
        <color theme="0" tint="-0.34998626667073579"/>
      </left>
      <right style="medium">
        <color indexed="64"/>
      </right>
      <top/>
      <bottom style="hair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indexed="64"/>
      </top>
      <bottom/>
      <diagonal/>
    </border>
    <border>
      <left style="thin">
        <color theme="0" tint="-0.34998626667073579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theme="0" tint="-0.34998626667073579"/>
      </right>
      <top style="hair">
        <color indexed="64"/>
      </top>
      <bottom/>
      <diagonal/>
    </border>
    <border>
      <left style="thin">
        <color theme="0" tint="-0.34998626667073579"/>
      </left>
      <right style="medium">
        <color indexed="64"/>
      </right>
      <top/>
      <bottom/>
      <diagonal/>
    </border>
    <border>
      <left style="thin">
        <color theme="0" tint="-0.34998626667073579"/>
      </left>
      <right style="medium">
        <color indexed="64"/>
      </right>
      <top style="hair">
        <color indexed="64"/>
      </top>
      <bottom style="medium">
        <color theme="1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indexed="64"/>
      </top>
      <bottom style="medium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1"/>
      </top>
      <bottom style="hair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/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medium">
        <color theme="1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medium">
        <color indexed="64"/>
      </top>
      <bottom style="hair">
        <color indexed="64"/>
      </bottom>
      <diagonal/>
    </border>
  </borders>
  <cellStyleXfs count="326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1" fillId="0" borderId="0"/>
    <xf numFmtId="181" fontId="13" fillId="0" borderId="0" applyFont="0" applyFill="0" applyBorder="0" applyAlignment="0" applyProtection="0"/>
    <xf numFmtId="0" fontId="14" fillId="0" borderId="0"/>
    <xf numFmtId="0" fontId="11" fillId="0" borderId="0"/>
    <xf numFmtId="0" fontId="5" fillId="0" borderId="0"/>
    <xf numFmtId="186" fontId="5" fillId="0" borderId="0" applyFont="0" applyFill="0" applyBorder="0" applyAlignment="0" applyProtection="0"/>
    <xf numFmtId="0" fontId="5" fillId="0" borderId="0">
      <alignment vertical="center"/>
    </xf>
    <xf numFmtId="0" fontId="19" fillId="0" borderId="0">
      <alignment vertical="center"/>
    </xf>
    <xf numFmtId="0" fontId="20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0" fontId="52" fillId="0" borderId="0"/>
    <xf numFmtId="0" fontId="18" fillId="15" borderId="0" applyNumberFormat="0" applyBorder="0" applyAlignment="0" applyProtection="0">
      <alignment vertical="center"/>
    </xf>
    <xf numFmtId="0" fontId="55" fillId="14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5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/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1" fillId="0" borderId="0"/>
    <xf numFmtId="186" fontId="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11" fillId="0" borderId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197" fontId="72" fillId="0" borderId="0"/>
    <xf numFmtId="197" fontId="72" fillId="0" borderId="0"/>
    <xf numFmtId="0" fontId="72" fillId="0" borderId="0"/>
    <xf numFmtId="0" fontId="72" fillId="0" borderId="0"/>
    <xf numFmtId="0" fontId="72" fillId="0" borderId="0"/>
    <xf numFmtId="0" fontId="76" fillId="0" borderId="0"/>
    <xf numFmtId="0" fontId="7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1" fillId="0" borderId="0"/>
    <xf numFmtId="0" fontId="11" fillId="0" borderId="0"/>
    <xf numFmtId="0" fontId="70" fillId="0" borderId="0"/>
    <xf numFmtId="0" fontId="70" fillId="0" borderId="0"/>
    <xf numFmtId="40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117" fillId="0" borderId="0"/>
    <xf numFmtId="0" fontId="116" fillId="0" borderId="0"/>
    <xf numFmtId="0" fontId="70" fillId="0" borderId="0"/>
    <xf numFmtId="197" fontId="72" fillId="0" borderId="0"/>
    <xf numFmtId="0" fontId="11" fillId="0" borderId="0"/>
    <xf numFmtId="0" fontId="74" fillId="0" borderId="0" applyFont="0" applyFill="0" applyBorder="0" applyAlignment="0" applyProtection="0"/>
    <xf numFmtId="0" fontId="75" fillId="21" borderId="0">
      <protection locked="0"/>
    </xf>
    <xf numFmtId="0" fontId="76" fillId="21" borderId="0">
      <protection locked="0"/>
    </xf>
    <xf numFmtId="0" fontId="76" fillId="21" borderId="0">
      <protection locked="0"/>
    </xf>
    <xf numFmtId="0" fontId="76" fillId="21" borderId="0">
      <protection locked="0"/>
    </xf>
    <xf numFmtId="0" fontId="76" fillId="21" borderId="0">
      <protection locked="0"/>
    </xf>
    <xf numFmtId="0" fontId="76" fillId="21" borderId="0">
      <protection locked="0"/>
    </xf>
    <xf numFmtId="0" fontId="76" fillId="21" borderId="0">
      <protection locked="0"/>
    </xf>
    <xf numFmtId="0" fontId="76" fillId="21" borderId="0">
      <protection locked="0"/>
    </xf>
    <xf numFmtId="4" fontId="77" fillId="0" borderId="62">
      <alignment vertical="center"/>
    </xf>
    <xf numFmtId="4" fontId="77" fillId="0" borderId="62">
      <alignment vertical="center"/>
    </xf>
    <xf numFmtId="4" fontId="77" fillId="0" borderId="62">
      <alignment vertical="center"/>
    </xf>
    <xf numFmtId="0" fontId="150" fillId="22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5" borderId="0" applyNumberFormat="0" applyBorder="0" applyAlignment="0" applyProtection="0">
      <alignment vertical="center"/>
    </xf>
    <xf numFmtId="0" fontId="150" fillId="26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18" fillId="22" borderId="0" applyNumberFormat="0" applyBorder="0" applyAlignment="0" applyProtection="0">
      <alignment vertical="center"/>
    </xf>
    <xf numFmtId="0" fontId="118" fillId="22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2" borderId="0" applyNumberFormat="0" applyBorder="0" applyAlignment="0" applyProtection="0">
      <alignment vertical="center"/>
    </xf>
    <xf numFmtId="0" fontId="118" fillId="22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29" borderId="0" applyNumberFormat="0" applyBorder="0" applyAlignment="0" applyProtection="0">
      <alignment vertical="center"/>
    </xf>
    <xf numFmtId="0" fontId="150" fillId="30" borderId="0" applyNumberFormat="0" applyBorder="0" applyAlignment="0" applyProtection="0">
      <alignment vertical="center"/>
    </xf>
    <xf numFmtId="0" fontId="150" fillId="25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1" fillId="29" borderId="0" applyNumberFormat="0" applyBorder="0" applyAlignment="0" applyProtection="0">
      <alignment vertical="center"/>
    </xf>
    <xf numFmtId="0" fontId="151" fillId="30" borderId="0" applyNumberFormat="0" applyBorder="0" applyAlignment="0" applyProtection="0">
      <alignment vertical="center"/>
    </xf>
    <xf numFmtId="0" fontId="151" fillId="33" borderId="0" applyNumberFormat="0" applyBorder="0" applyAlignment="0" applyProtection="0">
      <alignment vertical="center"/>
    </xf>
    <xf numFmtId="0" fontId="151" fillId="34" borderId="0" applyNumberFormat="0" applyBorder="0" applyAlignment="0" applyProtection="0">
      <alignment vertical="center"/>
    </xf>
    <xf numFmtId="0" fontId="151" fillId="35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9" fillId="29" borderId="0" applyNumberFormat="0" applyBorder="0" applyAlignment="0" applyProtection="0">
      <alignment vertical="center"/>
    </xf>
    <xf numFmtId="0" fontId="119" fillId="30" borderId="0" applyNumberFormat="0" applyBorder="0" applyAlignment="0" applyProtection="0">
      <alignment vertical="center"/>
    </xf>
    <xf numFmtId="0" fontId="119" fillId="33" borderId="0" applyNumberFormat="0" applyBorder="0" applyAlignment="0" applyProtection="0">
      <alignment vertical="center"/>
    </xf>
    <xf numFmtId="0" fontId="119" fillId="34" borderId="0" applyNumberFormat="0" applyBorder="0" applyAlignment="0" applyProtection="0">
      <alignment vertical="center"/>
    </xf>
    <xf numFmtId="0" fontId="119" fillId="35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9" fillId="29" borderId="0" applyNumberFormat="0" applyBorder="0" applyAlignment="0" applyProtection="0">
      <alignment vertical="center"/>
    </xf>
    <xf numFmtId="0" fontId="119" fillId="30" borderId="0" applyNumberFormat="0" applyBorder="0" applyAlignment="0" applyProtection="0">
      <alignment vertical="center"/>
    </xf>
    <xf numFmtId="0" fontId="119" fillId="33" borderId="0" applyNumberFormat="0" applyBorder="0" applyAlignment="0" applyProtection="0">
      <alignment vertical="center"/>
    </xf>
    <xf numFmtId="0" fontId="119" fillId="34" borderId="0" applyNumberFormat="0" applyBorder="0" applyAlignment="0" applyProtection="0">
      <alignment vertical="center"/>
    </xf>
    <xf numFmtId="0" fontId="119" fillId="35" borderId="0" applyNumberFormat="0" applyBorder="0" applyAlignment="0" applyProtection="0">
      <alignment vertical="center"/>
    </xf>
    <xf numFmtId="0" fontId="72" fillId="0" borderId="0" applyFont="0" applyFill="0" applyBorder="0" applyAlignment="0" applyProtection="0"/>
    <xf numFmtId="0" fontId="120" fillId="0" borderId="0" applyFont="0" applyFill="0" applyBorder="0" applyAlignment="0" applyProtection="0"/>
    <xf numFmtId="0" fontId="120" fillId="0" borderId="0" applyFont="0" applyFill="0" applyBorder="0" applyAlignment="0" applyProtection="0"/>
    <xf numFmtId="197" fontId="110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9" fillId="0" borderId="0" applyFont="0" applyFill="0" applyBorder="0" applyAlignment="0" applyProtection="0"/>
    <xf numFmtId="206" fontId="110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151" fillId="36" borderId="0" applyNumberFormat="0" applyBorder="0" applyAlignment="0" applyProtection="0">
      <alignment vertical="center"/>
    </xf>
    <xf numFmtId="0" fontId="151" fillId="37" borderId="0" applyNumberFormat="0" applyBorder="0" applyAlignment="0" applyProtection="0">
      <alignment vertical="center"/>
    </xf>
    <xf numFmtId="0" fontId="151" fillId="38" borderId="0" applyNumberFormat="0" applyBorder="0" applyAlignment="0" applyProtection="0">
      <alignment vertical="center"/>
    </xf>
    <xf numFmtId="0" fontId="151" fillId="33" borderId="0" applyNumberFormat="0" applyBorder="0" applyAlignment="0" applyProtection="0">
      <alignment vertical="center"/>
    </xf>
    <xf numFmtId="0" fontId="151" fillId="34" borderId="0" applyNumberFormat="0" applyBorder="0" applyAlignment="0" applyProtection="0">
      <alignment vertical="center"/>
    </xf>
    <xf numFmtId="0" fontId="151" fillId="39" borderId="0" applyNumberFormat="0" applyBorder="0" applyAlignment="0" applyProtection="0">
      <alignment vertical="center"/>
    </xf>
    <xf numFmtId="192" fontId="86" fillId="40" borderId="91">
      <alignment horizontal="center" vertical="center"/>
    </xf>
    <xf numFmtId="0" fontId="90" fillId="0" borderId="0" applyFont="0" applyFill="0" applyBorder="0" applyAlignment="0" applyProtection="0"/>
    <xf numFmtId="193" fontId="74" fillId="0" borderId="0" applyFont="0" applyFill="0" applyBorder="0" applyAlignment="0" applyProtection="0"/>
    <xf numFmtId="0" fontId="91" fillId="0" borderId="0" applyFont="0" applyFill="0" applyBorder="0" applyAlignment="0" applyProtection="0"/>
    <xf numFmtId="207" fontId="73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0" fillId="0" borderId="0" applyFont="0" applyFill="0" applyBorder="0" applyAlignment="0" applyProtection="0"/>
    <xf numFmtId="194" fontId="74" fillId="0" borderId="0" applyFont="0" applyFill="0" applyBorder="0" applyAlignment="0" applyProtection="0"/>
    <xf numFmtId="0" fontId="91" fillId="0" borderId="0" applyFont="0" applyFill="0" applyBorder="0" applyAlignment="0" applyProtection="0"/>
    <xf numFmtId="208" fontId="73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93" fillId="0" borderId="0" applyFont="0" applyFill="0" applyBorder="0" applyAlignment="0" applyProtection="0"/>
    <xf numFmtId="209" fontId="110" fillId="0" borderId="0" applyFont="0" applyFill="0" applyBorder="0" applyAlignment="0" applyProtection="0"/>
    <xf numFmtId="209" fontId="110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120" fillId="0" borderId="0" applyFont="0" applyFill="0" applyBorder="0" applyAlignment="0" applyProtection="0"/>
    <xf numFmtId="0" fontId="120" fillId="0" borderId="0" applyFont="0" applyFill="0" applyBorder="0" applyAlignment="0" applyProtection="0"/>
    <xf numFmtId="0" fontId="90" fillId="0" borderId="0" applyFont="0" applyFill="0" applyBorder="0" applyAlignment="0" applyProtection="0"/>
    <xf numFmtId="186" fontId="74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0" fillId="0" borderId="0" applyFont="0" applyFill="0" applyBorder="0" applyAlignment="0" applyProtection="0"/>
    <xf numFmtId="43" fontId="74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93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153" fillId="23" borderId="0" applyNumberFormat="0" applyBorder="0" applyAlignment="0" applyProtection="0">
      <alignment vertical="center"/>
    </xf>
    <xf numFmtId="0" fontId="97" fillId="41" borderId="24">
      <alignment horizontal="center" vertical="center"/>
    </xf>
    <xf numFmtId="0" fontId="97" fillId="41" borderId="24">
      <alignment horizontal="center" vertical="center"/>
    </xf>
    <xf numFmtId="0" fontId="97" fillId="41" borderId="24">
      <alignment horizontal="center" vertical="center"/>
    </xf>
    <xf numFmtId="0" fontId="97" fillId="41" borderId="24">
      <alignment horizontal="center" vertical="center"/>
    </xf>
    <xf numFmtId="0" fontId="97" fillId="41" borderId="24">
      <alignment horizontal="center" vertical="center"/>
    </xf>
    <xf numFmtId="0" fontId="97" fillId="41" borderId="24">
      <alignment horizontal="center" vertical="center"/>
    </xf>
    <xf numFmtId="0" fontId="97" fillId="41" borderId="24">
      <alignment horizontal="center" vertical="center"/>
    </xf>
    <xf numFmtId="0" fontId="97" fillId="41" borderId="24">
      <alignment horizontal="center" vertical="center"/>
    </xf>
    <xf numFmtId="0" fontId="110" fillId="0" borderId="0"/>
    <xf numFmtId="0" fontId="94" fillId="0" borderId="0"/>
    <xf numFmtId="0" fontId="98" fillId="0" borderId="0"/>
    <xf numFmtId="0" fontId="99" fillId="0" borderId="0"/>
    <xf numFmtId="0" fontId="98" fillId="0" borderId="0"/>
    <xf numFmtId="0" fontId="103" fillId="0" borderId="0"/>
    <xf numFmtId="0" fontId="90" fillId="0" borderId="0"/>
    <xf numFmtId="0" fontId="73" fillId="0" borderId="0"/>
    <xf numFmtId="0" fontId="90" fillId="0" borderId="0"/>
    <xf numFmtId="0" fontId="73" fillId="0" borderId="0"/>
    <xf numFmtId="0" fontId="90" fillId="0" borderId="0"/>
    <xf numFmtId="0" fontId="74" fillId="0" borderId="0"/>
    <xf numFmtId="0" fontId="90" fillId="0" borderId="0"/>
    <xf numFmtId="0" fontId="98" fillId="0" borderId="0"/>
    <xf numFmtId="0" fontId="90" fillId="0" borderId="0"/>
    <xf numFmtId="0" fontId="73" fillId="0" borderId="0"/>
    <xf numFmtId="0" fontId="100" fillId="0" borderId="0"/>
    <xf numFmtId="0" fontId="101" fillId="0" borderId="0"/>
    <xf numFmtId="0" fontId="100" fillId="0" borderId="0"/>
    <xf numFmtId="0" fontId="74" fillId="0" borderId="0"/>
    <xf numFmtId="0" fontId="91" fillId="0" borderId="0"/>
    <xf numFmtId="0" fontId="74" fillId="0" borderId="0"/>
    <xf numFmtId="0" fontId="91" fillId="0" borderId="0"/>
    <xf numFmtId="0" fontId="73" fillId="0" borderId="0"/>
    <xf numFmtId="0" fontId="91" fillId="0" borderId="0"/>
    <xf numFmtId="0" fontId="74" fillId="0" borderId="0"/>
    <xf numFmtId="0" fontId="91" fillId="0" borderId="0"/>
    <xf numFmtId="0" fontId="92" fillId="0" borderId="0"/>
    <xf numFmtId="0" fontId="93" fillId="0" borderId="0"/>
    <xf numFmtId="0" fontId="73" fillId="0" borderId="0"/>
    <xf numFmtId="0" fontId="90" fillId="0" borderId="0"/>
    <xf numFmtId="0" fontId="73" fillId="0" borderId="0"/>
    <xf numFmtId="0" fontId="90" fillId="0" borderId="0"/>
    <xf numFmtId="0" fontId="74" fillId="0" borderId="0"/>
    <xf numFmtId="0" fontId="91" fillId="0" borderId="0"/>
    <xf numFmtId="0" fontId="73" fillId="0" borderId="0"/>
    <xf numFmtId="0" fontId="90" fillId="0" borderId="0"/>
    <xf numFmtId="0" fontId="73" fillId="0" borderId="0"/>
    <xf numFmtId="0" fontId="90" fillId="0" borderId="0"/>
    <xf numFmtId="0" fontId="96" fillId="0" borderId="0"/>
    <xf numFmtId="0" fontId="102" fillId="0" borderId="0"/>
    <xf numFmtId="0" fontId="74" fillId="0" borderId="0"/>
    <xf numFmtId="0" fontId="90" fillId="0" borderId="0"/>
    <xf numFmtId="0" fontId="92" fillId="0" borderId="0"/>
    <xf numFmtId="0" fontId="93" fillId="0" borderId="0"/>
    <xf numFmtId="0" fontId="103" fillId="0" borderId="0"/>
    <xf numFmtId="0" fontId="90" fillId="0" borderId="0"/>
    <xf numFmtId="0" fontId="73" fillId="0" borderId="0"/>
    <xf numFmtId="0" fontId="90" fillId="0" borderId="0"/>
    <xf numFmtId="0" fontId="74" fillId="0" borderId="0"/>
    <xf numFmtId="0" fontId="91" fillId="0" borderId="0"/>
    <xf numFmtId="0" fontId="73" fillId="0" borderId="0"/>
    <xf numFmtId="0" fontId="90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104" fillId="0" borderId="0"/>
    <xf numFmtId="0" fontId="105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6" fillId="0" borderId="0"/>
    <xf numFmtId="0" fontId="102" fillId="0" borderId="0"/>
    <xf numFmtId="0" fontId="98" fillId="0" borderId="0"/>
    <xf numFmtId="0" fontId="98" fillId="0" borderId="0"/>
    <xf numFmtId="0" fontId="106" fillId="0" borderId="0"/>
    <xf numFmtId="0" fontId="107" fillId="0" borderId="0"/>
    <xf numFmtId="0" fontId="106" fillId="0" borderId="0"/>
    <xf numFmtId="0" fontId="107" fillId="0" borderId="0"/>
    <xf numFmtId="0" fontId="73" fillId="0" borderId="0" applyBorder="0"/>
    <xf numFmtId="0" fontId="90" fillId="0" borderId="0" applyBorder="0"/>
    <xf numFmtId="0" fontId="74" fillId="0" borderId="0"/>
    <xf numFmtId="0" fontId="91" fillId="0" borderId="0"/>
    <xf numFmtId="0" fontId="73" fillId="0" borderId="0"/>
    <xf numFmtId="0" fontId="90" fillId="0" borderId="0"/>
    <xf numFmtId="0" fontId="73" fillId="0" borderId="0"/>
    <xf numFmtId="0" fontId="72" fillId="0" borderId="0" applyFill="0" applyBorder="0" applyAlignment="0"/>
    <xf numFmtId="0" fontId="154" fillId="5" borderId="92" applyNumberFormat="0" applyAlignment="0" applyProtection="0">
      <alignment vertical="center"/>
    </xf>
    <xf numFmtId="0" fontId="108" fillId="0" borderId="0"/>
    <xf numFmtId="0" fontId="155" fillId="42" borderId="93" applyNumberFormat="0" applyAlignment="0" applyProtection="0">
      <alignment vertical="center"/>
    </xf>
    <xf numFmtId="38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3" fontId="11" fillId="0" borderId="0" applyFont="0" applyFill="0" applyBorder="0" applyAlignment="0" applyProtection="0"/>
    <xf numFmtId="0" fontId="121" fillId="0" borderId="0" applyNumberFormat="0" applyAlignment="0">
      <alignment horizontal="left"/>
    </xf>
    <xf numFmtId="0" fontId="75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0" fontId="5" fillId="0" borderId="0" applyFont="0" applyFill="0" applyBorder="0" applyAlignment="0" applyProtection="0"/>
    <xf numFmtId="0" fontId="5" fillId="0" borderId="0"/>
    <xf numFmtId="203" fontId="5" fillId="0" borderId="0">
      <protection locked="0"/>
    </xf>
    <xf numFmtId="0" fontId="122" fillId="0" borderId="0" applyNumberFormat="0" applyAlignment="0">
      <alignment horizontal="left"/>
    </xf>
    <xf numFmtId="0" fontId="57" fillId="0" borderId="0">
      <alignment horizontal="left"/>
    </xf>
    <xf numFmtId="204" fontId="5" fillId="0" borderId="0" applyFont="0" applyFill="0" applyBorder="0" applyAlignment="0" applyProtection="0"/>
    <xf numFmtId="0" fontId="156" fillId="0" borderId="0" applyNumberFormat="0" applyFill="0" applyBorder="0" applyAlignment="0" applyProtection="0">
      <alignment vertical="center"/>
    </xf>
    <xf numFmtId="203" fontId="5" fillId="0" borderId="0">
      <protection locked="0"/>
    </xf>
    <xf numFmtId="0" fontId="157" fillId="24" borderId="0" applyNumberFormat="0" applyBorder="0" applyAlignment="0" applyProtection="0">
      <alignment vertical="center"/>
    </xf>
    <xf numFmtId="38" fontId="66" fillId="7" borderId="0" applyNumberFormat="0" applyBorder="0" applyAlignment="0" applyProtection="0"/>
    <xf numFmtId="0" fontId="109" fillId="0" borderId="0">
      <alignment horizontal="left"/>
    </xf>
    <xf numFmtId="0" fontId="65" fillId="0" borderId="57" applyNumberFormat="0" applyAlignment="0" applyProtection="0">
      <alignment horizontal="left" vertical="center"/>
    </xf>
    <xf numFmtId="0" fontId="65" fillId="0" borderId="22">
      <alignment horizontal="left" vertical="center"/>
    </xf>
    <xf numFmtId="0" fontId="65" fillId="0" borderId="22">
      <alignment horizontal="left" vertical="center"/>
    </xf>
    <xf numFmtId="0" fontId="123" fillId="0" borderId="0" applyNumberFormat="0" applyFill="0" applyBorder="0" applyAlignment="0" applyProtection="0"/>
    <xf numFmtId="0" fontId="158" fillId="0" borderId="94" applyNumberFormat="0" applyFill="0" applyAlignment="0" applyProtection="0">
      <alignment vertical="center"/>
    </xf>
    <xf numFmtId="0" fontId="65" fillId="0" borderId="0" applyNumberFormat="0" applyFill="0" applyBorder="0" applyAlignment="0" applyProtection="0"/>
    <xf numFmtId="0" fontId="159" fillId="0" borderId="95" applyNumberFormat="0" applyFill="0" applyAlignment="0" applyProtection="0">
      <alignment vertical="center"/>
    </xf>
    <xf numFmtId="0" fontId="160" fillId="0" borderId="96" applyNumberFormat="0" applyFill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203" fontId="5" fillId="0" borderId="0">
      <protection locked="0"/>
    </xf>
    <xf numFmtId="203" fontId="5" fillId="0" borderId="0">
      <protection locked="0"/>
    </xf>
    <xf numFmtId="0" fontId="124" fillId="0" borderId="97" applyNumberFormat="0" applyFill="0" applyAlignment="0" applyProtection="0"/>
    <xf numFmtId="0" fontId="72" fillId="0" borderId="0" applyFont="0" applyFill="0" applyBorder="0" applyAlignment="0" applyProtection="0"/>
    <xf numFmtId="0" fontId="161" fillId="27" borderId="92" applyNumberFormat="0" applyAlignment="0" applyProtection="0">
      <alignment vertical="center"/>
    </xf>
    <xf numFmtId="10" fontId="66" fillId="7" borderId="1" applyNumberFormat="0" applyBorder="0" applyAlignment="0" applyProtection="0"/>
    <xf numFmtId="10" fontId="66" fillId="7" borderId="1" applyNumberFormat="0" applyBorder="0" applyAlignment="0" applyProtection="0"/>
    <xf numFmtId="10" fontId="66" fillId="7" borderId="1" applyNumberFormat="0" applyBorder="0" applyAlignment="0" applyProtection="0"/>
    <xf numFmtId="10" fontId="66" fillId="7" borderId="1" applyNumberFormat="0" applyBorder="0" applyAlignment="0" applyProtection="0"/>
    <xf numFmtId="0" fontId="72" fillId="0" borderId="0" applyFont="0" applyFill="0" applyBorder="0" applyAlignment="0" applyProtection="0"/>
    <xf numFmtId="0" fontId="162" fillId="0" borderId="98" applyNumberFormat="0" applyFill="0" applyAlignment="0" applyProtection="0">
      <alignment vertical="center"/>
    </xf>
    <xf numFmtId="38" fontId="110" fillId="0" borderId="0" applyFont="0" applyFill="0" applyBorder="0" applyAlignment="0" applyProtection="0"/>
    <xf numFmtId="40" fontId="110" fillId="0" borderId="0" applyFont="0" applyFill="0" applyBorder="0" applyAlignment="0" applyProtection="0"/>
    <xf numFmtId="0" fontId="111" fillId="0" borderId="31"/>
    <xf numFmtId="0" fontId="111" fillId="0" borderId="31"/>
    <xf numFmtId="0" fontId="111" fillId="0" borderId="31"/>
    <xf numFmtId="205" fontId="110" fillId="0" borderId="0" applyFont="0" applyFill="0" applyBorder="0" applyAlignment="0" applyProtection="0"/>
    <xf numFmtId="209" fontId="58" fillId="0" borderId="0" applyFont="0" applyFill="0" applyBorder="0" applyAlignment="0" applyProtection="0"/>
    <xf numFmtId="0" fontId="163" fillId="43" borderId="0" applyNumberFormat="0" applyBorder="0" applyAlignment="0" applyProtection="0">
      <alignment vertical="center"/>
    </xf>
    <xf numFmtId="37" fontId="112" fillId="0" borderId="0"/>
    <xf numFmtId="0" fontId="72" fillId="0" borderId="0"/>
    <xf numFmtId="0" fontId="11" fillId="0" borderId="0"/>
    <xf numFmtId="0" fontId="5" fillId="44" borderId="99" applyNumberFormat="0" applyFont="0" applyAlignment="0" applyProtection="0">
      <alignment vertical="center"/>
    </xf>
    <xf numFmtId="202" fontId="113" fillId="45" borderId="0">
      <alignment vertical="center"/>
    </xf>
    <xf numFmtId="40" fontId="82" fillId="0" borderId="0" applyFont="0" applyFill="0" applyBorder="0" applyAlignment="0" applyProtection="0"/>
    <xf numFmtId="40" fontId="114" fillId="0" borderId="0" applyFont="0" applyFill="0" applyBorder="0" applyAlignment="0" applyProtection="0"/>
    <xf numFmtId="38" fontId="114" fillId="0" borderId="0" applyFont="0" applyFill="0" applyBorder="0" applyAlignment="0" applyProtection="0"/>
    <xf numFmtId="0" fontId="164" fillId="5" borderId="100" applyNumberFormat="0" applyAlignment="0" applyProtection="0">
      <alignment vertical="center"/>
    </xf>
    <xf numFmtId="10" fontId="11" fillId="0" borderId="0" applyFont="0" applyFill="0" applyBorder="0" applyAlignment="0" applyProtection="0"/>
    <xf numFmtId="9" fontId="11" fillId="0" borderId="0" applyFont="0" applyFill="0" applyProtection="0"/>
    <xf numFmtId="4" fontId="57" fillId="0" borderId="0">
      <alignment horizontal="right"/>
    </xf>
    <xf numFmtId="0" fontId="73" fillId="0" borderId="0" applyFont="0" applyFill="0" applyBorder="0" applyAlignment="0" applyProtection="0"/>
    <xf numFmtId="0" fontId="115" fillId="46" borderId="24">
      <alignment horizontal="center" vertical="center"/>
    </xf>
    <xf numFmtId="0" fontId="115" fillId="46" borderId="24">
      <alignment horizontal="center" vertical="center"/>
    </xf>
    <xf numFmtId="0" fontId="115" fillId="46" borderId="24">
      <alignment horizontal="center" vertical="center"/>
    </xf>
    <xf numFmtId="0" fontId="115" fillId="46" borderId="24">
      <alignment horizontal="center" vertical="center"/>
    </xf>
    <xf numFmtId="0" fontId="115" fillId="46" borderId="24">
      <alignment horizontal="center" vertical="center"/>
    </xf>
    <xf numFmtId="0" fontId="115" fillId="46" borderId="24">
      <alignment horizontal="center" vertical="center"/>
    </xf>
    <xf numFmtId="0" fontId="115" fillId="46" borderId="24">
      <alignment horizontal="center" vertical="center"/>
    </xf>
    <xf numFmtId="0" fontId="115" fillId="46" borderId="24">
      <alignment horizontal="center" vertical="center"/>
    </xf>
    <xf numFmtId="4" fontId="125" fillId="0" borderId="0">
      <alignment horizontal="right"/>
    </xf>
    <xf numFmtId="30" fontId="126" fillId="0" borderId="0" applyNumberFormat="0" applyFill="0" applyBorder="0" applyAlignment="0" applyProtection="0">
      <alignment horizontal="left"/>
    </xf>
    <xf numFmtId="0" fontId="5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7" fillId="0" borderId="0">
      <alignment horizontal="left"/>
    </xf>
    <xf numFmtId="209" fontId="58" fillId="0" borderId="0">
      <alignment horizontal="center"/>
    </xf>
    <xf numFmtId="0" fontId="111" fillId="0" borderId="0"/>
    <xf numFmtId="40" fontId="128" fillId="0" borderId="0" applyBorder="0">
      <alignment horizontal="right"/>
    </xf>
    <xf numFmtId="0" fontId="73" fillId="0" borderId="0"/>
    <xf numFmtId="0" fontId="68" fillId="0" borderId="0">
      <alignment horizontal="center"/>
    </xf>
    <xf numFmtId="0" fontId="165" fillId="0" borderId="0" applyNumberFormat="0" applyFill="0" applyBorder="0" applyAlignment="0" applyProtection="0">
      <alignment vertical="center"/>
    </xf>
    <xf numFmtId="203" fontId="5" fillId="0" borderId="90">
      <protection locked="0"/>
    </xf>
    <xf numFmtId="0" fontId="166" fillId="0" borderId="101" applyNumberFormat="0" applyFill="0" applyAlignment="0" applyProtection="0">
      <alignment vertical="center"/>
    </xf>
    <xf numFmtId="37" fontId="66" fillId="47" borderId="0" applyNumberFormat="0" applyBorder="0" applyAlignment="0" applyProtection="0"/>
    <xf numFmtId="37" fontId="66" fillId="0" borderId="0"/>
    <xf numFmtId="3" fontId="129" fillId="0" borderId="97" applyProtection="0"/>
    <xf numFmtId="0" fontId="167" fillId="0" borderId="0" applyNumberFormat="0" applyFill="0" applyBorder="0" applyAlignment="0" applyProtection="0">
      <alignment vertical="center"/>
    </xf>
    <xf numFmtId="0" fontId="73" fillId="0" borderId="0" applyFont="0" applyFill="0" applyBorder="0" applyAlignment="0" applyProtection="0"/>
    <xf numFmtId="0" fontId="119" fillId="36" borderId="0" applyNumberFormat="0" applyBorder="0" applyAlignment="0" applyProtection="0">
      <alignment vertical="center"/>
    </xf>
    <xf numFmtId="0" fontId="119" fillId="37" borderId="0" applyNumberFormat="0" applyBorder="0" applyAlignment="0" applyProtection="0">
      <alignment vertical="center"/>
    </xf>
    <xf numFmtId="0" fontId="119" fillId="38" borderId="0" applyNumberFormat="0" applyBorder="0" applyAlignment="0" applyProtection="0">
      <alignment vertical="center"/>
    </xf>
    <xf numFmtId="0" fontId="119" fillId="33" borderId="0" applyNumberFormat="0" applyBorder="0" applyAlignment="0" applyProtection="0">
      <alignment vertical="center"/>
    </xf>
    <xf numFmtId="0" fontId="119" fillId="34" borderId="0" applyNumberFormat="0" applyBorder="0" applyAlignment="0" applyProtection="0">
      <alignment vertical="center"/>
    </xf>
    <xf numFmtId="0" fontId="119" fillId="39" borderId="0" applyNumberFormat="0" applyBorder="0" applyAlignment="0" applyProtection="0">
      <alignment vertical="center"/>
    </xf>
    <xf numFmtId="0" fontId="11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30" fillId="0" borderId="0" applyNumberFormat="0" applyFill="0" applyBorder="0" applyAlignment="0" applyProtection="0">
      <alignment vertical="center"/>
    </xf>
    <xf numFmtId="0" fontId="131" fillId="42" borderId="93" applyNumberFormat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0" fontId="5" fillId="44" borderId="99" applyNumberFormat="0" applyFont="0" applyAlignment="0" applyProtection="0">
      <alignment vertical="center"/>
    </xf>
    <xf numFmtId="0" fontId="5" fillId="44" borderId="99" applyNumberFormat="0" applyFont="0" applyAlignment="0" applyProtection="0">
      <alignment vertical="center"/>
    </xf>
    <xf numFmtId="0" fontId="133" fillId="0" borderId="98" applyNumberFormat="0" applyFill="0" applyAlignment="0" applyProtection="0">
      <alignment vertical="center"/>
    </xf>
    <xf numFmtId="0" fontId="119" fillId="36" borderId="0" applyNumberFormat="0" applyBorder="0" applyAlignment="0" applyProtection="0">
      <alignment vertical="center"/>
    </xf>
    <xf numFmtId="0" fontId="119" fillId="37" borderId="0" applyNumberFormat="0" applyBorder="0" applyAlignment="0" applyProtection="0">
      <alignment vertical="center"/>
    </xf>
    <xf numFmtId="0" fontId="119" fillId="38" borderId="0" applyNumberFormat="0" applyBorder="0" applyAlignment="0" applyProtection="0">
      <alignment vertical="center"/>
    </xf>
    <xf numFmtId="0" fontId="119" fillId="33" borderId="0" applyNumberFormat="0" applyBorder="0" applyAlignment="0" applyProtection="0">
      <alignment vertical="center"/>
    </xf>
    <xf numFmtId="0" fontId="119" fillId="34" borderId="0" applyNumberFormat="0" applyBorder="0" applyAlignment="0" applyProtection="0">
      <alignment vertical="center"/>
    </xf>
    <xf numFmtId="0" fontId="119" fillId="39" borderId="0" applyNumberFormat="0" applyBorder="0" applyAlignment="0" applyProtection="0">
      <alignment vertical="center"/>
    </xf>
    <xf numFmtId="0" fontId="131" fillId="42" borderId="93" applyNumberFormat="0" applyAlignment="0" applyProtection="0">
      <alignment vertical="center"/>
    </xf>
    <xf numFmtId="0" fontId="134" fillId="0" borderId="94" applyNumberFormat="0" applyFill="0" applyAlignment="0" applyProtection="0">
      <alignment vertical="center"/>
    </xf>
    <xf numFmtId="0" fontId="135" fillId="0" borderId="95" applyNumberFormat="0" applyFill="0" applyAlignment="0" applyProtection="0">
      <alignment vertical="center"/>
    </xf>
    <xf numFmtId="0" fontId="136" fillId="0" borderId="96" applyNumberFormat="0" applyFill="0" applyAlignment="0" applyProtection="0">
      <alignment vertical="center"/>
    </xf>
    <xf numFmtId="0" fontId="136" fillId="0" borderId="96" applyNumberFormat="0" applyFill="0" applyAlignment="0" applyProtection="0">
      <alignment vertical="center"/>
    </xf>
    <xf numFmtId="0" fontId="136" fillId="0" borderId="96" applyNumberFormat="0" applyFill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8" fillId="5" borderId="92" applyNumberFormat="0" applyAlignment="0" applyProtection="0">
      <alignment vertical="center"/>
    </xf>
    <xf numFmtId="0" fontId="138" fillId="5" borderId="92" applyNumberFormat="0" applyAlignment="0" applyProtection="0">
      <alignment vertical="center"/>
    </xf>
    <xf numFmtId="0" fontId="138" fillId="5" borderId="92" applyNumberFormat="0" applyAlignment="0" applyProtection="0">
      <alignment vertical="center"/>
    </xf>
    <xf numFmtId="0" fontId="138" fillId="5" borderId="92" applyNumberFormat="0" applyAlignment="0" applyProtection="0">
      <alignment vertical="center"/>
    </xf>
    <xf numFmtId="2" fontId="78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32" fillId="43" borderId="0" applyNumberFormat="0" applyBorder="0" applyAlignment="0" applyProtection="0">
      <alignment vertical="center"/>
    </xf>
    <xf numFmtId="0" fontId="78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81" fillId="0" borderId="0" applyNumberFormat="0" applyFill="0" applyBorder="0" applyAlignment="0" applyProtection="0"/>
    <xf numFmtId="211" fontId="5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39" fillId="24" borderId="0" applyNumberFormat="0" applyBorder="0" applyAlignment="0" applyProtection="0">
      <alignment vertical="center"/>
    </xf>
    <xf numFmtId="0" fontId="133" fillId="0" borderId="98" applyNumberFormat="0" applyFill="0" applyAlignment="0" applyProtection="0">
      <alignment vertical="center"/>
    </xf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216" fontId="152" fillId="0" borderId="0">
      <protection locked="0"/>
    </xf>
    <xf numFmtId="216" fontId="152" fillId="0" borderId="0">
      <protection locked="0"/>
    </xf>
    <xf numFmtId="216" fontId="152" fillId="0" borderId="0">
      <protection locked="0"/>
    </xf>
    <xf numFmtId="9" fontId="67" fillId="0" borderId="0" applyFont="0" applyFill="0" applyBorder="0" applyAlignment="0" applyProtection="0"/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0" fontId="83" fillId="0" borderId="0"/>
    <xf numFmtId="0" fontId="140" fillId="0" borderId="0">
      <alignment vertical="center"/>
    </xf>
    <xf numFmtId="0" fontId="141" fillId="0" borderId="0" applyNumberFormat="0" applyFill="0" applyBorder="0" applyAlignment="0" applyProtection="0">
      <alignment vertical="center"/>
    </xf>
    <xf numFmtId="0" fontId="5" fillId="0" borderId="0" applyFont="0" applyFill="0" applyBorder="0" applyAlignment="0" applyProtection="0"/>
    <xf numFmtId="0" fontId="142" fillId="27" borderId="92" applyNumberFormat="0" applyAlignment="0" applyProtection="0">
      <alignment vertical="center"/>
    </xf>
    <xf numFmtId="0" fontId="142" fillId="27" borderId="92" applyNumberFormat="0" applyAlignment="0" applyProtection="0">
      <alignment vertical="center"/>
    </xf>
    <xf numFmtId="0" fontId="143" fillId="5" borderId="100" applyNumberFormat="0" applyAlignment="0" applyProtection="0">
      <alignment vertical="center"/>
    </xf>
    <xf numFmtId="0" fontId="143" fillId="5" borderId="100" applyNumberFormat="0" applyAlignment="0" applyProtection="0">
      <alignment vertical="center"/>
    </xf>
    <xf numFmtId="198" fontId="11" fillId="0" borderId="0">
      <alignment horizontal="right" vertical="center"/>
    </xf>
    <xf numFmtId="197" fontId="84" fillId="0" borderId="0">
      <alignment vertical="center"/>
    </xf>
    <xf numFmtId="3" fontId="72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38" fontId="5" fillId="0" borderId="0" applyFont="0" applyFill="0" applyBorder="0" applyAlignment="0" applyProtection="0">
      <alignment vertical="center"/>
    </xf>
    <xf numFmtId="0" fontId="5" fillId="0" borderId="0" applyFont="0" applyFill="0" applyBorder="0" applyAlignment="0" applyProtection="0"/>
    <xf numFmtId="0" fontId="11" fillId="0" borderId="0"/>
    <xf numFmtId="0" fontId="5" fillId="0" borderId="0" applyFont="0" applyFill="0" applyBorder="0" applyAlignment="0" applyProtection="0"/>
    <xf numFmtId="212" fontId="11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213" fontId="86" fillId="0" borderId="0" applyFont="0" applyFill="0" applyBorder="0" applyAlignment="0" applyProtection="0"/>
    <xf numFmtId="213" fontId="86" fillId="0" borderId="0" applyFont="0" applyFill="0" applyBorder="0" applyAlignment="0" applyProtection="0"/>
    <xf numFmtId="213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213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86" fillId="0" borderId="0" applyFont="0" applyFill="0" applyBorder="0" applyAlignment="0" applyProtection="0"/>
    <xf numFmtId="213" fontId="86" fillId="0" borderId="0" applyFont="0" applyFill="0" applyBorder="0" applyAlignment="0" applyProtection="0"/>
    <xf numFmtId="213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213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213" fontId="86" fillId="0" borderId="0" applyFont="0" applyFill="0" applyBorder="0" applyAlignment="0" applyProtection="0"/>
    <xf numFmtId="214" fontId="11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213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213" fontId="86" fillId="0" borderId="0" applyFont="0" applyFill="0" applyBorder="0" applyAlignment="0" applyProtection="0"/>
    <xf numFmtId="213" fontId="86" fillId="0" borderId="0" applyFont="0" applyFill="0" applyBorder="0" applyAlignment="0" applyProtection="0"/>
    <xf numFmtId="213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213" fontId="86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213" fontId="86" fillId="0" borderId="0" applyFont="0" applyFill="0" applyBorder="0" applyAlignment="0" applyProtection="0"/>
    <xf numFmtId="213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213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11" fillId="0" borderId="0" applyFont="0" applyFill="0" applyBorder="0" applyAlignment="0" applyProtection="0"/>
    <xf numFmtId="213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213" fontId="86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214" fontId="11" fillId="0" borderId="0" applyFont="0" applyFill="0" applyBorder="0" applyAlignment="0" applyProtection="0"/>
    <xf numFmtId="214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4" fontId="11" fillId="0" borderId="0" applyFont="0" applyFill="0" applyBorder="0" applyAlignment="0" applyProtection="0"/>
    <xf numFmtId="0" fontId="72" fillId="0" borderId="0"/>
    <xf numFmtId="0" fontId="72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4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5" fontId="5" fillId="0" borderId="0" applyFont="0" applyFill="0" applyBorder="0" applyAlignment="0" applyProtection="0"/>
    <xf numFmtId="0" fontId="11" fillId="0" borderId="0" applyFont="0" applyFill="0" applyBorder="0" applyAlignment="0" applyProtection="0"/>
    <xf numFmtId="214" fontId="11" fillId="0" borderId="0" applyFont="0" applyFill="0" applyBorder="0" applyAlignment="0" applyProtection="0"/>
    <xf numFmtId="215" fontId="5" fillId="0" borderId="0" applyFont="0" applyFill="0" applyBorder="0" applyAlignment="0" applyProtection="0"/>
    <xf numFmtId="0" fontId="11" fillId="0" borderId="0" applyFont="0" applyFill="0" applyBorder="0" applyAlignment="0" applyProtection="0"/>
    <xf numFmtId="214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4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4" fontId="11" fillId="0" borderId="0" applyFont="0" applyFill="0" applyBorder="0" applyAlignment="0" applyProtection="0"/>
    <xf numFmtId="214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5" fillId="0" borderId="0" applyFont="0" applyFill="0" applyBorder="0" applyAlignment="0" applyProtection="0"/>
    <xf numFmtId="214" fontId="11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4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5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12" fontId="11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213" fontId="86" fillId="0" borderId="0" applyFont="0" applyFill="0" applyBorder="0" applyAlignment="0" applyProtection="0"/>
    <xf numFmtId="213" fontId="86" fillId="0" borderId="0" applyFont="0" applyFill="0" applyBorder="0" applyAlignment="0" applyProtection="0"/>
    <xf numFmtId="213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5" fillId="0" borderId="0" applyFont="0" applyFill="0" applyBorder="0" applyAlignment="0" applyProtection="0"/>
    <xf numFmtId="213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213" fontId="86" fillId="0" borderId="0" applyFont="0" applyFill="0" applyBorder="0" applyAlignment="0" applyProtection="0"/>
    <xf numFmtId="213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213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213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213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213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213" fontId="86" fillId="0" borderId="0" applyFont="0" applyFill="0" applyBorder="0" applyAlignment="0" applyProtection="0"/>
    <xf numFmtId="213" fontId="86" fillId="0" borderId="0" applyFont="0" applyFill="0" applyBorder="0" applyAlignment="0" applyProtection="0"/>
    <xf numFmtId="213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86" fillId="0" borderId="0" applyFont="0" applyFill="0" applyBorder="0" applyAlignment="0" applyProtection="0"/>
    <xf numFmtId="213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213" fontId="86" fillId="0" borderId="0" applyFont="0" applyFill="0" applyBorder="0" applyAlignment="0" applyProtection="0"/>
    <xf numFmtId="213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213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213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213" fontId="86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44" fillId="23" borderId="0" applyNumberFormat="0" applyBorder="0" applyAlignment="0" applyProtection="0">
      <alignment vertical="center"/>
    </xf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45" fillId="0" borderId="0"/>
    <xf numFmtId="41" fontId="5" fillId="0" borderId="0" applyFont="0" applyFill="0" applyBorder="0" applyAlignment="0" applyProtection="0"/>
    <xf numFmtId="0" fontId="142" fillId="27" borderId="92" applyNumberFormat="0" applyAlignment="0" applyProtection="0">
      <alignment vertical="center"/>
    </xf>
    <xf numFmtId="0" fontId="142" fillId="27" borderId="92" applyNumberFormat="0" applyAlignment="0" applyProtection="0">
      <alignment vertical="center"/>
    </xf>
    <xf numFmtId="4" fontId="78" fillId="0" borderId="0" applyFont="0" applyFill="0" applyBorder="0" applyAlignment="0" applyProtection="0"/>
    <xf numFmtId="3" fontId="78" fillId="0" borderId="0" applyFont="0" applyFill="0" applyBorder="0" applyAlignment="0" applyProtection="0"/>
    <xf numFmtId="0" fontId="5" fillId="44" borderId="99" applyNumberFormat="0" applyFont="0" applyAlignment="0" applyProtection="0">
      <alignment vertical="center"/>
    </xf>
    <xf numFmtId="0" fontId="5" fillId="44" borderId="99" applyNumberFormat="0" applyFont="0" applyAlignment="0" applyProtection="0">
      <alignment vertical="center"/>
    </xf>
    <xf numFmtId="0" fontId="146" fillId="0" borderId="101" applyNumberFormat="0" applyFill="0" applyAlignment="0" applyProtection="0">
      <alignment vertical="center"/>
    </xf>
    <xf numFmtId="0" fontId="146" fillId="0" borderId="101" applyNumberFormat="0" applyFill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43" fontId="145" fillId="0" borderId="0" applyFont="0" applyFill="0" applyBorder="0" applyAlignment="0" applyProtection="0"/>
    <xf numFmtId="198" fontId="85" fillId="0" borderId="0">
      <alignment vertical="center"/>
    </xf>
    <xf numFmtId="0" fontId="143" fillId="5" borderId="100" applyNumberFormat="0" applyAlignment="0" applyProtection="0">
      <alignment vertical="center"/>
    </xf>
    <xf numFmtId="0" fontId="143" fillId="5" borderId="100" applyNumberFormat="0" applyAlignment="0" applyProtection="0">
      <alignment vertical="center"/>
    </xf>
    <xf numFmtId="216" fontId="152" fillId="0" borderId="0">
      <protection locked="0"/>
    </xf>
    <xf numFmtId="216" fontId="152" fillId="0" borderId="0">
      <protection locked="0"/>
    </xf>
    <xf numFmtId="216" fontId="152" fillId="0" borderId="0">
      <protection locked="0"/>
    </xf>
    <xf numFmtId="0" fontId="72" fillId="0" borderId="0" applyFont="0" applyFill="0" applyBorder="0" applyAlignment="0" applyProtection="0"/>
    <xf numFmtId="216" fontId="152" fillId="0" borderId="0">
      <protection locked="0"/>
    </xf>
    <xf numFmtId="0" fontId="72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72" fillId="0" borderId="0" applyFont="0" applyFill="0" applyBorder="0" applyAlignment="0" applyProtection="0"/>
    <xf numFmtId="42" fontId="87" fillId="0" borderId="0" applyFont="0" applyFill="0" applyBorder="0" applyAlignment="0" applyProtection="0"/>
    <xf numFmtId="216" fontId="152" fillId="0" borderId="0">
      <protection locked="0"/>
    </xf>
    <xf numFmtId="216" fontId="152" fillId="0" borderId="0">
      <protection locked="0"/>
    </xf>
    <xf numFmtId="216" fontId="152" fillId="0" borderId="0">
      <protection locked="0"/>
    </xf>
    <xf numFmtId="199" fontId="72" fillId="0" borderId="0" applyFont="0" applyFill="0" applyBorder="0" applyAlignment="0" applyProtection="0"/>
    <xf numFmtId="194" fontId="72" fillId="0" borderId="0" applyFont="0" applyFill="0" applyBorder="0" applyAlignment="0" applyProtection="0"/>
    <xf numFmtId="201" fontId="5" fillId="0" borderId="0" applyFont="0" applyFill="0" applyBorder="0" applyAlignment="0" applyProtection="0"/>
    <xf numFmtId="199" fontId="72" fillId="0" borderId="0" applyFont="0" applyFill="0" applyBorder="0" applyAlignment="0" applyProtection="0"/>
    <xf numFmtId="194" fontId="75" fillId="0" borderId="0" applyFont="0" applyFill="0" applyBorder="0" applyAlignment="0" applyProtection="0"/>
    <xf numFmtId="200" fontId="5" fillId="0" borderId="0" applyFont="0" applyFill="0" applyBorder="0" applyAlignment="0" applyProtection="0"/>
    <xf numFmtId="42" fontId="71" fillId="0" borderId="0" applyFont="0" applyFill="0" applyBorder="0" applyAlignment="0" applyProtection="0"/>
    <xf numFmtId="193" fontId="5" fillId="0" borderId="0" applyFont="0" applyFill="0" applyBorder="0" applyAlignment="0" applyProtection="0"/>
    <xf numFmtId="0" fontId="88" fillId="0" borderId="0" applyFont="0" applyFill="0" applyBorder="0" applyAlignment="0" applyProtection="0"/>
    <xf numFmtId="216" fontId="152" fillId="0" borderId="0">
      <protection locked="0"/>
    </xf>
    <xf numFmtId="199" fontId="147" fillId="0" borderId="0" applyFont="0" applyFill="0" applyBorder="0" applyAlignment="0" applyProtection="0"/>
    <xf numFmtId="42" fontId="5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/>
    <xf numFmtId="42" fontId="69" fillId="0" borderId="0" applyFont="0" applyFill="0" applyBorder="0" applyAlignment="0" applyProtection="0"/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/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6" fontId="148" fillId="0" borderId="0" applyFont="0" applyFill="0" applyBorder="0" applyAlignment="0" applyProtection="0"/>
    <xf numFmtId="10" fontId="78" fillId="0" borderId="0" applyFont="0" applyFill="0" applyBorder="0" applyAlignment="0" applyProtection="0"/>
    <xf numFmtId="0" fontId="5" fillId="0" borderId="0">
      <alignment vertical="center"/>
    </xf>
    <xf numFmtId="216" fontId="152" fillId="0" borderId="0">
      <protection locked="0"/>
    </xf>
    <xf numFmtId="216" fontId="152" fillId="0" borderId="0">
      <protection locked="0"/>
    </xf>
    <xf numFmtId="216" fontId="152" fillId="0" borderId="0">
      <protection locked="0"/>
    </xf>
    <xf numFmtId="202" fontId="11" fillId="0" borderId="24">
      <alignment vertical="center"/>
    </xf>
    <xf numFmtId="0" fontId="130" fillId="0" borderId="0" applyNumberFormat="0" applyFill="0" applyBorder="0" applyAlignment="0" applyProtection="0">
      <alignment vertical="center"/>
    </xf>
    <xf numFmtId="0" fontId="134" fillId="0" borderId="94" applyNumberFormat="0" applyFill="0" applyAlignment="0" applyProtection="0">
      <alignment vertical="center"/>
    </xf>
    <xf numFmtId="0" fontId="135" fillId="0" borderId="95" applyNumberFormat="0" applyFill="0" applyAlignment="0" applyProtection="0">
      <alignment vertical="center"/>
    </xf>
    <xf numFmtId="0" fontId="136" fillId="0" borderId="96" applyNumberFormat="0" applyFill="0" applyAlignment="0" applyProtection="0">
      <alignment vertical="center"/>
    </xf>
    <xf numFmtId="0" fontId="136" fillId="0" borderId="96" applyNumberFormat="0" applyFill="0" applyAlignment="0" applyProtection="0">
      <alignment vertical="center"/>
    </xf>
    <xf numFmtId="0" fontId="136" fillId="0" borderId="96" applyNumberFormat="0" applyFill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5" fillId="0" borderId="0"/>
    <xf numFmtId="0" fontId="6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69" fillId="0" borderId="0"/>
    <xf numFmtId="0" fontId="9" fillId="0" borderId="0">
      <alignment vertical="center"/>
    </xf>
    <xf numFmtId="0" fontId="63" fillId="0" borderId="0"/>
    <xf numFmtId="0" fontId="5" fillId="0" borderId="0"/>
    <xf numFmtId="0" fontId="5" fillId="0" borderId="0"/>
    <xf numFmtId="0" fontId="5" fillId="0" borderId="0">
      <alignment vertical="center"/>
    </xf>
    <xf numFmtId="0" fontId="9" fillId="0" borderId="0">
      <alignment vertical="center"/>
    </xf>
    <xf numFmtId="0" fontId="69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9" fillId="0" borderId="0"/>
    <xf numFmtId="0" fontId="5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5" fillId="0" borderId="0"/>
    <xf numFmtId="0" fontId="11" fillId="0" borderId="0"/>
    <xf numFmtId="0" fontId="9" fillId="0" borderId="0">
      <alignment vertical="center"/>
    </xf>
    <xf numFmtId="0" fontId="9" fillId="0" borderId="0">
      <alignment vertical="center"/>
    </xf>
    <xf numFmtId="0" fontId="5" fillId="0" borderId="0"/>
    <xf numFmtId="0" fontId="9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3" fillId="0" borderId="0"/>
    <xf numFmtId="0" fontId="9" fillId="0" borderId="0">
      <alignment vertical="center"/>
    </xf>
    <xf numFmtId="0" fontId="9" fillId="0" borderId="0">
      <alignment vertical="center"/>
    </xf>
    <xf numFmtId="0" fontId="5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5" fillId="0" borderId="0"/>
    <xf numFmtId="0" fontId="9" fillId="0" borderId="0">
      <alignment vertical="center"/>
    </xf>
    <xf numFmtId="0" fontId="5" fillId="0" borderId="0"/>
    <xf numFmtId="0" fontId="9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5" fillId="0" borderId="0"/>
    <xf numFmtId="0" fontId="149" fillId="0" borderId="0"/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78" fillId="0" borderId="102" applyNumberFormat="0" applyFont="0" applyFill="0" applyAlignment="0" applyProtection="0"/>
    <xf numFmtId="40" fontId="147" fillId="0" borderId="0" applyFont="0" applyFill="0" applyBorder="0" applyAlignment="0" applyProtection="0"/>
    <xf numFmtId="38" fontId="147" fillId="0" borderId="0" applyFont="0" applyFill="0" applyBorder="0" applyAlignment="0" applyProtection="0"/>
    <xf numFmtId="0" fontId="141" fillId="0" borderId="0" applyNumberFormat="0" applyFill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196" fontId="78" fillId="0" borderId="0" applyFont="0" applyFill="0" applyBorder="0" applyAlignment="0" applyProtection="0"/>
    <xf numFmtId="195" fontId="78" fillId="0" borderId="0" applyFont="0" applyFill="0" applyBorder="0" applyAlignment="0" applyProtection="0"/>
    <xf numFmtId="0" fontId="146" fillId="0" borderId="101" applyNumberFormat="0" applyFill="0" applyAlignment="0" applyProtection="0">
      <alignment vertical="center"/>
    </xf>
    <xf numFmtId="0" fontId="146" fillId="0" borderId="101" applyNumberFormat="0" applyFill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0" fontId="69" fillId="0" borderId="0"/>
    <xf numFmtId="0" fontId="69" fillId="0" borderId="0"/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2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/>
    <xf numFmtId="42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0" fontId="11" fillId="0" borderId="0"/>
    <xf numFmtId="186" fontId="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42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2" fontId="87" fillId="0" borderId="0" applyFont="0" applyFill="0" applyBorder="0" applyAlignment="0" applyProtection="0"/>
    <xf numFmtId="42" fontId="5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/>
    <xf numFmtId="42" fontId="69" fillId="0" borderId="0" applyFont="0" applyFill="0" applyBorder="0" applyAlignment="0" applyProtection="0"/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/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69" fillId="0" borderId="0"/>
    <xf numFmtId="0" fontId="6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0" borderId="0"/>
    <xf numFmtId="0" fontId="14" fillId="0" borderId="0"/>
    <xf numFmtId="0" fontId="56" fillId="0" borderId="0">
      <alignment vertical="center"/>
    </xf>
    <xf numFmtId="0" fontId="20" fillId="0" borderId="0"/>
    <xf numFmtId="42" fontId="5" fillId="0" borderId="0" applyFont="0" applyFill="0" applyBorder="0" applyAlignment="0" applyProtection="0"/>
    <xf numFmtId="0" fontId="69" fillId="0" borderId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2" fontId="87" fillId="0" borderId="0" applyFont="0" applyFill="0" applyBorder="0" applyAlignment="0" applyProtection="0"/>
    <xf numFmtId="42" fontId="5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/>
    <xf numFmtId="42" fontId="69" fillId="0" borderId="0" applyFont="0" applyFill="0" applyBorder="0" applyAlignment="0" applyProtection="0"/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/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2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2" fontId="87" fillId="0" borderId="0" applyFont="0" applyFill="0" applyBorder="0" applyAlignment="0" applyProtection="0"/>
    <xf numFmtId="42" fontId="5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/>
    <xf numFmtId="42" fontId="69" fillId="0" borderId="0" applyFont="0" applyFill="0" applyBorder="0" applyAlignment="0" applyProtection="0"/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/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111" fillId="0" borderId="31"/>
    <xf numFmtId="0" fontId="111" fillId="0" borderId="31"/>
    <xf numFmtId="0" fontId="111" fillId="0" borderId="31"/>
    <xf numFmtId="41" fontId="5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2" fontId="87" fillId="0" borderId="0" applyFont="0" applyFill="0" applyBorder="0" applyAlignment="0" applyProtection="0"/>
    <xf numFmtId="42" fontId="5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/>
    <xf numFmtId="42" fontId="69" fillId="0" borderId="0" applyFont="0" applyFill="0" applyBorder="0" applyAlignment="0" applyProtection="0"/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/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2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2" fontId="87" fillId="0" borderId="0" applyFont="0" applyFill="0" applyBorder="0" applyAlignment="0" applyProtection="0"/>
    <xf numFmtId="42" fontId="5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/>
    <xf numFmtId="42" fontId="69" fillId="0" borderId="0" applyFont="0" applyFill="0" applyBorder="0" applyAlignment="0" applyProtection="0"/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/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2" fontId="87" fillId="0" borderId="0" applyFont="0" applyFill="0" applyBorder="0" applyAlignment="0" applyProtection="0"/>
    <xf numFmtId="42" fontId="5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/>
    <xf numFmtId="42" fontId="69" fillId="0" borderId="0" applyFont="0" applyFill="0" applyBorder="0" applyAlignment="0" applyProtection="0"/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/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2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2" fontId="87" fillId="0" borderId="0" applyFont="0" applyFill="0" applyBorder="0" applyAlignment="0" applyProtection="0"/>
    <xf numFmtId="42" fontId="5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/>
    <xf numFmtId="42" fontId="69" fillId="0" borderId="0" applyFont="0" applyFill="0" applyBorder="0" applyAlignment="0" applyProtection="0"/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/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2" fillId="0" borderId="0"/>
    <xf numFmtId="0" fontId="189" fillId="0" borderId="0" applyNumberFormat="0" applyFill="0" applyBorder="0" applyAlignment="0" applyProtection="0">
      <alignment vertical="center"/>
    </xf>
    <xf numFmtId="0" fontId="190" fillId="0" borderId="226" applyNumberFormat="0" applyFill="0" applyAlignment="0" applyProtection="0">
      <alignment vertical="center"/>
    </xf>
    <xf numFmtId="0" fontId="191" fillId="0" borderId="227" applyNumberFormat="0" applyFill="0" applyAlignment="0" applyProtection="0">
      <alignment vertical="center"/>
    </xf>
    <xf numFmtId="0" fontId="192" fillId="0" borderId="228" applyNumberFormat="0" applyFill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3" fillId="48" borderId="0" applyNumberFormat="0" applyBorder="0" applyAlignment="0" applyProtection="0">
      <alignment vertical="center"/>
    </xf>
    <xf numFmtId="0" fontId="194" fillId="14" borderId="0" applyNumberFormat="0" applyBorder="0" applyAlignment="0" applyProtection="0">
      <alignment vertical="center"/>
    </xf>
    <xf numFmtId="0" fontId="195" fillId="49" borderId="0" applyNumberFormat="0" applyBorder="0" applyAlignment="0" applyProtection="0">
      <alignment vertical="center"/>
    </xf>
    <xf numFmtId="0" fontId="196" fillId="50" borderId="229" applyNumberFormat="0" applyAlignment="0" applyProtection="0">
      <alignment vertical="center"/>
    </xf>
    <xf numFmtId="0" fontId="197" fillId="51" borderId="230" applyNumberFormat="0" applyAlignment="0" applyProtection="0">
      <alignment vertical="center"/>
    </xf>
    <xf numFmtId="0" fontId="198" fillId="51" borderId="229" applyNumberFormat="0" applyAlignment="0" applyProtection="0">
      <alignment vertical="center"/>
    </xf>
    <xf numFmtId="0" fontId="199" fillId="0" borderId="231" applyNumberFormat="0" applyFill="0" applyAlignment="0" applyProtection="0">
      <alignment vertical="center"/>
    </xf>
    <xf numFmtId="0" fontId="200" fillId="52" borderId="232" applyNumberFormat="0" applyAlignment="0" applyProtection="0">
      <alignment vertical="center"/>
    </xf>
    <xf numFmtId="0" fontId="201" fillId="0" borderId="0" applyNumberFormat="0" applyFill="0" applyBorder="0" applyAlignment="0" applyProtection="0">
      <alignment vertical="center"/>
    </xf>
    <xf numFmtId="0" fontId="1" fillId="53" borderId="233" applyNumberFormat="0" applyFont="0" applyAlignment="0" applyProtection="0">
      <alignment vertical="center"/>
    </xf>
    <xf numFmtId="0" fontId="202" fillId="0" borderId="0" applyNumberFormat="0" applyFill="0" applyBorder="0" applyAlignment="0" applyProtection="0">
      <alignment vertical="center"/>
    </xf>
    <xf numFmtId="0" fontId="203" fillId="0" borderId="234" applyNumberFormat="0" applyFill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204" fillId="57" borderId="0" applyNumberFormat="0" applyBorder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204" fillId="61" borderId="0" applyNumberFormat="0" applyBorder="0" applyAlignment="0" applyProtection="0">
      <alignment vertical="center"/>
    </xf>
    <xf numFmtId="0" fontId="1" fillId="62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204" fillId="65" borderId="0" applyNumberFormat="0" applyBorder="0" applyAlignment="0" applyProtection="0">
      <alignment vertical="center"/>
    </xf>
    <xf numFmtId="0" fontId="1" fillId="66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204" fillId="69" borderId="0" applyNumberFormat="0" applyBorder="0" applyAlignment="0" applyProtection="0">
      <alignment vertical="center"/>
    </xf>
    <xf numFmtId="0" fontId="1" fillId="70" borderId="0" applyNumberFormat="0" applyBorder="0" applyAlignment="0" applyProtection="0">
      <alignment vertical="center"/>
    </xf>
    <xf numFmtId="0" fontId="1" fillId="71" borderId="0" applyNumberFormat="0" applyBorder="0" applyAlignment="0" applyProtection="0">
      <alignment vertical="center"/>
    </xf>
    <xf numFmtId="0" fontId="1" fillId="72" borderId="0" applyNumberFormat="0" applyBorder="0" applyAlignment="0" applyProtection="0">
      <alignment vertical="center"/>
    </xf>
    <xf numFmtId="0" fontId="204" fillId="73" borderId="0" applyNumberFormat="0" applyBorder="0" applyAlignment="0" applyProtection="0">
      <alignment vertical="center"/>
    </xf>
    <xf numFmtId="0" fontId="1" fillId="74" borderId="0" applyNumberFormat="0" applyBorder="0" applyAlignment="0" applyProtection="0">
      <alignment vertical="center"/>
    </xf>
    <xf numFmtId="0" fontId="1" fillId="75" borderId="0" applyNumberFormat="0" applyBorder="0" applyAlignment="0" applyProtection="0">
      <alignment vertical="center"/>
    </xf>
    <xf numFmtId="0" fontId="1" fillId="76" borderId="0" applyNumberFormat="0" applyBorder="0" applyAlignment="0" applyProtection="0">
      <alignment vertical="center"/>
    </xf>
  </cellStyleXfs>
  <cellXfs count="2254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top"/>
    </xf>
    <xf numFmtId="177" fontId="6" fillId="0" borderId="1" xfId="3" applyNumberFormat="1" applyFont="1" applyFill="1" applyBorder="1" applyAlignment="1">
      <alignment horizontal="center" vertical="center"/>
    </xf>
    <xf numFmtId="178" fontId="8" fillId="0" borderId="1" xfId="2" applyNumberFormat="1" applyFont="1" applyBorder="1" applyAlignment="1">
      <alignment horizontal="center" vertical="center"/>
    </xf>
    <xf numFmtId="179" fontId="8" fillId="0" borderId="1" xfId="4" applyNumberFormat="1" applyFont="1" applyFill="1" applyBorder="1" applyAlignment="1">
      <alignment horizontal="right" vertical="center"/>
    </xf>
    <xf numFmtId="176" fontId="8" fillId="0" borderId="1" xfId="3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14" fontId="8" fillId="0" borderId="1" xfId="0" applyNumberFormat="1" applyFont="1" applyBorder="1" applyAlignment="1"/>
    <xf numFmtId="176" fontId="8" fillId="0" borderId="1" xfId="1" applyNumberFormat="1" applyFont="1" applyBorder="1" applyAlignment="1">
      <alignment horizontal="center"/>
    </xf>
    <xf numFmtId="176" fontId="10" fillId="0" borderId="1" xfId="1" applyNumberFormat="1" applyFont="1" applyBorder="1">
      <alignment vertical="center"/>
    </xf>
    <xf numFmtId="176" fontId="8" fillId="0" borderId="1" xfId="1" applyNumberFormat="1" applyFont="1" applyBorder="1">
      <alignment vertical="center"/>
    </xf>
    <xf numFmtId="178" fontId="0" fillId="0" borderId="0" xfId="0" applyNumberFormat="1">
      <alignment vertical="center"/>
    </xf>
    <xf numFmtId="41" fontId="0" fillId="0" borderId="0" xfId="1" applyFont="1">
      <alignment vertical="center"/>
    </xf>
    <xf numFmtId="0" fontId="10" fillId="0" borderId="1" xfId="0" applyFont="1" applyBorder="1">
      <alignment vertical="center"/>
    </xf>
    <xf numFmtId="6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1" xfId="2" applyFont="1" applyBorder="1" applyAlignment="1">
      <alignment horizontal="center" vertical="center"/>
    </xf>
    <xf numFmtId="178" fontId="8" fillId="0" borderId="11" xfId="2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0" applyFont="1">
      <alignment vertical="center"/>
    </xf>
    <xf numFmtId="176" fontId="0" fillId="0" borderId="0" xfId="1" applyNumberFormat="1" applyFont="1">
      <alignment vertical="center"/>
    </xf>
    <xf numFmtId="41" fontId="0" fillId="0" borderId="0" xfId="0" applyNumberFormat="1">
      <alignment vertical="center"/>
    </xf>
    <xf numFmtId="43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185" fontId="0" fillId="0" borderId="0" xfId="1" applyNumberFormat="1" applyFont="1">
      <alignment vertical="center"/>
    </xf>
    <xf numFmtId="6" fontId="0" fillId="0" borderId="0" xfId="0" applyNumberFormat="1">
      <alignment vertical="center"/>
    </xf>
    <xf numFmtId="0" fontId="0" fillId="0" borderId="21" xfId="0" applyBorder="1" applyAlignment="1"/>
    <xf numFmtId="0" fontId="0" fillId="5" borderId="21" xfId="0" applyFill="1" applyBorder="1" applyAlignment="1">
      <alignment horizontal="center" vertical="center"/>
    </xf>
    <xf numFmtId="182" fontId="0" fillId="0" borderId="21" xfId="0" applyNumberFormat="1" applyBorder="1" applyAlignment="1">
      <alignment horizontal="right"/>
    </xf>
    <xf numFmtId="184" fontId="0" fillId="0" borderId="21" xfId="0" applyNumberFormat="1" applyBorder="1" applyAlignment="1">
      <alignment horizontal="right"/>
    </xf>
    <xf numFmtId="182" fontId="0" fillId="0" borderId="21" xfId="0" applyNumberFormat="1" applyBorder="1" applyAlignment="1">
      <alignment horizontal="center"/>
    </xf>
    <xf numFmtId="0" fontId="9" fillId="5" borderId="28" xfId="13" applyFont="1" applyFill="1" applyBorder="1" applyAlignment="1">
      <alignment horizontal="center" vertical="center"/>
    </xf>
    <xf numFmtId="0" fontId="9" fillId="5" borderId="0" xfId="13" applyFont="1" applyFill="1" applyAlignment="1">
      <alignment horizontal="center" vertical="center"/>
    </xf>
    <xf numFmtId="0" fontId="9" fillId="0" borderId="0" xfId="0" applyFont="1">
      <alignment vertical="center"/>
    </xf>
    <xf numFmtId="0" fontId="9" fillId="5" borderId="21" xfId="0" applyFont="1" applyFill="1" applyBorder="1" applyAlignment="1">
      <alignment horizontal="center" vertical="center"/>
    </xf>
    <xf numFmtId="0" fontId="9" fillId="0" borderId="21" xfId="13" applyFont="1" applyBorder="1">
      <alignment vertical="center"/>
    </xf>
    <xf numFmtId="0" fontId="9" fillId="0" borderId="21" xfId="0" applyFont="1" applyBorder="1">
      <alignment vertical="center"/>
    </xf>
    <xf numFmtId="0" fontId="9" fillId="0" borderId="21" xfId="0" applyFont="1" applyBorder="1" applyAlignment="1">
      <alignment horizontal="center" vertical="center"/>
    </xf>
    <xf numFmtId="0" fontId="9" fillId="0" borderId="0" xfId="13" applyFont="1">
      <alignment vertical="center"/>
    </xf>
    <xf numFmtId="0" fontId="9" fillId="0" borderId="0" xfId="0" applyFont="1" applyAlignment="1">
      <alignment horizontal="center" vertical="center"/>
    </xf>
    <xf numFmtId="4" fontId="9" fillId="5" borderId="28" xfId="13" applyNumberFormat="1" applyFont="1" applyFill="1" applyBorder="1" applyAlignment="1">
      <alignment horizontal="center" vertical="center"/>
    </xf>
    <xf numFmtId="4" fontId="9" fillId="0" borderId="0" xfId="0" applyNumberFormat="1" applyFont="1">
      <alignment vertical="center"/>
    </xf>
    <xf numFmtId="0" fontId="9" fillId="11" borderId="21" xfId="0" applyFont="1" applyFill="1" applyBorder="1">
      <alignment vertical="center"/>
    </xf>
    <xf numFmtId="0" fontId="9" fillId="11" borderId="2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9" fillId="5" borderId="21" xfId="13" applyFill="1" applyBorder="1" applyAlignment="1">
      <alignment horizontal="center" vertical="center"/>
    </xf>
    <xf numFmtId="179" fontId="0" fillId="0" borderId="0" xfId="0" applyNumberFormat="1">
      <alignment vertical="center"/>
    </xf>
    <xf numFmtId="0" fontId="19" fillId="11" borderId="21" xfId="13" applyFill="1" applyBorder="1" applyAlignment="1"/>
    <xf numFmtId="4" fontId="19" fillId="11" borderId="21" xfId="13" applyNumberFormat="1" applyFill="1" applyBorder="1" applyAlignment="1"/>
    <xf numFmtId="3" fontId="19" fillId="0" borderId="21" xfId="13" applyNumberFormat="1" applyBorder="1" applyAlignment="1"/>
    <xf numFmtId="4" fontId="19" fillId="0" borderId="21" xfId="13" applyNumberFormat="1" applyBorder="1" applyAlignment="1"/>
    <xf numFmtId="0" fontId="9" fillId="4" borderId="21" xfId="0" applyFont="1" applyFill="1" applyBorder="1">
      <alignment vertical="center"/>
    </xf>
    <xf numFmtId="0" fontId="9" fillId="4" borderId="21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11" borderId="21" xfId="0" applyFont="1" applyFill="1" applyBorder="1" applyAlignment="1">
      <alignment horizontal="left" vertical="center"/>
    </xf>
    <xf numFmtId="0" fontId="19" fillId="4" borderId="21" xfId="13" applyFill="1" applyBorder="1" applyAlignment="1"/>
    <xf numFmtId="4" fontId="19" fillId="4" borderId="21" xfId="13" applyNumberFormat="1" applyFill="1" applyBorder="1" applyAlignment="1"/>
    <xf numFmtId="3" fontId="19" fillId="4" borderId="21" xfId="13" applyNumberFormat="1" applyFill="1" applyBorder="1" applyAlignment="1"/>
    <xf numFmtId="0" fontId="9" fillId="4" borderId="21" xfId="0" applyFont="1" applyFill="1" applyBorder="1" applyAlignment="1">
      <alignment horizontal="left" vertical="center"/>
    </xf>
    <xf numFmtId="0" fontId="9" fillId="4" borderId="21" xfId="13" applyFont="1" applyFill="1" applyBorder="1" applyAlignment="1">
      <alignment horizontal="left" vertical="center"/>
    </xf>
    <xf numFmtId="0" fontId="19" fillId="0" borderId="21" xfId="13" applyBorder="1" applyAlignment="1"/>
    <xf numFmtId="182" fontId="19" fillId="0" borderId="21" xfId="13" applyNumberFormat="1" applyBorder="1" applyAlignment="1">
      <alignment horizontal="right"/>
    </xf>
    <xf numFmtId="184" fontId="19" fillId="0" borderId="21" xfId="13" applyNumberFormat="1" applyBorder="1" applyAlignment="1">
      <alignment horizontal="right"/>
    </xf>
    <xf numFmtId="0" fontId="9" fillId="2" borderId="21" xfId="0" applyFont="1" applyFill="1" applyBorder="1" applyAlignment="1">
      <alignment horizontal="left" vertical="center"/>
    </xf>
    <xf numFmtId="0" fontId="19" fillId="2" borderId="21" xfId="13" applyFill="1" applyBorder="1" applyAlignment="1"/>
    <xf numFmtId="4" fontId="19" fillId="2" borderId="21" xfId="13" applyNumberFormat="1" applyFill="1" applyBorder="1" applyAlignment="1"/>
    <xf numFmtId="0" fontId="9" fillId="2" borderId="21" xfId="0" applyFont="1" applyFill="1" applyBorder="1" applyAlignment="1">
      <alignment horizontal="center" vertical="center"/>
    </xf>
    <xf numFmtId="0" fontId="9" fillId="2" borderId="21" xfId="0" applyFont="1" applyFill="1" applyBorder="1">
      <alignment vertical="center"/>
    </xf>
    <xf numFmtId="0" fontId="9" fillId="2" borderId="0" xfId="0" applyFont="1" applyFill="1" applyAlignment="1">
      <alignment horizontal="left" vertical="center"/>
    </xf>
    <xf numFmtId="0" fontId="9" fillId="2" borderId="29" xfId="0" applyFont="1" applyFill="1" applyBorder="1" applyAlignment="1">
      <alignment horizontal="left" vertical="center"/>
    </xf>
    <xf numFmtId="3" fontId="19" fillId="2" borderId="21" xfId="13" applyNumberFormat="1" applyFill="1" applyBorder="1" applyAlignment="1"/>
    <xf numFmtId="0" fontId="9" fillId="2" borderId="21" xfId="13" applyFont="1" applyFill="1" applyBorder="1" applyAlignment="1">
      <alignment horizontal="left" vertical="center"/>
    </xf>
    <xf numFmtId="3" fontId="19" fillId="11" borderId="21" xfId="13" applyNumberFormat="1" applyFill="1" applyBorder="1" applyAlignment="1"/>
    <xf numFmtId="0" fontId="9" fillId="11" borderId="21" xfId="13" applyFont="1" applyFill="1" applyBorder="1" applyAlignment="1">
      <alignment horizontal="left" vertical="center"/>
    </xf>
    <xf numFmtId="0" fontId="9" fillId="11" borderId="0" xfId="0" applyFont="1" applyFill="1" applyAlignment="1">
      <alignment horizontal="left" vertical="center"/>
    </xf>
    <xf numFmtId="0" fontId="9" fillId="4" borderId="0" xfId="0" applyFont="1" applyFill="1" applyAlignment="1">
      <alignment horizontal="left" vertical="center"/>
    </xf>
    <xf numFmtId="179" fontId="9" fillId="0" borderId="0" xfId="0" applyNumberFormat="1" applyFont="1">
      <alignment vertical="center"/>
    </xf>
    <xf numFmtId="176" fontId="10" fillId="0" borderId="1" xfId="1" applyNumberFormat="1" applyFont="1" applyFill="1" applyBorder="1">
      <alignment vertical="center"/>
    </xf>
    <xf numFmtId="0" fontId="24" fillId="0" borderId="0" xfId="0" applyFont="1" applyAlignment="1">
      <alignment vertical="center" wrapText="1"/>
    </xf>
    <xf numFmtId="0" fontId="25" fillId="0" borderId="0" xfId="0" applyFont="1">
      <alignment vertical="center"/>
    </xf>
    <xf numFmtId="179" fontId="6" fillId="0" borderId="1" xfId="2" applyNumberFormat="1" applyFont="1" applyBorder="1" applyAlignment="1">
      <alignment horizontal="center" vertical="center"/>
    </xf>
    <xf numFmtId="41" fontId="0" fillId="0" borderId="0" xfId="1" applyFont="1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177" fontId="6" fillId="0" borderId="14" xfId="3" applyNumberFormat="1" applyFont="1" applyFill="1" applyBorder="1" applyAlignment="1">
      <alignment horizontal="center" vertical="center"/>
    </xf>
    <xf numFmtId="14" fontId="10" fillId="0" borderId="1" xfId="0" applyNumberFormat="1" applyFont="1" applyBorder="1">
      <alignment vertical="center"/>
    </xf>
    <xf numFmtId="0" fontId="27" fillId="0" borderId="2" xfId="2" applyFont="1" applyBorder="1" applyAlignment="1">
      <alignment horizontal="center" vertical="center" wrapText="1"/>
    </xf>
    <xf numFmtId="0" fontId="28" fillId="0" borderId="14" xfId="2" applyFont="1" applyBorder="1" applyAlignment="1">
      <alignment horizontal="center" vertical="center"/>
    </xf>
    <xf numFmtId="178" fontId="28" fillId="0" borderId="1" xfId="2" applyNumberFormat="1" applyFont="1" applyBorder="1" applyAlignment="1">
      <alignment horizontal="center" vertical="center"/>
    </xf>
    <xf numFmtId="178" fontId="28" fillId="0" borderId="11" xfId="2" applyNumberFormat="1" applyFont="1" applyBorder="1" applyAlignment="1">
      <alignment horizontal="center" vertical="center"/>
    </xf>
    <xf numFmtId="176" fontId="28" fillId="0" borderId="1" xfId="3" applyNumberFormat="1" applyFont="1" applyFill="1" applyBorder="1" applyAlignment="1">
      <alignment horizontal="center" vertical="center"/>
    </xf>
    <xf numFmtId="179" fontId="28" fillId="0" borderId="1" xfId="4" applyNumberFormat="1" applyFont="1" applyFill="1" applyBorder="1" applyAlignment="1">
      <alignment horizontal="right" vertical="center"/>
    </xf>
    <xf numFmtId="6" fontId="28" fillId="0" borderId="1" xfId="2" applyNumberFormat="1" applyFont="1" applyBorder="1" applyAlignment="1">
      <alignment horizontal="right" vertical="center"/>
    </xf>
    <xf numFmtId="6" fontId="29" fillId="0" borderId="1" xfId="2" applyNumberFormat="1" applyFont="1" applyBorder="1" applyAlignment="1">
      <alignment horizontal="left"/>
    </xf>
    <xf numFmtId="0" fontId="30" fillId="0" borderId="14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0" xfId="0" applyFont="1">
      <alignment vertical="center"/>
    </xf>
    <xf numFmtId="0" fontId="27" fillId="0" borderId="16" xfId="2" applyFont="1" applyBorder="1" applyAlignment="1">
      <alignment horizontal="center" vertical="center" wrapText="1"/>
    </xf>
    <xf numFmtId="0" fontId="28" fillId="9" borderId="14" xfId="2" applyFont="1" applyFill="1" applyBorder="1" applyAlignment="1">
      <alignment horizontal="center" vertical="center"/>
    </xf>
    <xf numFmtId="178" fontId="28" fillId="9" borderId="1" xfId="2" applyNumberFormat="1" applyFont="1" applyFill="1" applyBorder="1" applyAlignment="1">
      <alignment horizontal="center" vertical="center"/>
    </xf>
    <xf numFmtId="178" fontId="28" fillId="9" borderId="11" xfId="2" applyNumberFormat="1" applyFont="1" applyFill="1" applyBorder="1" applyAlignment="1">
      <alignment horizontal="center" vertical="center"/>
    </xf>
    <xf numFmtId="176" fontId="28" fillId="9" borderId="1" xfId="3" applyNumberFormat="1" applyFont="1" applyFill="1" applyBorder="1" applyAlignment="1">
      <alignment horizontal="center" vertical="center"/>
    </xf>
    <xf numFmtId="179" fontId="28" fillId="9" borderId="1" xfId="4" applyNumberFormat="1" applyFont="1" applyFill="1" applyBorder="1" applyAlignment="1">
      <alignment horizontal="right" vertical="center"/>
    </xf>
    <xf numFmtId="6" fontId="28" fillId="9" borderId="1" xfId="2" applyNumberFormat="1" applyFont="1" applyFill="1" applyBorder="1" applyAlignment="1">
      <alignment horizontal="right" vertical="center"/>
    </xf>
    <xf numFmtId="6" fontId="29" fillId="9" borderId="1" xfId="2" applyNumberFormat="1" applyFont="1" applyFill="1" applyBorder="1" applyAlignment="1">
      <alignment horizontal="left"/>
    </xf>
    <xf numFmtId="0" fontId="28" fillId="10" borderId="14" xfId="2" applyFont="1" applyFill="1" applyBorder="1" applyAlignment="1">
      <alignment horizontal="center" vertical="center"/>
    </xf>
    <xf numFmtId="178" fontId="28" fillId="10" borderId="1" xfId="2" applyNumberFormat="1" applyFont="1" applyFill="1" applyBorder="1" applyAlignment="1">
      <alignment horizontal="center" vertical="center"/>
    </xf>
    <xf numFmtId="178" fontId="28" fillId="10" borderId="11" xfId="2" applyNumberFormat="1" applyFont="1" applyFill="1" applyBorder="1" applyAlignment="1">
      <alignment horizontal="center" vertical="center"/>
    </xf>
    <xf numFmtId="176" fontId="28" fillId="10" borderId="1" xfId="3" applyNumberFormat="1" applyFont="1" applyFill="1" applyBorder="1" applyAlignment="1">
      <alignment horizontal="center" vertical="center"/>
    </xf>
    <xf numFmtId="179" fontId="28" fillId="10" borderId="1" xfId="4" applyNumberFormat="1" applyFont="1" applyFill="1" applyBorder="1" applyAlignment="1">
      <alignment horizontal="right" vertical="center"/>
    </xf>
    <xf numFmtId="6" fontId="28" fillId="10" borderId="1" xfId="2" applyNumberFormat="1" applyFont="1" applyFill="1" applyBorder="1" applyAlignment="1">
      <alignment horizontal="right" vertical="center"/>
    </xf>
    <xf numFmtId="0" fontId="27" fillId="2" borderId="1" xfId="2" applyFont="1" applyFill="1" applyBorder="1" applyAlignment="1">
      <alignment horizontal="center" vertical="center" wrapText="1"/>
    </xf>
    <xf numFmtId="0" fontId="27" fillId="2" borderId="22" xfId="2" applyFont="1" applyFill="1" applyBorder="1" applyAlignment="1">
      <alignment horizontal="center" vertical="center" wrapText="1"/>
    </xf>
    <xf numFmtId="0" fontId="27" fillId="2" borderId="14" xfId="2" applyFont="1" applyFill="1" applyBorder="1" applyAlignment="1">
      <alignment horizontal="center" vertical="center" wrapText="1"/>
    </xf>
    <xf numFmtId="179" fontId="27" fillId="2" borderId="14" xfId="4" applyNumberFormat="1" applyFont="1" applyFill="1" applyBorder="1" applyAlignment="1">
      <alignment horizontal="right" vertical="center"/>
    </xf>
    <xf numFmtId="6" fontId="27" fillId="2" borderId="1" xfId="2" applyNumberFormat="1" applyFont="1" applyFill="1" applyBorder="1" applyAlignment="1">
      <alignment horizontal="right" vertical="center"/>
    </xf>
    <xf numFmtId="0" fontId="28" fillId="0" borderId="27" xfId="2" applyFont="1" applyBorder="1" applyAlignment="1">
      <alignment horizontal="center" vertical="center"/>
    </xf>
    <xf numFmtId="179" fontId="31" fillId="0" borderId="1" xfId="4" applyNumberFormat="1" applyFont="1" applyFill="1" applyBorder="1" applyAlignment="1">
      <alignment horizontal="right" vertical="center"/>
    </xf>
    <xf numFmtId="41" fontId="32" fillId="0" borderId="1" xfId="0" applyNumberFormat="1" applyFont="1" applyBorder="1" applyAlignment="1">
      <alignment horizontal="left" vertical="center"/>
    </xf>
    <xf numFmtId="0" fontId="32" fillId="0" borderId="0" xfId="0" applyFont="1">
      <alignment vertical="center"/>
    </xf>
    <xf numFmtId="0" fontId="28" fillId="9" borderId="27" xfId="2" applyFont="1" applyFill="1" applyBorder="1" applyAlignment="1">
      <alignment horizontal="center" vertical="center"/>
    </xf>
    <xf numFmtId="179" fontId="31" fillId="9" borderId="1" xfId="4" applyNumberFormat="1" applyFont="1" applyFill="1" applyBorder="1" applyAlignment="1">
      <alignment horizontal="right" vertical="center"/>
    </xf>
    <xf numFmtId="41" fontId="32" fillId="9" borderId="1" xfId="0" applyNumberFormat="1" applyFont="1" applyFill="1" applyBorder="1" applyAlignment="1">
      <alignment horizontal="left" vertical="center"/>
    </xf>
    <xf numFmtId="178" fontId="33" fillId="9" borderId="11" xfId="2" applyNumberFormat="1" applyFont="1" applyFill="1" applyBorder="1" applyAlignment="1">
      <alignment horizontal="center" vertical="center"/>
    </xf>
    <xf numFmtId="178" fontId="31" fillId="9" borderId="11" xfId="2" applyNumberFormat="1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179" fontId="27" fillId="2" borderId="1" xfId="4" applyNumberFormat="1" applyFont="1" applyFill="1" applyBorder="1" applyAlignment="1">
      <alignment horizontal="right" vertical="center"/>
    </xf>
    <xf numFmtId="0" fontId="32" fillId="0" borderId="0" xfId="0" applyFont="1" applyAlignment="1">
      <alignment horizontal="center" vertical="center"/>
    </xf>
    <xf numFmtId="178" fontId="31" fillId="0" borderId="2" xfId="2" applyNumberFormat="1" applyFont="1" applyBorder="1" applyAlignment="1">
      <alignment horizontal="center" vertical="center"/>
    </xf>
    <xf numFmtId="178" fontId="31" fillId="6" borderId="11" xfId="2" applyNumberFormat="1" applyFont="1" applyFill="1" applyBorder="1" applyAlignment="1">
      <alignment horizontal="center" vertical="center"/>
    </xf>
    <xf numFmtId="179" fontId="31" fillId="6" borderId="2" xfId="4" applyNumberFormat="1" applyFont="1" applyFill="1" applyBorder="1" applyAlignment="1">
      <alignment horizontal="right" vertical="center"/>
    </xf>
    <xf numFmtId="8" fontId="31" fillId="6" borderId="1" xfId="2" applyNumberFormat="1" applyFont="1" applyFill="1" applyBorder="1" applyAlignment="1">
      <alignment horizontal="left" vertical="center"/>
    </xf>
    <xf numFmtId="6" fontId="31" fillId="0" borderId="1" xfId="2" applyNumberFormat="1" applyFont="1" applyBorder="1" applyAlignment="1">
      <alignment horizontal="right" vertical="center"/>
    </xf>
    <xf numFmtId="179" fontId="31" fillId="0" borderId="2" xfId="4" applyNumberFormat="1" applyFont="1" applyFill="1" applyBorder="1" applyAlignment="1">
      <alignment horizontal="right" vertical="center"/>
    </xf>
    <xf numFmtId="8" fontId="31" fillId="0" borderId="1" xfId="2" applyNumberFormat="1" applyFont="1" applyBorder="1" applyAlignment="1">
      <alignment horizontal="left" vertical="center"/>
    </xf>
    <xf numFmtId="178" fontId="31" fillId="0" borderId="11" xfId="2" applyNumberFormat="1" applyFont="1" applyBorder="1" applyAlignment="1">
      <alignment horizontal="center" vertical="center"/>
    </xf>
    <xf numFmtId="178" fontId="31" fillId="9" borderId="2" xfId="2" applyNumberFormat="1" applyFont="1" applyFill="1" applyBorder="1" applyAlignment="1">
      <alignment horizontal="center" vertical="center"/>
    </xf>
    <xf numFmtId="179" fontId="31" fillId="9" borderId="2" xfId="4" applyNumberFormat="1" applyFont="1" applyFill="1" applyBorder="1" applyAlignment="1">
      <alignment horizontal="right" vertical="center"/>
    </xf>
    <xf numFmtId="8" fontId="31" fillId="9" borderId="1" xfId="2" applyNumberFormat="1" applyFont="1" applyFill="1" applyBorder="1" applyAlignment="1">
      <alignment horizontal="left" vertical="center"/>
    </xf>
    <xf numFmtId="6" fontId="31" fillId="9" borderId="1" xfId="2" applyNumberFormat="1" applyFont="1" applyFill="1" applyBorder="1" applyAlignment="1">
      <alignment horizontal="right" vertical="center"/>
    </xf>
    <xf numFmtId="0" fontId="27" fillId="0" borderId="1" xfId="2" applyFont="1" applyBorder="1" applyAlignment="1">
      <alignment horizontal="center" vertical="center" wrapText="1"/>
    </xf>
    <xf numFmtId="0" fontId="28" fillId="0" borderId="11" xfId="2" applyFont="1" applyBorder="1" applyAlignment="1">
      <alignment horizontal="center" vertical="center"/>
    </xf>
    <xf numFmtId="179" fontId="28" fillId="6" borderId="1" xfId="4" applyNumberFormat="1" applyFont="1" applyFill="1" applyBorder="1" applyAlignment="1">
      <alignment horizontal="right" vertical="center"/>
    </xf>
    <xf numFmtId="178" fontId="28" fillId="6" borderId="1" xfId="2" applyNumberFormat="1" applyFont="1" applyFill="1" applyBorder="1" applyAlignment="1">
      <alignment horizontal="center" vertical="center"/>
    </xf>
    <xf numFmtId="0" fontId="31" fillId="0" borderId="27" xfId="2" applyFont="1" applyBorder="1" applyAlignment="1">
      <alignment horizontal="center" vertical="center"/>
    </xf>
    <xf numFmtId="178" fontId="31" fillId="0" borderId="1" xfId="2" applyNumberFormat="1" applyFont="1" applyBorder="1" applyAlignment="1">
      <alignment horizontal="center" vertical="center"/>
    </xf>
    <xf numFmtId="6" fontId="31" fillId="0" borderId="1" xfId="2" applyNumberFormat="1" applyFont="1" applyBorder="1" applyAlignment="1">
      <alignment horizontal="left" vertical="center"/>
    </xf>
    <xf numFmtId="0" fontId="27" fillId="2" borderId="17" xfId="2" applyFont="1" applyFill="1" applyBorder="1" applyAlignment="1">
      <alignment horizontal="center" vertical="center" wrapText="1"/>
    </xf>
    <xf numFmtId="0" fontId="27" fillId="2" borderId="27" xfId="2" applyFont="1" applyFill="1" applyBorder="1" applyAlignment="1">
      <alignment horizontal="center" vertical="center" wrapText="1"/>
    </xf>
    <xf numFmtId="179" fontId="27" fillId="2" borderId="11" xfId="4" applyNumberFormat="1" applyFont="1" applyFill="1" applyBorder="1" applyAlignment="1">
      <alignment horizontal="right" vertical="center"/>
    </xf>
    <xf numFmtId="6" fontId="27" fillId="2" borderId="11" xfId="2" applyNumberFormat="1" applyFont="1" applyFill="1" applyBorder="1" applyAlignment="1">
      <alignment horizontal="right" vertical="center"/>
    </xf>
    <xf numFmtId="0" fontId="31" fillId="9" borderId="14" xfId="2" applyFont="1" applyFill="1" applyBorder="1" applyAlignment="1">
      <alignment horizontal="center" vertical="center"/>
    </xf>
    <xf numFmtId="0" fontId="31" fillId="9" borderId="1" xfId="2" applyFont="1" applyFill="1" applyBorder="1" applyAlignment="1">
      <alignment horizontal="center" vertical="center"/>
    </xf>
    <xf numFmtId="6" fontId="31" fillId="9" borderId="1" xfId="2" applyNumberFormat="1" applyFont="1" applyFill="1" applyBorder="1" applyAlignment="1">
      <alignment horizontal="left" vertical="center"/>
    </xf>
    <xf numFmtId="0" fontId="28" fillId="0" borderId="1" xfId="2" applyFont="1" applyBorder="1" applyAlignment="1">
      <alignment horizontal="center" vertical="center"/>
    </xf>
    <xf numFmtId="176" fontId="31" fillId="0" borderId="1" xfId="3" applyNumberFormat="1" applyFont="1" applyFill="1" applyBorder="1" applyAlignment="1">
      <alignment horizontal="left" vertical="center"/>
    </xf>
    <xf numFmtId="0" fontId="27" fillId="2" borderId="24" xfId="2" applyFont="1" applyFill="1" applyBorder="1" applyAlignment="1">
      <alignment horizontal="center" vertical="center" wrapText="1"/>
    </xf>
    <xf numFmtId="0" fontId="27" fillId="2" borderId="0" xfId="2" applyFont="1" applyFill="1" applyAlignment="1">
      <alignment horizontal="center" vertical="center" wrapText="1"/>
    </xf>
    <xf numFmtId="179" fontId="27" fillId="2" borderId="2" xfId="4" applyNumberFormat="1" applyFont="1" applyFill="1" applyBorder="1" applyAlignment="1">
      <alignment horizontal="right" vertical="center"/>
    </xf>
    <xf numFmtId="6" fontId="27" fillId="2" borderId="2" xfId="2" applyNumberFormat="1" applyFont="1" applyFill="1" applyBorder="1" applyAlignment="1">
      <alignment horizontal="right" vertical="center"/>
    </xf>
    <xf numFmtId="0" fontId="28" fillId="2" borderId="22" xfId="2" applyFont="1" applyFill="1" applyBorder="1" applyAlignment="1">
      <alignment horizontal="center" vertical="center" wrapText="1"/>
    </xf>
    <xf numFmtId="0" fontId="28" fillId="2" borderId="14" xfId="2" applyFont="1" applyFill="1" applyBorder="1" applyAlignment="1">
      <alignment horizontal="center" vertical="center" wrapText="1"/>
    </xf>
    <xf numFmtId="176" fontId="28" fillId="6" borderId="1" xfId="3" applyNumberFormat="1" applyFont="1" applyFill="1" applyBorder="1" applyAlignment="1">
      <alignment horizontal="center" vertical="center"/>
    </xf>
    <xf numFmtId="6" fontId="28" fillId="6" borderId="1" xfId="2" applyNumberFormat="1" applyFont="1" applyFill="1" applyBorder="1" applyAlignment="1">
      <alignment horizontal="right" vertical="center"/>
    </xf>
    <xf numFmtId="6" fontId="29" fillId="0" borderId="1" xfId="2" applyNumberFormat="1" applyFont="1" applyBorder="1" applyAlignment="1">
      <alignment horizontal="left" vertical="center"/>
    </xf>
    <xf numFmtId="176" fontId="31" fillId="0" borderId="1" xfId="3" applyNumberFormat="1" applyFont="1" applyFill="1" applyBorder="1" applyAlignment="1">
      <alignment horizontal="center" vertical="center"/>
    </xf>
    <xf numFmtId="6" fontId="33" fillId="0" borderId="1" xfId="2" applyNumberFormat="1" applyFont="1" applyBorder="1" applyAlignment="1">
      <alignment horizontal="right" vertical="center"/>
    </xf>
    <xf numFmtId="6" fontId="28" fillId="0" borderId="1" xfId="2" applyNumberFormat="1" applyFont="1" applyBorder="1" applyAlignment="1">
      <alignment horizontal="left" vertical="center"/>
    </xf>
    <xf numFmtId="178" fontId="31" fillId="9" borderId="1" xfId="2" applyNumberFormat="1" applyFont="1" applyFill="1" applyBorder="1" applyAlignment="1">
      <alignment horizontal="center" vertical="center"/>
    </xf>
    <xf numFmtId="6" fontId="28" fillId="9" borderId="1" xfId="2" applyNumberFormat="1" applyFont="1" applyFill="1" applyBorder="1" applyAlignment="1">
      <alignment horizontal="left" vertical="center"/>
    </xf>
    <xf numFmtId="6" fontId="33" fillId="9" borderId="1" xfId="2" applyNumberFormat="1" applyFont="1" applyFill="1" applyBorder="1" applyAlignment="1">
      <alignment horizontal="right" vertical="center"/>
    </xf>
    <xf numFmtId="0" fontId="34" fillId="2" borderId="22" xfId="2" applyFont="1" applyFill="1" applyBorder="1" applyAlignment="1">
      <alignment horizontal="center" vertical="center" wrapText="1"/>
    </xf>
    <xf numFmtId="0" fontId="31" fillId="0" borderId="14" xfId="2" applyFont="1" applyBorder="1" applyAlignment="1">
      <alignment horizontal="center" vertical="center"/>
    </xf>
    <xf numFmtId="0" fontId="31" fillId="0" borderId="1" xfId="2" applyFont="1" applyBorder="1" applyAlignment="1">
      <alignment horizontal="center" vertical="center"/>
    </xf>
    <xf numFmtId="41" fontId="30" fillId="0" borderId="0" xfId="1" applyFont="1">
      <alignment vertical="center"/>
    </xf>
    <xf numFmtId="183" fontId="28" fillId="0" borderId="1" xfId="3" applyNumberFormat="1" applyFont="1" applyFill="1" applyBorder="1" applyAlignment="1">
      <alignment horizontal="center" vertical="center"/>
    </xf>
    <xf numFmtId="188" fontId="31" fillId="0" borderId="1" xfId="4" applyNumberFormat="1" applyFont="1" applyFill="1" applyBorder="1" applyAlignment="1">
      <alignment horizontal="right" vertical="center"/>
    </xf>
    <xf numFmtId="178" fontId="31" fillId="10" borderId="1" xfId="2" applyNumberFormat="1" applyFont="1" applyFill="1" applyBorder="1" applyAlignment="1">
      <alignment horizontal="center" vertical="center"/>
    </xf>
    <xf numFmtId="178" fontId="31" fillId="10" borderId="11" xfId="2" applyNumberFormat="1" applyFont="1" applyFill="1" applyBorder="1" applyAlignment="1">
      <alignment horizontal="center" vertical="center"/>
    </xf>
    <xf numFmtId="183" fontId="28" fillId="10" borderId="1" xfId="3" applyNumberFormat="1" applyFont="1" applyFill="1" applyBorder="1" applyAlignment="1">
      <alignment horizontal="center" vertical="center"/>
    </xf>
    <xf numFmtId="188" fontId="31" fillId="10" borderId="1" xfId="4" applyNumberFormat="1" applyFont="1" applyFill="1" applyBorder="1" applyAlignment="1">
      <alignment horizontal="right" vertical="center"/>
    </xf>
    <xf numFmtId="176" fontId="31" fillId="10" borderId="1" xfId="3" applyNumberFormat="1" applyFont="1" applyFill="1" applyBorder="1" applyAlignment="1">
      <alignment horizontal="left" vertical="center"/>
    </xf>
    <xf numFmtId="183" fontId="28" fillId="9" borderId="1" xfId="3" applyNumberFormat="1" applyFont="1" applyFill="1" applyBorder="1" applyAlignment="1">
      <alignment horizontal="center" vertical="center"/>
    </xf>
    <xf numFmtId="188" fontId="31" fillId="9" borderId="1" xfId="4" applyNumberFormat="1" applyFont="1" applyFill="1" applyBorder="1" applyAlignment="1">
      <alignment horizontal="right" vertical="center"/>
    </xf>
    <xf numFmtId="176" fontId="31" fillId="9" borderId="1" xfId="3" applyNumberFormat="1" applyFont="1" applyFill="1" applyBorder="1" applyAlignment="1">
      <alignment horizontal="left" vertical="center"/>
    </xf>
    <xf numFmtId="180" fontId="27" fillId="2" borderId="2" xfId="4" applyNumberFormat="1" applyFont="1" applyFill="1" applyBorder="1" applyAlignment="1">
      <alignment horizontal="right" vertical="center"/>
    </xf>
    <xf numFmtId="0" fontId="27" fillId="6" borderId="16" xfId="2" applyFont="1" applyFill="1" applyBorder="1" applyAlignment="1">
      <alignment horizontal="center" vertical="center" wrapText="1"/>
    </xf>
    <xf numFmtId="0" fontId="30" fillId="12" borderId="0" xfId="0" applyFont="1" applyFill="1" applyAlignment="1">
      <alignment horizontal="center" vertical="center"/>
    </xf>
    <xf numFmtId="41" fontId="30" fillId="12" borderId="0" xfId="1" applyFont="1" applyFill="1">
      <alignment vertical="center"/>
    </xf>
    <xf numFmtId="0" fontId="30" fillId="12" borderId="0" xfId="0" applyFont="1" applyFill="1">
      <alignment vertical="center"/>
    </xf>
    <xf numFmtId="0" fontId="27" fillId="0" borderId="24" xfId="2" applyFont="1" applyBorder="1" applyAlignment="1">
      <alignment vertical="center" wrapText="1"/>
    </xf>
    <xf numFmtId="0" fontId="27" fillId="0" borderId="0" xfId="2" applyFont="1" applyAlignment="1">
      <alignment vertical="center" wrapText="1"/>
    </xf>
    <xf numFmtId="179" fontId="27" fillId="0" borderId="4" xfId="2" applyNumberFormat="1" applyFont="1" applyBorder="1" applyAlignment="1">
      <alignment horizontal="center" vertical="center" wrapText="1"/>
    </xf>
    <xf numFmtId="6" fontId="27" fillId="0" borderId="4" xfId="2" applyNumberFormat="1" applyFont="1" applyBorder="1" applyAlignment="1">
      <alignment horizontal="right" vertical="center"/>
    </xf>
    <xf numFmtId="0" fontId="27" fillId="0" borderId="4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179" fontId="27" fillId="0" borderId="1" xfId="2" applyNumberFormat="1" applyFont="1" applyBorder="1" applyAlignment="1">
      <alignment horizontal="center" vertical="center" wrapText="1"/>
    </xf>
    <xf numFmtId="6" fontId="27" fillId="0" borderId="1" xfId="2" applyNumberFormat="1" applyFont="1" applyBorder="1" applyAlignment="1">
      <alignment horizontal="right" vertical="center"/>
    </xf>
    <xf numFmtId="0" fontId="27" fillId="0" borderId="1" xfId="0" applyFont="1" applyBorder="1" applyAlignment="1">
      <alignment horizontal="center" vertical="center"/>
    </xf>
    <xf numFmtId="6" fontId="27" fillId="0" borderId="7" xfId="2" applyNumberFormat="1" applyFont="1" applyBorder="1" applyAlignment="1">
      <alignment horizontal="right" vertical="center"/>
    </xf>
    <xf numFmtId="179" fontId="27" fillId="0" borderId="9" xfId="2" applyNumberFormat="1" applyFont="1" applyBorder="1" applyAlignment="1">
      <alignment horizontal="center" vertical="center" wrapText="1"/>
    </xf>
    <xf numFmtId="187" fontId="27" fillId="0" borderId="9" xfId="2" applyNumberFormat="1" applyFont="1" applyBorder="1" applyAlignment="1">
      <alignment horizontal="right" vertical="center"/>
    </xf>
    <xf numFmtId="6" fontId="27" fillId="0" borderId="9" xfId="2" applyNumberFormat="1" applyFont="1" applyBorder="1" applyAlignment="1">
      <alignment horizontal="right" vertical="center"/>
    </xf>
    <xf numFmtId="6" fontId="30" fillId="0" borderId="0" xfId="0" applyNumberFormat="1" applyFont="1" applyAlignment="1">
      <alignment horizontal="center" vertical="center"/>
    </xf>
    <xf numFmtId="176" fontId="27" fillId="0" borderId="3" xfId="3" applyNumberFormat="1" applyFont="1" applyFill="1" applyBorder="1" applyAlignment="1">
      <alignment horizontal="center" vertical="center"/>
    </xf>
    <xf numFmtId="179" fontId="27" fillId="0" borderId="4" xfId="0" applyNumberFormat="1" applyFont="1" applyBorder="1" applyAlignment="1">
      <alignment horizontal="center" vertical="center"/>
    </xf>
    <xf numFmtId="0" fontId="27" fillId="2" borderId="4" xfId="0" applyFont="1" applyFill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6" fontId="27" fillId="0" borderId="11" xfId="2" applyNumberFormat="1" applyFont="1" applyBorder="1" applyAlignment="1">
      <alignment horizontal="right" vertical="center"/>
    </xf>
    <xf numFmtId="176" fontId="27" fillId="0" borderId="6" xfId="3" applyNumberFormat="1" applyFont="1" applyFill="1" applyBorder="1" applyAlignment="1">
      <alignment horizontal="center" vertical="center"/>
    </xf>
    <xf numFmtId="176" fontId="27" fillId="0" borderId="19" xfId="3" applyNumberFormat="1" applyFont="1" applyFill="1" applyBorder="1" applyAlignment="1">
      <alignment horizontal="center" vertical="center"/>
    </xf>
    <xf numFmtId="6" fontId="27" fillId="0" borderId="19" xfId="2" applyNumberFormat="1" applyFont="1" applyBorder="1" applyAlignment="1">
      <alignment horizontal="right" vertical="center"/>
    </xf>
    <xf numFmtId="6" fontId="27" fillId="0" borderId="19" xfId="2" applyNumberFormat="1" applyFont="1" applyBorder="1" applyAlignment="1">
      <alignment horizontal="center" vertical="center"/>
    </xf>
    <xf numFmtId="176" fontId="27" fillId="0" borderId="35" xfId="3" applyNumberFormat="1" applyFont="1" applyFill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6" fontId="27" fillId="0" borderId="42" xfId="2" applyNumberFormat="1" applyFont="1" applyBorder="1" applyAlignment="1">
      <alignment horizontal="right" vertical="center"/>
    </xf>
    <xf numFmtId="176" fontId="27" fillId="0" borderId="34" xfId="3" applyNumberFormat="1" applyFont="1" applyFill="1" applyBorder="1" applyAlignment="1">
      <alignment horizontal="center" vertical="center"/>
    </xf>
    <xf numFmtId="187" fontId="27" fillId="0" borderId="11" xfId="2" applyNumberFormat="1" applyFont="1" applyBorder="1" applyAlignment="1">
      <alignment horizontal="right" vertical="center"/>
    </xf>
    <xf numFmtId="178" fontId="33" fillId="0" borderId="11" xfId="2" applyNumberFormat="1" applyFont="1" applyBorder="1" applyAlignment="1">
      <alignment horizontal="center" vertical="center"/>
    </xf>
    <xf numFmtId="178" fontId="31" fillId="0" borderId="14" xfId="2" applyNumberFormat="1" applyFont="1" applyBorder="1" applyAlignment="1">
      <alignment horizontal="center" vertical="center"/>
    </xf>
    <xf numFmtId="0" fontId="28" fillId="9" borderId="11" xfId="2" applyFont="1" applyFill="1" applyBorder="1" applyAlignment="1">
      <alignment horizontal="center" vertical="center"/>
    </xf>
    <xf numFmtId="178" fontId="31" fillId="9" borderId="43" xfId="2" applyNumberFormat="1" applyFont="1" applyFill="1" applyBorder="1" applyAlignment="1">
      <alignment horizontal="center" vertical="center"/>
    </xf>
    <xf numFmtId="0" fontId="28" fillId="10" borderId="27" xfId="2" applyFont="1" applyFill="1" applyBorder="1" applyAlignment="1">
      <alignment horizontal="center" vertical="center"/>
    </xf>
    <xf numFmtId="179" fontId="31" fillId="10" borderId="1" xfId="4" applyNumberFormat="1" applyFont="1" applyFill="1" applyBorder="1" applyAlignment="1">
      <alignment horizontal="right" vertical="center"/>
    </xf>
    <xf numFmtId="41" fontId="32" fillId="10" borderId="1" xfId="0" applyNumberFormat="1" applyFont="1" applyFill="1" applyBorder="1" applyAlignment="1">
      <alignment horizontal="left" vertical="center"/>
    </xf>
    <xf numFmtId="0" fontId="28" fillId="9" borderId="1" xfId="2" applyFont="1" applyFill="1" applyBorder="1" applyAlignment="1">
      <alignment horizontal="center" vertical="center"/>
    </xf>
    <xf numFmtId="179" fontId="27" fillId="2" borderId="16" xfId="4" applyNumberFormat="1" applyFont="1" applyFill="1" applyBorder="1" applyAlignment="1">
      <alignment horizontal="right" vertical="center"/>
    </xf>
    <xf numFmtId="6" fontId="27" fillId="2" borderId="16" xfId="2" applyNumberFormat="1" applyFont="1" applyFill="1" applyBorder="1" applyAlignment="1">
      <alignment horizontal="right" vertical="center"/>
    </xf>
    <xf numFmtId="179" fontId="27" fillId="0" borderId="11" xfId="2" applyNumberFormat="1" applyFont="1" applyBorder="1" applyAlignment="1">
      <alignment horizontal="center" vertical="center" wrapText="1"/>
    </xf>
    <xf numFmtId="6" fontId="27" fillId="0" borderId="10" xfId="2" applyNumberFormat="1" applyFont="1" applyBorder="1" applyAlignment="1">
      <alignment horizontal="right" vertical="center"/>
    </xf>
    <xf numFmtId="0" fontId="27" fillId="2" borderId="5" xfId="0" applyFont="1" applyFill="1" applyBorder="1" applyAlignment="1">
      <alignment horizontal="center" vertical="center"/>
    </xf>
    <xf numFmtId="6" fontId="27" fillId="0" borderId="45" xfId="2" applyNumberFormat="1" applyFont="1" applyBorder="1" applyAlignment="1">
      <alignment horizontal="right" vertical="center"/>
    </xf>
    <xf numFmtId="176" fontId="27" fillId="0" borderId="37" xfId="3" applyNumberFormat="1" applyFont="1" applyFill="1" applyBorder="1" applyAlignment="1">
      <alignment horizontal="center" vertical="center"/>
    </xf>
    <xf numFmtId="187" fontId="27" fillId="0" borderId="36" xfId="2" applyNumberFormat="1" applyFont="1" applyBorder="1" applyAlignment="1">
      <alignment horizontal="right" vertical="center"/>
    </xf>
    <xf numFmtId="187" fontId="27" fillId="0" borderId="46" xfId="2" applyNumberFormat="1" applyFont="1" applyBorder="1" applyAlignment="1">
      <alignment horizontal="right" vertical="center"/>
    </xf>
    <xf numFmtId="0" fontId="27" fillId="0" borderId="3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6" fontId="27" fillId="0" borderId="12" xfId="2" applyNumberFormat="1" applyFont="1" applyBorder="1" applyAlignment="1">
      <alignment horizontal="right" vertical="center"/>
    </xf>
    <xf numFmtId="0" fontId="27" fillId="0" borderId="30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6" fontId="27" fillId="0" borderId="13" xfId="2" applyNumberFormat="1" applyFont="1" applyBorder="1" applyAlignment="1">
      <alignment horizontal="right" vertical="center"/>
    </xf>
    <xf numFmtId="0" fontId="28" fillId="0" borderId="18" xfId="2" applyFont="1" applyBorder="1" applyAlignment="1">
      <alignment horizontal="center" vertical="center"/>
    </xf>
    <xf numFmtId="178" fontId="28" fillId="0" borderId="4" xfId="2" applyNumberFormat="1" applyFont="1" applyBorder="1" applyAlignment="1">
      <alignment horizontal="center" vertical="center"/>
    </xf>
    <xf numFmtId="176" fontId="28" fillId="0" borderId="4" xfId="3" applyNumberFormat="1" applyFont="1" applyFill="1" applyBorder="1" applyAlignment="1">
      <alignment horizontal="center" vertical="center"/>
    </xf>
    <xf numFmtId="179" fontId="28" fillId="0" borderId="4" xfId="4" applyNumberFormat="1" applyFont="1" applyFill="1" applyBorder="1" applyAlignment="1">
      <alignment horizontal="right" vertical="center"/>
    </xf>
    <xf numFmtId="6" fontId="28" fillId="0" borderId="4" xfId="2" applyNumberFormat="1" applyFont="1" applyBorder="1" applyAlignment="1">
      <alignment horizontal="right" vertical="center"/>
    </xf>
    <xf numFmtId="6" fontId="29" fillId="0" borderId="4" xfId="2" applyNumberFormat="1" applyFont="1" applyBorder="1" applyAlignment="1">
      <alignment horizontal="left" vertical="center"/>
    </xf>
    <xf numFmtId="6" fontId="28" fillId="0" borderId="5" xfId="2" applyNumberFormat="1" applyFont="1" applyBorder="1" applyAlignment="1">
      <alignment horizontal="right" vertical="center"/>
    </xf>
    <xf numFmtId="6" fontId="28" fillId="0" borderId="7" xfId="2" applyNumberFormat="1" applyFont="1" applyBorder="1" applyAlignment="1">
      <alignment horizontal="right" vertical="center"/>
    </xf>
    <xf numFmtId="6" fontId="31" fillId="0" borderId="7" xfId="2" applyNumberFormat="1" applyFont="1" applyBorder="1" applyAlignment="1">
      <alignment horizontal="right" vertical="center"/>
    </xf>
    <xf numFmtId="6" fontId="33" fillId="0" borderId="7" xfId="2" applyNumberFormat="1" applyFont="1" applyBorder="1" applyAlignment="1">
      <alignment horizontal="right" vertical="center"/>
    </xf>
    <xf numFmtId="6" fontId="33" fillId="9" borderId="7" xfId="2" applyNumberFormat="1" applyFont="1" applyFill="1" applyBorder="1" applyAlignment="1">
      <alignment horizontal="right" vertical="center"/>
    </xf>
    <xf numFmtId="6" fontId="31" fillId="9" borderId="7" xfId="2" applyNumberFormat="1" applyFont="1" applyFill="1" applyBorder="1" applyAlignment="1">
      <alignment horizontal="right" vertical="center"/>
    </xf>
    <xf numFmtId="0" fontId="27" fillId="2" borderId="6" xfId="2" applyFont="1" applyFill="1" applyBorder="1" applyAlignment="1">
      <alignment horizontal="center" vertical="center" wrapText="1"/>
    </xf>
    <xf numFmtId="6" fontId="27" fillId="2" borderId="7" xfId="2" applyNumberFormat="1" applyFont="1" applyFill="1" applyBorder="1" applyAlignment="1">
      <alignment horizontal="right" vertical="center"/>
    </xf>
    <xf numFmtId="0" fontId="27" fillId="0" borderId="47" xfId="2" applyFont="1" applyBorder="1" applyAlignment="1">
      <alignment horizontal="center" vertical="center" wrapText="1"/>
    </xf>
    <xf numFmtId="0" fontId="31" fillId="0" borderId="48" xfId="2" applyFont="1" applyBorder="1" applyAlignment="1">
      <alignment horizontal="center" vertical="center"/>
    </xf>
    <xf numFmtId="176" fontId="31" fillId="0" borderId="7" xfId="3" applyNumberFormat="1" applyFont="1" applyFill="1" applyBorder="1" applyAlignment="1">
      <alignment horizontal="left" vertical="center"/>
    </xf>
    <xf numFmtId="6" fontId="27" fillId="2" borderId="45" xfId="2" applyNumberFormat="1" applyFont="1" applyFill="1" applyBorder="1" applyAlignment="1">
      <alignment horizontal="right" vertical="center"/>
    </xf>
    <xf numFmtId="0" fontId="27" fillId="2" borderId="8" xfId="2" applyFont="1" applyFill="1" applyBorder="1" applyAlignment="1">
      <alignment horizontal="center" vertical="center" wrapText="1"/>
    </xf>
    <xf numFmtId="0" fontId="27" fillId="2" borderId="49" xfId="2" applyFont="1" applyFill="1" applyBorder="1" applyAlignment="1">
      <alignment horizontal="center" vertical="center" wrapText="1"/>
    </xf>
    <xf numFmtId="0" fontId="27" fillId="2" borderId="33" xfId="2" applyFont="1" applyFill="1" applyBorder="1" applyAlignment="1">
      <alignment horizontal="center" vertical="center" wrapText="1"/>
    </xf>
    <xf numFmtId="179" fontId="27" fillId="2" borderId="9" xfId="4" applyNumberFormat="1" applyFont="1" applyFill="1" applyBorder="1" applyAlignment="1">
      <alignment horizontal="right" vertical="center"/>
    </xf>
    <xf numFmtId="6" fontId="27" fillId="2" borderId="9" xfId="2" applyNumberFormat="1" applyFont="1" applyFill="1" applyBorder="1" applyAlignment="1">
      <alignment horizontal="right" vertical="center"/>
    </xf>
    <xf numFmtId="6" fontId="27" fillId="2" borderId="10" xfId="2" applyNumberFormat="1" applyFont="1" applyFill="1" applyBorder="1" applyAlignment="1">
      <alignment horizontal="right" vertical="center"/>
    </xf>
    <xf numFmtId="177" fontId="6" fillId="0" borderId="7" xfId="3" applyNumberFormat="1" applyFont="1" applyFill="1" applyBorder="1" applyAlignment="1">
      <alignment horizontal="center" vertical="center"/>
    </xf>
    <xf numFmtId="6" fontId="28" fillId="9" borderId="7" xfId="2" applyNumberFormat="1" applyFont="1" applyFill="1" applyBorder="1" applyAlignment="1">
      <alignment horizontal="right" vertical="center"/>
    </xf>
    <xf numFmtId="6" fontId="28" fillId="10" borderId="7" xfId="2" applyNumberFormat="1" applyFont="1" applyFill="1" applyBorder="1" applyAlignment="1">
      <alignment horizontal="right" vertical="center"/>
    </xf>
    <xf numFmtId="178" fontId="28" fillId="6" borderId="7" xfId="2" applyNumberFormat="1" applyFont="1" applyFill="1" applyBorder="1" applyAlignment="1">
      <alignment horizontal="center" vertical="center"/>
    </xf>
    <xf numFmtId="178" fontId="28" fillId="9" borderId="7" xfId="2" applyNumberFormat="1" applyFont="1" applyFill="1" applyBorder="1" applyAlignment="1">
      <alignment horizontal="center" vertical="center"/>
    </xf>
    <xf numFmtId="0" fontId="28" fillId="9" borderId="42" xfId="2" applyFont="1" applyFill="1" applyBorder="1" applyAlignment="1">
      <alignment horizontal="center" vertical="center"/>
    </xf>
    <xf numFmtId="176" fontId="31" fillId="9" borderId="7" xfId="3" applyNumberFormat="1" applyFont="1" applyFill="1" applyBorder="1" applyAlignment="1">
      <alignment horizontal="left" vertical="center"/>
    </xf>
    <xf numFmtId="0" fontId="27" fillId="2" borderId="54" xfId="2" applyFont="1" applyFill="1" applyBorder="1" applyAlignment="1">
      <alignment horizontal="center" vertical="center" wrapText="1"/>
    </xf>
    <xf numFmtId="6" fontId="27" fillId="2" borderId="55" xfId="2" applyNumberFormat="1" applyFont="1" applyFill="1" applyBorder="1" applyAlignment="1">
      <alignment horizontal="right" vertical="center"/>
    </xf>
    <xf numFmtId="0" fontId="28" fillId="2" borderId="49" xfId="2" applyFont="1" applyFill="1" applyBorder="1" applyAlignment="1">
      <alignment horizontal="center" vertical="center" wrapText="1"/>
    </xf>
    <xf numFmtId="0" fontId="28" fillId="2" borderId="33" xfId="2" applyFont="1" applyFill="1" applyBorder="1" applyAlignment="1">
      <alignment horizontal="center" vertical="center" wrapText="1"/>
    </xf>
    <xf numFmtId="178" fontId="33" fillId="9" borderId="1" xfId="2" applyNumberFormat="1" applyFont="1" applyFill="1" applyBorder="1" applyAlignment="1">
      <alignment horizontal="center" vertical="center"/>
    </xf>
    <xf numFmtId="176" fontId="31" fillId="10" borderId="7" xfId="3" applyNumberFormat="1" applyFont="1" applyFill="1" applyBorder="1" applyAlignment="1">
      <alignment horizontal="left" vertical="center"/>
    </xf>
    <xf numFmtId="179" fontId="28" fillId="9" borderId="2" xfId="4" applyNumberFormat="1" applyFont="1" applyFill="1" applyBorder="1" applyAlignment="1">
      <alignment horizontal="right" vertical="center"/>
    </xf>
    <xf numFmtId="0" fontId="31" fillId="10" borderId="14" xfId="2" applyFont="1" applyFill="1" applyBorder="1" applyAlignment="1">
      <alignment horizontal="center" vertical="center"/>
    </xf>
    <xf numFmtId="0" fontId="28" fillId="10" borderId="11" xfId="2" applyFont="1" applyFill="1" applyBorder="1" applyAlignment="1">
      <alignment horizontal="center" vertical="center"/>
    </xf>
    <xf numFmtId="0" fontId="28" fillId="10" borderId="42" xfId="2" applyFont="1" applyFill="1" applyBorder="1" applyAlignment="1">
      <alignment horizontal="center" vertical="center"/>
    </xf>
    <xf numFmtId="178" fontId="31" fillId="0" borderId="27" xfId="2" applyNumberFormat="1" applyFont="1" applyBorder="1" applyAlignment="1">
      <alignment horizontal="center" vertical="center"/>
    </xf>
    <xf numFmtId="179" fontId="28" fillId="0" borderId="2" xfId="4" applyNumberFormat="1" applyFont="1" applyFill="1" applyBorder="1" applyAlignment="1">
      <alignment horizontal="right" vertical="center"/>
    </xf>
    <xf numFmtId="176" fontId="27" fillId="0" borderId="0" xfId="3" applyNumberFormat="1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41" fontId="27" fillId="0" borderId="0" xfId="1" applyFont="1" applyFill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6" fontId="34" fillId="0" borderId="42" xfId="2" applyNumberFormat="1" applyFont="1" applyBorder="1" applyAlignment="1">
      <alignment horizontal="right" vertical="center"/>
    </xf>
    <xf numFmtId="6" fontId="34" fillId="0" borderId="7" xfId="2" applyNumberFormat="1" applyFont="1" applyBorder="1" applyAlignment="1">
      <alignment horizontal="right" vertical="center"/>
    </xf>
    <xf numFmtId="176" fontId="27" fillId="17" borderId="3" xfId="3" applyNumberFormat="1" applyFont="1" applyFill="1" applyBorder="1" applyAlignment="1">
      <alignment horizontal="center" vertical="center"/>
    </xf>
    <xf numFmtId="179" fontId="27" fillId="17" borderId="4" xfId="0" applyNumberFormat="1" applyFont="1" applyFill="1" applyBorder="1" applyAlignment="1">
      <alignment horizontal="center" vertical="center"/>
    </xf>
    <xf numFmtId="0" fontId="27" fillId="17" borderId="4" xfId="0" applyFont="1" applyFill="1" applyBorder="1" applyAlignment="1">
      <alignment horizontal="center" vertical="center"/>
    </xf>
    <xf numFmtId="176" fontId="39" fillId="0" borderId="35" xfId="3" applyNumberFormat="1" applyFont="1" applyFill="1" applyBorder="1" applyAlignment="1">
      <alignment horizontal="center" vertical="center"/>
    </xf>
    <xf numFmtId="0" fontId="40" fillId="6" borderId="47" xfId="2" applyFont="1" applyFill="1" applyBorder="1" applyAlignment="1">
      <alignment horizontal="center" vertical="center" wrapText="1"/>
    </xf>
    <xf numFmtId="0" fontId="41" fillId="0" borderId="1" xfId="2" applyFont="1" applyBorder="1" applyAlignment="1">
      <alignment horizontal="center" vertical="center"/>
    </xf>
    <xf numFmtId="178" fontId="41" fillId="0" borderId="1" xfId="2" applyNumberFormat="1" applyFont="1" applyBorder="1" applyAlignment="1">
      <alignment horizontal="center" vertical="center"/>
    </xf>
    <xf numFmtId="178" fontId="41" fillId="0" borderId="11" xfId="2" applyNumberFormat="1" applyFont="1" applyBorder="1" applyAlignment="1">
      <alignment horizontal="center" vertical="center"/>
    </xf>
    <xf numFmtId="176" fontId="41" fillId="0" borderId="1" xfId="3" applyNumberFormat="1" applyFont="1" applyFill="1" applyBorder="1" applyAlignment="1">
      <alignment horizontal="center" vertical="center"/>
    </xf>
    <xf numFmtId="179" fontId="41" fillId="0" borderId="1" xfId="4" applyNumberFormat="1" applyFont="1" applyFill="1" applyBorder="1" applyAlignment="1">
      <alignment horizontal="right" vertical="center"/>
    </xf>
    <xf numFmtId="6" fontId="41" fillId="0" borderId="1" xfId="2" applyNumberFormat="1" applyFont="1" applyBorder="1" applyAlignment="1">
      <alignment horizontal="right" vertical="center"/>
    </xf>
    <xf numFmtId="176" fontId="41" fillId="0" borderId="1" xfId="3" applyNumberFormat="1" applyFont="1" applyFill="1" applyBorder="1" applyAlignment="1">
      <alignment horizontal="left" vertical="center"/>
    </xf>
    <xf numFmtId="176" fontId="41" fillId="0" borderId="7" xfId="3" applyNumberFormat="1" applyFont="1" applyFill="1" applyBorder="1" applyAlignment="1">
      <alignment horizontal="left" vertical="center"/>
    </xf>
    <xf numFmtId="41" fontId="42" fillId="12" borderId="0" xfId="1" applyFont="1" applyFill="1">
      <alignment vertical="center"/>
    </xf>
    <xf numFmtId="0" fontId="42" fillId="12" borderId="0" xfId="0" applyFont="1" applyFill="1">
      <alignment vertical="center"/>
    </xf>
    <xf numFmtId="6" fontId="40" fillId="0" borderId="19" xfId="2" applyNumberFormat="1" applyFont="1" applyBorder="1" applyAlignment="1">
      <alignment horizontal="right" vertical="center"/>
    </xf>
    <xf numFmtId="6" fontId="40" fillId="0" borderId="45" xfId="2" applyNumberFormat="1" applyFont="1" applyBorder="1" applyAlignment="1">
      <alignment horizontal="right" vertical="center"/>
    </xf>
    <xf numFmtId="17" fontId="28" fillId="0" borderId="27" xfId="2" applyNumberFormat="1" applyFont="1" applyBorder="1" applyAlignment="1">
      <alignment horizontal="center" vertical="center"/>
    </xf>
    <xf numFmtId="0" fontId="27" fillId="0" borderId="50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34" fillId="0" borderId="41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6" fontId="27" fillId="0" borderId="59" xfId="2" applyNumberFormat="1" applyFont="1" applyBorder="1" applyAlignment="1">
      <alignment horizontal="center" vertical="center"/>
    </xf>
    <xf numFmtId="189" fontId="28" fillId="0" borderId="1" xfId="2" applyNumberFormat="1" applyFont="1" applyBorder="1" applyAlignment="1">
      <alignment horizontal="center" vertical="center"/>
    </xf>
    <xf numFmtId="189" fontId="28" fillId="9" borderId="1" xfId="2" applyNumberFormat="1" applyFont="1" applyFill="1" applyBorder="1" applyAlignment="1">
      <alignment horizontal="center" vertical="center"/>
    </xf>
    <xf numFmtId="178" fontId="28" fillId="0" borderId="7" xfId="2" applyNumberFormat="1" applyFont="1" applyBorder="1" applyAlignment="1">
      <alignment horizontal="center" vertical="center"/>
    </xf>
    <xf numFmtId="178" fontId="31" fillId="9" borderId="27" xfId="2" applyNumberFormat="1" applyFont="1" applyFill="1" applyBorder="1" applyAlignment="1">
      <alignment horizontal="center" vertical="center"/>
    </xf>
    <xf numFmtId="0" fontId="31" fillId="9" borderId="48" xfId="2" applyFont="1" applyFill="1" applyBorder="1" applyAlignment="1">
      <alignment horizontal="center" vertical="center"/>
    </xf>
    <xf numFmtId="189" fontId="28" fillId="10" borderId="1" xfId="2" applyNumberFormat="1" applyFont="1" applyFill="1" applyBorder="1" applyAlignment="1">
      <alignment horizontal="center" vertical="center"/>
    </xf>
    <xf numFmtId="178" fontId="31" fillId="10" borderId="2" xfId="2" applyNumberFormat="1" applyFont="1" applyFill="1" applyBorder="1" applyAlignment="1">
      <alignment horizontal="center" vertical="center"/>
    </xf>
    <xf numFmtId="179" fontId="31" fillId="10" borderId="2" xfId="4" applyNumberFormat="1" applyFont="1" applyFill="1" applyBorder="1" applyAlignment="1">
      <alignment horizontal="right" vertical="center"/>
    </xf>
    <xf numFmtId="8" fontId="31" fillId="10" borderId="1" xfId="2" applyNumberFormat="1" applyFont="1" applyFill="1" applyBorder="1" applyAlignment="1">
      <alignment horizontal="left" vertical="center"/>
    </xf>
    <xf numFmtId="6" fontId="31" fillId="10" borderId="7" xfId="2" applyNumberFormat="1" applyFont="1" applyFill="1" applyBorder="1" applyAlignment="1">
      <alignment horizontal="right" vertical="center"/>
    </xf>
    <xf numFmtId="0" fontId="28" fillId="0" borderId="42" xfId="2" applyFont="1" applyBorder="1" applyAlignment="1">
      <alignment horizontal="center" vertical="center"/>
    </xf>
    <xf numFmtId="17" fontId="28" fillId="9" borderId="27" xfId="2" applyNumberFormat="1" applyFont="1" applyFill="1" applyBorder="1" applyAlignment="1">
      <alignment horizontal="center" vertical="center"/>
    </xf>
    <xf numFmtId="0" fontId="40" fillId="6" borderId="40" xfId="2" applyFont="1" applyFill="1" applyBorder="1" applyAlignment="1">
      <alignment horizontal="center" vertical="center" wrapText="1"/>
    </xf>
    <xf numFmtId="0" fontId="41" fillId="0" borderId="11" xfId="2" applyFont="1" applyBorder="1" applyAlignment="1">
      <alignment horizontal="center" vertical="center"/>
    </xf>
    <xf numFmtId="176" fontId="41" fillId="0" borderId="11" xfId="3" applyNumberFormat="1" applyFont="1" applyFill="1" applyBorder="1" applyAlignment="1">
      <alignment horizontal="center" vertical="center"/>
    </xf>
    <xf numFmtId="179" fontId="41" fillId="0" borderId="11" xfId="4" applyNumberFormat="1" applyFont="1" applyFill="1" applyBorder="1" applyAlignment="1">
      <alignment horizontal="right" vertical="center"/>
    </xf>
    <xf numFmtId="6" fontId="41" fillId="0" borderId="11" xfId="2" applyNumberFormat="1" applyFont="1" applyBorder="1" applyAlignment="1">
      <alignment horizontal="right" vertical="center"/>
    </xf>
    <xf numFmtId="176" fontId="41" fillId="0" borderId="11" xfId="3" applyNumberFormat="1" applyFont="1" applyFill="1" applyBorder="1" applyAlignment="1">
      <alignment horizontal="left" vertical="center"/>
    </xf>
    <xf numFmtId="176" fontId="41" fillId="0" borderId="42" xfId="3" applyNumberFormat="1" applyFont="1" applyFill="1" applyBorder="1" applyAlignment="1">
      <alignment horizontal="left" vertical="center"/>
    </xf>
    <xf numFmtId="180" fontId="27" fillId="2" borderId="9" xfId="4" applyNumberFormat="1" applyFont="1" applyFill="1" applyBorder="1" applyAlignment="1">
      <alignment horizontal="right" vertical="center"/>
    </xf>
    <xf numFmtId="0" fontId="31" fillId="0" borderId="11" xfId="2" applyFont="1" applyBorder="1" applyAlignment="1">
      <alignment horizontal="center" vertical="center"/>
    </xf>
    <xf numFmtId="176" fontId="28" fillId="0" borderId="11" xfId="3" applyNumberFormat="1" applyFont="1" applyFill="1" applyBorder="1" applyAlignment="1">
      <alignment horizontal="center" vertical="center"/>
    </xf>
    <xf numFmtId="179" fontId="31" fillId="0" borderId="11" xfId="4" applyNumberFormat="1" applyFont="1" applyFill="1" applyBorder="1" applyAlignment="1">
      <alignment horizontal="right" vertical="center"/>
    </xf>
    <xf numFmtId="6" fontId="28" fillId="0" borderId="11" xfId="2" applyNumberFormat="1" applyFont="1" applyBorder="1" applyAlignment="1">
      <alignment horizontal="right" vertical="center"/>
    </xf>
    <xf numFmtId="6" fontId="31" fillId="0" borderId="11" xfId="2" applyNumberFormat="1" applyFont="1" applyBorder="1" applyAlignment="1">
      <alignment horizontal="left" vertical="center"/>
    </xf>
    <xf numFmtId="6" fontId="31" fillId="0" borderId="42" xfId="2" applyNumberFormat="1" applyFont="1" applyBorder="1" applyAlignment="1">
      <alignment horizontal="right" vertical="center"/>
    </xf>
    <xf numFmtId="0" fontId="27" fillId="2" borderId="30" xfId="2" applyFont="1" applyFill="1" applyBorder="1" applyAlignment="1">
      <alignment horizontal="center" vertical="center" wrapText="1"/>
    </xf>
    <xf numFmtId="0" fontId="27" fillId="2" borderId="31" xfId="2" applyFont="1" applyFill="1" applyBorder="1" applyAlignment="1">
      <alignment horizontal="center" vertical="center" wrapText="1"/>
    </xf>
    <xf numFmtId="179" fontId="27" fillId="2" borderId="36" xfId="4" applyNumberFormat="1" applyFont="1" applyFill="1" applyBorder="1" applyAlignment="1">
      <alignment horizontal="right" vertical="center"/>
    </xf>
    <xf numFmtId="6" fontId="27" fillId="2" borderId="36" xfId="2" applyNumberFormat="1" applyFont="1" applyFill="1" applyBorder="1" applyAlignment="1">
      <alignment horizontal="right" vertical="center"/>
    </xf>
    <xf numFmtId="6" fontId="27" fillId="2" borderId="13" xfId="2" applyNumberFormat="1" applyFont="1" applyFill="1" applyBorder="1" applyAlignment="1">
      <alignment horizontal="right" vertical="center"/>
    </xf>
    <xf numFmtId="0" fontId="27" fillId="0" borderId="40" xfId="2" applyFont="1" applyBorder="1" applyAlignment="1">
      <alignment horizontal="center" vertical="center" wrapText="1"/>
    </xf>
    <xf numFmtId="178" fontId="28" fillId="9" borderId="2" xfId="2" applyNumberFormat="1" applyFont="1" applyFill="1" applyBorder="1" applyAlignment="1">
      <alignment horizontal="center" vertical="center"/>
    </xf>
    <xf numFmtId="178" fontId="28" fillId="9" borderId="27" xfId="2" applyNumberFormat="1" applyFont="1" applyFill="1" applyBorder="1" applyAlignment="1">
      <alignment horizontal="center" vertical="center"/>
    </xf>
    <xf numFmtId="6" fontId="28" fillId="9" borderId="1" xfId="2" applyNumberFormat="1" applyFont="1" applyFill="1" applyBorder="1" applyAlignment="1">
      <alignment horizontal="left"/>
    </xf>
    <xf numFmtId="0" fontId="41" fillId="10" borderId="11" xfId="2" applyFont="1" applyFill="1" applyBorder="1" applyAlignment="1">
      <alignment horizontal="center" vertical="center"/>
    </xf>
    <xf numFmtId="178" fontId="41" fillId="10" borderId="11" xfId="2" applyNumberFormat="1" applyFont="1" applyFill="1" applyBorder="1" applyAlignment="1">
      <alignment horizontal="center" vertical="center"/>
    </xf>
    <xf numFmtId="176" fontId="41" fillId="10" borderId="11" xfId="3" applyNumberFormat="1" applyFont="1" applyFill="1" applyBorder="1" applyAlignment="1">
      <alignment horizontal="center" vertical="center"/>
    </xf>
    <xf numFmtId="179" fontId="41" fillId="10" borderId="11" xfId="4" applyNumberFormat="1" applyFont="1" applyFill="1" applyBorder="1" applyAlignment="1">
      <alignment horizontal="right" vertical="center"/>
    </xf>
    <xf numFmtId="6" fontId="41" fillId="10" borderId="11" xfId="2" applyNumberFormat="1" applyFont="1" applyFill="1" applyBorder="1" applyAlignment="1">
      <alignment horizontal="right" vertical="center"/>
    </xf>
    <xf numFmtId="176" fontId="41" fillId="10" borderId="11" xfId="3" applyNumberFormat="1" applyFont="1" applyFill="1" applyBorder="1" applyAlignment="1">
      <alignment horizontal="left" vertical="center"/>
    </xf>
    <xf numFmtId="176" fontId="41" fillId="10" borderId="42" xfId="3" applyNumberFormat="1" applyFont="1" applyFill="1" applyBorder="1" applyAlignment="1">
      <alignment horizontal="left" vertical="center"/>
    </xf>
    <xf numFmtId="0" fontId="27" fillId="2" borderId="60" xfId="2" applyFont="1" applyFill="1" applyBorder="1" applyAlignment="1">
      <alignment horizontal="center" vertical="center" wrapText="1"/>
    </xf>
    <xf numFmtId="0" fontId="27" fillId="0" borderId="52" xfId="2" applyFont="1" applyBorder="1" applyAlignment="1">
      <alignment horizontal="center" vertical="center" wrapText="1"/>
    </xf>
    <xf numFmtId="6" fontId="28" fillId="0" borderId="1" xfId="2" applyNumberFormat="1" applyFont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41" fontId="30" fillId="0" borderId="0" xfId="1" applyFont="1" applyAlignment="1">
      <alignment horizontal="left" vertical="center"/>
    </xf>
    <xf numFmtId="41" fontId="42" fillId="12" borderId="0" xfId="1" applyFont="1" applyFill="1" applyAlignment="1">
      <alignment horizontal="left" vertical="center"/>
    </xf>
    <xf numFmtId="178" fontId="28" fillId="0" borderId="27" xfId="2" applyNumberFormat="1" applyFont="1" applyBorder="1" applyAlignment="1">
      <alignment horizontal="center" vertical="center"/>
    </xf>
    <xf numFmtId="0" fontId="41" fillId="13" borderId="11" xfId="2" applyFont="1" applyFill="1" applyBorder="1" applyAlignment="1">
      <alignment horizontal="center" vertical="center"/>
    </xf>
    <xf numFmtId="178" fontId="41" fillId="13" borderId="11" xfId="2" applyNumberFormat="1" applyFont="1" applyFill="1" applyBorder="1" applyAlignment="1">
      <alignment horizontal="center" vertical="center"/>
    </xf>
    <xf numFmtId="176" fontId="28" fillId="13" borderId="1" xfId="3" applyNumberFormat="1" applyFont="1" applyFill="1" applyBorder="1" applyAlignment="1">
      <alignment horizontal="center" vertical="center"/>
    </xf>
    <xf numFmtId="179" fontId="41" fillId="13" borderId="11" xfId="4" applyNumberFormat="1" applyFont="1" applyFill="1" applyBorder="1" applyAlignment="1">
      <alignment horizontal="right" vertical="center"/>
    </xf>
    <xf numFmtId="6" fontId="41" fillId="13" borderId="11" xfId="2" applyNumberFormat="1" applyFont="1" applyFill="1" applyBorder="1" applyAlignment="1">
      <alignment horizontal="right" vertical="center"/>
    </xf>
    <xf numFmtId="176" fontId="41" fillId="13" borderId="11" xfId="3" applyNumberFormat="1" applyFont="1" applyFill="1" applyBorder="1" applyAlignment="1">
      <alignment horizontal="left" vertical="center"/>
    </xf>
    <xf numFmtId="176" fontId="41" fillId="13" borderId="42" xfId="3" applyNumberFormat="1" applyFont="1" applyFill="1" applyBorder="1" applyAlignment="1">
      <alignment horizontal="left" vertical="center"/>
    </xf>
    <xf numFmtId="178" fontId="30" fillId="0" borderId="0" xfId="0" applyNumberFormat="1" applyFont="1">
      <alignment vertical="center"/>
    </xf>
    <xf numFmtId="190" fontId="30" fillId="0" borderId="0" xfId="0" applyNumberFormat="1" applyFont="1" applyAlignment="1">
      <alignment horizontal="center" vertical="center"/>
    </xf>
    <xf numFmtId="0" fontId="28" fillId="8" borderId="27" xfId="2" applyFont="1" applyFill="1" applyBorder="1" applyAlignment="1">
      <alignment horizontal="center" vertical="center"/>
    </xf>
    <xf numFmtId="178" fontId="28" fillId="8" borderId="1" xfId="2" applyNumberFormat="1" applyFont="1" applyFill="1" applyBorder="1" applyAlignment="1">
      <alignment horizontal="center" vertical="center"/>
    </xf>
    <xf numFmtId="189" fontId="28" fillId="8" borderId="1" xfId="2" applyNumberFormat="1" applyFont="1" applyFill="1" applyBorder="1" applyAlignment="1">
      <alignment horizontal="center" vertical="center"/>
    </xf>
    <xf numFmtId="178" fontId="28" fillId="8" borderId="11" xfId="2" applyNumberFormat="1" applyFont="1" applyFill="1" applyBorder="1" applyAlignment="1">
      <alignment horizontal="center" vertical="center"/>
    </xf>
    <xf numFmtId="176" fontId="28" fillId="8" borderId="1" xfId="3" applyNumberFormat="1" applyFont="1" applyFill="1" applyBorder="1" applyAlignment="1">
      <alignment horizontal="center" vertical="center"/>
    </xf>
    <xf numFmtId="179" fontId="31" fillId="8" borderId="1" xfId="4" applyNumberFormat="1" applyFont="1" applyFill="1" applyBorder="1" applyAlignment="1">
      <alignment horizontal="right" vertical="center"/>
    </xf>
    <xf numFmtId="6" fontId="28" fillId="8" borderId="1" xfId="2" applyNumberFormat="1" applyFont="1" applyFill="1" applyBorder="1" applyAlignment="1">
      <alignment horizontal="right" vertical="center"/>
    </xf>
    <xf numFmtId="41" fontId="32" fillId="8" borderId="1" xfId="0" applyNumberFormat="1" applyFont="1" applyFill="1" applyBorder="1" applyAlignment="1">
      <alignment horizontal="left" vertical="center"/>
    </xf>
    <xf numFmtId="6" fontId="28" fillId="8" borderId="7" xfId="2" applyNumberFormat="1" applyFont="1" applyFill="1" applyBorder="1" applyAlignment="1">
      <alignment horizontal="right" vertical="center"/>
    </xf>
    <xf numFmtId="179" fontId="35" fillId="0" borderId="0" xfId="0" applyNumberFormat="1" applyFont="1">
      <alignment vertical="center"/>
    </xf>
    <xf numFmtId="188" fontId="35" fillId="0" borderId="0" xfId="0" applyNumberFormat="1" applyFont="1">
      <alignment vertical="center"/>
    </xf>
    <xf numFmtId="179" fontId="31" fillId="0" borderId="2" xfId="4" quotePrefix="1" applyNumberFormat="1" applyFont="1" applyFill="1" applyBorder="1" applyAlignment="1">
      <alignment horizontal="right" vertical="center"/>
    </xf>
    <xf numFmtId="178" fontId="31" fillId="0" borderId="2" xfId="2" quotePrefix="1" applyNumberFormat="1" applyFont="1" applyBorder="1" applyAlignment="1">
      <alignment horizontal="center" vertical="center"/>
    </xf>
    <xf numFmtId="0" fontId="28" fillId="6" borderId="27" xfId="2" applyFont="1" applyFill="1" applyBorder="1" applyAlignment="1">
      <alignment horizontal="center" vertical="center"/>
    </xf>
    <xf numFmtId="189" fontId="28" fillId="6" borderId="1" xfId="2" applyNumberFormat="1" applyFont="1" applyFill="1" applyBorder="1" applyAlignment="1">
      <alignment horizontal="center" vertical="center"/>
    </xf>
    <xf numFmtId="178" fontId="28" fillId="6" borderId="11" xfId="2" applyNumberFormat="1" applyFont="1" applyFill="1" applyBorder="1" applyAlignment="1">
      <alignment horizontal="center" vertical="center"/>
    </xf>
    <xf numFmtId="179" fontId="31" fillId="6" borderId="1" xfId="4" applyNumberFormat="1" applyFont="1" applyFill="1" applyBorder="1" applyAlignment="1">
      <alignment horizontal="right" vertical="center"/>
    </xf>
    <xf numFmtId="41" fontId="32" fillId="6" borderId="1" xfId="0" applyNumberFormat="1" applyFont="1" applyFill="1" applyBorder="1" applyAlignment="1">
      <alignment horizontal="left" vertical="center"/>
    </xf>
    <xf numFmtId="6" fontId="28" fillId="6" borderId="7" xfId="2" applyNumberFormat="1" applyFont="1" applyFill="1" applyBorder="1" applyAlignment="1">
      <alignment horizontal="right" vertical="center"/>
    </xf>
    <xf numFmtId="183" fontId="28" fillId="0" borderId="11" xfId="3" applyNumberFormat="1" applyFont="1" applyFill="1" applyBorder="1" applyAlignment="1">
      <alignment horizontal="center" vertical="center"/>
    </xf>
    <xf numFmtId="180" fontId="27" fillId="2" borderId="1" xfId="4" applyNumberFormat="1" applyFont="1" applyFill="1" applyBorder="1" applyAlignment="1">
      <alignment horizontal="right" vertical="center"/>
    </xf>
    <xf numFmtId="0" fontId="27" fillId="0" borderId="6" xfId="2" applyFont="1" applyBorder="1" applyAlignment="1">
      <alignment horizontal="center" vertical="center" wrapText="1"/>
    </xf>
    <xf numFmtId="0" fontId="35" fillId="0" borderId="0" xfId="0" applyFont="1">
      <alignment vertical="center"/>
    </xf>
    <xf numFmtId="6" fontId="30" fillId="0" borderId="0" xfId="0" applyNumberFormat="1" applyFont="1" applyAlignment="1">
      <alignment horizontal="left" vertical="center"/>
    </xf>
    <xf numFmtId="6" fontId="30" fillId="0" borderId="0" xfId="1" applyNumberFormat="1" applyFont="1" applyAlignment="1">
      <alignment horizontal="left" vertical="center"/>
    </xf>
    <xf numFmtId="6" fontId="30" fillId="0" borderId="0" xfId="0" applyNumberFormat="1" applyFont="1">
      <alignment vertical="center"/>
    </xf>
    <xf numFmtId="187" fontId="27" fillId="0" borderId="13" xfId="2" applyNumberFormat="1" applyFont="1" applyBorder="1" applyAlignment="1">
      <alignment horizontal="right" vertical="center"/>
    </xf>
    <xf numFmtId="0" fontId="28" fillId="8" borderId="14" xfId="2" applyFont="1" applyFill="1" applyBorder="1" applyAlignment="1">
      <alignment horizontal="center" vertical="center"/>
    </xf>
    <xf numFmtId="179" fontId="28" fillId="8" borderId="1" xfId="4" applyNumberFormat="1" applyFont="1" applyFill="1" applyBorder="1" applyAlignment="1">
      <alignment horizontal="right" vertical="center"/>
    </xf>
    <xf numFmtId="6" fontId="28" fillId="8" borderId="1" xfId="2" applyNumberFormat="1" applyFont="1" applyFill="1" applyBorder="1" applyAlignment="1">
      <alignment horizontal="left"/>
    </xf>
    <xf numFmtId="178" fontId="30" fillId="0" borderId="0" xfId="0" applyNumberFormat="1" applyFont="1" applyAlignment="1">
      <alignment horizontal="left" vertical="center"/>
    </xf>
    <xf numFmtId="0" fontId="31" fillId="9" borderId="27" xfId="2" applyFont="1" applyFill="1" applyBorder="1" applyAlignment="1">
      <alignment horizontal="center" vertical="center"/>
    </xf>
    <xf numFmtId="187" fontId="0" fillId="0" borderId="0" xfId="0" applyNumberFormat="1" applyAlignment="1">
      <alignment horizontal="left" vertical="center"/>
    </xf>
    <xf numFmtId="8" fontId="30" fillId="0" borderId="0" xfId="0" applyNumberFormat="1" applyFont="1" applyAlignment="1">
      <alignment horizontal="left" vertical="center"/>
    </xf>
    <xf numFmtId="187" fontId="0" fillId="0" borderId="0" xfId="0" applyNumberFormat="1">
      <alignment vertical="center"/>
    </xf>
    <xf numFmtId="0" fontId="31" fillId="9" borderId="11" xfId="2" applyFont="1" applyFill="1" applyBorder="1" applyAlignment="1">
      <alignment horizontal="center" vertical="center"/>
    </xf>
    <xf numFmtId="179" fontId="31" fillId="9" borderId="11" xfId="4" applyNumberFormat="1" applyFont="1" applyFill="1" applyBorder="1" applyAlignment="1">
      <alignment horizontal="right" vertical="center"/>
    </xf>
    <xf numFmtId="6" fontId="28" fillId="9" borderId="11" xfId="2" applyNumberFormat="1" applyFont="1" applyFill="1" applyBorder="1" applyAlignment="1">
      <alignment horizontal="right" vertical="center"/>
    </xf>
    <xf numFmtId="6" fontId="31" fillId="9" borderId="11" xfId="2" applyNumberFormat="1" applyFont="1" applyFill="1" applyBorder="1" applyAlignment="1">
      <alignment horizontal="left" vertical="center"/>
    </xf>
    <xf numFmtId="6" fontId="31" fillId="9" borderId="42" xfId="2" applyNumberFormat="1" applyFont="1" applyFill="1" applyBorder="1" applyAlignment="1">
      <alignment horizontal="right" vertical="center"/>
    </xf>
    <xf numFmtId="0" fontId="32" fillId="10" borderId="0" xfId="0" applyFont="1" applyFill="1" applyAlignment="1">
      <alignment horizontal="left" vertical="center"/>
    </xf>
    <xf numFmtId="6" fontId="31" fillId="0" borderId="7" xfId="2" applyNumberFormat="1" applyFont="1" applyBorder="1" applyAlignment="1">
      <alignment horizontal="center" vertical="center"/>
    </xf>
    <xf numFmtId="178" fontId="31" fillId="8" borderId="1" xfId="2" applyNumberFormat="1" applyFont="1" applyFill="1" applyBorder="1" applyAlignment="1">
      <alignment horizontal="center" vertical="center"/>
    </xf>
    <xf numFmtId="178" fontId="31" fillId="8" borderId="11" xfId="2" applyNumberFormat="1" applyFont="1" applyFill="1" applyBorder="1" applyAlignment="1">
      <alignment horizontal="center" vertical="center"/>
    </xf>
    <xf numFmtId="6" fontId="28" fillId="8" borderId="1" xfId="2" applyNumberFormat="1" applyFont="1" applyFill="1" applyBorder="1" applyAlignment="1">
      <alignment horizontal="left" vertical="center"/>
    </xf>
    <xf numFmtId="6" fontId="33" fillId="8" borderId="7" xfId="2" applyNumberFormat="1" applyFont="1" applyFill="1" applyBorder="1" applyAlignment="1">
      <alignment horizontal="right" vertical="center"/>
    </xf>
    <xf numFmtId="183" fontId="28" fillId="8" borderId="1" xfId="3" applyNumberFormat="1" applyFont="1" applyFill="1" applyBorder="1" applyAlignment="1">
      <alignment horizontal="center" vertical="center"/>
    </xf>
    <xf numFmtId="188" fontId="31" fillId="8" borderId="1" xfId="4" applyNumberFormat="1" applyFont="1" applyFill="1" applyBorder="1" applyAlignment="1">
      <alignment horizontal="right" vertical="center"/>
    </xf>
    <xf numFmtId="176" fontId="31" fillId="8" borderId="1" xfId="3" applyNumberFormat="1" applyFont="1" applyFill="1" applyBorder="1" applyAlignment="1">
      <alignment horizontal="left" vertical="center"/>
    </xf>
    <xf numFmtId="176" fontId="31" fillId="8" borderId="7" xfId="3" applyNumberFormat="1" applyFont="1" applyFill="1" applyBorder="1" applyAlignment="1">
      <alignment horizontal="left" vertical="center"/>
    </xf>
    <xf numFmtId="6" fontId="31" fillId="9" borderId="7" xfId="2" applyNumberFormat="1" applyFont="1" applyFill="1" applyBorder="1" applyAlignment="1">
      <alignment horizontal="center" vertical="center"/>
    </xf>
    <xf numFmtId="0" fontId="28" fillId="0" borderId="25" xfId="2" applyFont="1" applyBorder="1" applyAlignment="1">
      <alignment horizontal="center" vertical="center"/>
    </xf>
    <xf numFmtId="6" fontId="30" fillId="0" borderId="0" xfId="1" applyNumberFormat="1" applyFont="1">
      <alignment vertical="center"/>
    </xf>
    <xf numFmtId="6" fontId="28" fillId="10" borderId="1" xfId="2" applyNumberFormat="1" applyFont="1" applyFill="1" applyBorder="1" applyAlignment="1">
      <alignment horizontal="left"/>
    </xf>
    <xf numFmtId="0" fontId="28" fillId="9" borderId="25" xfId="2" applyFont="1" applyFill="1" applyBorder="1" applyAlignment="1">
      <alignment horizontal="center" vertical="center"/>
    </xf>
    <xf numFmtId="178" fontId="31" fillId="8" borderId="11" xfId="2" applyNumberFormat="1" applyFont="1" applyFill="1" applyBorder="1" applyAlignment="1">
      <alignment horizontal="center" vertical="center" shrinkToFit="1"/>
    </xf>
    <xf numFmtId="0" fontId="43" fillId="0" borderId="0" xfId="0" applyFont="1">
      <alignment vertical="center"/>
    </xf>
    <xf numFmtId="0" fontId="44" fillId="0" borderId="0" xfId="0" applyFont="1">
      <alignment vertical="center"/>
    </xf>
    <xf numFmtId="0" fontId="43" fillId="0" borderId="0" xfId="0" applyFont="1" applyAlignment="1">
      <alignment horizontal="center" vertical="center"/>
    </xf>
    <xf numFmtId="0" fontId="45" fillId="12" borderId="0" xfId="0" applyFont="1" applyFill="1">
      <alignment vertical="center"/>
    </xf>
    <xf numFmtId="6" fontId="43" fillId="0" borderId="0" xfId="0" applyNumberFormat="1" applyFont="1">
      <alignment vertical="center"/>
    </xf>
    <xf numFmtId="6" fontId="43" fillId="0" borderId="0" xfId="1" applyNumberFormat="1" applyFont="1">
      <alignment vertical="center"/>
    </xf>
    <xf numFmtId="0" fontId="43" fillId="0" borderId="0" xfId="0" applyFont="1" applyAlignment="1">
      <alignment horizontal="left" vertical="center"/>
    </xf>
    <xf numFmtId="0" fontId="46" fillId="0" borderId="0" xfId="0" applyFont="1">
      <alignment vertical="center"/>
    </xf>
    <xf numFmtId="0" fontId="47" fillId="0" borderId="0" xfId="0" applyFont="1">
      <alignment vertical="center"/>
    </xf>
    <xf numFmtId="0" fontId="46" fillId="0" borderId="0" xfId="0" applyFont="1" applyAlignment="1">
      <alignment horizontal="center" vertical="center"/>
    </xf>
    <xf numFmtId="0" fontId="48" fillId="12" borderId="0" xfId="0" applyFont="1" applyFill="1">
      <alignment vertical="center"/>
    </xf>
    <xf numFmtId="0" fontId="46" fillId="0" borderId="0" xfId="0" applyFont="1" applyAlignment="1">
      <alignment horizontal="left" vertical="center"/>
    </xf>
    <xf numFmtId="176" fontId="31" fillId="0" borderId="11" xfId="3" applyNumberFormat="1" applyFont="1" applyFill="1" applyBorder="1" applyAlignment="1">
      <alignment horizontal="left" vertical="center"/>
    </xf>
    <xf numFmtId="176" fontId="31" fillId="0" borderId="42" xfId="3" applyNumberFormat="1" applyFont="1" applyFill="1" applyBorder="1" applyAlignment="1">
      <alignment horizontal="left" vertical="center"/>
    </xf>
    <xf numFmtId="0" fontId="28" fillId="0" borderId="26" xfId="2" applyFont="1" applyBorder="1" applyAlignment="1">
      <alignment horizontal="center" vertical="center"/>
    </xf>
    <xf numFmtId="179" fontId="27" fillId="2" borderId="1" xfId="2" applyNumberFormat="1" applyFont="1" applyFill="1" applyBorder="1" applyAlignment="1">
      <alignment horizontal="right" vertical="center"/>
    </xf>
    <xf numFmtId="6" fontId="29" fillId="9" borderId="1" xfId="2" applyNumberFormat="1" applyFont="1" applyFill="1" applyBorder="1" applyAlignment="1">
      <alignment horizontal="left" vertical="center"/>
    </xf>
    <xf numFmtId="4" fontId="53" fillId="0" borderId="86" xfId="20" applyNumberFormat="1" applyFont="1" applyBorder="1" applyAlignment="1">
      <alignment vertical="top" shrinkToFit="1"/>
    </xf>
    <xf numFmtId="4" fontId="53" fillId="0" borderId="85" xfId="20" applyNumberFormat="1" applyFont="1" applyBorder="1" applyAlignment="1">
      <alignment vertical="top" shrinkToFit="1"/>
    </xf>
    <xf numFmtId="0" fontId="28" fillId="16" borderId="14" xfId="2" applyFont="1" applyFill="1" applyBorder="1" applyAlignment="1">
      <alignment horizontal="center" vertical="center"/>
    </xf>
    <xf numFmtId="178" fontId="28" fillId="16" borderId="1" xfId="2" applyNumberFormat="1" applyFont="1" applyFill="1" applyBorder="1" applyAlignment="1">
      <alignment horizontal="center" vertical="center"/>
    </xf>
    <xf numFmtId="178" fontId="28" fillId="16" borderId="11" xfId="2" applyNumberFormat="1" applyFont="1" applyFill="1" applyBorder="1" applyAlignment="1">
      <alignment horizontal="center" vertical="center"/>
    </xf>
    <xf numFmtId="176" fontId="28" fillId="16" borderId="1" xfId="3" applyNumberFormat="1" applyFont="1" applyFill="1" applyBorder="1" applyAlignment="1">
      <alignment horizontal="center" vertical="center"/>
    </xf>
    <xf numFmtId="179" fontId="28" fillId="16" borderId="1" xfId="4" applyNumberFormat="1" applyFont="1" applyFill="1" applyBorder="1" applyAlignment="1">
      <alignment horizontal="right" vertical="center"/>
    </xf>
    <xf numFmtId="6" fontId="28" fillId="16" borderId="1" xfId="2" applyNumberFormat="1" applyFont="1" applyFill="1" applyBorder="1" applyAlignment="1">
      <alignment horizontal="right" vertical="center"/>
    </xf>
    <xf numFmtId="17" fontId="28" fillId="16" borderId="27" xfId="2" applyNumberFormat="1" applyFont="1" applyFill="1" applyBorder="1" applyAlignment="1">
      <alignment horizontal="center" vertical="center"/>
    </xf>
    <xf numFmtId="178" fontId="31" fillId="16" borderId="2" xfId="2" applyNumberFormat="1" applyFont="1" applyFill="1" applyBorder="1" applyAlignment="1">
      <alignment horizontal="center" vertical="center"/>
    </xf>
    <xf numFmtId="179" fontId="31" fillId="16" borderId="2" xfId="4" quotePrefix="1" applyNumberFormat="1" applyFont="1" applyFill="1" applyBorder="1" applyAlignment="1">
      <alignment horizontal="right" vertical="center"/>
    </xf>
    <xf numFmtId="179" fontId="31" fillId="16" borderId="2" xfId="4" applyNumberFormat="1" applyFont="1" applyFill="1" applyBorder="1" applyAlignment="1">
      <alignment horizontal="right" vertical="center"/>
    </xf>
    <xf numFmtId="177" fontId="6" fillId="16" borderId="7" xfId="3" applyNumberFormat="1" applyFont="1" applyFill="1" applyBorder="1" applyAlignment="1">
      <alignment horizontal="center" vertical="center"/>
    </xf>
    <xf numFmtId="6" fontId="28" fillId="16" borderId="7" xfId="2" applyNumberFormat="1" applyFont="1" applyFill="1" applyBorder="1" applyAlignment="1">
      <alignment horizontal="right" vertical="center"/>
    </xf>
    <xf numFmtId="178" fontId="31" fillId="16" borderId="11" xfId="2" applyNumberFormat="1" applyFont="1" applyFill="1" applyBorder="1" applyAlignment="1">
      <alignment horizontal="center" vertical="center"/>
    </xf>
    <xf numFmtId="178" fontId="31" fillId="16" borderId="1" xfId="2" applyNumberFormat="1" applyFont="1" applyFill="1" applyBorder="1" applyAlignment="1">
      <alignment horizontal="center" vertical="center"/>
    </xf>
    <xf numFmtId="183" fontId="28" fillId="16" borderId="1" xfId="3" applyNumberFormat="1" applyFont="1" applyFill="1" applyBorder="1" applyAlignment="1">
      <alignment horizontal="center" vertical="center"/>
    </xf>
    <xf numFmtId="188" fontId="31" fillId="16" borderId="1" xfId="4" applyNumberFormat="1" applyFont="1" applyFill="1" applyBorder="1" applyAlignment="1">
      <alignment horizontal="right" vertical="center"/>
    </xf>
    <xf numFmtId="6" fontId="27" fillId="16" borderId="1" xfId="2" applyNumberFormat="1" applyFont="1" applyFill="1" applyBorder="1" applyAlignment="1">
      <alignment horizontal="right" vertical="center"/>
    </xf>
    <xf numFmtId="6" fontId="27" fillId="16" borderId="7" xfId="2" applyNumberFormat="1" applyFont="1" applyFill="1" applyBorder="1" applyAlignment="1">
      <alignment horizontal="right" vertical="center"/>
    </xf>
    <xf numFmtId="176" fontId="27" fillId="2" borderId="1" xfId="2" applyNumberFormat="1" applyFont="1" applyFill="1" applyBorder="1" applyAlignment="1">
      <alignment horizontal="right" vertical="center"/>
    </xf>
    <xf numFmtId="176" fontId="27" fillId="2" borderId="2" xfId="2" applyNumberFormat="1" applyFont="1" applyFill="1" applyBorder="1" applyAlignment="1">
      <alignment horizontal="right" vertical="center"/>
    </xf>
    <xf numFmtId="187" fontId="27" fillId="0" borderId="4" xfId="2" applyNumberFormat="1" applyFont="1" applyBorder="1" applyAlignment="1">
      <alignment horizontal="right" vertical="center"/>
    </xf>
    <xf numFmtId="187" fontId="27" fillId="0" borderId="5" xfId="2" applyNumberFormat="1" applyFont="1" applyBorder="1" applyAlignment="1">
      <alignment horizontal="right" vertical="center"/>
    </xf>
    <xf numFmtId="187" fontId="27" fillId="0" borderId="10" xfId="2" applyNumberFormat="1" applyFont="1" applyBorder="1" applyAlignment="1">
      <alignment horizontal="right" vertical="center"/>
    </xf>
    <xf numFmtId="177" fontId="54" fillId="0" borderId="1" xfId="3" applyNumberFormat="1" applyFont="1" applyFill="1" applyBorder="1" applyAlignment="1">
      <alignment horizontal="center" vertical="center"/>
    </xf>
    <xf numFmtId="189" fontId="28" fillId="16" borderId="1" xfId="2" applyNumberFormat="1" applyFont="1" applyFill="1" applyBorder="1" applyAlignment="1">
      <alignment horizontal="center" vertical="center"/>
    </xf>
    <xf numFmtId="179" fontId="31" fillId="16" borderId="1" xfId="4" applyNumberFormat="1" applyFont="1" applyFill="1" applyBorder="1" applyAlignment="1">
      <alignment horizontal="right" vertical="center"/>
    </xf>
    <xf numFmtId="178" fontId="31" fillId="6" borderId="2" xfId="2" applyNumberFormat="1" applyFont="1" applyFill="1" applyBorder="1" applyAlignment="1">
      <alignment horizontal="center" vertical="center"/>
    </xf>
    <xf numFmtId="179" fontId="31" fillId="6" borderId="2" xfId="4" quotePrefix="1" applyNumberFormat="1" applyFont="1" applyFill="1" applyBorder="1" applyAlignment="1">
      <alignment horizontal="right" vertical="center"/>
    </xf>
    <xf numFmtId="0" fontId="31" fillId="16" borderId="14" xfId="2" applyFont="1" applyFill="1" applyBorder="1" applyAlignment="1">
      <alignment horizontal="center" vertical="center"/>
    </xf>
    <xf numFmtId="178" fontId="31" fillId="16" borderId="27" xfId="2" applyNumberFormat="1" applyFont="1" applyFill="1" applyBorder="1" applyAlignment="1">
      <alignment horizontal="center" vertical="center"/>
    </xf>
    <xf numFmtId="0" fontId="28" fillId="16" borderId="42" xfId="2" applyFont="1" applyFill="1" applyBorder="1" applyAlignment="1">
      <alignment horizontal="center" vertical="center"/>
    </xf>
    <xf numFmtId="0" fontId="31" fillId="6" borderId="14" xfId="2" applyFont="1" applyFill="1" applyBorder="1" applyAlignment="1">
      <alignment horizontal="center" vertical="center"/>
    </xf>
    <xf numFmtId="178" fontId="31" fillId="6" borderId="27" xfId="2" applyNumberFormat="1" applyFont="1" applyFill="1" applyBorder="1" applyAlignment="1">
      <alignment horizontal="center" vertical="center"/>
    </xf>
    <xf numFmtId="178" fontId="33" fillId="6" borderId="11" xfId="2" applyNumberFormat="1" applyFont="1" applyFill="1" applyBorder="1" applyAlignment="1">
      <alignment horizontal="center" vertical="center"/>
    </xf>
    <xf numFmtId="0" fontId="31" fillId="16" borderId="27" xfId="2" applyFont="1" applyFill="1" applyBorder="1" applyAlignment="1">
      <alignment horizontal="center" vertical="center"/>
    </xf>
    <xf numFmtId="183" fontId="28" fillId="16" borderId="11" xfId="3" applyNumberFormat="1" applyFont="1" applyFill="1" applyBorder="1" applyAlignment="1">
      <alignment horizontal="center" vertical="center"/>
    </xf>
    <xf numFmtId="176" fontId="31" fillId="16" borderId="7" xfId="3" applyNumberFormat="1" applyFont="1" applyFill="1" applyBorder="1" applyAlignment="1">
      <alignment horizontal="left" vertical="center"/>
    </xf>
    <xf numFmtId="176" fontId="6" fillId="0" borderId="87" xfId="3" applyNumberFormat="1" applyFont="1" applyFill="1" applyBorder="1" applyAlignment="1">
      <alignment horizontal="center" vertical="center"/>
    </xf>
    <xf numFmtId="176" fontId="6" fillId="0" borderId="87" xfId="3" applyNumberFormat="1" applyFont="1" applyFill="1" applyBorder="1" applyAlignment="1">
      <alignment vertical="center"/>
    </xf>
    <xf numFmtId="176" fontId="28" fillId="18" borderId="1" xfId="3" applyNumberFormat="1" applyFont="1" applyFill="1" applyBorder="1" applyAlignment="1">
      <alignment horizontal="center" vertical="center"/>
    </xf>
    <xf numFmtId="41" fontId="42" fillId="6" borderId="0" xfId="1" applyFont="1" applyFill="1" applyAlignment="1">
      <alignment horizontal="left" vertical="center"/>
    </xf>
    <xf numFmtId="0" fontId="45" fillId="6" borderId="0" xfId="0" applyFont="1" applyFill="1">
      <alignment vertical="center"/>
    </xf>
    <xf numFmtId="0" fontId="48" fillId="6" borderId="0" xfId="0" applyFont="1" applyFill="1">
      <alignment vertical="center"/>
    </xf>
    <xf numFmtId="0" fontId="42" fillId="6" borderId="0" xfId="0" applyFont="1" applyFill="1">
      <alignment vertical="center"/>
    </xf>
    <xf numFmtId="0" fontId="30" fillId="6" borderId="0" xfId="0" applyFont="1" applyFill="1" applyAlignment="1">
      <alignment horizontal="left" vertical="center"/>
    </xf>
    <xf numFmtId="176" fontId="28" fillId="4" borderId="1" xfId="3" applyNumberFormat="1" applyFont="1" applyFill="1" applyBorder="1" applyAlignment="1">
      <alignment horizontal="center" vertical="center"/>
    </xf>
    <xf numFmtId="178" fontId="31" fillId="19" borderId="2" xfId="2" applyNumberFormat="1" applyFont="1" applyFill="1" applyBorder="1" applyAlignment="1">
      <alignment horizontal="center" vertical="center"/>
    </xf>
    <xf numFmtId="178" fontId="28" fillId="19" borderId="11" xfId="2" applyNumberFormat="1" applyFont="1" applyFill="1" applyBorder="1" applyAlignment="1">
      <alignment horizontal="center" vertical="center"/>
    </xf>
    <xf numFmtId="176" fontId="28" fillId="19" borderId="1" xfId="3" applyNumberFormat="1" applyFont="1" applyFill="1" applyBorder="1" applyAlignment="1">
      <alignment horizontal="center" vertical="center"/>
    </xf>
    <xf numFmtId="179" fontId="31" fillId="19" borderId="2" xfId="4" applyNumberFormat="1" applyFont="1" applyFill="1" applyBorder="1" applyAlignment="1">
      <alignment horizontal="right" vertical="center"/>
    </xf>
    <xf numFmtId="6" fontId="28" fillId="19" borderId="1" xfId="2" applyNumberFormat="1" applyFont="1" applyFill="1" applyBorder="1" applyAlignment="1">
      <alignment horizontal="right" vertical="center"/>
    </xf>
    <xf numFmtId="6" fontId="28" fillId="19" borderId="7" xfId="2" applyNumberFormat="1" applyFont="1" applyFill="1" applyBorder="1" applyAlignment="1">
      <alignment horizontal="right" vertical="center"/>
    </xf>
    <xf numFmtId="176" fontId="28" fillId="6" borderId="0" xfId="3" applyNumberFormat="1" applyFont="1" applyFill="1" applyBorder="1" applyAlignment="1">
      <alignment horizontal="center" vertical="center"/>
    </xf>
    <xf numFmtId="176" fontId="27" fillId="2" borderId="10" xfId="2" applyNumberFormat="1" applyFont="1" applyFill="1" applyBorder="1" applyAlignment="1">
      <alignment horizontal="right" vertical="center"/>
    </xf>
    <xf numFmtId="0" fontId="0" fillId="0" borderId="0" xfId="0" quotePrefix="1">
      <alignment vertical="center"/>
    </xf>
    <xf numFmtId="176" fontId="27" fillId="0" borderId="42" xfId="2" applyNumberFormat="1" applyFont="1" applyBorder="1" applyAlignment="1">
      <alignment horizontal="right" vertical="center"/>
    </xf>
    <xf numFmtId="0" fontId="28" fillId="16" borderId="1" xfId="2" applyFont="1" applyFill="1" applyBorder="1" applyAlignment="1">
      <alignment horizontal="center" vertical="center"/>
    </xf>
    <xf numFmtId="17" fontId="28" fillId="16" borderId="1" xfId="2" applyNumberFormat="1" applyFont="1" applyFill="1" applyBorder="1" applyAlignment="1">
      <alignment horizontal="center" vertical="center"/>
    </xf>
    <xf numFmtId="17" fontId="28" fillId="6" borderId="1" xfId="2" applyNumberFormat="1" applyFont="1" applyFill="1" applyBorder="1" applyAlignment="1">
      <alignment horizontal="center" vertical="center"/>
    </xf>
    <xf numFmtId="17" fontId="28" fillId="19" borderId="1" xfId="2" applyNumberFormat="1" applyFont="1" applyFill="1" applyBorder="1" applyAlignment="1">
      <alignment horizontal="center" vertical="center"/>
    </xf>
    <xf numFmtId="17" fontId="28" fillId="0" borderId="1" xfId="2" applyNumberFormat="1" applyFont="1" applyBorder="1" applyAlignment="1">
      <alignment horizontal="center" vertical="center"/>
    </xf>
    <xf numFmtId="0" fontId="31" fillId="16" borderId="1" xfId="2" applyFont="1" applyFill="1" applyBorder="1" applyAlignment="1">
      <alignment horizontal="center" vertical="center"/>
    </xf>
    <xf numFmtId="0" fontId="31" fillId="6" borderId="1" xfId="2" applyFont="1" applyFill="1" applyBorder="1" applyAlignment="1">
      <alignment horizontal="center" vertical="center"/>
    </xf>
    <xf numFmtId="4" fontId="53" fillId="0" borderId="0" xfId="20" applyNumberFormat="1" applyFont="1" applyAlignment="1">
      <alignment vertical="top" shrinkToFit="1"/>
    </xf>
    <xf numFmtId="6" fontId="28" fillId="4" borderId="1" xfId="2" applyNumberFormat="1" applyFont="1" applyFill="1" applyBorder="1" applyAlignment="1">
      <alignment horizontal="right" vertical="center"/>
    </xf>
    <xf numFmtId="17" fontId="28" fillId="4" borderId="1" xfId="2" applyNumberFormat="1" applyFont="1" applyFill="1" applyBorder="1" applyAlignment="1">
      <alignment horizontal="center" vertical="center"/>
    </xf>
    <xf numFmtId="178" fontId="31" fillId="4" borderId="2" xfId="2" applyNumberFormat="1" applyFont="1" applyFill="1" applyBorder="1" applyAlignment="1">
      <alignment horizontal="center" vertical="center"/>
    </xf>
    <xf numFmtId="178" fontId="28" fillId="4" borderId="11" xfId="2" applyNumberFormat="1" applyFont="1" applyFill="1" applyBorder="1" applyAlignment="1">
      <alignment horizontal="center" vertical="center"/>
    </xf>
    <xf numFmtId="179" fontId="31" fillId="4" borderId="2" xfId="4" applyNumberFormat="1" applyFont="1" applyFill="1" applyBorder="1" applyAlignment="1">
      <alignment horizontal="right" vertical="center"/>
    </xf>
    <xf numFmtId="0" fontId="6" fillId="0" borderId="1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31" fillId="12" borderId="1" xfId="2" applyFont="1" applyFill="1" applyBorder="1" applyAlignment="1">
      <alignment horizontal="center" vertical="center"/>
    </xf>
    <xf numFmtId="0" fontId="31" fillId="12" borderId="14" xfId="2" applyFont="1" applyFill="1" applyBorder="1" applyAlignment="1">
      <alignment horizontal="center" vertical="center"/>
    </xf>
    <xf numFmtId="178" fontId="31" fillId="12" borderId="27" xfId="2" applyNumberFormat="1" applyFont="1" applyFill="1" applyBorder="1" applyAlignment="1">
      <alignment horizontal="center" vertical="center"/>
    </xf>
    <xf numFmtId="178" fontId="28" fillId="12" borderId="11" xfId="2" applyNumberFormat="1" applyFont="1" applyFill="1" applyBorder="1" applyAlignment="1">
      <alignment horizontal="center" vertical="center"/>
    </xf>
    <xf numFmtId="176" fontId="28" fillId="12" borderId="1" xfId="3" applyNumberFormat="1" applyFont="1" applyFill="1" applyBorder="1" applyAlignment="1">
      <alignment horizontal="center" vertical="center"/>
    </xf>
    <xf numFmtId="179" fontId="28" fillId="12" borderId="1" xfId="4" applyNumberFormat="1" applyFont="1" applyFill="1" applyBorder="1" applyAlignment="1">
      <alignment horizontal="right" vertical="center"/>
    </xf>
    <xf numFmtId="6" fontId="28" fillId="12" borderId="1" xfId="2" applyNumberFormat="1" applyFont="1" applyFill="1" applyBorder="1" applyAlignment="1">
      <alignment horizontal="right" vertical="center"/>
    </xf>
    <xf numFmtId="6" fontId="28" fillId="12" borderId="42" xfId="2" applyNumberFormat="1" applyFont="1" applyFill="1" applyBorder="1" applyAlignment="1">
      <alignment horizontal="center" vertical="center"/>
    </xf>
    <xf numFmtId="0" fontId="38" fillId="0" borderId="38" xfId="2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6" fontId="27" fillId="0" borderId="0" xfId="2" applyNumberFormat="1" applyFont="1" applyAlignment="1">
      <alignment horizontal="right" vertical="center"/>
    </xf>
    <xf numFmtId="6" fontId="27" fillId="0" borderId="17" xfId="2" applyNumberFormat="1" applyFont="1" applyBorder="1" applyAlignment="1">
      <alignment horizontal="right" vertical="center"/>
    </xf>
    <xf numFmtId="6" fontId="34" fillId="0" borderId="17" xfId="2" applyNumberFormat="1" applyFont="1" applyBorder="1" applyAlignment="1">
      <alignment horizontal="right" vertical="center"/>
    </xf>
    <xf numFmtId="6" fontId="34" fillId="0" borderId="22" xfId="2" applyNumberFormat="1" applyFont="1" applyBorder="1" applyAlignment="1">
      <alignment horizontal="right" vertical="center"/>
    </xf>
    <xf numFmtId="176" fontId="27" fillId="0" borderId="17" xfId="2" applyNumberFormat="1" applyFont="1" applyBorder="1" applyAlignment="1">
      <alignment horizontal="right" vertical="center"/>
    </xf>
    <xf numFmtId="6" fontId="27" fillId="0" borderId="90" xfId="2" applyNumberFormat="1" applyFont="1" applyBorder="1" applyAlignment="1">
      <alignment horizontal="right" vertical="center"/>
    </xf>
    <xf numFmtId="6" fontId="27" fillId="0" borderId="31" xfId="2" applyNumberFormat="1" applyFont="1" applyBorder="1" applyAlignment="1">
      <alignment horizontal="right" vertical="center"/>
    </xf>
    <xf numFmtId="0" fontId="34" fillId="0" borderId="47" xfId="2" applyFont="1" applyBorder="1" applyAlignment="1">
      <alignment horizontal="center" vertical="center" wrapText="1"/>
    </xf>
    <xf numFmtId="6" fontId="31" fillId="0" borderId="11" xfId="2" applyNumberFormat="1" applyFont="1" applyBorder="1" applyAlignment="1">
      <alignment horizontal="right" vertical="center"/>
    </xf>
    <xf numFmtId="0" fontId="40" fillId="0" borderId="47" xfId="2" applyFont="1" applyBorder="1" applyAlignment="1">
      <alignment horizontal="center" vertical="center" wrapText="1"/>
    </xf>
    <xf numFmtId="14" fontId="10" fillId="0" borderId="15" xfId="0" applyNumberFormat="1" applyFont="1" applyBorder="1">
      <alignment vertical="center"/>
    </xf>
    <xf numFmtId="14" fontId="10" fillId="0" borderId="14" xfId="0" applyNumberFormat="1" applyFont="1" applyBorder="1">
      <alignment vertical="center"/>
    </xf>
    <xf numFmtId="0" fontId="28" fillId="12" borderId="1" xfId="2" applyFont="1" applyFill="1" applyBorder="1" applyAlignment="1">
      <alignment horizontal="center" vertical="center"/>
    </xf>
    <xf numFmtId="178" fontId="28" fillId="12" borderId="1" xfId="2" applyNumberFormat="1" applyFont="1" applyFill="1" applyBorder="1" applyAlignment="1">
      <alignment horizontal="center" vertical="center"/>
    </xf>
    <xf numFmtId="6" fontId="28" fillId="12" borderId="7" xfId="2" applyNumberFormat="1" applyFont="1" applyFill="1" applyBorder="1" applyAlignment="1">
      <alignment horizontal="right" vertical="center"/>
    </xf>
    <xf numFmtId="189" fontId="28" fillId="12" borderId="1" xfId="2" applyNumberFormat="1" applyFont="1" applyFill="1" applyBorder="1" applyAlignment="1">
      <alignment horizontal="center" vertical="center"/>
    </xf>
    <xf numFmtId="178" fontId="31" fillId="12" borderId="11" xfId="2" applyNumberFormat="1" applyFont="1" applyFill="1" applyBorder="1" applyAlignment="1">
      <alignment horizontal="center" vertical="center"/>
    </xf>
    <xf numFmtId="179" fontId="31" fillId="12" borderId="2" xfId="4" applyNumberFormat="1" applyFont="1" applyFill="1" applyBorder="1" applyAlignment="1">
      <alignment horizontal="right" vertical="center"/>
    </xf>
    <xf numFmtId="178" fontId="31" fillId="12" borderId="1" xfId="2" applyNumberFormat="1" applyFont="1" applyFill="1" applyBorder="1" applyAlignment="1">
      <alignment horizontal="center" vertical="center"/>
    </xf>
    <xf numFmtId="178" fontId="33" fillId="12" borderId="11" xfId="2" applyNumberFormat="1" applyFont="1" applyFill="1" applyBorder="1" applyAlignment="1">
      <alignment horizontal="center" vertical="center"/>
    </xf>
    <xf numFmtId="179" fontId="31" fillId="12" borderId="1" xfId="4" applyNumberFormat="1" applyFont="1" applyFill="1" applyBorder="1" applyAlignment="1">
      <alignment horizontal="right" vertical="center"/>
    </xf>
    <xf numFmtId="176" fontId="27" fillId="2" borderId="7" xfId="2" applyNumberFormat="1" applyFont="1" applyFill="1" applyBorder="1" applyAlignment="1">
      <alignment horizontal="right" vertical="center"/>
    </xf>
    <xf numFmtId="17" fontId="28" fillId="12" borderId="1" xfId="2" applyNumberFormat="1" applyFont="1" applyFill="1" applyBorder="1" applyAlignment="1">
      <alignment horizontal="center" vertical="center"/>
    </xf>
    <xf numFmtId="178" fontId="31" fillId="12" borderId="2" xfId="2" applyNumberFormat="1" applyFont="1" applyFill="1" applyBorder="1" applyAlignment="1">
      <alignment horizontal="center" vertical="center"/>
    </xf>
    <xf numFmtId="183" fontId="28" fillId="12" borderId="1" xfId="3" applyNumberFormat="1" applyFont="1" applyFill="1" applyBorder="1" applyAlignment="1">
      <alignment horizontal="center" vertical="center"/>
    </xf>
    <xf numFmtId="188" fontId="31" fillId="12" borderId="1" xfId="4" applyNumberFormat="1" applyFont="1" applyFill="1" applyBorder="1" applyAlignment="1">
      <alignment horizontal="right" vertical="center"/>
    </xf>
    <xf numFmtId="0" fontId="31" fillId="0" borderId="1" xfId="2" applyFont="1" applyBorder="1" applyAlignment="1">
      <alignment horizontal="center" vertical="center" wrapText="1"/>
    </xf>
    <xf numFmtId="17" fontId="28" fillId="16" borderId="2" xfId="2" applyNumberFormat="1" applyFont="1" applyFill="1" applyBorder="1" applyAlignment="1">
      <alignment horizontal="center" vertical="center"/>
    </xf>
    <xf numFmtId="17" fontId="28" fillId="6" borderId="2" xfId="2" applyNumberFormat="1" applyFont="1" applyFill="1" applyBorder="1" applyAlignment="1">
      <alignment horizontal="center" vertical="center"/>
    </xf>
    <xf numFmtId="17" fontId="28" fillId="0" borderId="2" xfId="2" applyNumberFormat="1" applyFont="1" applyBorder="1" applyAlignment="1">
      <alignment horizontal="center" vertical="center"/>
    </xf>
    <xf numFmtId="17" fontId="28" fillId="12" borderId="2" xfId="2" applyNumberFormat="1" applyFont="1" applyFill="1" applyBorder="1" applyAlignment="1">
      <alignment horizontal="center" vertical="center"/>
    </xf>
    <xf numFmtId="17" fontId="28" fillId="0" borderId="11" xfId="2" applyNumberFormat="1" applyFont="1" applyBorder="1" applyAlignment="1">
      <alignment horizontal="center" vertical="center"/>
    </xf>
    <xf numFmtId="6" fontId="28" fillId="20" borderId="7" xfId="2" applyNumberFormat="1" applyFont="1" applyFill="1" applyBorder="1" applyAlignment="1">
      <alignment horizontal="right" vertical="center"/>
    </xf>
    <xf numFmtId="0" fontId="28" fillId="20" borderId="1" xfId="2" applyFont="1" applyFill="1" applyBorder="1" applyAlignment="1">
      <alignment horizontal="center" vertical="center"/>
    </xf>
    <xf numFmtId="178" fontId="28" fillId="20" borderId="1" xfId="2" applyNumberFormat="1" applyFont="1" applyFill="1" applyBorder="1" applyAlignment="1">
      <alignment horizontal="center" vertical="center"/>
    </xf>
    <xf numFmtId="178" fontId="28" fillId="20" borderId="11" xfId="2" applyNumberFormat="1" applyFont="1" applyFill="1" applyBorder="1" applyAlignment="1">
      <alignment horizontal="center" vertical="center"/>
    </xf>
    <xf numFmtId="176" fontId="28" fillId="20" borderId="1" xfId="3" applyNumberFormat="1" applyFont="1" applyFill="1" applyBorder="1" applyAlignment="1">
      <alignment horizontal="center" vertical="center"/>
    </xf>
    <xf numFmtId="179" fontId="28" fillId="20" borderId="1" xfId="4" applyNumberFormat="1" applyFont="1" applyFill="1" applyBorder="1" applyAlignment="1">
      <alignment horizontal="right" vertical="center"/>
    </xf>
    <xf numFmtId="6" fontId="28" fillId="20" borderId="1" xfId="2" applyNumberFormat="1" applyFont="1" applyFill="1" applyBorder="1" applyAlignment="1">
      <alignment horizontal="right" vertical="center"/>
    </xf>
    <xf numFmtId="189" fontId="28" fillId="20" borderId="1" xfId="2" applyNumberFormat="1" applyFont="1" applyFill="1" applyBorder="1" applyAlignment="1">
      <alignment horizontal="center" vertical="center"/>
    </xf>
    <xf numFmtId="179" fontId="31" fillId="20" borderId="1" xfId="4" applyNumberFormat="1" applyFont="1" applyFill="1" applyBorder="1" applyAlignment="1">
      <alignment horizontal="right" vertical="center"/>
    </xf>
    <xf numFmtId="17" fontId="28" fillId="20" borderId="2" xfId="2" applyNumberFormat="1" applyFont="1" applyFill="1" applyBorder="1" applyAlignment="1">
      <alignment horizontal="center" vertical="center"/>
    </xf>
    <xf numFmtId="178" fontId="31" fillId="20" borderId="2" xfId="2" applyNumberFormat="1" applyFont="1" applyFill="1" applyBorder="1" applyAlignment="1">
      <alignment horizontal="center" vertical="center"/>
    </xf>
    <xf numFmtId="179" fontId="31" fillId="20" borderId="2" xfId="4" quotePrefix="1" applyNumberFormat="1" applyFont="1" applyFill="1" applyBorder="1" applyAlignment="1">
      <alignment horizontal="right" vertical="center"/>
    </xf>
    <xf numFmtId="179" fontId="31" fillId="20" borderId="2" xfId="4" applyNumberFormat="1" applyFont="1" applyFill="1" applyBorder="1" applyAlignment="1">
      <alignment horizontal="right" vertical="center"/>
    </xf>
    <xf numFmtId="0" fontId="31" fillId="20" borderId="1" xfId="2" applyFont="1" applyFill="1" applyBorder="1" applyAlignment="1">
      <alignment horizontal="center" vertical="center"/>
    </xf>
    <xf numFmtId="0" fontId="31" fillId="20" borderId="14" xfId="2" applyFont="1" applyFill="1" applyBorder="1" applyAlignment="1">
      <alignment horizontal="center" vertical="center"/>
    </xf>
    <xf numFmtId="178" fontId="31" fillId="20" borderId="27" xfId="2" applyNumberFormat="1" applyFont="1" applyFill="1" applyBorder="1" applyAlignment="1">
      <alignment horizontal="center" vertical="center"/>
    </xf>
    <xf numFmtId="0" fontId="28" fillId="20" borderId="42" xfId="2" applyFont="1" applyFill="1" applyBorder="1" applyAlignment="1">
      <alignment horizontal="center" vertical="center"/>
    </xf>
    <xf numFmtId="178" fontId="31" fillId="6" borderId="1" xfId="2" applyNumberFormat="1" applyFont="1" applyFill="1" applyBorder="1" applyAlignment="1">
      <alignment horizontal="center" vertical="center"/>
    </xf>
    <xf numFmtId="0" fontId="31" fillId="20" borderId="1" xfId="2" applyFont="1" applyFill="1" applyBorder="1" applyAlignment="1">
      <alignment horizontal="center" vertical="center" wrapText="1"/>
    </xf>
    <xf numFmtId="178" fontId="33" fillId="20" borderId="11" xfId="2" applyNumberFormat="1" applyFont="1" applyFill="1" applyBorder="1" applyAlignment="1">
      <alignment horizontal="center" vertical="center"/>
    </xf>
    <xf numFmtId="176" fontId="31" fillId="20" borderId="7" xfId="3" applyNumberFormat="1" applyFont="1" applyFill="1" applyBorder="1" applyAlignment="1">
      <alignment horizontal="left" vertical="center"/>
    </xf>
    <xf numFmtId="0" fontId="31" fillId="6" borderId="27" xfId="2" applyFont="1" applyFill="1" applyBorder="1" applyAlignment="1">
      <alignment horizontal="center" vertical="center"/>
    </xf>
    <xf numFmtId="6" fontId="28" fillId="6" borderId="15" xfId="2" applyNumberFormat="1" applyFont="1" applyFill="1" applyBorder="1" applyAlignment="1">
      <alignment horizontal="right" vertical="center"/>
    </xf>
    <xf numFmtId="17" fontId="28" fillId="12" borderId="27" xfId="2" applyNumberFormat="1" applyFont="1" applyFill="1" applyBorder="1" applyAlignment="1">
      <alignment horizontal="center" vertical="center"/>
    </xf>
    <xf numFmtId="0" fontId="31" fillId="12" borderId="1" xfId="2" applyFont="1" applyFill="1" applyBorder="1" applyAlignment="1">
      <alignment horizontal="center" vertical="center" wrapText="1"/>
    </xf>
    <xf numFmtId="178" fontId="33" fillId="12" borderId="1" xfId="2" applyNumberFormat="1" applyFont="1" applyFill="1" applyBorder="1" applyAlignment="1">
      <alignment horizontal="center" vertical="center"/>
    </xf>
    <xf numFmtId="176" fontId="31" fillId="12" borderId="1" xfId="3" applyNumberFormat="1" applyFont="1" applyFill="1" applyBorder="1" applyAlignment="1">
      <alignment horizontal="left" vertical="center"/>
    </xf>
    <xf numFmtId="0" fontId="31" fillId="12" borderId="11" xfId="2" applyFont="1" applyFill="1" applyBorder="1" applyAlignment="1">
      <alignment horizontal="center" vertical="center"/>
    </xf>
    <xf numFmtId="176" fontId="31" fillId="12" borderId="1" xfId="3" applyNumberFormat="1" applyFont="1" applyFill="1" applyBorder="1" applyAlignment="1">
      <alignment horizontal="center" vertical="center"/>
    </xf>
    <xf numFmtId="179" fontId="31" fillId="12" borderId="11" xfId="4" applyNumberFormat="1" applyFont="1" applyFill="1" applyBorder="1" applyAlignment="1">
      <alignment horizontal="right" vertical="center"/>
    </xf>
    <xf numFmtId="6" fontId="31" fillId="12" borderId="11" xfId="2" applyNumberFormat="1" applyFont="1" applyFill="1" applyBorder="1" applyAlignment="1">
      <alignment horizontal="right" vertical="center"/>
    </xf>
    <xf numFmtId="0" fontId="38" fillId="0" borderId="57" xfId="2" applyFont="1" applyBorder="1" applyAlignment="1">
      <alignment horizontal="center" vertical="center" wrapText="1"/>
    </xf>
    <xf numFmtId="0" fontId="38" fillId="0" borderId="58" xfId="2" applyFont="1" applyBorder="1" applyAlignment="1">
      <alignment horizontal="center" vertical="center" wrapText="1"/>
    </xf>
    <xf numFmtId="0" fontId="27" fillId="2" borderId="61" xfId="2" applyFont="1" applyFill="1" applyBorder="1" applyAlignment="1">
      <alignment horizontal="center" vertical="center" wrapText="1"/>
    </xf>
    <xf numFmtId="0" fontId="27" fillId="2" borderId="52" xfId="2" applyFont="1" applyFill="1" applyBorder="1" applyAlignment="1">
      <alignment horizontal="center" vertical="center" wrapText="1"/>
    </xf>
    <xf numFmtId="0" fontId="38" fillId="0" borderId="65" xfId="2" applyFont="1" applyBorder="1" applyAlignment="1">
      <alignment horizontal="center" vertical="center" wrapText="1"/>
    </xf>
    <xf numFmtId="17" fontId="28" fillId="20" borderId="1" xfId="2" applyNumberFormat="1" applyFont="1" applyFill="1" applyBorder="1" applyAlignment="1">
      <alignment horizontal="center" vertical="center"/>
    </xf>
    <xf numFmtId="0" fontId="31" fillId="12" borderId="27" xfId="2" applyFont="1" applyFill="1" applyBorder="1" applyAlignment="1">
      <alignment horizontal="center" vertical="center"/>
    </xf>
    <xf numFmtId="6" fontId="28" fillId="12" borderId="15" xfId="2" applyNumberFormat="1" applyFont="1" applyFill="1" applyBorder="1" applyAlignment="1">
      <alignment horizontal="right" vertical="center"/>
    </xf>
    <xf numFmtId="180" fontId="27" fillId="2" borderId="11" xfId="4" applyNumberFormat="1" applyFont="1" applyFill="1" applyBorder="1" applyAlignment="1">
      <alignment horizontal="right" vertical="center"/>
    </xf>
    <xf numFmtId="0" fontId="27" fillId="0" borderId="52" xfId="2" applyFont="1" applyBorder="1" applyAlignment="1">
      <alignment horizontal="center" vertical="center"/>
    </xf>
    <xf numFmtId="178" fontId="33" fillId="0" borderId="1" xfId="2" applyNumberFormat="1" applyFont="1" applyBorder="1" applyAlignment="1">
      <alignment horizontal="center" vertical="center"/>
    </xf>
    <xf numFmtId="17" fontId="28" fillId="12" borderId="2" xfId="2" quotePrefix="1" applyNumberFormat="1" applyFont="1" applyFill="1" applyBorder="1" applyAlignment="1">
      <alignment horizontal="center" vertical="center"/>
    </xf>
    <xf numFmtId="0" fontId="43" fillId="0" borderId="78" xfId="0" applyFont="1" applyBorder="1" applyAlignment="1">
      <alignment horizontal="center" vertical="center"/>
    </xf>
    <xf numFmtId="0" fontId="43" fillId="0" borderId="11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43" fillId="0" borderId="16" xfId="0" applyFont="1" applyBorder="1" applyAlignment="1">
      <alignment horizontal="center" vertical="center"/>
    </xf>
    <xf numFmtId="0" fontId="43" fillId="0" borderId="76" xfId="0" applyFont="1" applyBorder="1" applyAlignment="1">
      <alignment horizontal="center" vertical="center"/>
    </xf>
    <xf numFmtId="0" fontId="31" fillId="16" borderId="11" xfId="2" applyFont="1" applyFill="1" applyBorder="1" applyAlignment="1">
      <alignment horizontal="center" vertical="center"/>
    </xf>
    <xf numFmtId="176" fontId="31" fillId="16" borderId="1" xfId="3" applyNumberFormat="1" applyFont="1" applyFill="1" applyBorder="1" applyAlignment="1">
      <alignment horizontal="center" vertical="center"/>
    </xf>
    <xf numFmtId="179" fontId="31" fillId="16" borderId="11" xfId="4" applyNumberFormat="1" applyFont="1" applyFill="1" applyBorder="1" applyAlignment="1">
      <alignment horizontal="right" vertical="center"/>
    </xf>
    <xf numFmtId="6" fontId="31" fillId="16" borderId="11" xfId="2" applyNumberFormat="1" applyFont="1" applyFill="1" applyBorder="1" applyAlignment="1">
      <alignment horizontal="right" vertical="center"/>
    </xf>
    <xf numFmtId="6" fontId="28" fillId="16" borderId="15" xfId="2" applyNumberFormat="1" applyFont="1" applyFill="1" applyBorder="1" applyAlignment="1">
      <alignment horizontal="right" vertical="center"/>
    </xf>
    <xf numFmtId="17" fontId="28" fillId="16" borderId="2" xfId="2" quotePrefix="1" applyNumberFormat="1" applyFont="1" applyFill="1" applyBorder="1" applyAlignment="1">
      <alignment horizontal="center" vertical="center"/>
    </xf>
    <xf numFmtId="17" fontId="28" fillId="0" borderId="2" xfId="2" quotePrefix="1" applyNumberFormat="1" applyFont="1" applyBorder="1" applyAlignment="1">
      <alignment horizontal="center" vertical="center"/>
    </xf>
    <xf numFmtId="191" fontId="0" fillId="0" borderId="0" xfId="1" applyNumberFormat="1" applyFont="1">
      <alignment vertical="center"/>
    </xf>
    <xf numFmtId="41" fontId="32" fillId="6" borderId="0" xfId="1" applyFont="1" applyFill="1" applyAlignment="1">
      <alignment horizontal="left" vertical="center"/>
    </xf>
    <xf numFmtId="17" fontId="28" fillId="16" borderId="1" xfId="2" applyNumberFormat="1" applyFont="1" applyFill="1" applyBorder="1" applyAlignment="1">
      <alignment horizontal="center" vertical="center" wrapText="1"/>
    </xf>
    <xf numFmtId="178" fontId="28" fillId="10" borderId="1" xfId="3" applyNumberFormat="1" applyFont="1" applyFill="1" applyBorder="1" applyAlignment="1">
      <alignment horizontal="center" vertical="center"/>
    </xf>
    <xf numFmtId="176" fontId="28" fillId="10" borderId="1" xfId="2" applyNumberFormat="1" applyFont="1" applyFill="1" applyBorder="1" applyAlignment="1">
      <alignment horizontal="center" vertical="center"/>
    </xf>
    <xf numFmtId="179" fontId="28" fillId="10" borderId="1" xfId="2" applyNumberFormat="1" applyFont="1" applyFill="1" applyBorder="1" applyAlignment="1">
      <alignment horizontal="right" vertical="center"/>
    </xf>
    <xf numFmtId="0" fontId="33" fillId="0" borderId="1" xfId="2" applyFont="1" applyBorder="1" applyAlignment="1">
      <alignment horizontal="center" vertical="center"/>
    </xf>
    <xf numFmtId="0" fontId="33" fillId="6" borderId="27" xfId="2" applyFont="1" applyFill="1" applyBorder="1" applyAlignment="1">
      <alignment horizontal="center" vertical="center"/>
    </xf>
    <xf numFmtId="178" fontId="33" fillId="6" borderId="27" xfId="2" applyNumberFormat="1" applyFont="1" applyFill="1" applyBorder="1" applyAlignment="1">
      <alignment horizontal="center" vertical="center"/>
    </xf>
    <xf numFmtId="176" fontId="33" fillId="6" borderId="1" xfId="3" applyNumberFormat="1" applyFont="1" applyFill="1" applyBorder="1" applyAlignment="1">
      <alignment horizontal="center" vertical="center"/>
    </xf>
    <xf numFmtId="179" fontId="33" fillId="6" borderId="1" xfId="4" applyNumberFormat="1" applyFont="1" applyFill="1" applyBorder="1" applyAlignment="1">
      <alignment horizontal="right" vertical="center"/>
    </xf>
    <xf numFmtId="6" fontId="33" fillId="6" borderId="1" xfId="2" applyNumberFormat="1" applyFont="1" applyFill="1" applyBorder="1" applyAlignment="1">
      <alignment horizontal="right" vertical="center"/>
    </xf>
    <xf numFmtId="6" fontId="27" fillId="2" borderId="42" xfId="2" applyNumberFormat="1" applyFont="1" applyFill="1" applyBorder="1" applyAlignment="1">
      <alignment horizontal="right" vertical="center"/>
    </xf>
    <xf numFmtId="0" fontId="27" fillId="0" borderId="54" xfId="2" applyFont="1" applyBorder="1" applyAlignment="1">
      <alignment horizontal="center" vertical="center" wrapText="1"/>
    </xf>
    <xf numFmtId="17" fontId="28" fillId="0" borderId="1" xfId="2" applyNumberFormat="1" applyFont="1" applyBorder="1" applyAlignment="1">
      <alignment horizontal="center" vertical="center" wrapText="1"/>
    </xf>
    <xf numFmtId="187" fontId="43" fillId="0" borderId="0" xfId="0" applyNumberFormat="1" applyFont="1">
      <alignment vertical="center"/>
    </xf>
    <xf numFmtId="0" fontId="27" fillId="12" borderId="47" xfId="2" applyFont="1" applyFill="1" applyBorder="1" applyAlignment="1">
      <alignment horizontal="center" vertical="center" wrapText="1"/>
    </xf>
    <xf numFmtId="17" fontId="28" fillId="10" borderId="1" xfId="2" applyNumberFormat="1" applyFont="1" applyFill="1" applyBorder="1" applyAlignment="1">
      <alignment horizontal="center" vertical="center" wrapText="1"/>
    </xf>
    <xf numFmtId="17" fontId="28" fillId="10" borderId="2" xfId="2" quotePrefix="1" applyNumberFormat="1" applyFont="1" applyFill="1" applyBorder="1" applyAlignment="1">
      <alignment horizontal="center" vertical="center"/>
    </xf>
    <xf numFmtId="0" fontId="28" fillId="10" borderId="1" xfId="2" applyFont="1" applyFill="1" applyBorder="1" applyAlignment="1">
      <alignment horizontal="center" vertical="center"/>
    </xf>
    <xf numFmtId="179" fontId="12" fillId="0" borderId="1" xfId="2" applyNumberFormat="1" applyFont="1" applyBorder="1" applyAlignment="1">
      <alignment horizontal="center" vertical="center"/>
    </xf>
    <xf numFmtId="179" fontId="34" fillId="2" borderId="1" xfId="2" applyNumberFormat="1" applyFont="1" applyFill="1" applyBorder="1" applyAlignment="1">
      <alignment horizontal="right" vertical="center"/>
    </xf>
    <xf numFmtId="179" fontId="34" fillId="2" borderId="1" xfId="4" applyNumberFormat="1" applyFont="1" applyFill="1" applyBorder="1" applyAlignment="1">
      <alignment horizontal="right" vertical="center"/>
    </xf>
    <xf numFmtId="180" fontId="34" fillId="2" borderId="1" xfId="4" applyNumberFormat="1" applyFont="1" applyFill="1" applyBorder="1" applyAlignment="1">
      <alignment horizontal="right" vertical="center"/>
    </xf>
    <xf numFmtId="180" fontId="34" fillId="2" borderId="11" xfId="4" applyNumberFormat="1" applyFont="1" applyFill="1" applyBorder="1" applyAlignment="1">
      <alignment horizontal="right" vertical="center"/>
    </xf>
    <xf numFmtId="179" fontId="34" fillId="2" borderId="9" xfId="4" applyNumberFormat="1" applyFont="1" applyFill="1" applyBorder="1" applyAlignment="1">
      <alignment horizontal="right" vertical="center"/>
    </xf>
    <xf numFmtId="179" fontId="34" fillId="0" borderId="4" xfId="2" applyNumberFormat="1" applyFont="1" applyBorder="1" applyAlignment="1">
      <alignment horizontal="center" vertical="center" wrapText="1"/>
    </xf>
    <xf numFmtId="179" fontId="34" fillId="0" borderId="1" xfId="2" applyNumberFormat="1" applyFont="1" applyBorder="1" applyAlignment="1">
      <alignment horizontal="center" vertical="center" wrapText="1"/>
    </xf>
    <xf numFmtId="179" fontId="34" fillId="0" borderId="9" xfId="2" applyNumberFormat="1" applyFont="1" applyBorder="1" applyAlignment="1">
      <alignment horizontal="center" vertical="center" wrapText="1"/>
    </xf>
    <xf numFmtId="179" fontId="34" fillId="17" borderId="4" xfId="0" applyNumberFormat="1" applyFont="1" applyFill="1" applyBorder="1" applyAlignment="1">
      <alignment horizontal="center" vertical="center"/>
    </xf>
    <xf numFmtId="6" fontId="34" fillId="0" borderId="1" xfId="2" applyNumberFormat="1" applyFont="1" applyBorder="1" applyAlignment="1">
      <alignment horizontal="right" vertical="center"/>
    </xf>
    <xf numFmtId="6" fontId="34" fillId="0" borderId="19" xfId="2" applyNumberFormat="1" applyFont="1" applyBorder="1" applyAlignment="1">
      <alignment horizontal="right" vertical="center"/>
    </xf>
    <xf numFmtId="187" fontId="34" fillId="0" borderId="36" xfId="2" applyNumberFormat="1" applyFont="1" applyBorder="1" applyAlignment="1">
      <alignment horizontal="right" vertical="center"/>
    </xf>
    <xf numFmtId="0" fontId="28" fillId="8" borderId="1" xfId="2" applyFont="1" applyFill="1" applyBorder="1" applyAlignment="1">
      <alignment horizontal="center" vertical="center"/>
    </xf>
    <xf numFmtId="179" fontId="31" fillId="8" borderId="2" xfId="4" applyNumberFormat="1" applyFont="1" applyFill="1" applyBorder="1" applyAlignment="1">
      <alignment horizontal="right" vertical="center"/>
    </xf>
    <xf numFmtId="17" fontId="28" fillId="12" borderId="1" xfId="2" applyNumberFormat="1" applyFont="1" applyFill="1" applyBorder="1" applyAlignment="1">
      <alignment horizontal="center" vertical="center" wrapText="1"/>
    </xf>
    <xf numFmtId="17" fontId="28" fillId="12" borderId="1" xfId="2" quotePrefix="1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7" fontId="6" fillId="0" borderId="0" xfId="3" applyNumberFormat="1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top"/>
    </xf>
    <xf numFmtId="6" fontId="28" fillId="16" borderId="0" xfId="2" applyNumberFormat="1" applyFont="1" applyFill="1" applyAlignment="1">
      <alignment horizontal="center" vertical="center"/>
    </xf>
    <xf numFmtId="6" fontId="28" fillId="0" borderId="0" xfId="2" applyNumberFormat="1" applyFont="1" applyAlignment="1">
      <alignment horizontal="center" vertical="center"/>
    </xf>
    <xf numFmtId="6" fontId="28" fillId="12" borderId="0" xfId="2" applyNumberFormat="1" applyFont="1" applyFill="1" applyAlignment="1">
      <alignment horizontal="center" vertical="center"/>
    </xf>
    <xf numFmtId="6" fontId="27" fillId="2" borderId="0" xfId="2" applyNumberFormat="1" applyFont="1" applyFill="1" applyAlignment="1">
      <alignment horizontal="center" vertical="center"/>
    </xf>
    <xf numFmtId="6" fontId="28" fillId="6" borderId="0" xfId="2" applyNumberFormat="1" applyFont="1" applyFill="1" applyAlignment="1">
      <alignment horizontal="center" vertical="center"/>
    </xf>
    <xf numFmtId="6" fontId="28" fillId="8" borderId="0" xfId="2" applyNumberFormat="1" applyFont="1" applyFill="1" applyAlignment="1">
      <alignment horizontal="center" vertical="center"/>
    </xf>
    <xf numFmtId="179" fontId="34" fillId="2" borderId="0" xfId="4" applyNumberFormat="1" applyFont="1" applyFill="1" applyBorder="1" applyAlignment="1">
      <alignment horizontal="center" vertical="center"/>
    </xf>
    <xf numFmtId="6" fontId="33" fillId="0" borderId="0" xfId="2" applyNumberFormat="1" applyFont="1" applyAlignment="1">
      <alignment horizontal="center" vertical="center"/>
    </xf>
    <xf numFmtId="176" fontId="41" fillId="0" borderId="0" xfId="3" applyNumberFormat="1" applyFont="1" applyFill="1" applyBorder="1" applyAlignment="1">
      <alignment horizontal="center" vertical="center"/>
    </xf>
    <xf numFmtId="176" fontId="27" fillId="2" borderId="0" xfId="2" applyNumberFormat="1" applyFont="1" applyFill="1" applyAlignment="1">
      <alignment horizontal="center" vertical="center"/>
    </xf>
    <xf numFmtId="6" fontId="27" fillId="0" borderId="0" xfId="2" applyNumberFormat="1" applyFont="1" applyAlignment="1">
      <alignment horizontal="center" vertical="center"/>
    </xf>
    <xf numFmtId="6" fontId="40" fillId="0" borderId="0" xfId="2" applyNumberFormat="1" applyFont="1" applyAlignment="1">
      <alignment horizontal="center" vertical="center"/>
    </xf>
    <xf numFmtId="187" fontId="27" fillId="0" borderId="0" xfId="2" applyNumberFormat="1" applyFont="1" applyAlignment="1">
      <alignment horizontal="center" vertical="center"/>
    </xf>
    <xf numFmtId="187" fontId="0" fillId="0" borderId="0" xfId="0" applyNumberFormat="1" applyAlignment="1">
      <alignment horizontal="center" vertical="center"/>
    </xf>
    <xf numFmtId="176" fontId="28" fillId="16" borderId="0" xfId="3" applyNumberFormat="1" applyFont="1" applyFill="1" applyBorder="1" applyAlignment="1">
      <alignment horizontal="center" vertical="center"/>
    </xf>
    <xf numFmtId="12" fontId="28" fillId="0" borderId="0" xfId="2" applyNumberFormat="1" applyFont="1" applyAlignment="1">
      <alignment horizontal="center" vertical="center"/>
    </xf>
    <xf numFmtId="0" fontId="41" fillId="0" borderId="1" xfId="2" applyFont="1" applyBorder="1" applyAlignment="1">
      <alignment horizontal="center" vertical="center" shrinkToFit="1"/>
    </xf>
    <xf numFmtId="17" fontId="28" fillId="8" borderId="1" xfId="2" applyNumberFormat="1" applyFont="1" applyFill="1" applyBorder="1" applyAlignment="1">
      <alignment horizontal="center" vertical="center"/>
    </xf>
    <xf numFmtId="17" fontId="28" fillId="8" borderId="2" xfId="2" applyNumberFormat="1" applyFont="1" applyFill="1" applyBorder="1" applyAlignment="1">
      <alignment horizontal="center" vertical="center"/>
    </xf>
    <xf numFmtId="178" fontId="31" fillId="8" borderId="2" xfId="2" applyNumberFormat="1" applyFont="1" applyFill="1" applyBorder="1" applyAlignment="1">
      <alignment horizontal="center" vertical="center"/>
    </xf>
    <xf numFmtId="17" fontId="28" fillId="6" borderId="1" xfId="2" applyNumberFormat="1" applyFont="1" applyFill="1" applyBorder="1" applyAlignment="1">
      <alignment horizontal="center" vertical="center" wrapText="1"/>
    </xf>
    <xf numFmtId="17" fontId="28" fillId="6" borderId="1" xfId="2" quotePrefix="1" applyNumberFormat="1" applyFont="1" applyFill="1" applyBorder="1" applyAlignment="1">
      <alignment horizontal="center" vertical="center"/>
    </xf>
    <xf numFmtId="183" fontId="28" fillId="12" borderId="11" xfId="3" applyNumberFormat="1" applyFont="1" applyFill="1" applyBorder="1" applyAlignment="1">
      <alignment horizontal="center" vertical="center"/>
    </xf>
    <xf numFmtId="6" fontId="28" fillId="0" borderId="0" xfId="2" quotePrefix="1" applyNumberFormat="1" applyFont="1" applyAlignment="1">
      <alignment horizontal="center" vertical="center"/>
    </xf>
    <xf numFmtId="0" fontId="31" fillId="8" borderId="1" xfId="2" applyFont="1" applyFill="1" applyBorder="1" applyAlignment="1">
      <alignment horizontal="center" vertical="center"/>
    </xf>
    <xf numFmtId="6" fontId="27" fillId="2" borderId="0" xfId="0" applyNumberFormat="1" applyFont="1" applyFill="1" applyAlignment="1">
      <alignment horizontal="center" vertical="center"/>
    </xf>
    <xf numFmtId="17" fontId="28" fillId="8" borderId="1" xfId="2" applyNumberFormat="1" applyFont="1" applyFill="1" applyBorder="1" applyAlignment="1">
      <alignment horizontal="center" vertical="center" wrapText="1"/>
    </xf>
    <xf numFmtId="17" fontId="28" fillId="8" borderId="1" xfId="2" quotePrefix="1" applyNumberFormat="1" applyFont="1" applyFill="1" applyBorder="1" applyAlignment="1">
      <alignment horizontal="center" vertical="center"/>
    </xf>
    <xf numFmtId="17" fontId="28" fillId="0" borderId="1" xfId="2" quotePrefix="1" applyNumberFormat="1" applyFont="1" applyBorder="1" applyAlignment="1">
      <alignment horizontal="center" vertical="center"/>
    </xf>
    <xf numFmtId="180" fontId="31" fillId="16" borderId="1" xfId="4" applyNumberFormat="1" applyFont="1" applyFill="1" applyBorder="1" applyAlignment="1">
      <alignment horizontal="right" vertical="center"/>
    </xf>
    <xf numFmtId="180" fontId="31" fillId="0" borderId="1" xfId="4" applyNumberFormat="1" applyFont="1" applyFill="1" applyBorder="1" applyAlignment="1">
      <alignment horizontal="right" vertical="center"/>
    </xf>
    <xf numFmtId="6" fontId="28" fillId="0" borderId="15" xfId="2" applyNumberFormat="1" applyFont="1" applyBorder="1" applyAlignment="1">
      <alignment horizontal="right" vertical="center"/>
    </xf>
    <xf numFmtId="17" fontId="28" fillId="16" borderId="1" xfId="2" quotePrefix="1" applyNumberFormat="1" applyFont="1" applyFill="1" applyBorder="1" applyAlignment="1">
      <alignment horizontal="center" vertical="center"/>
    </xf>
    <xf numFmtId="217" fontId="169" fillId="0" borderId="0" xfId="0" applyNumberFormat="1" applyFont="1">
      <alignment vertical="center"/>
    </xf>
    <xf numFmtId="217" fontId="27" fillId="16" borderId="1" xfId="2" applyNumberFormat="1" applyFont="1" applyFill="1" applyBorder="1" applyAlignment="1">
      <alignment horizontal="center" vertical="center"/>
    </xf>
    <xf numFmtId="217" fontId="34" fillId="0" borderId="11" xfId="2" applyNumberFormat="1" applyFont="1" applyBorder="1" applyAlignment="1">
      <alignment horizontal="center" vertical="center"/>
    </xf>
    <xf numFmtId="217" fontId="27" fillId="2" borderId="22" xfId="2" applyNumberFormat="1" applyFont="1" applyFill="1" applyBorder="1" applyAlignment="1">
      <alignment horizontal="center" vertical="center" wrapText="1"/>
    </xf>
    <xf numFmtId="217" fontId="34" fillId="0" borderId="1" xfId="2" applyNumberFormat="1" applyFont="1" applyBorder="1" applyAlignment="1">
      <alignment horizontal="center" vertical="center"/>
    </xf>
    <xf numFmtId="217" fontId="27" fillId="2" borderId="17" xfId="2" applyNumberFormat="1" applyFont="1" applyFill="1" applyBorder="1" applyAlignment="1">
      <alignment horizontal="center" vertical="center" wrapText="1"/>
    </xf>
    <xf numFmtId="217" fontId="27" fillId="0" borderId="1" xfId="2" applyNumberFormat="1" applyFont="1" applyBorder="1" applyAlignment="1">
      <alignment horizontal="center" vertical="center"/>
    </xf>
    <xf numFmtId="217" fontId="27" fillId="9" borderId="1" xfId="2" applyNumberFormat="1" applyFont="1" applyFill="1" applyBorder="1" applyAlignment="1">
      <alignment horizontal="center" vertical="center"/>
    </xf>
    <xf numFmtId="217" fontId="34" fillId="16" borderId="2" xfId="2" applyNumberFormat="1" applyFont="1" applyFill="1" applyBorder="1" applyAlignment="1">
      <alignment horizontal="center" vertical="center"/>
    </xf>
    <xf numFmtId="217" fontId="34" fillId="0" borderId="2" xfId="2" applyNumberFormat="1" applyFont="1" applyBorder="1" applyAlignment="1">
      <alignment horizontal="center" vertical="center"/>
    </xf>
    <xf numFmtId="217" fontId="34" fillId="6" borderId="1" xfId="2" applyNumberFormat="1" applyFont="1" applyFill="1" applyBorder="1" applyAlignment="1">
      <alignment horizontal="center" vertical="center"/>
    </xf>
    <xf numFmtId="217" fontId="34" fillId="12" borderId="2" xfId="2" applyNumberFormat="1" applyFont="1" applyFill="1" applyBorder="1" applyAlignment="1">
      <alignment horizontal="center" vertical="center"/>
    </xf>
    <xf numFmtId="217" fontId="34" fillId="12" borderId="1" xfId="2" applyNumberFormat="1" applyFont="1" applyFill="1" applyBorder="1" applyAlignment="1">
      <alignment horizontal="center" vertical="center"/>
    </xf>
    <xf numFmtId="217" fontId="27" fillId="12" borderId="1" xfId="2" applyNumberFormat="1" applyFont="1" applyFill="1" applyBorder="1" applyAlignment="1">
      <alignment horizontal="center" vertical="center"/>
    </xf>
    <xf numFmtId="217" fontId="34" fillId="16" borderId="1" xfId="2" applyNumberFormat="1" applyFont="1" applyFill="1" applyBorder="1" applyAlignment="1">
      <alignment horizontal="center" vertical="center"/>
    </xf>
    <xf numFmtId="217" fontId="34" fillId="6" borderId="27" xfId="2" applyNumberFormat="1" applyFont="1" applyFill="1" applyBorder="1" applyAlignment="1">
      <alignment horizontal="center" vertical="center"/>
    </xf>
    <xf numFmtId="217" fontId="34" fillId="12" borderId="27" xfId="2" applyNumberFormat="1" applyFont="1" applyFill="1" applyBorder="1" applyAlignment="1">
      <alignment horizontal="center" vertical="center"/>
    </xf>
    <xf numFmtId="217" fontId="34" fillId="16" borderId="27" xfId="2" applyNumberFormat="1" applyFont="1" applyFill="1" applyBorder="1" applyAlignment="1">
      <alignment horizontal="center" vertical="center"/>
    </xf>
    <xf numFmtId="217" fontId="40" fillId="0" borderId="11" xfId="2" applyNumberFormat="1" applyFont="1" applyBorder="1" applyAlignment="1">
      <alignment horizontal="center" vertical="center"/>
    </xf>
    <xf numFmtId="217" fontId="27" fillId="2" borderId="49" xfId="2" applyNumberFormat="1" applyFont="1" applyFill="1" applyBorder="1" applyAlignment="1">
      <alignment horizontal="center" vertical="center" wrapText="1"/>
    </xf>
    <xf numFmtId="217" fontId="27" fillId="0" borderId="0" xfId="3" applyNumberFormat="1" applyFont="1" applyFill="1" applyBorder="1" applyAlignment="1">
      <alignment horizontal="center" vertical="center"/>
    </xf>
    <xf numFmtId="0" fontId="43" fillId="6" borderId="0" xfId="0" applyFont="1" applyFill="1">
      <alignment vertical="center"/>
    </xf>
    <xf numFmtId="0" fontId="30" fillId="6" borderId="0" xfId="0" applyFont="1" applyFill="1">
      <alignment vertical="center"/>
    </xf>
    <xf numFmtId="0" fontId="46" fillId="6" borderId="0" xfId="0" applyFont="1" applyFill="1">
      <alignment vertical="center"/>
    </xf>
    <xf numFmtId="17" fontId="28" fillId="3" borderId="1" xfId="2" applyNumberFormat="1" applyFont="1" applyFill="1" applyBorder="1" applyAlignment="1">
      <alignment horizontal="center" vertical="center" wrapText="1"/>
    </xf>
    <xf numFmtId="17" fontId="28" fillId="3" borderId="1" xfId="2" quotePrefix="1" applyNumberFormat="1" applyFont="1" applyFill="1" applyBorder="1" applyAlignment="1">
      <alignment horizontal="center" vertical="center"/>
    </xf>
    <xf numFmtId="178" fontId="31" fillId="3" borderId="1" xfId="2" applyNumberFormat="1" applyFont="1" applyFill="1" applyBorder="1" applyAlignment="1">
      <alignment horizontal="center" vertical="center"/>
    </xf>
    <xf numFmtId="217" fontId="34" fillId="3" borderId="1" xfId="2" applyNumberFormat="1" applyFont="1" applyFill="1" applyBorder="1" applyAlignment="1">
      <alignment horizontal="center" vertical="center"/>
    </xf>
    <xf numFmtId="178" fontId="28" fillId="3" borderId="1" xfId="2" applyNumberFormat="1" applyFont="1" applyFill="1" applyBorder="1" applyAlignment="1">
      <alignment horizontal="center" vertical="center"/>
    </xf>
    <xf numFmtId="176" fontId="28" fillId="3" borderId="1" xfId="3" applyNumberFormat="1" applyFont="1" applyFill="1" applyBorder="1" applyAlignment="1">
      <alignment horizontal="center" vertical="center"/>
    </xf>
    <xf numFmtId="179" fontId="31" fillId="3" borderId="1" xfId="4" applyNumberFormat="1" applyFont="1" applyFill="1" applyBorder="1" applyAlignment="1">
      <alignment horizontal="right" vertical="center"/>
    </xf>
    <xf numFmtId="6" fontId="28" fillId="3" borderId="1" xfId="2" applyNumberFormat="1" applyFont="1" applyFill="1" applyBorder="1" applyAlignment="1">
      <alignment horizontal="right" vertical="center"/>
    </xf>
    <xf numFmtId="6" fontId="34" fillId="6" borderId="11" xfId="2" applyNumberFormat="1" applyFont="1" applyFill="1" applyBorder="1" applyAlignment="1">
      <alignment horizontal="right" vertical="center"/>
    </xf>
    <xf numFmtId="0" fontId="27" fillId="2" borderId="114" xfId="0" applyFont="1" applyFill="1" applyBorder="1" applyAlignment="1">
      <alignment horizontal="center" vertical="center"/>
    </xf>
    <xf numFmtId="6" fontId="28" fillId="16" borderId="22" xfId="2" applyNumberFormat="1" applyFont="1" applyFill="1" applyBorder="1" applyAlignment="1">
      <alignment horizontal="right" vertical="center"/>
    </xf>
    <xf numFmtId="176" fontId="31" fillId="0" borderId="22" xfId="3" applyNumberFormat="1" applyFont="1" applyFill="1" applyBorder="1" applyAlignment="1">
      <alignment horizontal="left" vertical="center"/>
    </xf>
    <xf numFmtId="6" fontId="27" fillId="2" borderId="22" xfId="2" applyNumberFormat="1" applyFont="1" applyFill="1" applyBorder="1" applyAlignment="1">
      <alignment horizontal="right" vertical="center"/>
    </xf>
    <xf numFmtId="6" fontId="33" fillId="0" borderId="22" xfId="2" applyNumberFormat="1" applyFont="1" applyBorder="1" applyAlignment="1">
      <alignment horizontal="right" vertical="center"/>
    </xf>
    <xf numFmtId="6" fontId="27" fillId="2" borderId="17" xfId="2" applyNumberFormat="1" applyFont="1" applyFill="1" applyBorder="1" applyAlignment="1">
      <alignment horizontal="right" vertical="center"/>
    </xf>
    <xf numFmtId="6" fontId="28" fillId="0" borderId="22" xfId="2" applyNumberFormat="1" applyFont="1" applyBorder="1" applyAlignment="1">
      <alignment horizontal="right" vertical="center"/>
    </xf>
    <xf numFmtId="6" fontId="28" fillId="12" borderId="22" xfId="2" applyNumberFormat="1" applyFont="1" applyFill="1" applyBorder="1" applyAlignment="1">
      <alignment horizontal="right" vertical="center"/>
    </xf>
    <xf numFmtId="6" fontId="28" fillId="6" borderId="22" xfId="2" applyNumberFormat="1" applyFont="1" applyFill="1" applyBorder="1" applyAlignment="1">
      <alignment horizontal="right" vertical="center"/>
    </xf>
    <xf numFmtId="6" fontId="28" fillId="3" borderId="22" xfId="2" applyNumberFormat="1" applyFont="1" applyFill="1" applyBorder="1" applyAlignment="1">
      <alignment horizontal="right" vertical="center"/>
    </xf>
    <xf numFmtId="176" fontId="41" fillId="0" borderId="17" xfId="3" applyNumberFormat="1" applyFont="1" applyFill="1" applyBorder="1" applyAlignment="1">
      <alignment horizontal="left" vertical="center"/>
    </xf>
    <xf numFmtId="176" fontId="27" fillId="2" borderId="49" xfId="2" applyNumberFormat="1" applyFont="1" applyFill="1" applyBorder="1" applyAlignment="1">
      <alignment horizontal="right" vertical="center"/>
    </xf>
    <xf numFmtId="6" fontId="34" fillId="6" borderId="17" xfId="2" applyNumberFormat="1" applyFont="1" applyFill="1" applyBorder="1" applyAlignment="1">
      <alignment horizontal="right" vertical="center"/>
    </xf>
    <xf numFmtId="0" fontId="27" fillId="2" borderId="50" xfId="0" applyFont="1" applyFill="1" applyBorder="1" applyAlignment="1">
      <alignment horizontal="center" vertical="center"/>
    </xf>
    <xf numFmtId="6" fontId="27" fillId="0" borderId="22" xfId="2" applyNumberFormat="1" applyFont="1" applyBorder="1" applyAlignment="1">
      <alignment horizontal="right" vertical="center"/>
    </xf>
    <xf numFmtId="6" fontId="40" fillId="0" borderId="43" xfId="2" applyNumberFormat="1" applyFont="1" applyBorder="1" applyAlignment="1">
      <alignment horizontal="right" vertical="center"/>
    </xf>
    <xf numFmtId="187" fontId="27" fillId="0" borderId="20" xfId="2" applyNumberFormat="1" applyFont="1" applyBorder="1" applyAlignment="1">
      <alignment horizontal="right" vertical="center"/>
    </xf>
    <xf numFmtId="187" fontId="27" fillId="0" borderId="31" xfId="2" applyNumberFormat="1" applyFont="1" applyBorder="1" applyAlignment="1">
      <alignment horizontal="right" vertical="center"/>
    </xf>
    <xf numFmtId="6" fontId="28" fillId="16" borderId="22" xfId="2" applyNumberFormat="1" applyFont="1" applyFill="1" applyBorder="1" applyAlignment="1">
      <alignment horizontal="center" vertical="center"/>
    </xf>
    <xf numFmtId="6" fontId="28" fillId="16" borderId="105" xfId="2" applyNumberFormat="1" applyFont="1" applyFill="1" applyBorder="1" applyAlignment="1">
      <alignment horizontal="center" vertical="center"/>
    </xf>
    <xf numFmtId="6" fontId="27" fillId="2" borderId="108" xfId="2" applyNumberFormat="1" applyFont="1" applyFill="1" applyBorder="1" applyAlignment="1">
      <alignment horizontal="center" vertical="center"/>
    </xf>
    <xf numFmtId="176" fontId="31" fillId="0" borderId="105" xfId="3" applyNumberFormat="1" applyFont="1" applyFill="1" applyBorder="1" applyAlignment="1">
      <alignment horizontal="center" vertical="center"/>
    </xf>
    <xf numFmtId="6" fontId="27" fillId="2" borderId="105" xfId="2" applyNumberFormat="1" applyFont="1" applyFill="1" applyBorder="1" applyAlignment="1">
      <alignment horizontal="center" vertical="center"/>
    </xf>
    <xf numFmtId="6" fontId="33" fillId="0" borderId="105" xfId="2" applyNumberFormat="1" applyFont="1" applyBorder="1" applyAlignment="1">
      <alignment horizontal="center" vertical="center"/>
    </xf>
    <xf numFmtId="6" fontId="27" fillId="2" borderId="107" xfId="2" applyNumberFormat="1" applyFont="1" applyFill="1" applyBorder="1" applyAlignment="1">
      <alignment horizontal="center" vertical="center"/>
    </xf>
    <xf numFmtId="6" fontId="28" fillId="0" borderId="105" xfId="2" applyNumberFormat="1" applyFont="1" applyBorder="1" applyAlignment="1">
      <alignment horizontal="center" vertical="center"/>
    </xf>
    <xf numFmtId="6" fontId="28" fillId="12" borderId="105" xfId="2" applyNumberFormat="1" applyFont="1" applyFill="1" applyBorder="1" applyAlignment="1">
      <alignment horizontal="center" vertical="center"/>
    </xf>
    <xf numFmtId="6" fontId="28" fillId="6" borderId="105" xfId="2" applyNumberFormat="1" applyFont="1" applyFill="1" applyBorder="1" applyAlignment="1">
      <alignment horizontal="center" vertical="center"/>
    </xf>
    <xf numFmtId="6" fontId="28" fillId="12" borderId="108" xfId="2" applyNumberFormat="1" applyFont="1" applyFill="1" applyBorder="1" applyAlignment="1">
      <alignment horizontal="center" vertical="center"/>
    </xf>
    <xf numFmtId="6" fontId="28" fillId="0" borderId="108" xfId="2" applyNumberFormat="1" applyFont="1" applyBorder="1" applyAlignment="1">
      <alignment horizontal="center" vertical="center"/>
    </xf>
    <xf numFmtId="6" fontId="28" fillId="3" borderId="108" xfId="2" applyNumberFormat="1" applyFont="1" applyFill="1" applyBorder="1" applyAlignment="1">
      <alignment horizontal="center" vertical="center"/>
    </xf>
    <xf numFmtId="6" fontId="28" fillId="16" borderId="108" xfId="2" applyNumberFormat="1" applyFont="1" applyFill="1" applyBorder="1" applyAlignment="1">
      <alignment horizontal="center" vertical="center"/>
    </xf>
    <xf numFmtId="6" fontId="28" fillId="12" borderId="109" xfId="2" applyNumberFormat="1" applyFont="1" applyFill="1" applyBorder="1" applyAlignment="1">
      <alignment horizontal="center" vertical="center"/>
    </xf>
    <xf numFmtId="176" fontId="41" fillId="0" borderId="107" xfId="3" applyNumberFormat="1" applyFont="1" applyFill="1" applyBorder="1" applyAlignment="1">
      <alignment horizontal="center" vertical="center"/>
    </xf>
    <xf numFmtId="176" fontId="27" fillId="2" borderId="111" xfId="2" applyNumberFormat="1" applyFont="1" applyFill="1" applyBorder="1" applyAlignment="1">
      <alignment horizontal="center" vertical="center"/>
    </xf>
    <xf numFmtId="6" fontId="27" fillId="0" borderId="112" xfId="2" applyNumberFormat="1" applyFont="1" applyBorder="1" applyAlignment="1">
      <alignment horizontal="center" vertical="center"/>
    </xf>
    <xf numFmtId="6" fontId="27" fillId="0" borderId="107" xfId="2" applyNumberFormat="1" applyFont="1" applyBorder="1" applyAlignment="1">
      <alignment horizontal="center" vertical="center"/>
    </xf>
    <xf numFmtId="6" fontId="34" fillId="6" borderId="112" xfId="2" applyNumberFormat="1" applyFont="1" applyFill="1" applyBorder="1" applyAlignment="1">
      <alignment horizontal="center" vertical="center"/>
    </xf>
    <xf numFmtId="6" fontId="27" fillId="0" borderId="105" xfId="2" applyNumberFormat="1" applyFont="1" applyBorder="1" applyAlignment="1">
      <alignment horizontal="center" vertical="center"/>
    </xf>
    <xf numFmtId="6" fontId="40" fillId="0" borderId="116" xfId="2" applyNumberFormat="1" applyFont="1" applyBorder="1" applyAlignment="1">
      <alignment horizontal="center" vertical="center"/>
    </xf>
    <xf numFmtId="187" fontId="27" fillId="0" borderId="118" xfId="2" applyNumberFormat="1" applyFont="1" applyBorder="1" applyAlignment="1">
      <alignment horizontal="center" vertical="center"/>
    </xf>
    <xf numFmtId="187" fontId="27" fillId="0" borderId="120" xfId="2" applyNumberFormat="1" applyFont="1" applyBorder="1" applyAlignment="1">
      <alignment horizontal="center" vertical="center"/>
    </xf>
    <xf numFmtId="176" fontId="43" fillId="0" borderId="0" xfId="1" applyNumberFormat="1" applyFont="1">
      <alignment vertical="center"/>
    </xf>
    <xf numFmtId="176" fontId="4" fillId="0" borderId="0" xfId="1" applyNumberFormat="1" applyFont="1">
      <alignment vertical="center"/>
    </xf>
    <xf numFmtId="176" fontId="4" fillId="0" borderId="0" xfId="1" applyNumberFormat="1" applyFont="1" applyAlignment="1">
      <alignment vertical="top"/>
    </xf>
    <xf numFmtId="176" fontId="6" fillId="0" borderId="0" xfId="1" applyNumberFormat="1" applyFont="1" applyAlignment="1">
      <alignment horizontal="center" vertical="center"/>
    </xf>
    <xf numFmtId="176" fontId="28" fillId="16" borderId="104" xfId="1" applyNumberFormat="1" applyFont="1" applyFill="1" applyBorder="1" applyAlignment="1">
      <alignment horizontal="center" vertical="center"/>
    </xf>
    <xf numFmtId="176" fontId="31" fillId="0" borderId="104" xfId="1" applyNumberFormat="1" applyFont="1" applyFill="1" applyBorder="1" applyAlignment="1">
      <alignment horizontal="left" vertical="center"/>
    </xf>
    <xf numFmtId="176" fontId="27" fillId="2" borderId="104" xfId="1" applyNumberFormat="1" applyFont="1" applyFill="1" applyBorder="1" applyAlignment="1">
      <alignment horizontal="right" vertical="center"/>
    </xf>
    <xf numFmtId="176" fontId="33" fillId="0" borderId="104" xfId="1" applyNumberFormat="1" applyFont="1" applyBorder="1" applyAlignment="1">
      <alignment horizontal="right" vertical="center"/>
    </xf>
    <xf numFmtId="176" fontId="27" fillId="2" borderId="106" xfId="1" applyNumberFormat="1" applyFont="1" applyFill="1" applyBorder="1" applyAlignment="1">
      <alignment horizontal="right" vertical="center"/>
    </xf>
    <xf numFmtId="176" fontId="28" fillId="0" borderId="104" xfId="1" applyNumberFormat="1" applyFont="1" applyBorder="1" applyAlignment="1">
      <alignment horizontal="right" vertical="center"/>
    </xf>
    <xf numFmtId="176" fontId="28" fillId="16" borderId="104" xfId="1" applyNumberFormat="1" applyFont="1" applyFill="1" applyBorder="1" applyAlignment="1">
      <alignment horizontal="right" vertical="center"/>
    </xf>
    <xf numFmtId="176" fontId="28" fillId="12" borderId="104" xfId="1" applyNumberFormat="1" applyFont="1" applyFill="1" applyBorder="1" applyAlignment="1">
      <alignment horizontal="right" vertical="center"/>
    </xf>
    <xf numFmtId="176" fontId="28" fillId="12" borderId="121" xfId="1" applyNumberFormat="1" applyFont="1" applyFill="1" applyBorder="1" applyAlignment="1">
      <alignment horizontal="right" vertical="center"/>
    </xf>
    <xf numFmtId="176" fontId="41" fillId="0" borderId="106" xfId="1" applyNumberFormat="1" applyFont="1" applyFill="1" applyBorder="1" applyAlignment="1">
      <alignment horizontal="left" vertical="center"/>
    </xf>
    <xf numFmtId="176" fontId="27" fillId="2" borderId="110" xfId="1" applyNumberFormat="1" applyFont="1" applyFill="1" applyBorder="1" applyAlignment="1">
      <alignment horizontal="right" vertical="center"/>
    </xf>
    <xf numFmtId="176" fontId="27" fillId="0" borderId="106" xfId="1" applyNumberFormat="1" applyFont="1" applyBorder="1" applyAlignment="1">
      <alignment horizontal="right" vertical="center"/>
    </xf>
    <xf numFmtId="176" fontId="34" fillId="6" borderId="106" xfId="1" applyNumberFormat="1" applyFont="1" applyFill="1" applyBorder="1" applyAlignment="1">
      <alignment horizontal="right" vertical="center"/>
    </xf>
    <xf numFmtId="176" fontId="27" fillId="2" borderId="113" xfId="1" applyNumberFormat="1" applyFont="1" applyFill="1" applyBorder="1" applyAlignment="1">
      <alignment horizontal="center" vertical="center"/>
    </xf>
    <xf numFmtId="176" fontId="27" fillId="0" borderId="104" xfId="1" applyNumberFormat="1" applyFont="1" applyBorder="1" applyAlignment="1">
      <alignment horizontal="right" vertical="center"/>
    </xf>
    <xf numFmtId="176" fontId="40" fillId="0" borderId="115" xfId="1" applyNumberFormat="1" applyFont="1" applyBorder="1" applyAlignment="1">
      <alignment horizontal="right" vertical="center"/>
    </xf>
    <xf numFmtId="176" fontId="27" fillId="0" borderId="117" xfId="1" applyNumberFormat="1" applyFont="1" applyBorder="1" applyAlignment="1">
      <alignment horizontal="right" vertical="center"/>
    </xf>
    <xf numFmtId="176" fontId="27" fillId="0" borderId="119" xfId="1" applyNumberFormat="1" applyFont="1" applyBorder="1" applyAlignment="1">
      <alignment horizontal="right" vertical="center"/>
    </xf>
    <xf numFmtId="6" fontId="28" fillId="3" borderId="15" xfId="2" applyNumberFormat="1" applyFont="1" applyFill="1" applyBorder="1" applyAlignment="1">
      <alignment horizontal="right" vertical="center"/>
    </xf>
    <xf numFmtId="6" fontId="27" fillId="2" borderId="15" xfId="2" applyNumberFormat="1" applyFont="1" applyFill="1" applyBorder="1" applyAlignment="1">
      <alignment horizontal="right" vertical="center"/>
    </xf>
    <xf numFmtId="176" fontId="28" fillId="0" borderId="121" xfId="1" applyNumberFormat="1" applyFont="1" applyBorder="1" applyAlignment="1">
      <alignment horizontal="right" vertical="center"/>
    </xf>
    <xf numFmtId="176" fontId="28" fillId="3" borderId="121" xfId="1" applyNumberFormat="1" applyFont="1" applyFill="1" applyBorder="1" applyAlignment="1">
      <alignment horizontal="right" vertical="center"/>
    </xf>
    <xf numFmtId="176" fontId="27" fillId="2" borderId="121" xfId="1" applyNumberFormat="1" applyFont="1" applyFill="1" applyBorder="1" applyAlignment="1">
      <alignment horizontal="right" vertical="center"/>
    </xf>
    <xf numFmtId="176" fontId="28" fillId="16" borderId="121" xfId="1" applyNumberFormat="1" applyFont="1" applyFill="1" applyBorder="1" applyAlignment="1">
      <alignment horizontal="right" vertical="center"/>
    </xf>
    <xf numFmtId="176" fontId="28" fillId="6" borderId="121" xfId="1" applyNumberFormat="1" applyFont="1" applyFill="1" applyBorder="1" applyAlignment="1">
      <alignment horizontal="right" vertical="center"/>
    </xf>
    <xf numFmtId="6" fontId="28" fillId="6" borderId="108" xfId="2" applyNumberFormat="1" applyFont="1" applyFill="1" applyBorder="1" applyAlignment="1">
      <alignment horizontal="center" vertical="center"/>
    </xf>
    <xf numFmtId="6" fontId="27" fillId="2" borderId="122" xfId="2" applyNumberFormat="1" applyFont="1" applyFill="1" applyBorder="1" applyAlignment="1">
      <alignment horizontal="right" vertical="center"/>
    </xf>
    <xf numFmtId="176" fontId="27" fillId="2" borderId="123" xfId="1" applyNumberFormat="1" applyFont="1" applyFill="1" applyBorder="1" applyAlignment="1">
      <alignment horizontal="right" vertical="center"/>
    </xf>
    <xf numFmtId="176" fontId="27" fillId="2" borderId="57" xfId="2" applyNumberFormat="1" applyFont="1" applyFill="1" applyBorder="1" applyAlignment="1">
      <alignment horizontal="right" vertical="center"/>
    </xf>
    <xf numFmtId="6" fontId="27" fillId="2" borderId="124" xfId="2" applyNumberFormat="1" applyFont="1" applyFill="1" applyBorder="1" applyAlignment="1">
      <alignment horizontal="center" vertical="center"/>
    </xf>
    <xf numFmtId="0" fontId="27" fillId="0" borderId="6" xfId="0" applyFont="1" applyBorder="1" applyAlignment="1">
      <alignment horizontal="center" vertical="center" wrapText="1"/>
    </xf>
    <xf numFmtId="0" fontId="27" fillId="0" borderId="34" xfId="0" applyFont="1" applyBorder="1" applyAlignment="1">
      <alignment horizontal="center" vertical="center" wrapText="1"/>
    </xf>
    <xf numFmtId="176" fontId="27" fillId="0" borderId="35" xfId="3" applyNumberFormat="1" applyFont="1" applyFill="1" applyBorder="1" applyAlignment="1">
      <alignment horizontal="center" vertical="center" wrapText="1"/>
    </xf>
    <xf numFmtId="41" fontId="169" fillId="0" borderId="1" xfId="1" applyFont="1" applyBorder="1">
      <alignment vertical="center"/>
    </xf>
    <xf numFmtId="0" fontId="26" fillId="0" borderId="0" xfId="0" applyFont="1" applyAlignment="1">
      <alignment horizontal="center" vertical="center"/>
    </xf>
    <xf numFmtId="0" fontId="26" fillId="0" borderId="0" xfId="0" applyFont="1">
      <alignment vertical="center"/>
    </xf>
    <xf numFmtId="217" fontId="15" fillId="0" borderId="0" xfId="0" applyNumberFormat="1" applyFont="1">
      <alignment vertical="center"/>
    </xf>
    <xf numFmtId="0" fontId="172" fillId="0" borderId="0" xfId="0" applyFont="1">
      <alignment vertical="center"/>
    </xf>
    <xf numFmtId="0" fontId="172" fillId="0" borderId="0" xfId="0" applyFont="1" applyAlignment="1">
      <alignment vertical="top"/>
    </xf>
    <xf numFmtId="177" fontId="172" fillId="18" borderId="2" xfId="3" applyNumberFormat="1" applyFont="1" applyFill="1" applyBorder="1" applyAlignment="1">
      <alignment horizontal="center" vertical="center"/>
    </xf>
    <xf numFmtId="177" fontId="172" fillId="18" borderId="45" xfId="3" applyNumberFormat="1" applyFont="1" applyFill="1" applyBorder="1" applyAlignment="1">
      <alignment horizontal="center" vertical="center"/>
    </xf>
    <xf numFmtId="0" fontId="172" fillId="16" borderId="125" xfId="2" applyFont="1" applyFill="1" applyBorder="1" applyAlignment="1">
      <alignment horizontal="center" vertical="center" wrapText="1"/>
    </xf>
    <xf numFmtId="0" fontId="172" fillId="16" borderId="126" xfId="2" applyFont="1" applyFill="1" applyBorder="1" applyAlignment="1">
      <alignment horizontal="center" vertical="center" wrapText="1"/>
    </xf>
    <xf numFmtId="0" fontId="17" fillId="16" borderId="126" xfId="2" applyFont="1" applyFill="1" applyBorder="1" applyAlignment="1">
      <alignment horizontal="center" vertical="center"/>
    </xf>
    <xf numFmtId="178" fontId="17" fillId="16" borderId="126" xfId="2" applyNumberFormat="1" applyFont="1" applyFill="1" applyBorder="1" applyAlignment="1">
      <alignment horizontal="center" vertical="center"/>
    </xf>
    <xf numFmtId="217" fontId="172" fillId="16" borderId="126" xfId="2" applyNumberFormat="1" applyFont="1" applyFill="1" applyBorder="1" applyAlignment="1">
      <alignment horizontal="center" vertical="center"/>
    </xf>
    <xf numFmtId="178" fontId="26" fillId="16" borderId="126" xfId="2" applyNumberFormat="1" applyFont="1" applyFill="1" applyBorder="1" applyAlignment="1">
      <alignment horizontal="center" vertical="center"/>
    </xf>
    <xf numFmtId="183" fontId="17" fillId="16" borderId="126" xfId="3" applyNumberFormat="1" applyFont="1" applyFill="1" applyBorder="1" applyAlignment="1">
      <alignment horizontal="center" vertical="center"/>
    </xf>
    <xf numFmtId="6" fontId="17" fillId="16" borderId="126" xfId="2" applyNumberFormat="1" applyFont="1" applyFill="1" applyBorder="1" applyAlignment="1">
      <alignment horizontal="right" vertical="center"/>
    </xf>
    <xf numFmtId="6" fontId="17" fillId="16" borderId="127" xfId="2" applyNumberFormat="1" applyFont="1" applyFill="1" applyBorder="1" applyAlignment="1">
      <alignment horizontal="right" vertical="center"/>
    </xf>
    <xf numFmtId="0" fontId="172" fillId="0" borderId="128" xfId="2" applyFont="1" applyBorder="1" applyAlignment="1">
      <alignment horizontal="center" vertical="center" wrapText="1"/>
    </xf>
    <xf numFmtId="0" fontId="172" fillId="0" borderId="129" xfId="2" applyFont="1" applyBorder="1" applyAlignment="1">
      <alignment horizontal="center" vertical="center" wrapText="1"/>
    </xf>
    <xf numFmtId="17" fontId="17" fillId="0" borderId="129" xfId="2" applyNumberFormat="1" applyFont="1" applyBorder="1" applyAlignment="1">
      <alignment horizontal="center" vertical="center"/>
    </xf>
    <xf numFmtId="178" fontId="26" fillId="0" borderId="129" xfId="2" applyNumberFormat="1" applyFont="1" applyBorder="1" applyAlignment="1">
      <alignment horizontal="center" vertical="center"/>
    </xf>
    <xf numFmtId="217" fontId="15" fillId="0" borderId="129" xfId="2" applyNumberFormat="1" applyFont="1" applyBorder="1" applyAlignment="1">
      <alignment horizontal="center" vertical="center"/>
    </xf>
    <xf numFmtId="178" fontId="17" fillId="0" borderId="129" xfId="2" applyNumberFormat="1" applyFont="1" applyBorder="1" applyAlignment="1">
      <alignment horizontal="center" vertical="center"/>
    </xf>
    <xf numFmtId="183" fontId="17" fillId="0" borderId="129" xfId="3" applyNumberFormat="1" applyFont="1" applyFill="1" applyBorder="1" applyAlignment="1">
      <alignment horizontal="center" vertical="center"/>
    </xf>
    <xf numFmtId="6" fontId="17" fillId="0" borderId="129" xfId="2" applyNumberFormat="1" applyFont="1" applyBorder="1" applyAlignment="1">
      <alignment horizontal="right" vertical="center"/>
    </xf>
    <xf numFmtId="176" fontId="26" fillId="0" borderId="130" xfId="3" applyNumberFormat="1" applyFont="1" applyFill="1" applyBorder="1" applyAlignment="1">
      <alignment horizontal="left" vertical="center"/>
    </xf>
    <xf numFmtId="0" fontId="172" fillId="0" borderId="131" xfId="2" applyFont="1" applyBorder="1" applyAlignment="1">
      <alignment horizontal="center" vertical="center" wrapText="1"/>
    </xf>
    <xf numFmtId="0" fontId="172" fillId="0" borderId="132" xfId="2" applyFont="1" applyBorder="1" applyAlignment="1">
      <alignment horizontal="center" vertical="center" wrapText="1"/>
    </xf>
    <xf numFmtId="17" fontId="17" fillId="0" borderId="132" xfId="2" applyNumberFormat="1" applyFont="1" applyBorder="1" applyAlignment="1">
      <alignment horizontal="center" vertical="center"/>
    </xf>
    <xf numFmtId="178" fontId="26" fillId="0" borderId="132" xfId="2" applyNumberFormat="1" applyFont="1" applyBorder="1" applyAlignment="1">
      <alignment horizontal="center" vertical="center"/>
    </xf>
    <xf numFmtId="217" fontId="15" fillId="0" borderId="132" xfId="2" applyNumberFormat="1" applyFont="1" applyBorder="1" applyAlignment="1">
      <alignment horizontal="center" vertical="center"/>
    </xf>
    <xf numFmtId="178" fontId="17" fillId="0" borderId="132" xfId="2" applyNumberFormat="1" applyFont="1" applyBorder="1" applyAlignment="1">
      <alignment horizontal="center" vertical="center"/>
    </xf>
    <xf numFmtId="183" fontId="17" fillId="0" borderId="132" xfId="3" applyNumberFormat="1" applyFont="1" applyFill="1" applyBorder="1" applyAlignment="1">
      <alignment horizontal="center" vertical="center"/>
    </xf>
    <xf numFmtId="6" fontId="17" fillId="0" borderId="132" xfId="2" applyNumberFormat="1" applyFont="1" applyBorder="1" applyAlignment="1">
      <alignment horizontal="right" vertical="center"/>
    </xf>
    <xf numFmtId="176" fontId="26" fillId="0" borderId="133" xfId="3" applyNumberFormat="1" applyFont="1" applyFill="1" applyBorder="1" applyAlignment="1">
      <alignment horizontal="left" vertical="center"/>
    </xf>
    <xf numFmtId="0" fontId="172" fillId="0" borderId="125" xfId="2" applyFont="1" applyBorder="1" applyAlignment="1">
      <alignment horizontal="center" vertical="center" wrapText="1"/>
    </xf>
    <xf numFmtId="0" fontId="172" fillId="0" borderId="126" xfId="2" applyFont="1" applyBorder="1" applyAlignment="1">
      <alignment horizontal="center" vertical="center" wrapText="1"/>
    </xf>
    <xf numFmtId="0" fontId="26" fillId="0" borderId="126" xfId="2" applyFont="1" applyBorder="1" applyAlignment="1">
      <alignment horizontal="center" vertical="center"/>
    </xf>
    <xf numFmtId="217" fontId="15" fillId="0" borderId="126" xfId="2" applyNumberFormat="1" applyFont="1" applyBorder="1" applyAlignment="1">
      <alignment horizontal="center" vertical="center"/>
    </xf>
    <xf numFmtId="178" fontId="26" fillId="0" borderId="126" xfId="2" applyNumberFormat="1" applyFont="1" applyBorder="1" applyAlignment="1">
      <alignment horizontal="center" vertical="center"/>
    </xf>
    <xf numFmtId="183" fontId="17" fillId="0" borderId="126" xfId="3" applyNumberFormat="1" applyFont="1" applyFill="1" applyBorder="1" applyAlignment="1">
      <alignment horizontal="center" vertical="center"/>
    </xf>
    <xf numFmtId="6" fontId="17" fillId="0" borderId="126" xfId="2" applyNumberFormat="1" applyFont="1" applyBorder="1" applyAlignment="1">
      <alignment horizontal="right" vertical="center"/>
    </xf>
    <xf numFmtId="6" fontId="173" fillId="0" borderId="127" xfId="2" applyNumberFormat="1" applyFont="1" applyBorder="1" applyAlignment="1">
      <alignment horizontal="right" vertical="center"/>
    </xf>
    <xf numFmtId="0" fontId="26" fillId="0" borderId="132" xfId="2" applyFont="1" applyBorder="1" applyAlignment="1">
      <alignment horizontal="center" vertical="center"/>
    </xf>
    <xf numFmtId="6" fontId="173" fillId="0" borderId="133" xfId="2" applyNumberFormat="1" applyFont="1" applyBorder="1" applyAlignment="1">
      <alignment horizontal="right" vertical="center"/>
    </xf>
    <xf numFmtId="0" fontId="172" fillId="0" borderId="123" xfId="2" applyFont="1" applyBorder="1" applyAlignment="1">
      <alignment horizontal="center" vertical="center" wrapText="1"/>
    </xf>
    <xf numFmtId="0" fontId="172" fillId="0" borderId="134" xfId="2" applyFont="1" applyBorder="1" applyAlignment="1">
      <alignment horizontal="center" vertical="center" wrapText="1"/>
    </xf>
    <xf numFmtId="0" fontId="17" fillId="0" borderId="134" xfId="2" applyFont="1" applyBorder="1" applyAlignment="1">
      <alignment horizontal="center" vertical="center"/>
    </xf>
    <xf numFmtId="178" fontId="17" fillId="0" borderId="134" xfId="2" applyNumberFormat="1" applyFont="1" applyBorder="1" applyAlignment="1">
      <alignment horizontal="center" vertical="center"/>
    </xf>
    <xf numFmtId="217" fontId="172" fillId="0" borderId="134" xfId="2" applyNumberFormat="1" applyFont="1" applyBorder="1" applyAlignment="1">
      <alignment horizontal="center" vertical="center"/>
    </xf>
    <xf numFmtId="176" fontId="17" fillId="0" borderId="134" xfId="3" applyNumberFormat="1" applyFont="1" applyFill="1" applyBorder="1" applyAlignment="1">
      <alignment horizontal="center" vertical="center"/>
    </xf>
    <xf numFmtId="6" fontId="17" fillId="0" borderId="134" xfId="2" applyNumberFormat="1" applyFont="1" applyBorder="1" applyAlignment="1">
      <alignment horizontal="right" vertical="center"/>
    </xf>
    <xf numFmtId="6" fontId="17" fillId="0" borderId="124" xfId="2" applyNumberFormat="1" applyFont="1" applyBorder="1" applyAlignment="1">
      <alignment horizontal="right" vertical="center"/>
    </xf>
    <xf numFmtId="176" fontId="17" fillId="16" borderId="126" xfId="3" applyNumberFormat="1" applyFont="1" applyFill="1" applyBorder="1" applyAlignment="1">
      <alignment horizontal="center" vertical="center"/>
    </xf>
    <xf numFmtId="0" fontId="172" fillId="16" borderId="128" xfId="2" applyFont="1" applyFill="1" applyBorder="1" applyAlignment="1">
      <alignment horizontal="center" vertical="center" wrapText="1"/>
    </xf>
    <xf numFmtId="0" fontId="172" fillId="16" borderId="129" xfId="2" applyFont="1" applyFill="1" applyBorder="1" applyAlignment="1">
      <alignment horizontal="center" vertical="center" wrapText="1"/>
    </xf>
    <xf numFmtId="0" fontId="17" fillId="16" borderId="129" xfId="2" applyFont="1" applyFill="1" applyBorder="1" applyAlignment="1">
      <alignment horizontal="center" vertical="center"/>
    </xf>
    <xf numFmtId="178" fontId="17" fillId="16" borderId="129" xfId="2" applyNumberFormat="1" applyFont="1" applyFill="1" applyBorder="1" applyAlignment="1">
      <alignment horizontal="center" vertical="center"/>
    </xf>
    <xf numFmtId="217" fontId="172" fillId="16" borderId="129" xfId="2" applyNumberFormat="1" applyFont="1" applyFill="1" applyBorder="1" applyAlignment="1">
      <alignment horizontal="center" vertical="center"/>
    </xf>
    <xf numFmtId="178" fontId="26" fillId="16" borderId="129" xfId="2" applyNumberFormat="1" applyFont="1" applyFill="1" applyBorder="1" applyAlignment="1">
      <alignment horizontal="center" vertical="center"/>
    </xf>
    <xf numFmtId="176" fontId="17" fillId="16" borderId="129" xfId="3" applyNumberFormat="1" applyFont="1" applyFill="1" applyBorder="1" applyAlignment="1">
      <alignment horizontal="center" vertical="center"/>
    </xf>
    <xf numFmtId="6" fontId="17" fillId="16" borderId="129" xfId="2" applyNumberFormat="1" applyFont="1" applyFill="1" applyBorder="1" applyAlignment="1">
      <alignment horizontal="right" vertical="center"/>
    </xf>
    <xf numFmtId="6" fontId="17" fillId="16" borderId="130" xfId="2" applyNumberFormat="1" applyFont="1" applyFill="1" applyBorder="1" applyAlignment="1">
      <alignment horizontal="right" vertical="center"/>
    </xf>
    <xf numFmtId="0" fontId="17" fillId="0" borderId="129" xfId="2" applyFont="1" applyBorder="1" applyAlignment="1">
      <alignment horizontal="center" vertical="center"/>
    </xf>
    <xf numFmtId="217" fontId="172" fillId="0" borderId="129" xfId="2" applyNumberFormat="1" applyFont="1" applyBorder="1" applyAlignment="1">
      <alignment horizontal="center" vertical="center"/>
    </xf>
    <xf numFmtId="176" fontId="17" fillId="0" borderId="129" xfId="3" applyNumberFormat="1" applyFont="1" applyFill="1" applyBorder="1" applyAlignment="1">
      <alignment horizontal="center" vertical="center"/>
    </xf>
    <xf numFmtId="6" fontId="17" fillId="0" borderId="130" xfId="2" applyNumberFormat="1" applyFont="1" applyBorder="1" applyAlignment="1">
      <alignment horizontal="right" vertical="center"/>
    </xf>
    <xf numFmtId="0" fontId="172" fillId="12" borderId="128" xfId="2" applyFont="1" applyFill="1" applyBorder="1" applyAlignment="1">
      <alignment horizontal="center" vertical="center" wrapText="1"/>
    </xf>
    <xf numFmtId="0" fontId="172" fillId="12" borderId="129" xfId="2" applyFont="1" applyFill="1" applyBorder="1" applyAlignment="1">
      <alignment horizontal="center" vertical="center" wrapText="1"/>
    </xf>
    <xf numFmtId="0" fontId="17" fillId="12" borderId="129" xfId="2" applyFont="1" applyFill="1" applyBorder="1" applyAlignment="1">
      <alignment horizontal="center" vertical="center"/>
    </xf>
    <xf numFmtId="178" fontId="17" fillId="12" borderId="129" xfId="2" applyNumberFormat="1" applyFont="1" applyFill="1" applyBorder="1" applyAlignment="1">
      <alignment horizontal="center" vertical="center"/>
    </xf>
    <xf numFmtId="217" fontId="172" fillId="12" borderId="129" xfId="2" applyNumberFormat="1" applyFont="1" applyFill="1" applyBorder="1" applyAlignment="1">
      <alignment horizontal="center" vertical="center"/>
    </xf>
    <xf numFmtId="178" fontId="26" fillId="12" borderId="129" xfId="2" applyNumberFormat="1" applyFont="1" applyFill="1" applyBorder="1" applyAlignment="1">
      <alignment horizontal="center" vertical="center"/>
    </xf>
    <xf numFmtId="176" fontId="17" fillId="12" borderId="129" xfId="3" applyNumberFormat="1" applyFont="1" applyFill="1" applyBorder="1" applyAlignment="1">
      <alignment horizontal="center" vertical="center"/>
    </xf>
    <xf numFmtId="6" fontId="17" fillId="12" borderId="129" xfId="2" applyNumberFormat="1" applyFont="1" applyFill="1" applyBorder="1" applyAlignment="1">
      <alignment horizontal="right" vertical="center"/>
    </xf>
    <xf numFmtId="6" fontId="17" fillId="12" borderId="130" xfId="2" applyNumberFormat="1" applyFont="1" applyFill="1" applyBorder="1" applyAlignment="1">
      <alignment horizontal="right" vertical="center"/>
    </xf>
    <xf numFmtId="0" fontId="172" fillId="12" borderId="131" xfId="2" applyFont="1" applyFill="1" applyBorder="1" applyAlignment="1">
      <alignment horizontal="center" vertical="center" wrapText="1"/>
    </xf>
    <xf numFmtId="0" fontId="172" fillId="12" borderId="132" xfId="2" applyFont="1" applyFill="1" applyBorder="1" applyAlignment="1">
      <alignment horizontal="center" vertical="center" wrapText="1"/>
    </xf>
    <xf numFmtId="0" fontId="17" fillId="12" borderId="132" xfId="2" applyFont="1" applyFill="1" applyBorder="1" applyAlignment="1">
      <alignment horizontal="center" vertical="center"/>
    </xf>
    <xf numFmtId="178" fontId="17" fillId="12" borderId="132" xfId="2" applyNumberFormat="1" applyFont="1" applyFill="1" applyBorder="1" applyAlignment="1">
      <alignment horizontal="center" vertical="center"/>
    </xf>
    <xf numFmtId="217" fontId="172" fillId="12" borderId="132" xfId="2" applyNumberFormat="1" applyFont="1" applyFill="1" applyBorder="1" applyAlignment="1">
      <alignment horizontal="center" vertical="center"/>
    </xf>
    <xf numFmtId="178" fontId="26" fillId="12" borderId="132" xfId="2" applyNumberFormat="1" applyFont="1" applyFill="1" applyBorder="1" applyAlignment="1">
      <alignment horizontal="center" vertical="center"/>
    </xf>
    <xf numFmtId="176" fontId="17" fillId="12" borderId="132" xfId="3" applyNumberFormat="1" applyFont="1" applyFill="1" applyBorder="1" applyAlignment="1">
      <alignment horizontal="center" vertical="center"/>
    </xf>
    <xf numFmtId="6" fontId="17" fillId="12" borderId="132" xfId="2" applyNumberFormat="1" applyFont="1" applyFill="1" applyBorder="1" applyAlignment="1">
      <alignment horizontal="right" vertical="center"/>
    </xf>
    <xf numFmtId="6" fontId="17" fillId="12" borderId="133" xfId="2" applyNumberFormat="1" applyFont="1" applyFill="1" applyBorder="1" applyAlignment="1">
      <alignment horizontal="right" vertical="center"/>
    </xf>
    <xf numFmtId="17" fontId="17" fillId="16" borderId="126" xfId="2" applyNumberFormat="1" applyFont="1" applyFill="1" applyBorder="1" applyAlignment="1">
      <alignment horizontal="center" vertical="center"/>
    </xf>
    <xf numFmtId="217" fontId="15" fillId="16" borderId="126" xfId="2" applyNumberFormat="1" applyFont="1" applyFill="1" applyBorder="1" applyAlignment="1">
      <alignment horizontal="center" vertical="center"/>
    </xf>
    <xf numFmtId="17" fontId="17" fillId="16" borderId="129" xfId="2" applyNumberFormat="1" applyFont="1" applyFill="1" applyBorder="1" applyAlignment="1">
      <alignment horizontal="center" vertical="center"/>
    </xf>
    <xf numFmtId="217" fontId="15" fillId="16" borderId="129" xfId="2" applyNumberFormat="1" applyFont="1" applyFill="1" applyBorder="1" applyAlignment="1">
      <alignment horizontal="center" vertical="center"/>
    </xf>
    <xf numFmtId="17" fontId="17" fillId="12" borderId="129" xfId="2" applyNumberFormat="1" applyFont="1" applyFill="1" applyBorder="1" applyAlignment="1">
      <alignment horizontal="center" vertical="center"/>
    </xf>
    <xf numFmtId="217" fontId="15" fillId="12" borderId="129" xfId="2" applyNumberFormat="1" applyFont="1" applyFill="1" applyBorder="1" applyAlignment="1">
      <alignment horizontal="center" vertical="center"/>
    </xf>
    <xf numFmtId="17" fontId="17" fillId="12" borderId="132" xfId="2" applyNumberFormat="1" applyFont="1" applyFill="1" applyBorder="1" applyAlignment="1">
      <alignment horizontal="center" vertical="center"/>
    </xf>
    <xf numFmtId="217" fontId="15" fillId="12" borderId="132" xfId="2" applyNumberFormat="1" applyFont="1" applyFill="1" applyBorder="1" applyAlignment="1">
      <alignment horizontal="center" vertical="center"/>
    </xf>
    <xf numFmtId="17" fontId="17" fillId="0" borderId="126" xfId="2" applyNumberFormat="1" applyFont="1" applyBorder="1" applyAlignment="1">
      <alignment horizontal="center" vertical="center"/>
    </xf>
    <xf numFmtId="217" fontId="172" fillId="0" borderId="126" xfId="2" applyNumberFormat="1" applyFont="1" applyBorder="1" applyAlignment="1">
      <alignment horizontal="center" vertical="center"/>
    </xf>
    <xf numFmtId="178" fontId="17" fillId="0" borderId="126" xfId="2" applyNumberFormat="1" applyFont="1" applyBorder="1" applyAlignment="1">
      <alignment horizontal="center" vertical="center"/>
    </xf>
    <xf numFmtId="176" fontId="17" fillId="0" borderId="126" xfId="3" applyNumberFormat="1" applyFont="1" applyFill="1" applyBorder="1" applyAlignment="1">
      <alignment horizontal="center" vertical="center"/>
    </xf>
    <xf numFmtId="6" fontId="17" fillId="0" borderId="127" xfId="2" applyNumberFormat="1" applyFont="1" applyBorder="1" applyAlignment="1">
      <alignment horizontal="right" vertical="center"/>
    </xf>
    <xf numFmtId="0" fontId="26" fillId="12" borderId="129" xfId="2" applyFont="1" applyFill="1" applyBorder="1" applyAlignment="1">
      <alignment horizontal="center" vertical="center"/>
    </xf>
    <xf numFmtId="0" fontId="26" fillId="12" borderId="132" xfId="2" applyFont="1" applyFill="1" applyBorder="1" applyAlignment="1">
      <alignment horizontal="center" vertical="center"/>
    </xf>
    <xf numFmtId="17" fontId="17" fillId="0" borderId="129" xfId="2" applyNumberFormat="1" applyFont="1" applyBorder="1" applyAlignment="1">
      <alignment horizontal="center" vertical="center" wrapText="1"/>
    </xf>
    <xf numFmtId="17" fontId="17" fillId="6" borderId="129" xfId="2" applyNumberFormat="1" applyFont="1" applyFill="1" applyBorder="1" applyAlignment="1">
      <alignment horizontal="center" vertical="center" wrapText="1"/>
    </xf>
    <xf numFmtId="178" fontId="26" fillId="6" borderId="129" xfId="2" applyNumberFormat="1" applyFont="1" applyFill="1" applyBorder="1" applyAlignment="1">
      <alignment horizontal="center" vertical="center"/>
    </xf>
    <xf numFmtId="217" fontId="15" fillId="6" borderId="129" xfId="2" applyNumberFormat="1" applyFont="1" applyFill="1" applyBorder="1" applyAlignment="1">
      <alignment horizontal="center" vertical="center"/>
    </xf>
    <xf numFmtId="178" fontId="17" fillId="6" borderId="129" xfId="2" applyNumberFormat="1" applyFont="1" applyFill="1" applyBorder="1" applyAlignment="1">
      <alignment horizontal="center" vertical="center"/>
    </xf>
    <xf numFmtId="176" fontId="17" fillId="6" borderId="129" xfId="3" applyNumberFormat="1" applyFont="1" applyFill="1" applyBorder="1" applyAlignment="1">
      <alignment horizontal="center" vertical="center"/>
    </xf>
    <xf numFmtId="0" fontId="172" fillId="3" borderId="128" xfId="2" applyFont="1" applyFill="1" applyBorder="1" applyAlignment="1">
      <alignment horizontal="center" vertical="center" wrapText="1"/>
    </xf>
    <xf numFmtId="0" fontId="172" fillId="3" borderId="129" xfId="2" applyFont="1" applyFill="1" applyBorder="1" applyAlignment="1">
      <alignment horizontal="center" vertical="center" wrapText="1"/>
    </xf>
    <xf numFmtId="17" fontId="17" fillId="3" borderId="129" xfId="2" applyNumberFormat="1" applyFont="1" applyFill="1" applyBorder="1" applyAlignment="1">
      <alignment horizontal="center" vertical="center" wrapText="1"/>
    </xf>
    <xf numFmtId="178" fontId="26" fillId="3" borderId="129" xfId="2" applyNumberFormat="1" applyFont="1" applyFill="1" applyBorder="1" applyAlignment="1">
      <alignment horizontal="center" vertical="center"/>
    </xf>
    <xf numFmtId="217" fontId="15" fillId="3" borderId="129" xfId="2" applyNumberFormat="1" applyFont="1" applyFill="1" applyBorder="1" applyAlignment="1">
      <alignment horizontal="center" vertical="center"/>
    </xf>
    <xf numFmtId="178" fontId="17" fillId="3" borderId="129" xfId="2" applyNumberFormat="1" applyFont="1" applyFill="1" applyBorder="1" applyAlignment="1">
      <alignment horizontal="center" vertical="center"/>
    </xf>
    <xf numFmtId="176" fontId="17" fillId="3" borderId="129" xfId="3" applyNumberFormat="1" applyFont="1" applyFill="1" applyBorder="1" applyAlignment="1">
      <alignment horizontal="center" vertical="center"/>
    </xf>
    <xf numFmtId="6" fontId="17" fillId="3" borderId="129" xfId="2" applyNumberFormat="1" applyFont="1" applyFill="1" applyBorder="1" applyAlignment="1">
      <alignment horizontal="right" vertical="center"/>
    </xf>
    <xf numFmtId="6" fontId="17" fillId="3" borderId="130" xfId="2" applyNumberFormat="1" applyFont="1" applyFill="1" applyBorder="1" applyAlignment="1">
      <alignment horizontal="right" vertical="center"/>
    </xf>
    <xf numFmtId="17" fontId="17" fillId="12" borderId="129" xfId="2" applyNumberFormat="1" applyFont="1" applyFill="1" applyBorder="1" applyAlignment="1">
      <alignment horizontal="center" vertical="center" wrapText="1"/>
    </xf>
    <xf numFmtId="17" fontId="17" fillId="12" borderId="132" xfId="2" applyNumberFormat="1" applyFont="1" applyFill="1" applyBorder="1" applyAlignment="1">
      <alignment horizontal="center" vertical="center" wrapText="1"/>
    </xf>
    <xf numFmtId="17" fontId="17" fillId="6" borderId="129" xfId="2" applyNumberFormat="1" applyFont="1" applyFill="1" applyBorder="1" applyAlignment="1">
      <alignment horizontal="center" vertical="center"/>
    </xf>
    <xf numFmtId="6" fontId="17" fillId="6" borderId="129" xfId="2" applyNumberFormat="1" applyFont="1" applyFill="1" applyBorder="1" applyAlignment="1">
      <alignment horizontal="right" vertical="center"/>
    </xf>
    <xf numFmtId="6" fontId="17" fillId="6" borderId="130" xfId="2" applyNumberFormat="1" applyFont="1" applyFill="1" applyBorder="1" applyAlignment="1">
      <alignment horizontal="right" vertical="center"/>
    </xf>
    <xf numFmtId="0" fontId="26" fillId="6" borderId="126" xfId="2" applyFont="1" applyFill="1" applyBorder="1" applyAlignment="1">
      <alignment horizontal="center" vertical="center"/>
    </xf>
    <xf numFmtId="217" fontId="15" fillId="6" borderId="126" xfId="2" applyNumberFormat="1" applyFont="1" applyFill="1" applyBorder="1" applyAlignment="1">
      <alignment horizontal="center" vertical="center"/>
    </xf>
    <xf numFmtId="178" fontId="26" fillId="6" borderId="126" xfId="2" applyNumberFormat="1" applyFont="1" applyFill="1" applyBorder="1" applyAlignment="1">
      <alignment horizontal="center" vertical="center"/>
    </xf>
    <xf numFmtId="176" fontId="17" fillId="6" borderId="126" xfId="3" applyNumberFormat="1" applyFont="1" applyFill="1" applyBorder="1" applyAlignment="1">
      <alignment horizontal="center" vertical="center"/>
    </xf>
    <xf numFmtId="6" fontId="17" fillId="6" borderId="126" xfId="2" applyNumberFormat="1" applyFont="1" applyFill="1" applyBorder="1" applyAlignment="1">
      <alignment horizontal="right" vertical="center"/>
    </xf>
    <xf numFmtId="6" fontId="17" fillId="6" borderId="127" xfId="2" applyNumberFormat="1" applyFont="1" applyFill="1" applyBorder="1" applyAlignment="1">
      <alignment horizontal="right" vertical="center"/>
    </xf>
    <xf numFmtId="0" fontId="26" fillId="6" borderId="129" xfId="2" applyFont="1" applyFill="1" applyBorder="1" applyAlignment="1">
      <alignment horizontal="center" vertical="center"/>
    </xf>
    <xf numFmtId="0" fontId="26" fillId="16" borderId="126" xfId="2" applyFont="1" applyFill="1" applyBorder="1" applyAlignment="1">
      <alignment horizontal="center" vertical="center"/>
    </xf>
    <xf numFmtId="0" fontId="174" fillId="0" borderId="131" xfId="2" applyFont="1" applyBorder="1" applyAlignment="1">
      <alignment horizontal="center" vertical="center" wrapText="1"/>
    </xf>
    <xf numFmtId="0" fontId="174" fillId="0" borderId="132" xfId="2" applyFont="1" applyBorder="1" applyAlignment="1">
      <alignment horizontal="center" vertical="center" wrapText="1"/>
    </xf>
    <xf numFmtId="0" fontId="175" fillId="0" borderId="132" xfId="2" applyFont="1" applyBorder="1" applyAlignment="1">
      <alignment horizontal="center" vertical="center" shrinkToFit="1"/>
    </xf>
    <xf numFmtId="178" fontId="175" fillId="0" borderId="132" xfId="2" applyNumberFormat="1" applyFont="1" applyBorder="1" applyAlignment="1">
      <alignment horizontal="center" vertical="center"/>
    </xf>
    <xf numFmtId="217" fontId="174" fillId="0" borderId="132" xfId="2" applyNumberFormat="1" applyFont="1" applyBorder="1" applyAlignment="1">
      <alignment horizontal="center" vertical="center"/>
    </xf>
    <xf numFmtId="176" fontId="175" fillId="0" borderId="132" xfId="3" applyNumberFormat="1" applyFont="1" applyFill="1" applyBorder="1" applyAlignment="1">
      <alignment horizontal="center" vertical="center"/>
    </xf>
    <xf numFmtId="6" fontId="175" fillId="0" borderId="132" xfId="2" applyNumberFormat="1" applyFont="1" applyBorder="1" applyAlignment="1">
      <alignment horizontal="right" vertical="center"/>
    </xf>
    <xf numFmtId="176" fontId="175" fillId="0" borderId="133" xfId="3" applyNumberFormat="1" applyFont="1" applyFill="1" applyBorder="1" applyAlignment="1">
      <alignment horizontal="left" vertical="center"/>
    </xf>
    <xf numFmtId="0" fontId="178" fillId="0" borderId="0" xfId="0" applyFont="1">
      <alignment vertical="center"/>
    </xf>
    <xf numFmtId="0" fontId="178" fillId="0" borderId="31" xfId="0" applyFont="1" applyBorder="1">
      <alignment vertical="center"/>
    </xf>
    <xf numFmtId="0" fontId="176" fillId="6" borderId="1" xfId="2" applyFont="1" applyFill="1" applyBorder="1" applyAlignment="1">
      <alignment horizontal="center" vertical="center" wrapText="1"/>
    </xf>
    <xf numFmtId="6" fontId="179" fillId="18" borderId="134" xfId="2" applyNumberFormat="1" applyFont="1" applyFill="1" applyBorder="1" applyAlignment="1">
      <alignment horizontal="right" vertical="center"/>
    </xf>
    <xf numFmtId="6" fontId="172" fillId="18" borderId="134" xfId="2" applyNumberFormat="1" applyFont="1" applyFill="1" applyBorder="1" applyAlignment="1">
      <alignment horizontal="right" vertical="center"/>
    </xf>
    <xf numFmtId="6" fontId="172" fillId="18" borderId="124" xfId="2" applyNumberFormat="1" applyFont="1" applyFill="1" applyBorder="1" applyAlignment="1">
      <alignment horizontal="right" vertical="center"/>
    </xf>
    <xf numFmtId="41" fontId="169" fillId="0" borderId="7" xfId="0" applyNumberFormat="1" applyFont="1" applyBorder="1">
      <alignment vertical="center"/>
    </xf>
    <xf numFmtId="0" fontId="176" fillId="18" borderId="142" xfId="2" applyFont="1" applyFill="1" applyBorder="1" applyAlignment="1">
      <alignment horizontal="center" vertical="center" wrapText="1"/>
    </xf>
    <xf numFmtId="176" fontId="176" fillId="18" borderId="142" xfId="3" applyNumberFormat="1" applyFont="1" applyFill="1" applyBorder="1" applyAlignment="1">
      <alignment horizontal="center" vertical="center"/>
    </xf>
    <xf numFmtId="176" fontId="176" fillId="18" borderId="143" xfId="3" applyNumberFormat="1" applyFont="1" applyFill="1" applyBorder="1" applyAlignment="1">
      <alignment horizontal="center" vertical="center"/>
    </xf>
    <xf numFmtId="0" fontId="176" fillId="0" borderId="137" xfId="2" applyFont="1" applyBorder="1" applyAlignment="1">
      <alignment horizontal="center" vertical="center" wrapText="1"/>
    </xf>
    <xf numFmtId="41" fontId="176" fillId="0" borderId="137" xfId="1" applyFont="1" applyFill="1" applyBorder="1" applyAlignment="1">
      <alignment horizontal="center" vertical="center"/>
    </xf>
    <xf numFmtId="41" fontId="169" fillId="0" borderId="137" xfId="1" applyFont="1" applyBorder="1">
      <alignment vertical="center"/>
    </xf>
    <xf numFmtId="6" fontId="169" fillId="0" borderId="138" xfId="0" applyNumberFormat="1" applyFont="1" applyBorder="1">
      <alignment vertical="center"/>
    </xf>
    <xf numFmtId="41" fontId="169" fillId="0" borderId="138" xfId="0" applyNumberFormat="1" applyFont="1" applyBorder="1">
      <alignment vertical="center"/>
    </xf>
    <xf numFmtId="0" fontId="176" fillId="6" borderId="137" xfId="2" applyFont="1" applyFill="1" applyBorder="1" applyAlignment="1">
      <alignment horizontal="center" vertical="center" wrapText="1"/>
    </xf>
    <xf numFmtId="0" fontId="169" fillId="0" borderId="138" xfId="0" applyFont="1" applyBorder="1">
      <alignment vertical="center"/>
    </xf>
    <xf numFmtId="0" fontId="169" fillId="6" borderId="137" xfId="2" applyFont="1" applyFill="1" applyBorder="1" applyAlignment="1">
      <alignment horizontal="center" vertical="center" wrapText="1"/>
    </xf>
    <xf numFmtId="41" fontId="169" fillId="18" borderId="149" xfId="1" applyFont="1" applyFill="1" applyBorder="1">
      <alignment vertical="center"/>
    </xf>
    <xf numFmtId="41" fontId="180" fillId="18" borderId="149" xfId="1" applyFont="1" applyFill="1" applyBorder="1">
      <alignment vertical="center"/>
    </xf>
    <xf numFmtId="0" fontId="176" fillId="0" borderId="151" xfId="2" applyFont="1" applyBorder="1" applyAlignment="1">
      <alignment horizontal="center" vertical="center" wrapText="1"/>
    </xf>
    <xf numFmtId="41" fontId="169" fillId="0" borderId="151" xfId="1" applyFont="1" applyBorder="1">
      <alignment vertical="center"/>
    </xf>
    <xf numFmtId="41" fontId="169" fillId="0" borderId="155" xfId="0" applyNumberFormat="1" applyFont="1" applyBorder="1">
      <alignment vertical="center"/>
    </xf>
    <xf numFmtId="0" fontId="176" fillId="6" borderId="156" xfId="2" applyFont="1" applyFill="1" applyBorder="1" applyAlignment="1">
      <alignment horizontal="center" vertical="center" wrapText="1"/>
    </xf>
    <xf numFmtId="41" fontId="169" fillId="0" borderId="156" xfId="1" applyFont="1" applyBorder="1">
      <alignment vertical="center"/>
    </xf>
    <xf numFmtId="0" fontId="169" fillId="0" borderId="160" xfId="0" applyFont="1" applyBorder="1">
      <alignment vertical="center"/>
    </xf>
    <xf numFmtId="0" fontId="176" fillId="0" borderId="161" xfId="2" applyFont="1" applyBorder="1" applyAlignment="1">
      <alignment horizontal="center" vertical="center" wrapText="1"/>
    </xf>
    <xf numFmtId="41" fontId="169" fillId="0" borderId="161" xfId="1" applyFont="1" applyBorder="1">
      <alignment vertical="center"/>
    </xf>
    <xf numFmtId="6" fontId="169" fillId="0" borderId="165" xfId="0" applyNumberFormat="1" applyFont="1" applyBorder="1">
      <alignment vertical="center"/>
    </xf>
    <xf numFmtId="0" fontId="176" fillId="6" borderId="166" xfId="2" applyFont="1" applyFill="1" applyBorder="1" applyAlignment="1">
      <alignment horizontal="center" vertical="center" wrapText="1"/>
    </xf>
    <xf numFmtId="41" fontId="169" fillId="0" borderId="166" xfId="1" applyFont="1" applyBorder="1">
      <alignment vertical="center"/>
    </xf>
    <xf numFmtId="41" fontId="169" fillId="0" borderId="170" xfId="0" applyNumberFormat="1" applyFont="1" applyBorder="1">
      <alignment vertical="center"/>
    </xf>
    <xf numFmtId="41" fontId="169" fillId="18" borderId="150" xfId="1" applyFont="1" applyFill="1" applyBorder="1">
      <alignment vertical="center"/>
    </xf>
    <xf numFmtId="0" fontId="176" fillId="6" borderId="142" xfId="2" applyFont="1" applyFill="1" applyBorder="1" applyAlignment="1">
      <alignment horizontal="center" vertical="center" wrapText="1"/>
    </xf>
    <xf numFmtId="41" fontId="169" fillId="6" borderId="142" xfId="1" applyFont="1" applyFill="1" applyBorder="1" applyAlignment="1">
      <alignment horizontal="center" vertical="center"/>
    </xf>
    <xf numFmtId="0" fontId="176" fillId="6" borderId="149" xfId="2" applyFont="1" applyFill="1" applyBorder="1" applyAlignment="1">
      <alignment horizontal="center" vertical="center" wrapText="1"/>
    </xf>
    <xf numFmtId="0" fontId="169" fillId="0" borderId="0" xfId="0" applyFont="1" applyAlignment="1">
      <alignment horizontal="left" vertical="center"/>
    </xf>
    <xf numFmtId="0" fontId="173" fillId="0" borderId="0" xfId="0" applyFont="1">
      <alignment vertical="center"/>
    </xf>
    <xf numFmtId="0" fontId="181" fillId="0" borderId="0" xfId="0" applyFont="1">
      <alignment vertical="center"/>
    </xf>
    <xf numFmtId="0" fontId="181" fillId="0" borderId="31" xfId="0" applyFont="1" applyBorder="1">
      <alignment vertical="center"/>
    </xf>
    <xf numFmtId="176" fontId="180" fillId="18" borderId="142" xfId="3" applyNumberFormat="1" applyFont="1" applyFill="1" applyBorder="1" applyAlignment="1">
      <alignment horizontal="center" vertical="center"/>
    </xf>
    <xf numFmtId="41" fontId="180" fillId="0" borderId="137" xfId="1" applyFont="1" applyBorder="1">
      <alignment vertical="center"/>
    </xf>
    <xf numFmtId="41" fontId="180" fillId="0" borderId="151" xfId="1" applyFont="1" applyBorder="1">
      <alignment vertical="center"/>
    </xf>
    <xf numFmtId="41" fontId="180" fillId="0" borderId="161" xfId="1" applyFont="1" applyBorder="1">
      <alignment vertical="center"/>
    </xf>
    <xf numFmtId="41" fontId="180" fillId="0" borderId="166" xfId="1" applyFont="1" applyBorder="1">
      <alignment vertical="center"/>
    </xf>
    <xf numFmtId="41" fontId="180" fillId="0" borderId="1" xfId="1" applyFont="1" applyBorder="1">
      <alignment vertical="center"/>
    </xf>
    <xf numFmtId="41" fontId="180" fillId="0" borderId="156" xfId="1" applyFont="1" applyBorder="1">
      <alignment vertical="center"/>
    </xf>
    <xf numFmtId="179" fontId="173" fillId="0" borderId="0" xfId="0" applyNumberFormat="1" applyFont="1">
      <alignment vertical="center"/>
    </xf>
    <xf numFmtId="179" fontId="179" fillId="18" borderId="2" xfId="2" applyNumberFormat="1" applyFont="1" applyFill="1" applyBorder="1" applyAlignment="1">
      <alignment horizontal="center" vertical="center"/>
    </xf>
    <xf numFmtId="180" fontId="173" fillId="16" borderId="126" xfId="4" applyNumberFormat="1" applyFont="1" applyFill="1" applyBorder="1" applyAlignment="1">
      <alignment horizontal="right" vertical="center"/>
    </xf>
    <xf numFmtId="180" fontId="173" fillId="0" borderId="129" xfId="4" applyNumberFormat="1" applyFont="1" applyFill="1" applyBorder="1" applyAlignment="1">
      <alignment horizontal="right" vertical="center"/>
    </xf>
    <xf numFmtId="180" fontId="173" fillId="0" borderId="132" xfId="4" applyNumberFormat="1" applyFont="1" applyFill="1" applyBorder="1" applyAlignment="1">
      <alignment horizontal="right" vertical="center"/>
    </xf>
    <xf numFmtId="180" fontId="173" fillId="0" borderId="126" xfId="4" applyNumberFormat="1" applyFont="1" applyFill="1" applyBorder="1" applyAlignment="1">
      <alignment horizontal="right" vertical="center"/>
    </xf>
    <xf numFmtId="179" fontId="173" fillId="0" borderId="134" xfId="4" applyNumberFormat="1" applyFont="1" applyFill="1" applyBorder="1" applyAlignment="1">
      <alignment horizontal="right" vertical="center"/>
    </xf>
    <xf numFmtId="179" fontId="173" fillId="16" borderId="126" xfId="4" applyNumberFormat="1" applyFont="1" applyFill="1" applyBorder="1" applyAlignment="1">
      <alignment horizontal="right" vertical="center"/>
    </xf>
    <xf numFmtId="179" fontId="173" fillId="16" borderId="129" xfId="4" applyNumberFormat="1" applyFont="1" applyFill="1" applyBorder="1" applyAlignment="1">
      <alignment horizontal="right" vertical="center"/>
    </xf>
    <xf numFmtId="179" fontId="173" fillId="0" borderId="129" xfId="4" applyNumberFormat="1" applyFont="1" applyFill="1" applyBorder="1" applyAlignment="1">
      <alignment horizontal="right" vertical="center"/>
    </xf>
    <xf numFmtId="179" fontId="173" fillId="12" borderId="129" xfId="4" applyNumberFormat="1" applyFont="1" applyFill="1" applyBorder="1" applyAlignment="1">
      <alignment horizontal="right" vertical="center"/>
    </xf>
    <xf numFmtId="179" fontId="173" fillId="12" borderId="132" xfId="4" applyNumberFormat="1" applyFont="1" applyFill="1" applyBorder="1" applyAlignment="1">
      <alignment horizontal="right" vertical="center"/>
    </xf>
    <xf numFmtId="179" fontId="173" fillId="0" borderId="126" xfId="4" applyNumberFormat="1" applyFont="1" applyFill="1" applyBorder="1" applyAlignment="1">
      <alignment horizontal="right" vertical="center"/>
    </xf>
    <xf numFmtId="179" fontId="173" fillId="6" borderId="129" xfId="4" applyNumberFormat="1" applyFont="1" applyFill="1" applyBorder="1" applyAlignment="1">
      <alignment horizontal="right" vertical="center"/>
    </xf>
    <xf numFmtId="179" fontId="173" fillId="3" borderId="129" xfId="4" applyNumberFormat="1" applyFont="1" applyFill="1" applyBorder="1" applyAlignment="1">
      <alignment horizontal="right" vertical="center"/>
    </xf>
    <xf numFmtId="179" fontId="173" fillId="6" borderId="126" xfId="4" applyNumberFormat="1" applyFont="1" applyFill="1" applyBorder="1" applyAlignment="1">
      <alignment horizontal="right" vertical="center"/>
    </xf>
    <xf numFmtId="179" fontId="173" fillId="0" borderId="132" xfId="4" applyNumberFormat="1" applyFont="1" applyFill="1" applyBorder="1" applyAlignment="1">
      <alignment horizontal="right" vertical="center"/>
    </xf>
    <xf numFmtId="179" fontId="179" fillId="18" borderId="134" xfId="4" applyNumberFormat="1" applyFont="1" applyFill="1" applyBorder="1" applyAlignment="1">
      <alignment horizontal="right" vertical="center"/>
    </xf>
    <xf numFmtId="41" fontId="169" fillId="6" borderId="149" xfId="1" applyFont="1" applyFill="1" applyBorder="1" applyAlignment="1">
      <alignment horizontal="center" vertical="center"/>
    </xf>
    <xf numFmtId="17" fontId="17" fillId="0" borderId="174" xfId="2" applyNumberFormat="1" applyFont="1" applyBorder="1" applyAlignment="1">
      <alignment horizontal="center" vertical="center"/>
    </xf>
    <xf numFmtId="178" fontId="26" fillId="0" borderId="174" xfId="2" applyNumberFormat="1" applyFont="1" applyBorder="1" applyAlignment="1">
      <alignment horizontal="center" vertical="center"/>
    </xf>
    <xf numFmtId="217" fontId="15" fillId="0" borderId="174" xfId="2" applyNumberFormat="1" applyFont="1" applyBorder="1" applyAlignment="1">
      <alignment horizontal="center" vertical="center"/>
    </xf>
    <xf numFmtId="178" fontId="17" fillId="0" borderId="174" xfId="2" applyNumberFormat="1" applyFont="1" applyBorder="1" applyAlignment="1">
      <alignment horizontal="center" vertical="center"/>
    </xf>
    <xf numFmtId="183" fontId="17" fillId="0" borderId="174" xfId="3" applyNumberFormat="1" applyFont="1" applyFill="1" applyBorder="1" applyAlignment="1">
      <alignment horizontal="center" vertical="center"/>
    </xf>
    <xf numFmtId="180" fontId="173" fillId="0" borderId="174" xfId="4" applyNumberFormat="1" applyFont="1" applyFill="1" applyBorder="1" applyAlignment="1">
      <alignment horizontal="right" vertical="center"/>
    </xf>
    <xf numFmtId="6" fontId="17" fillId="0" borderId="174" xfId="2" applyNumberFormat="1" applyFont="1" applyBorder="1" applyAlignment="1">
      <alignment horizontal="right" vertical="center"/>
    </xf>
    <xf numFmtId="176" fontId="26" fillId="0" borderId="175" xfId="3" applyNumberFormat="1" applyFont="1" applyFill="1" applyBorder="1" applyAlignment="1">
      <alignment horizontal="left" vertical="center"/>
    </xf>
    <xf numFmtId="6" fontId="26" fillId="0" borderId="0" xfId="0" applyNumberFormat="1" applyFont="1">
      <alignment vertical="center"/>
    </xf>
    <xf numFmtId="179" fontId="172" fillId="0" borderId="0" xfId="0" applyNumberFormat="1" applyFont="1" applyAlignment="1">
      <alignment horizontal="right" vertical="center"/>
    </xf>
    <xf numFmtId="0" fontId="172" fillId="6" borderId="128" xfId="2" applyFont="1" applyFill="1" applyBorder="1" applyAlignment="1">
      <alignment horizontal="center" vertical="center" wrapText="1"/>
    </xf>
    <xf numFmtId="0" fontId="172" fillId="6" borderId="129" xfId="2" applyFont="1" applyFill="1" applyBorder="1" applyAlignment="1">
      <alignment horizontal="center" vertical="center" wrapText="1"/>
    </xf>
    <xf numFmtId="217" fontId="172" fillId="6" borderId="129" xfId="2" applyNumberFormat="1" applyFont="1" applyFill="1" applyBorder="1" applyAlignment="1">
      <alignment horizontal="center" vertical="center"/>
    </xf>
    <xf numFmtId="0" fontId="26" fillId="16" borderId="129" xfId="2" applyFont="1" applyFill="1" applyBorder="1" applyAlignment="1">
      <alignment horizontal="center" vertical="center"/>
    </xf>
    <xf numFmtId="0" fontId="175" fillId="0" borderId="174" xfId="2" applyFont="1" applyBorder="1" applyAlignment="1">
      <alignment horizontal="center" vertical="center" shrinkToFit="1"/>
    </xf>
    <xf numFmtId="0" fontId="174" fillId="0" borderId="177" xfId="2" applyFont="1" applyBorder="1" applyAlignment="1">
      <alignment horizontal="center" vertical="center" wrapText="1"/>
    </xf>
    <xf numFmtId="0" fontId="174" fillId="0" borderId="178" xfId="2" applyFont="1" applyBorder="1" applyAlignment="1">
      <alignment horizontal="center" vertical="center" wrapText="1"/>
    </xf>
    <xf numFmtId="178" fontId="175" fillId="0" borderId="178" xfId="2" applyNumberFormat="1" applyFont="1" applyBorder="1" applyAlignment="1">
      <alignment horizontal="center" vertical="center"/>
    </xf>
    <xf numFmtId="217" fontId="174" fillId="0" borderId="178" xfId="2" applyNumberFormat="1" applyFont="1" applyBorder="1" applyAlignment="1">
      <alignment horizontal="center" vertical="center"/>
    </xf>
    <xf numFmtId="176" fontId="175" fillId="0" borderId="178" xfId="3" applyNumberFormat="1" applyFont="1" applyFill="1" applyBorder="1" applyAlignment="1">
      <alignment horizontal="center" vertical="center"/>
    </xf>
    <xf numFmtId="6" fontId="175" fillId="0" borderId="178" xfId="2" applyNumberFormat="1" applyFont="1" applyBorder="1" applyAlignment="1">
      <alignment horizontal="right" vertical="center"/>
    </xf>
    <xf numFmtId="176" fontId="175" fillId="0" borderId="120" xfId="3" applyNumberFormat="1" applyFont="1" applyFill="1" applyBorder="1" applyAlignment="1">
      <alignment horizontal="left" vertical="center"/>
    </xf>
    <xf numFmtId="0" fontId="174" fillId="0" borderId="128" xfId="2" applyFont="1" applyBorder="1" applyAlignment="1">
      <alignment horizontal="center" vertical="center" wrapText="1"/>
    </xf>
    <xf numFmtId="0" fontId="174" fillId="0" borderId="129" xfId="2" applyFont="1" applyBorder="1" applyAlignment="1">
      <alignment horizontal="center" vertical="center" wrapText="1"/>
    </xf>
    <xf numFmtId="178" fontId="175" fillId="0" borderId="129" xfId="2" applyNumberFormat="1" applyFont="1" applyBorder="1" applyAlignment="1">
      <alignment horizontal="center" vertical="center"/>
    </xf>
    <xf numFmtId="217" fontId="174" fillId="0" borderId="129" xfId="2" applyNumberFormat="1" applyFont="1" applyBorder="1" applyAlignment="1">
      <alignment horizontal="center" vertical="center"/>
    </xf>
    <xf numFmtId="176" fontId="175" fillId="0" borderId="129" xfId="3" applyNumberFormat="1" applyFont="1" applyFill="1" applyBorder="1" applyAlignment="1">
      <alignment horizontal="center" vertical="center"/>
    </xf>
    <xf numFmtId="6" fontId="175" fillId="0" borderId="129" xfId="2" applyNumberFormat="1" applyFont="1" applyBorder="1" applyAlignment="1">
      <alignment horizontal="right" vertical="center"/>
    </xf>
    <xf numFmtId="176" fontId="175" fillId="0" borderId="130" xfId="3" applyNumberFormat="1" applyFont="1" applyFill="1" applyBorder="1" applyAlignment="1">
      <alignment horizontal="left" vertical="center"/>
    </xf>
    <xf numFmtId="0" fontId="17" fillId="6" borderId="129" xfId="2" applyFont="1" applyFill="1" applyBorder="1" applyAlignment="1">
      <alignment horizontal="center" vertical="center"/>
    </xf>
    <xf numFmtId="0" fontId="32" fillId="6" borderId="0" xfId="0" applyFont="1" applyFill="1">
      <alignment vertical="center"/>
    </xf>
    <xf numFmtId="178" fontId="17" fillId="6" borderId="179" xfId="2" applyNumberFormat="1" applyFont="1" applyFill="1" applyBorder="1" applyAlignment="1">
      <alignment horizontal="center" vertical="center"/>
    </xf>
    <xf numFmtId="0" fontId="172" fillId="9" borderId="128" xfId="2" applyFont="1" applyFill="1" applyBorder="1" applyAlignment="1">
      <alignment horizontal="center" vertical="center" wrapText="1"/>
    </xf>
    <xf numFmtId="0" fontId="172" fillId="9" borderId="129" xfId="2" applyFont="1" applyFill="1" applyBorder="1" applyAlignment="1">
      <alignment horizontal="center" vertical="center" wrapText="1"/>
    </xf>
    <xf numFmtId="17" fontId="17" fillId="9" borderId="129" xfId="2" applyNumberFormat="1" applyFont="1" applyFill="1" applyBorder="1" applyAlignment="1">
      <alignment horizontal="center" vertical="center"/>
    </xf>
    <xf numFmtId="178" fontId="26" fillId="9" borderId="129" xfId="2" applyNumberFormat="1" applyFont="1" applyFill="1" applyBorder="1" applyAlignment="1">
      <alignment horizontal="center" vertical="center"/>
    </xf>
    <xf numFmtId="217" fontId="15" fillId="9" borderId="129" xfId="2" applyNumberFormat="1" applyFont="1" applyFill="1" applyBorder="1" applyAlignment="1">
      <alignment horizontal="center" vertical="center"/>
    </xf>
    <xf numFmtId="183" fontId="17" fillId="9" borderId="129" xfId="3" applyNumberFormat="1" applyFont="1" applyFill="1" applyBorder="1" applyAlignment="1">
      <alignment horizontal="center" vertical="center"/>
    </xf>
    <xf numFmtId="6" fontId="17" fillId="9" borderId="129" xfId="2" applyNumberFormat="1" applyFont="1" applyFill="1" applyBorder="1" applyAlignment="1">
      <alignment horizontal="right" vertical="center"/>
    </xf>
    <xf numFmtId="176" fontId="26" fillId="9" borderId="130" xfId="3" applyNumberFormat="1" applyFont="1" applyFill="1" applyBorder="1" applyAlignment="1">
      <alignment horizontal="left" vertical="center"/>
    </xf>
    <xf numFmtId="17" fontId="17" fillId="6" borderId="174" xfId="2" applyNumberFormat="1" applyFont="1" applyFill="1" applyBorder="1" applyAlignment="1">
      <alignment horizontal="center" vertical="center"/>
    </xf>
    <xf numFmtId="217" fontId="172" fillId="6" borderId="174" xfId="2" applyNumberFormat="1" applyFont="1" applyFill="1" applyBorder="1" applyAlignment="1">
      <alignment horizontal="center" vertical="center"/>
    </xf>
    <xf numFmtId="6" fontId="17" fillId="6" borderId="175" xfId="2" applyNumberFormat="1" applyFont="1" applyFill="1" applyBorder="1" applyAlignment="1">
      <alignment horizontal="right" vertical="center"/>
    </xf>
    <xf numFmtId="0" fontId="174" fillId="0" borderId="180" xfId="2" applyFont="1" applyBorder="1" applyAlignment="1">
      <alignment horizontal="center" vertical="center" wrapText="1"/>
    </xf>
    <xf numFmtId="0" fontId="174" fillId="0" borderId="181" xfId="2" applyFont="1" applyBorder="1" applyAlignment="1">
      <alignment horizontal="center" vertical="center" wrapText="1"/>
    </xf>
    <xf numFmtId="0" fontId="175" fillId="0" borderId="181" xfId="2" applyFont="1" applyBorder="1" applyAlignment="1">
      <alignment horizontal="center" vertical="center" shrinkToFit="1"/>
    </xf>
    <xf numFmtId="178" fontId="175" fillId="0" borderId="181" xfId="2" applyNumberFormat="1" applyFont="1" applyBorder="1" applyAlignment="1">
      <alignment horizontal="center" vertical="center"/>
    </xf>
    <xf numFmtId="217" fontId="174" fillId="0" borderId="181" xfId="2" applyNumberFormat="1" applyFont="1" applyBorder="1" applyAlignment="1">
      <alignment horizontal="center" vertical="center"/>
    </xf>
    <xf numFmtId="176" fontId="175" fillId="0" borderId="181" xfId="3" applyNumberFormat="1" applyFont="1" applyFill="1" applyBorder="1" applyAlignment="1">
      <alignment horizontal="center" vertical="center"/>
    </xf>
    <xf numFmtId="6" fontId="175" fillId="0" borderId="181" xfId="2" applyNumberFormat="1" applyFont="1" applyBorder="1" applyAlignment="1">
      <alignment horizontal="right" vertical="center"/>
    </xf>
    <xf numFmtId="176" fontId="175" fillId="0" borderId="182" xfId="3" applyNumberFormat="1" applyFont="1" applyFill="1" applyBorder="1" applyAlignment="1">
      <alignment horizontal="left" vertical="center"/>
    </xf>
    <xf numFmtId="0" fontId="172" fillId="6" borderId="176" xfId="2" applyFont="1" applyFill="1" applyBorder="1" applyAlignment="1">
      <alignment horizontal="center" vertical="center" wrapText="1"/>
    </xf>
    <xf numFmtId="0" fontId="172" fillId="6" borderId="174" xfId="2" applyFont="1" applyFill="1" applyBorder="1" applyAlignment="1">
      <alignment horizontal="center" vertical="center" wrapText="1"/>
    </xf>
    <xf numFmtId="0" fontId="26" fillId="6" borderId="174" xfId="2" applyFont="1" applyFill="1" applyBorder="1" applyAlignment="1">
      <alignment horizontal="center" vertical="center"/>
    </xf>
    <xf numFmtId="176" fontId="17" fillId="6" borderId="174" xfId="3" applyNumberFormat="1" applyFont="1" applyFill="1" applyBorder="1" applyAlignment="1">
      <alignment horizontal="center" vertical="center"/>
    </xf>
    <xf numFmtId="6" fontId="17" fillId="6" borderId="174" xfId="2" applyNumberFormat="1" applyFont="1" applyFill="1" applyBorder="1" applyAlignment="1">
      <alignment horizontal="right" vertical="center"/>
    </xf>
    <xf numFmtId="0" fontId="26" fillId="12" borderId="174" xfId="2" applyFont="1" applyFill="1" applyBorder="1" applyAlignment="1">
      <alignment horizontal="center" vertical="center"/>
    </xf>
    <xf numFmtId="217" fontId="15" fillId="12" borderId="174" xfId="2" applyNumberFormat="1" applyFont="1" applyFill="1" applyBorder="1" applyAlignment="1">
      <alignment horizontal="center" vertical="center"/>
    </xf>
    <xf numFmtId="176" fontId="17" fillId="12" borderId="174" xfId="3" applyNumberFormat="1" applyFont="1" applyFill="1" applyBorder="1" applyAlignment="1">
      <alignment horizontal="center" vertical="center"/>
    </xf>
    <xf numFmtId="6" fontId="17" fillId="12" borderId="174" xfId="2" applyNumberFormat="1" applyFont="1" applyFill="1" applyBorder="1" applyAlignment="1">
      <alignment horizontal="right" vertical="center"/>
    </xf>
    <xf numFmtId="6" fontId="17" fillId="12" borderId="175" xfId="2" applyNumberFormat="1" applyFont="1" applyFill="1" applyBorder="1" applyAlignment="1">
      <alignment horizontal="right" vertical="center"/>
    </xf>
    <xf numFmtId="178" fontId="26" fillId="6" borderId="174" xfId="2" applyNumberFormat="1" applyFont="1" applyFill="1" applyBorder="1" applyAlignment="1">
      <alignment horizontal="center" vertical="center"/>
    </xf>
    <xf numFmtId="17" fontId="17" fillId="4" borderId="129" xfId="2" applyNumberFormat="1" applyFont="1" applyFill="1" applyBorder="1" applyAlignment="1">
      <alignment horizontal="center" vertical="center"/>
    </xf>
    <xf numFmtId="17" fontId="17" fillId="4" borderId="132" xfId="2" applyNumberFormat="1" applyFont="1" applyFill="1" applyBorder="1" applyAlignment="1">
      <alignment horizontal="center" vertical="center"/>
    </xf>
    <xf numFmtId="0" fontId="172" fillId="17" borderId="125" xfId="2" applyFont="1" applyFill="1" applyBorder="1" applyAlignment="1">
      <alignment horizontal="center" vertical="center" wrapText="1"/>
    </xf>
    <xf numFmtId="0" fontId="172" fillId="17" borderId="126" xfId="2" applyFont="1" applyFill="1" applyBorder="1" applyAlignment="1">
      <alignment horizontal="center" vertical="center" wrapText="1"/>
    </xf>
    <xf numFmtId="0" fontId="17" fillId="17" borderId="126" xfId="2" applyFont="1" applyFill="1" applyBorder="1" applyAlignment="1">
      <alignment horizontal="center" vertical="center"/>
    </xf>
    <xf numFmtId="178" fontId="17" fillId="17" borderId="126" xfId="2" applyNumberFormat="1" applyFont="1" applyFill="1" applyBorder="1" applyAlignment="1">
      <alignment horizontal="center" vertical="center"/>
    </xf>
    <xf numFmtId="217" fontId="172" fillId="17" borderId="126" xfId="2" applyNumberFormat="1" applyFont="1" applyFill="1" applyBorder="1" applyAlignment="1">
      <alignment horizontal="center" vertical="center"/>
    </xf>
    <xf numFmtId="176" fontId="17" fillId="17" borderId="126" xfId="3" applyNumberFormat="1" applyFont="1" applyFill="1" applyBorder="1" applyAlignment="1">
      <alignment horizontal="center" vertical="center"/>
    </xf>
    <xf numFmtId="6" fontId="17" fillId="17" borderId="126" xfId="2" applyNumberFormat="1" applyFont="1" applyFill="1" applyBorder="1" applyAlignment="1">
      <alignment horizontal="right" vertical="center"/>
    </xf>
    <xf numFmtId="6" fontId="17" fillId="17" borderId="127" xfId="2" applyNumberFormat="1" applyFont="1" applyFill="1" applyBorder="1" applyAlignment="1">
      <alignment horizontal="right" vertical="center"/>
    </xf>
    <xf numFmtId="0" fontId="172" fillId="17" borderId="128" xfId="2" applyFont="1" applyFill="1" applyBorder="1" applyAlignment="1">
      <alignment horizontal="center" vertical="center" wrapText="1"/>
    </xf>
    <xf numFmtId="0" fontId="172" fillId="17" borderId="129" xfId="2" applyFont="1" applyFill="1" applyBorder="1" applyAlignment="1">
      <alignment horizontal="center" vertical="center" wrapText="1"/>
    </xf>
    <xf numFmtId="0" fontId="17" fillId="17" borderId="129" xfId="2" applyFont="1" applyFill="1" applyBorder="1" applyAlignment="1">
      <alignment horizontal="center" vertical="center"/>
    </xf>
    <xf numFmtId="178" fontId="17" fillId="17" borderId="129" xfId="2" applyNumberFormat="1" applyFont="1" applyFill="1" applyBorder="1" applyAlignment="1">
      <alignment horizontal="center" vertical="center"/>
    </xf>
    <xf numFmtId="217" fontId="172" fillId="17" borderId="129" xfId="2" applyNumberFormat="1" applyFont="1" applyFill="1" applyBorder="1" applyAlignment="1">
      <alignment horizontal="center" vertical="center"/>
    </xf>
    <xf numFmtId="178" fontId="26" fillId="17" borderId="129" xfId="2" applyNumberFormat="1" applyFont="1" applyFill="1" applyBorder="1" applyAlignment="1">
      <alignment horizontal="center" vertical="center"/>
    </xf>
    <xf numFmtId="176" fontId="17" fillId="17" borderId="129" xfId="3" applyNumberFormat="1" applyFont="1" applyFill="1" applyBorder="1" applyAlignment="1">
      <alignment horizontal="center" vertical="center"/>
    </xf>
    <xf numFmtId="6" fontId="17" fillId="17" borderId="129" xfId="2" applyNumberFormat="1" applyFont="1" applyFill="1" applyBorder="1" applyAlignment="1">
      <alignment horizontal="right" vertical="center"/>
    </xf>
    <xf numFmtId="6" fontId="17" fillId="17" borderId="130" xfId="2" applyNumberFormat="1" applyFont="1" applyFill="1" applyBorder="1" applyAlignment="1">
      <alignment horizontal="right" vertical="center"/>
    </xf>
    <xf numFmtId="41" fontId="169" fillId="6" borderId="137" xfId="1" applyFont="1" applyFill="1" applyBorder="1" applyAlignment="1">
      <alignment horizontal="center" vertical="center"/>
    </xf>
    <xf numFmtId="41" fontId="169" fillId="6" borderId="147" xfId="1" applyFont="1" applyFill="1" applyBorder="1" applyAlignment="1">
      <alignment horizontal="left" vertical="center"/>
    </xf>
    <xf numFmtId="0" fontId="176" fillId="6" borderId="36" xfId="2" applyFont="1" applyFill="1" applyBorder="1" applyAlignment="1">
      <alignment horizontal="center" vertical="center" wrapText="1"/>
    </xf>
    <xf numFmtId="41" fontId="169" fillId="6" borderId="36" xfId="1" applyFont="1" applyFill="1" applyBorder="1" applyAlignment="1">
      <alignment horizontal="center" vertical="center"/>
    </xf>
    <xf numFmtId="41" fontId="169" fillId="6" borderId="62" xfId="1" applyFont="1" applyFill="1" applyBorder="1" applyAlignment="1">
      <alignment horizontal="left" vertical="center"/>
    </xf>
    <xf numFmtId="0" fontId="172" fillId="6" borderId="180" xfId="2" applyFont="1" applyFill="1" applyBorder="1" applyAlignment="1">
      <alignment horizontal="center" vertical="center" wrapText="1"/>
    </xf>
    <xf numFmtId="0" fontId="172" fillId="6" borderId="181" xfId="2" applyFont="1" applyFill="1" applyBorder="1" applyAlignment="1">
      <alignment horizontal="center" vertical="center" wrapText="1"/>
    </xf>
    <xf numFmtId="0" fontId="26" fillId="6" borderId="181" xfId="2" applyFont="1" applyFill="1" applyBorder="1" applyAlignment="1">
      <alignment horizontal="center" vertical="center"/>
    </xf>
    <xf numFmtId="217" fontId="15" fillId="6" borderId="181" xfId="2" applyNumberFormat="1" applyFont="1" applyFill="1" applyBorder="1" applyAlignment="1">
      <alignment horizontal="center" vertical="center"/>
    </xf>
    <xf numFmtId="176" fontId="17" fillId="6" borderId="181" xfId="3" applyNumberFormat="1" applyFont="1" applyFill="1" applyBorder="1" applyAlignment="1">
      <alignment horizontal="center" vertical="center"/>
    </xf>
    <xf numFmtId="6" fontId="17" fillId="6" borderId="181" xfId="2" applyNumberFormat="1" applyFont="1" applyFill="1" applyBorder="1" applyAlignment="1">
      <alignment horizontal="right" vertical="center"/>
    </xf>
    <xf numFmtId="6" fontId="17" fillId="6" borderId="182" xfId="2" applyNumberFormat="1" applyFont="1" applyFill="1" applyBorder="1" applyAlignment="1">
      <alignment horizontal="right" vertical="center"/>
    </xf>
    <xf numFmtId="217" fontId="15" fillId="17" borderId="129" xfId="2" applyNumberFormat="1" applyFont="1" applyFill="1" applyBorder="1" applyAlignment="1">
      <alignment horizontal="center" vertical="center"/>
    </xf>
    <xf numFmtId="41" fontId="169" fillId="6" borderId="146" xfId="1" applyFont="1" applyFill="1" applyBorder="1" applyAlignment="1">
      <alignment vertical="center"/>
    </xf>
    <xf numFmtId="41" fontId="15" fillId="0" borderId="0" xfId="1" applyFont="1" applyAlignment="1">
      <alignment horizontal="center" vertical="center"/>
    </xf>
    <xf numFmtId="41" fontId="15" fillId="18" borderId="0" xfId="1" applyFont="1" applyFill="1" applyAlignment="1">
      <alignment horizontal="center" vertical="center"/>
    </xf>
    <xf numFmtId="41" fontId="172" fillId="0" borderId="0" xfId="1" applyFont="1" applyAlignment="1">
      <alignment horizontal="center" vertical="center"/>
    </xf>
    <xf numFmtId="41" fontId="26" fillId="0" borderId="0" xfId="1" applyFont="1" applyAlignment="1">
      <alignment horizontal="center" vertical="center"/>
    </xf>
    <xf numFmtId="41" fontId="26" fillId="18" borderId="0" xfId="1" applyFont="1" applyFill="1" applyAlignment="1">
      <alignment horizontal="center" vertical="center"/>
    </xf>
    <xf numFmtId="41" fontId="17" fillId="0" borderId="0" xfId="1" applyFont="1" applyAlignment="1">
      <alignment horizontal="center" vertical="center"/>
    </xf>
    <xf numFmtId="41" fontId="17" fillId="6" borderId="0" xfId="1" applyFont="1" applyFill="1" applyAlignment="1">
      <alignment horizontal="center" vertical="center"/>
    </xf>
    <xf numFmtId="41" fontId="169" fillId="18" borderId="1" xfId="1" applyFont="1" applyFill="1" applyBorder="1">
      <alignment vertical="center"/>
    </xf>
    <xf numFmtId="41" fontId="169" fillId="18" borderId="7" xfId="0" applyNumberFormat="1" applyFont="1" applyFill="1" applyBorder="1">
      <alignment vertical="center"/>
    </xf>
    <xf numFmtId="0" fontId="183" fillId="0" borderId="0" xfId="0" applyFont="1">
      <alignment vertical="center"/>
    </xf>
    <xf numFmtId="0" fontId="15" fillId="0" borderId="0" xfId="0" applyFont="1">
      <alignment vertical="center"/>
    </xf>
    <xf numFmtId="0" fontId="15" fillId="0" borderId="0" xfId="0" applyFont="1" applyAlignment="1">
      <alignment vertical="top"/>
    </xf>
    <xf numFmtId="0" fontId="183" fillId="0" borderId="31" xfId="0" applyFont="1" applyBorder="1">
      <alignment vertical="center"/>
    </xf>
    <xf numFmtId="176" fontId="169" fillId="18" borderId="142" xfId="3" applyNumberFormat="1" applyFont="1" applyFill="1" applyBorder="1" applyAlignment="1">
      <alignment horizontal="center" vertical="center"/>
    </xf>
    <xf numFmtId="179" fontId="26" fillId="0" borderId="0" xfId="0" applyNumberFormat="1" applyFont="1">
      <alignment vertical="center"/>
    </xf>
    <xf numFmtId="179" fontId="15" fillId="18" borderId="2" xfId="2" applyNumberFormat="1" applyFont="1" applyFill="1" applyBorder="1" applyAlignment="1">
      <alignment horizontal="center" vertical="center"/>
    </xf>
    <xf numFmtId="177" fontId="15" fillId="18" borderId="2" xfId="3" applyNumberFormat="1" applyFont="1" applyFill="1" applyBorder="1" applyAlignment="1">
      <alignment horizontal="center" vertical="center"/>
    </xf>
    <xf numFmtId="180" fontId="26" fillId="0" borderId="129" xfId="4" applyNumberFormat="1" applyFont="1" applyFill="1" applyBorder="1" applyAlignment="1">
      <alignment horizontal="right" vertical="center"/>
    </xf>
    <xf numFmtId="6" fontId="26" fillId="0" borderId="129" xfId="2" applyNumberFormat="1" applyFont="1" applyBorder="1" applyAlignment="1">
      <alignment horizontal="right" vertical="center"/>
    </xf>
    <xf numFmtId="180" fontId="26" fillId="9" borderId="129" xfId="4" applyNumberFormat="1" applyFont="1" applyFill="1" applyBorder="1" applyAlignment="1">
      <alignment horizontal="right" vertical="center"/>
    </xf>
    <xf numFmtId="6" fontId="26" fillId="9" borderId="129" xfId="2" applyNumberFormat="1" applyFont="1" applyFill="1" applyBorder="1" applyAlignment="1">
      <alignment horizontal="right" vertical="center"/>
    </xf>
    <xf numFmtId="179" fontId="26" fillId="0" borderId="134" xfId="4" applyNumberFormat="1" applyFont="1" applyFill="1" applyBorder="1" applyAlignment="1">
      <alignment horizontal="right" vertical="center"/>
    </xf>
    <xf numFmtId="6" fontId="26" fillId="0" borderId="134" xfId="2" applyNumberFormat="1" applyFont="1" applyBorder="1" applyAlignment="1">
      <alignment horizontal="right" vertical="center"/>
    </xf>
    <xf numFmtId="179" fontId="26" fillId="17" borderId="126" xfId="4" applyNumberFormat="1" applyFont="1" applyFill="1" applyBorder="1" applyAlignment="1">
      <alignment horizontal="right" vertical="center"/>
    </xf>
    <xf numFmtId="6" fontId="26" fillId="17" borderId="126" xfId="2" applyNumberFormat="1" applyFont="1" applyFill="1" applyBorder="1" applyAlignment="1">
      <alignment horizontal="right" vertical="center"/>
    </xf>
    <xf numFmtId="179" fontId="26" fillId="17" borderId="129" xfId="4" applyNumberFormat="1" applyFont="1" applyFill="1" applyBorder="1" applyAlignment="1">
      <alignment horizontal="right" vertical="center"/>
    </xf>
    <xf numFmtId="6" fontId="26" fillId="17" borderId="129" xfId="2" applyNumberFormat="1" applyFont="1" applyFill="1" applyBorder="1" applyAlignment="1">
      <alignment horizontal="right" vertical="center"/>
    </xf>
    <xf numFmtId="179" fontId="26" fillId="16" borderId="129" xfId="4" applyNumberFormat="1" applyFont="1" applyFill="1" applyBorder="1" applyAlignment="1">
      <alignment horizontal="right" vertical="center"/>
    </xf>
    <xf numFmtId="6" fontId="26" fillId="16" borderId="129" xfId="2" applyNumberFormat="1" applyFont="1" applyFill="1" applyBorder="1" applyAlignment="1">
      <alignment horizontal="right" vertical="center"/>
    </xf>
    <xf numFmtId="179" fontId="26" fillId="6" borderId="129" xfId="4" applyNumberFormat="1" applyFont="1" applyFill="1" applyBorder="1" applyAlignment="1">
      <alignment horizontal="right" vertical="center"/>
    </xf>
    <xf numFmtId="6" fontId="26" fillId="6" borderId="129" xfId="2" applyNumberFormat="1" applyFont="1" applyFill="1" applyBorder="1" applyAlignment="1">
      <alignment horizontal="right" vertical="center"/>
    </xf>
    <xf numFmtId="179" fontId="26" fillId="0" borderId="129" xfId="4" applyNumberFormat="1" applyFont="1" applyFill="1" applyBorder="1" applyAlignment="1">
      <alignment horizontal="right" vertical="center"/>
    </xf>
    <xf numFmtId="179" fontId="26" fillId="12" borderId="129" xfId="4" applyNumberFormat="1" applyFont="1" applyFill="1" applyBorder="1" applyAlignment="1">
      <alignment horizontal="right" vertical="center"/>
    </xf>
    <xf numFmtId="6" fontId="26" fillId="12" borderId="129" xfId="2" applyNumberFormat="1" applyFont="1" applyFill="1" applyBorder="1" applyAlignment="1">
      <alignment horizontal="right" vertical="center"/>
    </xf>
    <xf numFmtId="179" fontId="26" fillId="12" borderId="132" xfId="4" applyNumberFormat="1" applyFont="1" applyFill="1" applyBorder="1" applyAlignment="1">
      <alignment horizontal="right" vertical="center"/>
    </xf>
    <xf numFmtId="6" fontId="26" fillId="12" borderId="132" xfId="2" applyNumberFormat="1" applyFont="1" applyFill="1" applyBorder="1" applyAlignment="1">
      <alignment horizontal="right" vertical="center"/>
    </xf>
    <xf numFmtId="179" fontId="26" fillId="16" borderId="126" xfId="4" applyNumberFormat="1" applyFont="1" applyFill="1" applyBorder="1" applyAlignment="1">
      <alignment horizontal="right" vertical="center"/>
    </xf>
    <xf numFmtId="6" fontId="26" fillId="16" borderId="126" xfId="2" applyNumberFormat="1" applyFont="1" applyFill="1" applyBorder="1" applyAlignment="1">
      <alignment horizontal="right" vertical="center"/>
    </xf>
    <xf numFmtId="179" fontId="26" fillId="6" borderId="174" xfId="4" applyNumberFormat="1" applyFont="1" applyFill="1" applyBorder="1" applyAlignment="1">
      <alignment horizontal="right" vertical="center"/>
    </xf>
    <xf numFmtId="179" fontId="26" fillId="12" borderId="174" xfId="4" applyNumberFormat="1" applyFont="1" applyFill="1" applyBorder="1" applyAlignment="1">
      <alignment horizontal="right" vertical="center"/>
    </xf>
    <xf numFmtId="6" fontId="26" fillId="12" borderId="174" xfId="2" applyNumberFormat="1" applyFont="1" applyFill="1" applyBorder="1" applyAlignment="1">
      <alignment horizontal="right" vertical="center"/>
    </xf>
    <xf numFmtId="6" fontId="26" fillId="6" borderId="174" xfId="2" applyNumberFormat="1" applyFont="1" applyFill="1" applyBorder="1" applyAlignment="1">
      <alignment horizontal="right" vertical="center"/>
    </xf>
    <xf numFmtId="179" fontId="26" fillId="6" borderId="181" xfId="4" applyNumberFormat="1" applyFont="1" applyFill="1" applyBorder="1" applyAlignment="1">
      <alignment horizontal="right" vertical="center"/>
    </xf>
    <xf numFmtId="6" fontId="26" fillId="6" borderId="181" xfId="2" applyNumberFormat="1" applyFont="1" applyFill="1" applyBorder="1" applyAlignment="1">
      <alignment horizontal="right" vertical="center"/>
    </xf>
    <xf numFmtId="179" fontId="26" fillId="0" borderId="181" xfId="4" applyNumberFormat="1" applyFont="1" applyFill="1" applyBorder="1" applyAlignment="1">
      <alignment horizontal="right" vertical="center"/>
    </xf>
    <xf numFmtId="6" fontId="26" fillId="0" borderId="181" xfId="2" applyNumberFormat="1" applyFont="1" applyBorder="1" applyAlignment="1">
      <alignment horizontal="right" vertical="center"/>
    </xf>
    <xf numFmtId="179" fontId="26" fillId="0" borderId="178" xfId="4" applyNumberFormat="1" applyFont="1" applyFill="1" applyBorder="1" applyAlignment="1">
      <alignment horizontal="right" vertical="center"/>
    </xf>
    <xf numFmtId="6" fontId="26" fillId="0" borderId="178" xfId="2" applyNumberFormat="1" applyFont="1" applyBorder="1" applyAlignment="1">
      <alignment horizontal="right" vertical="center"/>
    </xf>
    <xf numFmtId="179" fontId="15" fillId="18" borderId="134" xfId="4" applyNumberFormat="1" applyFont="1" applyFill="1" applyBorder="1" applyAlignment="1">
      <alignment horizontal="right" vertical="center"/>
    </xf>
    <xf numFmtId="6" fontId="15" fillId="18" borderId="134" xfId="2" applyNumberFormat="1" applyFont="1" applyFill="1" applyBorder="1" applyAlignment="1">
      <alignment horizontal="right" vertical="center"/>
    </xf>
    <xf numFmtId="176" fontId="182" fillId="18" borderId="142" xfId="3" applyNumberFormat="1" applyFont="1" applyFill="1" applyBorder="1" applyAlignment="1">
      <alignment horizontal="center" vertical="center"/>
    </xf>
    <xf numFmtId="41" fontId="182" fillId="0" borderId="137" xfId="1" applyFont="1" applyBorder="1">
      <alignment vertical="center"/>
    </xf>
    <xf numFmtId="41" fontId="182" fillId="0" borderId="151" xfId="1" applyFont="1" applyBorder="1">
      <alignment vertical="center"/>
    </xf>
    <xf numFmtId="41" fontId="182" fillId="18" borderId="1" xfId="1" applyFont="1" applyFill="1" applyBorder="1">
      <alignment vertical="center"/>
    </xf>
    <xf numFmtId="41" fontId="182" fillId="0" borderId="161" xfId="1" applyFont="1" applyBorder="1">
      <alignment vertical="center"/>
    </xf>
    <xf numFmtId="41" fontId="182" fillId="0" borderId="166" xfId="1" applyFont="1" applyBorder="1">
      <alignment vertical="center"/>
    </xf>
    <xf numFmtId="41" fontId="182" fillId="0" borderId="1" xfId="1" applyFont="1" applyBorder="1">
      <alignment vertical="center"/>
    </xf>
    <xf numFmtId="41" fontId="182" fillId="18" borderId="149" xfId="1" applyFont="1" applyFill="1" applyBorder="1">
      <alignment vertical="center"/>
    </xf>
    <xf numFmtId="6" fontId="184" fillId="0" borderId="0" xfId="0" applyNumberFormat="1" applyFont="1">
      <alignment vertical="center"/>
    </xf>
    <xf numFmtId="0" fontId="176" fillId="6" borderId="137" xfId="2" quotePrefix="1" applyFont="1" applyFill="1" applyBorder="1" applyAlignment="1">
      <alignment horizontal="center" vertical="center" wrapText="1"/>
    </xf>
    <xf numFmtId="17" fontId="17" fillId="17" borderId="129" xfId="2" applyNumberFormat="1" applyFont="1" applyFill="1" applyBorder="1" applyAlignment="1">
      <alignment horizontal="center" vertical="center"/>
    </xf>
    <xf numFmtId="17" fontId="17" fillId="17" borderId="129" xfId="2" applyNumberFormat="1" applyFont="1" applyFill="1" applyBorder="1" applyAlignment="1">
      <alignment horizontal="center" vertical="center" wrapText="1"/>
    </xf>
    <xf numFmtId="14" fontId="10" fillId="4" borderId="1" xfId="0" applyNumberFormat="1" applyFont="1" applyFill="1" applyBorder="1">
      <alignment vertical="center"/>
    </xf>
    <xf numFmtId="176" fontId="10" fillId="4" borderId="1" xfId="1" applyNumberFormat="1" applyFont="1" applyFill="1" applyBorder="1">
      <alignment vertical="center"/>
    </xf>
    <xf numFmtId="0" fontId="26" fillId="0" borderId="0" xfId="0" applyFont="1" applyAlignment="1">
      <alignment horizontal="left" vertical="center"/>
    </xf>
    <xf numFmtId="41" fontId="26" fillId="0" borderId="0" xfId="0" applyNumberFormat="1" applyFont="1">
      <alignment vertical="center"/>
    </xf>
    <xf numFmtId="0" fontId="17" fillId="0" borderId="0" xfId="0" applyFont="1">
      <alignment vertical="center"/>
    </xf>
    <xf numFmtId="0" fontId="26" fillId="6" borderId="0" xfId="0" applyFont="1" applyFill="1">
      <alignment vertical="center"/>
    </xf>
    <xf numFmtId="0" fontId="175" fillId="6" borderId="0" xfId="0" applyFont="1" applyFill="1">
      <alignment vertical="center"/>
    </xf>
    <xf numFmtId="0" fontId="169" fillId="0" borderId="0" xfId="0" applyFont="1">
      <alignment vertical="center"/>
    </xf>
    <xf numFmtId="41" fontId="169" fillId="0" borderId="0" xfId="1" applyFont="1">
      <alignment vertical="center"/>
    </xf>
    <xf numFmtId="41" fontId="173" fillId="0" borderId="0" xfId="1" applyFont="1" applyAlignment="1">
      <alignment horizontal="center" vertical="center"/>
    </xf>
    <xf numFmtId="0" fontId="15" fillId="6" borderId="128" xfId="2" applyFont="1" applyFill="1" applyBorder="1" applyAlignment="1">
      <alignment horizontal="center" vertical="center" wrapText="1"/>
    </xf>
    <xf numFmtId="0" fontId="15" fillId="6" borderId="129" xfId="2" applyFont="1" applyFill="1" applyBorder="1" applyAlignment="1">
      <alignment horizontal="center" vertical="center" wrapText="1"/>
    </xf>
    <xf numFmtId="17" fontId="26" fillId="6" borderId="174" xfId="2" applyNumberFormat="1" applyFont="1" applyFill="1" applyBorder="1" applyAlignment="1">
      <alignment horizontal="center" vertical="center"/>
    </xf>
    <xf numFmtId="217" fontId="15" fillId="6" borderId="174" xfId="2" applyNumberFormat="1" applyFont="1" applyFill="1" applyBorder="1" applyAlignment="1">
      <alignment horizontal="center" vertical="center"/>
    </xf>
    <xf numFmtId="176" fontId="26" fillId="6" borderId="129" xfId="3" applyNumberFormat="1" applyFont="1" applyFill="1" applyBorder="1" applyAlignment="1">
      <alignment horizontal="center" vertical="center"/>
    </xf>
    <xf numFmtId="6" fontId="26" fillId="6" borderId="175" xfId="2" applyNumberFormat="1" applyFont="1" applyFill="1" applyBorder="1" applyAlignment="1">
      <alignment horizontal="right" vertical="center"/>
    </xf>
    <xf numFmtId="41" fontId="182" fillId="0" borderId="156" xfId="1" applyFont="1" applyBorder="1">
      <alignment vertical="center"/>
    </xf>
    <xf numFmtId="41" fontId="180" fillId="18" borderId="1" xfId="1" applyFont="1" applyFill="1" applyBorder="1">
      <alignment vertical="center"/>
    </xf>
    <xf numFmtId="176" fontId="173" fillId="17" borderId="129" xfId="3" applyNumberFormat="1" applyFont="1" applyFill="1" applyBorder="1" applyAlignment="1">
      <alignment horizontal="center" vertical="center"/>
    </xf>
    <xf numFmtId="179" fontId="173" fillId="17" borderId="129" xfId="4" applyNumberFormat="1" applyFont="1" applyFill="1" applyBorder="1" applyAlignment="1">
      <alignment horizontal="right" vertical="center"/>
    </xf>
    <xf numFmtId="6" fontId="173" fillId="17" borderId="129" xfId="2" applyNumberFormat="1" applyFont="1" applyFill="1" applyBorder="1" applyAlignment="1">
      <alignment horizontal="right" vertical="center"/>
    </xf>
    <xf numFmtId="0" fontId="172" fillId="0" borderId="186" xfId="2" applyFont="1" applyBorder="1" applyAlignment="1">
      <alignment horizontal="center" vertical="center" wrapText="1"/>
    </xf>
    <xf numFmtId="0" fontId="172" fillId="0" borderId="179" xfId="2" applyFont="1" applyBorder="1" applyAlignment="1">
      <alignment horizontal="center" vertical="center" wrapText="1"/>
    </xf>
    <xf numFmtId="0" fontId="26" fillId="0" borderId="179" xfId="2" applyFont="1" applyBorder="1" applyAlignment="1">
      <alignment horizontal="center" vertical="center"/>
    </xf>
    <xf numFmtId="217" fontId="15" fillId="0" borderId="179" xfId="2" applyNumberFormat="1" applyFont="1" applyBorder="1" applyAlignment="1">
      <alignment horizontal="center" vertical="center"/>
    </xf>
    <xf numFmtId="183" fontId="17" fillId="0" borderId="179" xfId="3" applyNumberFormat="1" applyFont="1" applyFill="1" applyBorder="1" applyAlignment="1">
      <alignment horizontal="center" vertical="center"/>
    </xf>
    <xf numFmtId="180" fontId="26" fillId="0" borderId="179" xfId="4" applyNumberFormat="1" applyFont="1" applyFill="1" applyBorder="1" applyAlignment="1">
      <alignment horizontal="right" vertical="center"/>
    </xf>
    <xf numFmtId="6" fontId="26" fillId="0" borderId="179" xfId="2" applyNumberFormat="1" applyFont="1" applyBorder="1" applyAlignment="1">
      <alignment horizontal="right" vertical="center"/>
    </xf>
    <xf numFmtId="6" fontId="17" fillId="0" borderId="179" xfId="2" applyNumberFormat="1" applyFont="1" applyBorder="1" applyAlignment="1">
      <alignment horizontal="right" vertical="center"/>
    </xf>
    <xf numFmtId="6" fontId="173" fillId="0" borderId="187" xfId="2" applyNumberFormat="1" applyFont="1" applyBorder="1" applyAlignment="1">
      <alignment horizontal="right" vertical="center"/>
    </xf>
    <xf numFmtId="180" fontId="26" fillId="0" borderId="132" xfId="4" applyNumberFormat="1" applyFont="1" applyFill="1" applyBorder="1" applyAlignment="1">
      <alignment horizontal="right" vertical="center"/>
    </xf>
    <xf numFmtId="6" fontId="26" fillId="0" borderId="132" xfId="2" applyNumberFormat="1" applyFont="1" applyBorder="1" applyAlignment="1">
      <alignment horizontal="right" vertical="center"/>
    </xf>
    <xf numFmtId="178" fontId="17" fillId="6" borderId="174" xfId="2" applyNumberFormat="1" applyFont="1" applyFill="1" applyBorder="1" applyAlignment="1">
      <alignment horizontal="center" vertical="center"/>
    </xf>
    <xf numFmtId="183" fontId="17" fillId="6" borderId="129" xfId="1" applyNumberFormat="1" applyFont="1" applyFill="1" applyBorder="1" applyAlignment="1">
      <alignment horizontal="center" vertical="center"/>
    </xf>
    <xf numFmtId="180" fontId="26" fillId="6" borderId="129" xfId="4" applyNumberFormat="1" applyFont="1" applyFill="1" applyBorder="1" applyAlignment="1">
      <alignment horizontal="right" vertical="center"/>
    </xf>
    <xf numFmtId="0" fontId="172" fillId="6" borderId="186" xfId="2" applyFont="1" applyFill="1" applyBorder="1" applyAlignment="1">
      <alignment horizontal="center" vertical="center" wrapText="1"/>
    </xf>
    <xf numFmtId="0" fontId="172" fillId="6" borderId="179" xfId="2" applyFont="1" applyFill="1" applyBorder="1" applyAlignment="1">
      <alignment horizontal="center" vertical="center" wrapText="1"/>
    </xf>
    <xf numFmtId="0" fontId="17" fillId="6" borderId="179" xfId="2" applyFont="1" applyFill="1" applyBorder="1" applyAlignment="1">
      <alignment horizontal="center" vertical="center"/>
    </xf>
    <xf numFmtId="217" fontId="172" fillId="6" borderId="179" xfId="2" applyNumberFormat="1" applyFont="1" applyFill="1" applyBorder="1" applyAlignment="1">
      <alignment horizontal="center" vertical="center"/>
    </xf>
    <xf numFmtId="183" fontId="17" fillId="6" borderId="179" xfId="1" applyNumberFormat="1" applyFont="1" applyFill="1" applyBorder="1" applyAlignment="1">
      <alignment horizontal="center" vertical="center"/>
    </xf>
    <xf numFmtId="180" fontId="26" fillId="6" borderId="179" xfId="4" applyNumberFormat="1" applyFont="1" applyFill="1" applyBorder="1" applyAlignment="1">
      <alignment horizontal="right" vertical="center"/>
    </xf>
    <xf numFmtId="6" fontId="17" fillId="6" borderId="179" xfId="2" applyNumberFormat="1" applyFont="1" applyFill="1" applyBorder="1" applyAlignment="1">
      <alignment horizontal="right" vertical="center"/>
    </xf>
    <xf numFmtId="6" fontId="17" fillId="6" borderId="187" xfId="2" applyNumberFormat="1" applyFont="1" applyFill="1" applyBorder="1" applyAlignment="1">
      <alignment horizontal="right" vertical="center"/>
    </xf>
    <xf numFmtId="0" fontId="178" fillId="6" borderId="0" xfId="0" applyFont="1" applyFill="1">
      <alignment vertical="center"/>
    </xf>
    <xf numFmtId="0" fontId="178" fillId="6" borderId="31" xfId="0" applyFont="1" applyFill="1" applyBorder="1">
      <alignment vertical="center"/>
    </xf>
    <xf numFmtId="178" fontId="26" fillId="6" borderId="179" xfId="2" applyNumberFormat="1" applyFont="1" applyFill="1" applyBorder="1" applyAlignment="1">
      <alignment horizontal="center" vertical="center"/>
    </xf>
    <xf numFmtId="178" fontId="26" fillId="6" borderId="132" xfId="2" applyNumberFormat="1" applyFont="1" applyFill="1" applyBorder="1" applyAlignment="1">
      <alignment horizontal="center" vertical="center"/>
    </xf>
    <xf numFmtId="178" fontId="17" fillId="6" borderId="134" xfId="2" applyNumberFormat="1" applyFont="1" applyFill="1" applyBorder="1" applyAlignment="1">
      <alignment horizontal="center" vertical="center"/>
    </xf>
    <xf numFmtId="178" fontId="175" fillId="6" borderId="129" xfId="2" applyNumberFormat="1" applyFont="1" applyFill="1" applyBorder="1" applyAlignment="1">
      <alignment horizontal="center" vertical="center"/>
    </xf>
    <xf numFmtId="178" fontId="26" fillId="6" borderId="181" xfId="2" applyNumberFormat="1" applyFont="1" applyFill="1" applyBorder="1" applyAlignment="1">
      <alignment horizontal="center" vertical="center"/>
    </xf>
    <xf numFmtId="178" fontId="175" fillId="6" borderId="181" xfId="2" applyNumberFormat="1" applyFont="1" applyFill="1" applyBorder="1" applyAlignment="1">
      <alignment horizontal="center" vertical="center"/>
    </xf>
    <xf numFmtId="178" fontId="175" fillId="6" borderId="178" xfId="2" applyNumberFormat="1" applyFont="1" applyFill="1" applyBorder="1" applyAlignment="1">
      <alignment horizontal="center" vertical="center"/>
    </xf>
    <xf numFmtId="178" fontId="17" fillId="9" borderId="129" xfId="2" applyNumberFormat="1" applyFont="1" applyFill="1" applyBorder="1" applyAlignment="1">
      <alignment horizontal="center" vertical="center"/>
    </xf>
    <xf numFmtId="178" fontId="26" fillId="17" borderId="126" xfId="2" applyNumberFormat="1" applyFont="1" applyFill="1" applyBorder="1" applyAlignment="1">
      <alignment horizontal="center" vertical="center"/>
    </xf>
    <xf numFmtId="178" fontId="17" fillId="12" borderId="174" xfId="2" applyNumberFormat="1" applyFont="1" applyFill="1" applyBorder="1" applyAlignment="1">
      <alignment horizontal="center" vertical="center"/>
    </xf>
    <xf numFmtId="0" fontId="15" fillId="16" borderId="125" xfId="2" applyFont="1" applyFill="1" applyBorder="1" applyAlignment="1">
      <alignment horizontal="center" vertical="center" wrapText="1"/>
    </xf>
    <xf numFmtId="0" fontId="15" fillId="16" borderId="126" xfId="2" applyFont="1" applyFill="1" applyBorder="1" applyAlignment="1">
      <alignment horizontal="center" vertical="center" wrapText="1"/>
    </xf>
    <xf numFmtId="17" fontId="26" fillId="16" borderId="126" xfId="2" applyNumberFormat="1" applyFont="1" applyFill="1" applyBorder="1" applyAlignment="1">
      <alignment horizontal="center" vertical="center"/>
    </xf>
    <xf numFmtId="176" fontId="26" fillId="16" borderId="126" xfId="3" applyNumberFormat="1" applyFont="1" applyFill="1" applyBorder="1" applyAlignment="1">
      <alignment horizontal="center" vertical="center"/>
    </xf>
    <xf numFmtId="6" fontId="26" fillId="16" borderId="127" xfId="2" applyNumberFormat="1" applyFont="1" applyFill="1" applyBorder="1" applyAlignment="1">
      <alignment horizontal="right" vertical="center"/>
    </xf>
    <xf numFmtId="0" fontId="15" fillId="17" borderId="128" xfId="2" applyFont="1" applyFill="1" applyBorder="1" applyAlignment="1">
      <alignment horizontal="center" vertical="center" wrapText="1"/>
    </xf>
    <xf numFmtId="0" fontId="15" fillId="17" borderId="129" xfId="2" applyFont="1" applyFill="1" applyBorder="1" applyAlignment="1">
      <alignment horizontal="center" vertical="center" wrapText="1"/>
    </xf>
    <xf numFmtId="0" fontId="26" fillId="17" borderId="129" xfId="2" applyFont="1" applyFill="1" applyBorder="1" applyAlignment="1">
      <alignment horizontal="center" vertical="center"/>
    </xf>
    <xf numFmtId="176" fontId="26" fillId="17" borderId="129" xfId="3" applyNumberFormat="1" applyFont="1" applyFill="1" applyBorder="1" applyAlignment="1">
      <alignment horizontal="center" vertical="center"/>
    </xf>
    <xf numFmtId="6" fontId="26" fillId="17" borderId="130" xfId="2" applyNumberFormat="1" applyFont="1" applyFill="1" applyBorder="1" applyAlignment="1">
      <alignment horizontal="right" vertical="center"/>
    </xf>
    <xf numFmtId="217" fontId="172" fillId="12" borderId="174" xfId="2" applyNumberFormat="1" applyFont="1" applyFill="1" applyBorder="1" applyAlignment="1">
      <alignment horizontal="center" vertical="center"/>
    </xf>
    <xf numFmtId="0" fontId="169" fillId="6" borderId="138" xfId="0" applyFont="1" applyFill="1" applyBorder="1">
      <alignment vertical="center"/>
    </xf>
    <xf numFmtId="41" fontId="182" fillId="6" borderId="161" xfId="1" applyFont="1" applyFill="1" applyBorder="1">
      <alignment vertical="center"/>
    </xf>
    <xf numFmtId="41" fontId="182" fillId="6" borderId="137" xfId="1" applyFont="1" applyFill="1" applyBorder="1">
      <alignment vertical="center"/>
    </xf>
    <xf numFmtId="41" fontId="182" fillId="6" borderId="166" xfId="1" applyFont="1" applyFill="1" applyBorder="1">
      <alignment vertical="center"/>
    </xf>
    <xf numFmtId="41" fontId="182" fillId="6" borderId="1" xfId="1" applyFont="1" applyFill="1" applyBorder="1">
      <alignment vertical="center"/>
    </xf>
    <xf numFmtId="41" fontId="182" fillId="6" borderId="156" xfId="1" applyFont="1" applyFill="1" applyBorder="1">
      <alignment vertical="center"/>
    </xf>
    <xf numFmtId="178" fontId="17" fillId="17" borderId="184" xfId="2" applyNumberFormat="1" applyFont="1" applyFill="1" applyBorder="1" applyAlignment="1">
      <alignment horizontal="center" vertical="center"/>
    </xf>
    <xf numFmtId="41" fontId="169" fillId="6" borderId="13" xfId="1" applyFont="1" applyFill="1" applyBorder="1" applyAlignment="1">
      <alignment horizontal="left" vertical="center"/>
    </xf>
    <xf numFmtId="41" fontId="169" fillId="6" borderId="30" xfId="1" applyFont="1" applyFill="1" applyBorder="1" applyAlignment="1">
      <alignment horizontal="center" vertical="center"/>
    </xf>
    <xf numFmtId="41" fontId="182" fillId="6" borderId="151" xfId="1" applyFont="1" applyFill="1" applyBorder="1">
      <alignment vertical="center"/>
    </xf>
    <xf numFmtId="41" fontId="169" fillId="6" borderId="189" xfId="1" applyFont="1" applyFill="1" applyBorder="1" applyAlignment="1">
      <alignment horizontal="center" vertical="center"/>
    </xf>
    <xf numFmtId="41" fontId="169" fillId="6" borderId="190" xfId="1" applyFont="1" applyFill="1" applyBorder="1" applyAlignment="1">
      <alignment vertical="center"/>
    </xf>
    <xf numFmtId="41" fontId="169" fillId="4" borderId="65" xfId="1" applyFont="1" applyFill="1" applyBorder="1" applyAlignment="1">
      <alignment horizontal="center" vertical="center"/>
    </xf>
    <xf numFmtId="41" fontId="169" fillId="4" borderId="188" xfId="1" applyFont="1" applyFill="1" applyBorder="1" applyAlignment="1">
      <alignment horizontal="left" vertical="center"/>
    </xf>
    <xf numFmtId="6" fontId="26" fillId="6" borderId="179" xfId="2" applyNumberFormat="1" applyFont="1" applyFill="1" applyBorder="1" applyAlignment="1">
      <alignment horizontal="right" vertical="center"/>
    </xf>
    <xf numFmtId="179" fontId="17" fillId="16" borderId="129" xfId="4" applyNumberFormat="1" applyFont="1" applyFill="1" applyBorder="1" applyAlignment="1">
      <alignment horizontal="right" vertical="center"/>
    </xf>
    <xf numFmtId="179" fontId="17" fillId="6" borderId="129" xfId="4" applyNumberFormat="1" applyFont="1" applyFill="1" applyBorder="1" applyAlignment="1">
      <alignment horizontal="right" vertical="center"/>
    </xf>
    <xf numFmtId="179" fontId="17" fillId="17" borderId="129" xfId="4" applyNumberFormat="1" applyFont="1" applyFill="1" applyBorder="1" applyAlignment="1">
      <alignment horizontal="right" vertical="center"/>
    </xf>
    <xf numFmtId="0" fontId="172" fillId="17" borderId="184" xfId="2" applyFont="1" applyFill="1" applyBorder="1" applyAlignment="1">
      <alignment horizontal="center" vertical="center" wrapText="1"/>
    </xf>
    <xf numFmtId="0" fontId="17" fillId="17" borderId="184" xfId="2" applyFont="1" applyFill="1" applyBorder="1" applyAlignment="1">
      <alignment horizontal="center" vertical="center"/>
    </xf>
    <xf numFmtId="217" fontId="172" fillId="17" borderId="184" xfId="2" applyNumberFormat="1" applyFont="1" applyFill="1" applyBorder="1" applyAlignment="1">
      <alignment horizontal="center" vertical="center"/>
    </xf>
    <xf numFmtId="176" fontId="17" fillId="17" borderId="184" xfId="3" applyNumberFormat="1" applyFont="1" applyFill="1" applyBorder="1" applyAlignment="1">
      <alignment horizontal="center" vertical="center"/>
    </xf>
    <xf numFmtId="179" fontId="17" fillId="17" borderId="184" xfId="4" applyNumberFormat="1" applyFont="1" applyFill="1" applyBorder="1" applyAlignment="1">
      <alignment horizontal="right" vertical="center"/>
    </xf>
    <xf numFmtId="6" fontId="17" fillId="17" borderId="184" xfId="2" applyNumberFormat="1" applyFont="1" applyFill="1" applyBorder="1" applyAlignment="1">
      <alignment horizontal="right" vertical="center"/>
    </xf>
    <xf numFmtId="6" fontId="17" fillId="17" borderId="185" xfId="2" applyNumberFormat="1" applyFont="1" applyFill="1" applyBorder="1" applyAlignment="1">
      <alignment horizontal="right" vertical="center"/>
    </xf>
    <xf numFmtId="176" fontId="184" fillId="18" borderId="142" xfId="3" applyNumberFormat="1" applyFont="1" applyFill="1" applyBorder="1" applyAlignment="1">
      <alignment horizontal="center" vertical="center"/>
    </xf>
    <xf numFmtId="0" fontId="169" fillId="6" borderId="156" xfId="2" applyFont="1" applyFill="1" applyBorder="1" applyAlignment="1">
      <alignment horizontal="center" vertical="center" wrapText="1"/>
    </xf>
    <xf numFmtId="41" fontId="169" fillId="0" borderId="160" xfId="0" applyNumberFormat="1" applyFont="1" applyBorder="1" applyAlignment="1">
      <alignment horizontal="center" vertical="center"/>
    </xf>
    <xf numFmtId="0" fontId="172" fillId="16" borderId="183" xfId="2" applyFont="1" applyFill="1" applyBorder="1" applyAlignment="1">
      <alignment horizontal="center" vertical="center" wrapText="1"/>
    </xf>
    <xf numFmtId="0" fontId="172" fillId="16" borderId="184" xfId="2" applyFont="1" applyFill="1" applyBorder="1" applyAlignment="1">
      <alignment horizontal="center" vertical="center" wrapText="1"/>
    </xf>
    <xf numFmtId="0" fontId="17" fillId="16" borderId="184" xfId="2" applyFont="1" applyFill="1" applyBorder="1" applyAlignment="1">
      <alignment horizontal="center" vertical="center"/>
    </xf>
    <xf numFmtId="178" fontId="17" fillId="16" borderId="184" xfId="2" applyNumberFormat="1" applyFont="1" applyFill="1" applyBorder="1" applyAlignment="1">
      <alignment horizontal="center" vertical="center"/>
    </xf>
    <xf numFmtId="217" fontId="172" fillId="16" borderId="184" xfId="2" applyNumberFormat="1" applyFont="1" applyFill="1" applyBorder="1" applyAlignment="1">
      <alignment horizontal="center" vertical="center"/>
    </xf>
    <xf numFmtId="176" fontId="17" fillId="16" borderId="184" xfId="3" applyNumberFormat="1" applyFont="1" applyFill="1" applyBorder="1" applyAlignment="1">
      <alignment horizontal="center" vertical="center"/>
    </xf>
    <xf numFmtId="179" fontId="17" fillId="16" borderId="184" xfId="4" applyNumberFormat="1" applyFont="1" applyFill="1" applyBorder="1" applyAlignment="1">
      <alignment horizontal="right" vertical="center"/>
    </xf>
    <xf numFmtId="6" fontId="17" fillId="16" borderId="184" xfId="2" applyNumberFormat="1" applyFont="1" applyFill="1" applyBorder="1" applyAlignment="1">
      <alignment horizontal="right" vertical="center"/>
    </xf>
    <xf numFmtId="6" fontId="17" fillId="16" borderId="185" xfId="2" applyNumberFormat="1" applyFont="1" applyFill="1" applyBorder="1" applyAlignment="1">
      <alignment horizontal="right" vertical="center"/>
    </xf>
    <xf numFmtId="0" fontId="15" fillId="0" borderId="128" xfId="2" applyFont="1" applyBorder="1" applyAlignment="1">
      <alignment horizontal="center" vertical="center" wrapText="1"/>
    </xf>
    <xf numFmtId="0" fontId="15" fillId="0" borderId="129" xfId="2" applyFont="1" applyBorder="1" applyAlignment="1">
      <alignment horizontal="center" vertical="center" wrapText="1"/>
    </xf>
    <xf numFmtId="17" fontId="26" fillId="0" borderId="129" xfId="2" applyNumberFormat="1" applyFont="1" applyBorder="1" applyAlignment="1">
      <alignment horizontal="center" vertical="center"/>
    </xf>
    <xf numFmtId="176" fontId="26" fillId="0" borderId="129" xfId="3" applyNumberFormat="1" applyFont="1" applyFill="1" applyBorder="1" applyAlignment="1">
      <alignment horizontal="center" vertical="center"/>
    </xf>
    <xf numFmtId="6" fontId="26" fillId="0" borderId="130" xfId="2" applyNumberFormat="1" applyFont="1" applyBorder="1" applyAlignment="1">
      <alignment horizontal="right" vertical="center"/>
    </xf>
    <xf numFmtId="14" fontId="10" fillId="6" borderId="1" xfId="0" applyNumberFormat="1" applyFont="1" applyFill="1" applyBorder="1">
      <alignment vertical="center"/>
    </xf>
    <xf numFmtId="176" fontId="10" fillId="6" borderId="1" xfId="1" applyNumberFormat="1" applyFont="1" applyFill="1" applyBorder="1">
      <alignment vertical="center"/>
    </xf>
    <xf numFmtId="0" fontId="172" fillId="6" borderId="125" xfId="2" applyFont="1" applyFill="1" applyBorder="1" applyAlignment="1">
      <alignment horizontal="center" vertical="center" wrapText="1"/>
    </xf>
    <xf numFmtId="0" fontId="172" fillId="6" borderId="126" xfId="2" applyFont="1" applyFill="1" applyBorder="1" applyAlignment="1">
      <alignment horizontal="center" vertical="center" wrapText="1"/>
    </xf>
    <xf numFmtId="178" fontId="17" fillId="6" borderId="126" xfId="2" applyNumberFormat="1" applyFont="1" applyFill="1" applyBorder="1" applyAlignment="1">
      <alignment horizontal="center" vertical="center"/>
    </xf>
    <xf numFmtId="6" fontId="26" fillId="6" borderId="126" xfId="2" applyNumberFormat="1" applyFont="1" applyFill="1" applyBorder="1" applyAlignment="1">
      <alignment horizontal="right" vertical="center"/>
    </xf>
    <xf numFmtId="180" fontId="26" fillId="16" borderId="126" xfId="4" applyNumberFormat="1" applyFont="1" applyFill="1" applyBorder="1" applyAlignment="1">
      <alignment horizontal="right" vertical="center"/>
    </xf>
    <xf numFmtId="0" fontId="172" fillId="6" borderId="183" xfId="2" applyFont="1" applyFill="1" applyBorder="1" applyAlignment="1">
      <alignment horizontal="center" vertical="center" wrapText="1"/>
    </xf>
    <xf numFmtId="0" fontId="172" fillId="6" borderId="184" xfId="2" applyFont="1" applyFill="1" applyBorder="1" applyAlignment="1">
      <alignment horizontal="center" vertical="center" wrapText="1"/>
    </xf>
    <xf numFmtId="0" fontId="17" fillId="6" borderId="184" xfId="2" applyFont="1" applyFill="1" applyBorder="1" applyAlignment="1">
      <alignment horizontal="center" vertical="center"/>
    </xf>
    <xf numFmtId="178" fontId="17" fillId="6" borderId="184" xfId="2" applyNumberFormat="1" applyFont="1" applyFill="1" applyBorder="1" applyAlignment="1">
      <alignment horizontal="center" vertical="center"/>
    </xf>
    <xf numFmtId="217" fontId="172" fillId="6" borderId="184" xfId="2" applyNumberFormat="1" applyFont="1" applyFill="1" applyBorder="1" applyAlignment="1">
      <alignment horizontal="center" vertical="center"/>
    </xf>
    <xf numFmtId="176" fontId="17" fillId="6" borderId="184" xfId="3" applyNumberFormat="1" applyFont="1" applyFill="1" applyBorder="1" applyAlignment="1">
      <alignment horizontal="center" vertical="center"/>
    </xf>
    <xf numFmtId="179" fontId="17" fillId="6" borderId="184" xfId="4" applyNumberFormat="1" applyFont="1" applyFill="1" applyBorder="1" applyAlignment="1">
      <alignment horizontal="right" vertical="center"/>
    </xf>
    <xf numFmtId="6" fontId="17" fillId="6" borderId="184" xfId="2" applyNumberFormat="1" applyFont="1" applyFill="1" applyBorder="1" applyAlignment="1">
      <alignment horizontal="right" vertical="center"/>
    </xf>
    <xf numFmtId="6" fontId="17" fillId="6" borderId="185" xfId="2" applyNumberFormat="1" applyFont="1" applyFill="1" applyBorder="1" applyAlignment="1">
      <alignment horizontal="right" vertical="center"/>
    </xf>
    <xf numFmtId="0" fontId="15" fillId="6" borderId="125" xfId="2" applyFont="1" applyFill="1" applyBorder="1" applyAlignment="1">
      <alignment horizontal="center" vertical="center" wrapText="1"/>
    </xf>
    <xf numFmtId="0" fontId="15" fillId="6" borderId="126" xfId="2" applyFont="1" applyFill="1" applyBorder="1" applyAlignment="1">
      <alignment horizontal="center" vertical="center" wrapText="1"/>
    </xf>
    <xf numFmtId="17" fontId="26" fillId="6" borderId="126" xfId="2" applyNumberFormat="1" applyFont="1" applyFill="1" applyBorder="1" applyAlignment="1">
      <alignment horizontal="center" vertical="center"/>
    </xf>
    <xf numFmtId="176" fontId="26" fillId="6" borderId="126" xfId="3" applyNumberFormat="1" applyFont="1" applyFill="1" applyBorder="1" applyAlignment="1">
      <alignment horizontal="center" vertical="center"/>
    </xf>
    <xf numFmtId="179" fontId="26" fillId="6" borderId="126" xfId="4" applyNumberFormat="1" applyFont="1" applyFill="1" applyBorder="1" applyAlignment="1">
      <alignment horizontal="right" vertical="center"/>
    </xf>
    <xf numFmtId="6" fontId="26" fillId="6" borderId="127" xfId="2" applyNumberFormat="1" applyFont="1" applyFill="1" applyBorder="1" applyAlignment="1">
      <alignment horizontal="right" vertical="center"/>
    </xf>
    <xf numFmtId="176" fontId="26" fillId="6" borderId="174" xfId="3" applyNumberFormat="1" applyFont="1" applyFill="1" applyBorder="1" applyAlignment="1">
      <alignment horizontal="center" vertical="center"/>
    </xf>
    <xf numFmtId="0" fontId="26" fillId="16" borderId="179" xfId="2" applyFont="1" applyFill="1" applyBorder="1" applyAlignment="1">
      <alignment horizontal="center" vertical="center"/>
    </xf>
    <xf numFmtId="217" fontId="15" fillId="16" borderId="179" xfId="2" applyNumberFormat="1" applyFont="1" applyFill="1" applyBorder="1" applyAlignment="1">
      <alignment horizontal="center" vertical="center"/>
    </xf>
    <xf numFmtId="178" fontId="17" fillId="16" borderId="179" xfId="2" applyNumberFormat="1" applyFont="1" applyFill="1" applyBorder="1" applyAlignment="1">
      <alignment horizontal="center" vertical="center"/>
    </xf>
    <xf numFmtId="176" fontId="17" fillId="16" borderId="179" xfId="3" applyNumberFormat="1" applyFont="1" applyFill="1" applyBorder="1" applyAlignment="1">
      <alignment horizontal="center" vertical="center"/>
    </xf>
    <xf numFmtId="0" fontId="26" fillId="6" borderId="184" xfId="2" applyFont="1" applyFill="1" applyBorder="1" applyAlignment="1">
      <alignment horizontal="center" vertical="center"/>
    </xf>
    <xf numFmtId="217" fontId="15" fillId="6" borderId="184" xfId="2" applyNumberFormat="1" applyFont="1" applyFill="1" applyBorder="1" applyAlignment="1">
      <alignment horizontal="center" vertical="center"/>
    </xf>
    <xf numFmtId="179" fontId="26" fillId="6" borderId="184" xfId="4" applyNumberFormat="1" applyFont="1" applyFill="1" applyBorder="1" applyAlignment="1">
      <alignment horizontal="right" vertical="center"/>
    </xf>
    <xf numFmtId="6" fontId="26" fillId="6" borderId="184" xfId="2" applyNumberFormat="1" applyFont="1" applyFill="1" applyBorder="1" applyAlignment="1">
      <alignment horizontal="right" vertical="center"/>
    </xf>
    <xf numFmtId="17" fontId="17" fillId="6" borderId="179" xfId="2" applyNumberFormat="1" applyFont="1" applyFill="1" applyBorder="1" applyAlignment="1">
      <alignment horizontal="center" vertical="center"/>
    </xf>
    <xf numFmtId="0" fontId="172" fillId="16" borderId="180" xfId="2" applyFont="1" applyFill="1" applyBorder="1" applyAlignment="1">
      <alignment horizontal="center" vertical="center" wrapText="1"/>
    </xf>
    <xf numFmtId="0" fontId="172" fillId="16" borderId="181" xfId="2" applyFont="1" applyFill="1" applyBorder="1" applyAlignment="1">
      <alignment horizontal="center" vertical="center" wrapText="1"/>
    </xf>
    <xf numFmtId="0" fontId="26" fillId="16" borderId="181" xfId="2" applyFont="1" applyFill="1" applyBorder="1" applyAlignment="1">
      <alignment horizontal="center" vertical="center"/>
    </xf>
    <xf numFmtId="217" fontId="15" fillId="16" borderId="181" xfId="2" applyNumberFormat="1" applyFont="1" applyFill="1" applyBorder="1" applyAlignment="1">
      <alignment horizontal="center" vertical="center"/>
    </xf>
    <xf numFmtId="178" fontId="26" fillId="16" borderId="181" xfId="2" applyNumberFormat="1" applyFont="1" applyFill="1" applyBorder="1" applyAlignment="1">
      <alignment horizontal="center" vertical="center"/>
    </xf>
    <xf numFmtId="176" fontId="17" fillId="16" borderId="181" xfId="3" applyNumberFormat="1" applyFont="1" applyFill="1" applyBorder="1" applyAlignment="1">
      <alignment horizontal="center" vertical="center"/>
    </xf>
    <xf numFmtId="179" fontId="26" fillId="16" borderId="181" xfId="4" applyNumberFormat="1" applyFont="1" applyFill="1" applyBorder="1" applyAlignment="1">
      <alignment horizontal="right" vertical="center"/>
    </xf>
    <xf numFmtId="6" fontId="26" fillId="16" borderId="181" xfId="2" applyNumberFormat="1" applyFont="1" applyFill="1" applyBorder="1" applyAlignment="1">
      <alignment horizontal="right" vertical="center"/>
    </xf>
    <xf numFmtId="6" fontId="17" fillId="16" borderId="181" xfId="2" applyNumberFormat="1" applyFont="1" applyFill="1" applyBorder="1" applyAlignment="1">
      <alignment horizontal="right" vertical="center"/>
    </xf>
    <xf numFmtId="6" fontId="17" fillId="16" borderId="182" xfId="2" applyNumberFormat="1" applyFont="1" applyFill="1" applyBorder="1" applyAlignment="1">
      <alignment horizontal="right" vertical="center"/>
    </xf>
    <xf numFmtId="0" fontId="172" fillId="12" borderId="176" xfId="2" applyFont="1" applyFill="1" applyBorder="1" applyAlignment="1">
      <alignment horizontal="center" vertical="center" wrapText="1"/>
    </xf>
    <xf numFmtId="0" fontId="172" fillId="12" borderId="174" xfId="2" applyFont="1" applyFill="1" applyBorder="1" applyAlignment="1">
      <alignment horizontal="center" vertical="center" wrapText="1"/>
    </xf>
    <xf numFmtId="178" fontId="26" fillId="12" borderId="174" xfId="2" applyNumberFormat="1" applyFont="1" applyFill="1" applyBorder="1" applyAlignment="1">
      <alignment horizontal="center" vertical="center"/>
    </xf>
    <xf numFmtId="17" fontId="17" fillId="6" borderId="191" xfId="2" applyNumberFormat="1" applyFont="1" applyFill="1" applyBorder="1" applyAlignment="1">
      <alignment horizontal="center" vertical="center"/>
    </xf>
    <xf numFmtId="217" fontId="15" fillId="6" borderId="192" xfId="2" applyNumberFormat="1" applyFont="1" applyFill="1" applyBorder="1" applyAlignment="1">
      <alignment horizontal="center" vertical="center"/>
    </xf>
    <xf numFmtId="178" fontId="10" fillId="0" borderId="129" xfId="2" applyNumberFormat="1" applyFont="1" applyBorder="1" applyAlignment="1">
      <alignment horizontal="center" vertical="center"/>
    </xf>
    <xf numFmtId="0" fontId="26" fillId="16" borderId="184" xfId="2" applyFont="1" applyFill="1" applyBorder="1" applyAlignment="1">
      <alignment horizontal="center" vertical="center"/>
    </xf>
    <xf numFmtId="178" fontId="26" fillId="16" borderId="184" xfId="2" applyNumberFormat="1" applyFont="1" applyFill="1" applyBorder="1" applyAlignment="1">
      <alignment horizontal="center" vertical="center"/>
    </xf>
    <xf numFmtId="179" fontId="26" fillId="16" borderId="184" xfId="4" applyNumberFormat="1" applyFont="1" applyFill="1" applyBorder="1" applyAlignment="1">
      <alignment horizontal="right" vertical="center"/>
    </xf>
    <xf numFmtId="6" fontId="26" fillId="16" borderId="184" xfId="2" applyNumberFormat="1" applyFont="1" applyFill="1" applyBorder="1" applyAlignment="1">
      <alignment horizontal="right" vertical="center"/>
    </xf>
    <xf numFmtId="217" fontId="15" fillId="16" borderId="184" xfId="2" applyNumberFormat="1" applyFont="1" applyFill="1" applyBorder="1" applyAlignment="1">
      <alignment horizontal="center" vertical="center"/>
    </xf>
    <xf numFmtId="176" fontId="26" fillId="12" borderId="129" xfId="3" applyNumberFormat="1" applyFont="1" applyFill="1" applyBorder="1" applyAlignment="1">
      <alignment horizontal="center" vertical="center"/>
    </xf>
    <xf numFmtId="179" fontId="26" fillId="16" borderId="179" xfId="4" applyNumberFormat="1" applyFont="1" applyFill="1" applyBorder="1" applyAlignment="1">
      <alignment horizontal="right" vertical="center"/>
    </xf>
    <xf numFmtId="176" fontId="17" fillId="6" borderId="194" xfId="3" applyNumberFormat="1" applyFont="1" applyFill="1" applyBorder="1" applyAlignment="1">
      <alignment horizontal="center" vertical="center"/>
    </xf>
    <xf numFmtId="179" fontId="10" fillId="6" borderId="193" xfId="4" applyNumberFormat="1" applyFont="1" applyFill="1" applyBorder="1" applyAlignment="1">
      <alignment horizontal="right" vertical="center"/>
    </xf>
    <xf numFmtId="179" fontId="10" fillId="6" borderId="195" xfId="4" applyNumberFormat="1" applyFont="1" applyFill="1" applyBorder="1" applyAlignment="1">
      <alignment horizontal="right" vertical="center"/>
    </xf>
    <xf numFmtId="6" fontId="26" fillId="6" borderId="130" xfId="2" applyNumberFormat="1" applyFont="1" applyFill="1" applyBorder="1" applyAlignment="1">
      <alignment horizontal="right" vertical="center"/>
    </xf>
    <xf numFmtId="0" fontId="172" fillId="17" borderId="176" xfId="2" applyFont="1" applyFill="1" applyBorder="1" applyAlignment="1">
      <alignment horizontal="center" vertical="center" wrapText="1"/>
    </xf>
    <xf numFmtId="0" fontId="172" fillId="17" borderId="174" xfId="2" applyFont="1" applyFill="1" applyBorder="1" applyAlignment="1">
      <alignment horizontal="center" vertical="center" wrapText="1"/>
    </xf>
    <xf numFmtId="0" fontId="26" fillId="17" borderId="174" xfId="2" applyFont="1" applyFill="1" applyBorder="1" applyAlignment="1">
      <alignment horizontal="center" vertical="center"/>
    </xf>
    <xf numFmtId="217" fontId="172" fillId="17" borderId="174" xfId="2" applyNumberFormat="1" applyFont="1" applyFill="1" applyBorder="1" applyAlignment="1">
      <alignment horizontal="center" vertical="center"/>
    </xf>
    <xf numFmtId="178" fontId="26" fillId="17" borderId="174" xfId="2" applyNumberFormat="1" applyFont="1" applyFill="1" applyBorder="1" applyAlignment="1">
      <alignment horizontal="center" vertical="center"/>
    </xf>
    <xf numFmtId="176" fontId="17" fillId="17" borderId="174" xfId="3" applyNumberFormat="1" applyFont="1" applyFill="1" applyBorder="1" applyAlignment="1">
      <alignment horizontal="center" vertical="center"/>
    </xf>
    <xf numFmtId="179" fontId="26" fillId="17" borderId="174" xfId="4" applyNumberFormat="1" applyFont="1" applyFill="1" applyBorder="1" applyAlignment="1">
      <alignment horizontal="right" vertical="center"/>
    </xf>
    <xf numFmtId="6" fontId="26" fillId="17" borderId="174" xfId="2" applyNumberFormat="1" applyFont="1" applyFill="1" applyBorder="1" applyAlignment="1">
      <alignment horizontal="right" vertical="center"/>
    </xf>
    <xf numFmtId="6" fontId="17" fillId="17" borderId="174" xfId="2" applyNumberFormat="1" applyFont="1" applyFill="1" applyBorder="1" applyAlignment="1">
      <alignment horizontal="right" vertical="center"/>
    </xf>
    <xf numFmtId="6" fontId="17" fillId="17" borderId="175" xfId="2" applyNumberFormat="1" applyFont="1" applyFill="1" applyBorder="1" applyAlignment="1">
      <alignment horizontal="right" vertical="center"/>
    </xf>
    <xf numFmtId="0" fontId="15" fillId="0" borderId="180" xfId="2" applyFont="1" applyBorder="1" applyAlignment="1">
      <alignment horizontal="center" vertical="center" wrapText="1"/>
    </xf>
    <xf numFmtId="0" fontId="15" fillId="0" borderId="181" xfId="2" applyFont="1" applyBorder="1" applyAlignment="1">
      <alignment horizontal="center" vertical="center" wrapText="1"/>
    </xf>
    <xf numFmtId="0" fontId="26" fillId="0" borderId="181" xfId="2" applyFont="1" applyBorder="1" applyAlignment="1">
      <alignment horizontal="center" vertical="center" shrinkToFit="1"/>
    </xf>
    <xf numFmtId="178" fontId="26" fillId="0" borderId="181" xfId="2" applyNumberFormat="1" applyFont="1" applyBorder="1" applyAlignment="1">
      <alignment horizontal="center" vertical="center"/>
    </xf>
    <xf numFmtId="217" fontId="15" fillId="0" borderId="181" xfId="2" applyNumberFormat="1" applyFont="1" applyBorder="1" applyAlignment="1">
      <alignment horizontal="center" vertical="center"/>
    </xf>
    <xf numFmtId="176" fontId="26" fillId="0" borderId="181" xfId="3" applyNumberFormat="1" applyFont="1" applyFill="1" applyBorder="1" applyAlignment="1">
      <alignment horizontal="center" vertical="center"/>
    </xf>
    <xf numFmtId="176" fontId="26" fillId="0" borderId="182" xfId="3" applyNumberFormat="1" applyFont="1" applyFill="1" applyBorder="1" applyAlignment="1">
      <alignment horizontal="left" vertical="center"/>
    </xf>
    <xf numFmtId="0" fontId="26" fillId="0" borderId="174" xfId="2" applyFont="1" applyBorder="1" applyAlignment="1">
      <alignment horizontal="center" vertical="center" shrinkToFit="1"/>
    </xf>
    <xf numFmtId="17" fontId="26" fillId="17" borderId="129" xfId="2" applyNumberFormat="1" applyFont="1" applyFill="1" applyBorder="1" applyAlignment="1">
      <alignment horizontal="center" vertical="center"/>
    </xf>
    <xf numFmtId="17" fontId="26" fillId="6" borderId="129" xfId="2" applyNumberFormat="1" applyFont="1" applyFill="1" applyBorder="1" applyAlignment="1">
      <alignment horizontal="center" vertical="center"/>
    </xf>
    <xf numFmtId="176" fontId="26" fillId="6" borderId="191" xfId="3" applyNumberFormat="1" applyFont="1" applyFill="1" applyBorder="1" applyAlignment="1">
      <alignment horizontal="center" vertical="center"/>
    </xf>
    <xf numFmtId="6" fontId="26" fillId="6" borderId="130" xfId="2" applyNumberFormat="1" applyFont="1" applyFill="1" applyBorder="1" applyAlignment="1">
      <alignment horizontal="center" vertical="center"/>
    </xf>
    <xf numFmtId="0" fontId="179" fillId="6" borderId="128" xfId="2" applyFont="1" applyFill="1" applyBorder="1" applyAlignment="1">
      <alignment horizontal="center" vertical="center" wrapText="1"/>
    </xf>
    <xf numFmtId="0" fontId="179" fillId="6" borderId="129" xfId="2" applyFont="1" applyFill="1" applyBorder="1" applyAlignment="1">
      <alignment horizontal="center" vertical="center" wrapText="1"/>
    </xf>
    <xf numFmtId="0" fontId="173" fillId="6" borderId="129" xfId="2" applyFont="1" applyFill="1" applyBorder="1" applyAlignment="1">
      <alignment horizontal="center" vertical="center"/>
    </xf>
    <xf numFmtId="217" fontId="179" fillId="6" borderId="129" xfId="2" applyNumberFormat="1" applyFont="1" applyFill="1" applyBorder="1" applyAlignment="1">
      <alignment horizontal="center" vertical="center"/>
    </xf>
    <xf numFmtId="178" fontId="173" fillId="6" borderId="129" xfId="2" applyNumberFormat="1" applyFont="1" applyFill="1" applyBorder="1" applyAlignment="1">
      <alignment horizontal="center" vertical="center"/>
    </xf>
    <xf numFmtId="176" fontId="173" fillId="6" borderId="129" xfId="3" applyNumberFormat="1" applyFont="1" applyFill="1" applyBorder="1" applyAlignment="1">
      <alignment horizontal="center" vertical="center"/>
    </xf>
    <xf numFmtId="6" fontId="173" fillId="6" borderId="129" xfId="2" applyNumberFormat="1" applyFont="1" applyFill="1" applyBorder="1" applyAlignment="1">
      <alignment horizontal="right" vertical="center"/>
    </xf>
    <xf numFmtId="6" fontId="173" fillId="6" borderId="130" xfId="2" applyNumberFormat="1" applyFont="1" applyFill="1" applyBorder="1" applyAlignment="1">
      <alignment horizontal="right" vertical="center"/>
    </xf>
    <xf numFmtId="41" fontId="179" fillId="0" borderId="0" xfId="1" applyFont="1" applyAlignment="1">
      <alignment horizontal="center" vertical="center"/>
    </xf>
    <xf numFmtId="0" fontId="185" fillId="0" borderId="0" xfId="0" applyFont="1">
      <alignment vertical="center"/>
    </xf>
    <xf numFmtId="0" fontId="179" fillId="16" borderId="125" xfId="2" applyFont="1" applyFill="1" applyBorder="1" applyAlignment="1">
      <alignment horizontal="center" vertical="center" wrapText="1"/>
    </xf>
    <xf numFmtId="0" fontId="179" fillId="16" borderId="126" xfId="2" applyFont="1" applyFill="1" applyBorder="1" applyAlignment="1">
      <alignment horizontal="center" vertical="center" wrapText="1"/>
    </xf>
    <xf numFmtId="0" fontId="173" fillId="16" borderId="126" xfId="2" applyFont="1" applyFill="1" applyBorder="1" applyAlignment="1">
      <alignment horizontal="center" vertical="center"/>
    </xf>
    <xf numFmtId="217" fontId="179" fillId="16" borderId="126" xfId="2" applyNumberFormat="1" applyFont="1" applyFill="1" applyBorder="1" applyAlignment="1">
      <alignment horizontal="center" vertical="center"/>
    </xf>
    <xf numFmtId="178" fontId="173" fillId="16" borderId="126" xfId="2" applyNumberFormat="1" applyFont="1" applyFill="1" applyBorder="1" applyAlignment="1">
      <alignment horizontal="center" vertical="center"/>
    </xf>
    <xf numFmtId="176" fontId="173" fillId="16" borderId="126" xfId="3" applyNumberFormat="1" applyFont="1" applyFill="1" applyBorder="1" applyAlignment="1">
      <alignment horizontal="center" vertical="center"/>
    </xf>
    <xf numFmtId="6" fontId="173" fillId="16" borderId="126" xfId="2" applyNumberFormat="1" applyFont="1" applyFill="1" applyBorder="1" applyAlignment="1">
      <alignment horizontal="right" vertical="center"/>
    </xf>
    <xf numFmtId="6" fontId="173" fillId="16" borderId="127" xfId="2" applyNumberFormat="1" applyFont="1" applyFill="1" applyBorder="1" applyAlignment="1">
      <alignment horizontal="right" vertical="center"/>
    </xf>
    <xf numFmtId="179" fontId="173" fillId="6" borderId="184" xfId="4" applyNumberFormat="1" applyFont="1" applyFill="1" applyBorder="1" applyAlignment="1">
      <alignment horizontal="right" vertical="center"/>
    </xf>
    <xf numFmtId="17" fontId="17" fillId="16" borderId="179" xfId="2" applyNumberFormat="1" applyFont="1" applyFill="1" applyBorder="1" applyAlignment="1">
      <alignment horizontal="center" vertical="center"/>
    </xf>
    <xf numFmtId="176" fontId="17" fillId="16" borderId="194" xfId="3" applyNumberFormat="1" applyFont="1" applyFill="1" applyBorder="1" applyAlignment="1">
      <alignment horizontal="center" vertical="center"/>
    </xf>
    <xf numFmtId="179" fontId="10" fillId="16" borderId="193" xfId="4" applyNumberFormat="1" applyFont="1" applyFill="1" applyBorder="1" applyAlignment="1">
      <alignment horizontal="right" vertical="center"/>
    </xf>
    <xf numFmtId="0" fontId="15" fillId="16" borderId="128" xfId="2" applyFont="1" applyFill="1" applyBorder="1" applyAlignment="1">
      <alignment horizontal="center" vertical="center" wrapText="1"/>
    </xf>
    <xf numFmtId="0" fontId="15" fillId="16" borderId="129" xfId="2" applyFont="1" applyFill="1" applyBorder="1" applyAlignment="1">
      <alignment horizontal="center" vertical="center" wrapText="1"/>
    </xf>
    <xf numFmtId="17" fontId="26" fillId="16" borderId="129" xfId="2" applyNumberFormat="1" applyFont="1" applyFill="1" applyBorder="1" applyAlignment="1">
      <alignment horizontal="center" vertical="center"/>
    </xf>
    <xf numFmtId="176" fontId="26" fillId="16" borderId="129" xfId="3" applyNumberFormat="1" applyFont="1" applyFill="1" applyBorder="1" applyAlignment="1">
      <alignment horizontal="center" vertical="center"/>
    </xf>
    <xf numFmtId="6" fontId="26" fillId="16" borderId="130" xfId="2" applyNumberFormat="1" applyFont="1" applyFill="1" applyBorder="1" applyAlignment="1">
      <alignment horizontal="right" vertical="center"/>
    </xf>
    <xf numFmtId="176" fontId="26" fillId="16" borderId="191" xfId="3" applyNumberFormat="1" applyFont="1" applyFill="1" applyBorder="1" applyAlignment="1">
      <alignment horizontal="center" vertical="center"/>
    </xf>
    <xf numFmtId="179" fontId="10" fillId="16" borderId="195" xfId="4" applyNumberFormat="1" applyFont="1" applyFill="1" applyBorder="1" applyAlignment="1">
      <alignment horizontal="right" vertical="center"/>
    </xf>
    <xf numFmtId="183" fontId="17" fillId="16" borderId="129" xfId="1" applyNumberFormat="1" applyFont="1" applyFill="1" applyBorder="1" applyAlignment="1">
      <alignment horizontal="center" vertical="center"/>
    </xf>
    <xf numFmtId="180" fontId="26" fillId="16" borderId="129" xfId="4" applyNumberFormat="1" applyFont="1" applyFill="1" applyBorder="1" applyAlignment="1">
      <alignment horizontal="right" vertical="center"/>
    </xf>
    <xf numFmtId="176" fontId="26" fillId="16" borderId="130" xfId="3" applyNumberFormat="1" applyFont="1" applyFill="1" applyBorder="1" applyAlignment="1">
      <alignment horizontal="left" vertical="center"/>
    </xf>
    <xf numFmtId="183" fontId="17" fillId="17" borderId="129" xfId="3" applyNumberFormat="1" applyFont="1" applyFill="1" applyBorder="1" applyAlignment="1">
      <alignment horizontal="center" vertical="center"/>
    </xf>
    <xf numFmtId="180" fontId="26" fillId="17" borderId="129" xfId="4" applyNumberFormat="1" applyFont="1" applyFill="1" applyBorder="1" applyAlignment="1">
      <alignment horizontal="right" vertical="center"/>
    </xf>
    <xf numFmtId="176" fontId="26" fillId="17" borderId="130" xfId="3" applyNumberFormat="1" applyFont="1" applyFill="1" applyBorder="1" applyAlignment="1">
      <alignment horizontal="left" vertical="center"/>
    </xf>
    <xf numFmtId="0" fontId="26" fillId="0" borderId="129" xfId="2" applyFont="1" applyBorder="1" applyAlignment="1">
      <alignment horizontal="center" vertical="center"/>
    </xf>
    <xf numFmtId="6" fontId="173" fillId="0" borderId="130" xfId="2" applyNumberFormat="1" applyFont="1" applyBorder="1" applyAlignment="1">
      <alignment horizontal="right" vertical="center"/>
    </xf>
    <xf numFmtId="6" fontId="182" fillId="0" borderId="137" xfId="1" applyNumberFormat="1" applyFont="1" applyBorder="1">
      <alignment vertical="center"/>
    </xf>
    <xf numFmtId="6" fontId="173" fillId="16" borderId="127" xfId="2" applyNumberFormat="1" applyFont="1" applyFill="1" applyBorder="1" applyAlignment="1">
      <alignment horizontal="center" vertical="center"/>
    </xf>
    <xf numFmtId="17" fontId="17" fillId="12" borderId="174" xfId="2" applyNumberFormat="1" applyFont="1" applyFill="1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0" fontId="30" fillId="6" borderId="0" xfId="0" applyFont="1" applyFill="1" applyAlignment="1">
      <alignment horizontal="center" vertical="center"/>
    </xf>
    <xf numFmtId="0" fontId="42" fillId="6" borderId="0" xfId="0" applyFont="1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41" fontId="0" fillId="0" borderId="4" xfId="0" applyNumberFormat="1" applyBorder="1" applyAlignment="1">
      <alignment horizontal="center" vertical="center"/>
    </xf>
    <xf numFmtId="41" fontId="0" fillId="0" borderId="9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1" fontId="0" fillId="0" borderId="7" xfId="1" applyFont="1" applyBorder="1">
      <alignment vertical="center"/>
    </xf>
    <xf numFmtId="41" fontId="0" fillId="0" borderId="10" xfId="1" applyFont="1" applyBorder="1">
      <alignment vertical="center"/>
    </xf>
    <xf numFmtId="41" fontId="0" fillId="0" borderId="5" xfId="1" applyFont="1" applyBorder="1">
      <alignment vertical="center"/>
    </xf>
    <xf numFmtId="0" fontId="169" fillId="17" borderId="3" xfId="0" applyFont="1" applyFill="1" applyBorder="1" applyAlignment="1">
      <alignment horizontal="center" vertical="center"/>
    </xf>
    <xf numFmtId="0" fontId="169" fillId="17" borderId="4" xfId="0" applyFont="1" applyFill="1" applyBorder="1" applyAlignment="1">
      <alignment horizontal="center" vertical="center"/>
    </xf>
    <xf numFmtId="0" fontId="169" fillId="17" borderId="5" xfId="0" applyFont="1" applyFill="1" applyBorder="1" applyAlignment="1">
      <alignment horizontal="center" vertical="center"/>
    </xf>
    <xf numFmtId="41" fontId="169" fillId="17" borderId="13" xfId="1" applyFont="1" applyFill="1" applyBorder="1">
      <alignment vertical="center"/>
    </xf>
    <xf numFmtId="0" fontId="172" fillId="0" borderId="31" xfId="0" applyFont="1" applyBorder="1">
      <alignment vertical="center"/>
    </xf>
    <xf numFmtId="0" fontId="186" fillId="0" borderId="0" xfId="0" applyFont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180" fontId="0" fillId="0" borderId="9" xfId="0" applyNumberFormat="1" applyBorder="1" applyAlignment="1">
      <alignment horizontal="center" vertical="center"/>
    </xf>
    <xf numFmtId="41" fontId="0" fillId="0" borderId="9" xfId="1" applyFont="1" applyBorder="1" applyAlignment="1">
      <alignment horizontal="center" vertical="center"/>
    </xf>
    <xf numFmtId="41" fontId="0" fillId="0" borderId="4" xfId="1" applyFon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0" fillId="0" borderId="9" xfId="0" applyNumberFormat="1" applyBorder="1" applyAlignment="1">
      <alignment horizontal="center" vertical="center"/>
    </xf>
    <xf numFmtId="41" fontId="169" fillId="17" borderId="36" xfId="1" applyFont="1" applyFill="1" applyBorder="1" applyAlignment="1">
      <alignment horizontal="center" vertical="center"/>
    </xf>
    <xf numFmtId="178" fontId="32" fillId="0" borderId="0" xfId="0" applyNumberFormat="1" applyFont="1">
      <alignment vertical="center"/>
    </xf>
    <xf numFmtId="178" fontId="30" fillId="0" borderId="0" xfId="0" applyNumberFormat="1" applyFont="1" applyAlignment="1">
      <alignment horizontal="center" vertical="center"/>
    </xf>
    <xf numFmtId="0" fontId="186" fillId="11" borderId="0" xfId="0" applyFont="1" applyFill="1" applyAlignment="1">
      <alignment horizontal="center" vertical="center"/>
    </xf>
    <xf numFmtId="178" fontId="32" fillId="6" borderId="0" xfId="0" applyNumberFormat="1" applyFont="1" applyFill="1">
      <alignment vertical="center"/>
    </xf>
    <xf numFmtId="178" fontId="30" fillId="6" borderId="0" xfId="0" applyNumberFormat="1" applyFont="1" applyFill="1">
      <alignment vertical="center"/>
    </xf>
    <xf numFmtId="178" fontId="26" fillId="16" borderId="179" xfId="2" applyNumberFormat="1" applyFont="1" applyFill="1" applyBorder="1" applyAlignment="1">
      <alignment horizontal="center" vertical="center"/>
    </xf>
    <xf numFmtId="178" fontId="30" fillId="6" borderId="0" xfId="0" applyNumberFormat="1" applyFont="1" applyFill="1" applyAlignment="1">
      <alignment horizontal="center" vertical="center"/>
    </xf>
    <xf numFmtId="41" fontId="169" fillId="6" borderId="137" xfId="1" applyFont="1" applyFill="1" applyBorder="1">
      <alignment vertical="center"/>
    </xf>
    <xf numFmtId="41" fontId="169" fillId="6" borderId="151" xfId="1" applyFont="1" applyFill="1" applyBorder="1">
      <alignment vertical="center"/>
    </xf>
    <xf numFmtId="41" fontId="169" fillId="6" borderId="1" xfId="1" applyFont="1" applyFill="1" applyBorder="1">
      <alignment vertical="center"/>
    </xf>
    <xf numFmtId="41" fontId="169" fillId="6" borderId="156" xfId="1" applyFont="1" applyFill="1" applyBorder="1">
      <alignment vertical="center"/>
    </xf>
    <xf numFmtId="6" fontId="182" fillId="6" borderId="1" xfId="1" applyNumberFormat="1" applyFont="1" applyFill="1" applyBorder="1">
      <alignment vertical="center"/>
    </xf>
    <xf numFmtId="0" fontId="179" fillId="17" borderId="128" xfId="2" applyFont="1" applyFill="1" applyBorder="1" applyAlignment="1">
      <alignment horizontal="center" vertical="center" wrapText="1"/>
    </xf>
    <xf numFmtId="0" fontId="179" fillId="17" borderId="129" xfId="2" applyFont="1" applyFill="1" applyBorder="1" applyAlignment="1">
      <alignment horizontal="center" vertical="center" wrapText="1"/>
    </xf>
    <xf numFmtId="0" fontId="173" fillId="17" borderId="129" xfId="2" applyFont="1" applyFill="1" applyBorder="1" applyAlignment="1">
      <alignment horizontal="center" vertical="center"/>
    </xf>
    <xf numFmtId="217" fontId="179" fillId="17" borderId="129" xfId="2" applyNumberFormat="1" applyFont="1" applyFill="1" applyBorder="1" applyAlignment="1">
      <alignment horizontal="center" vertical="center"/>
    </xf>
    <xf numFmtId="178" fontId="173" fillId="17" borderId="129" xfId="2" applyNumberFormat="1" applyFont="1" applyFill="1" applyBorder="1" applyAlignment="1">
      <alignment horizontal="center" vertical="center"/>
    </xf>
    <xf numFmtId="6" fontId="173" fillId="17" borderId="130" xfId="2" applyNumberFormat="1" applyFont="1" applyFill="1" applyBorder="1" applyAlignment="1">
      <alignment horizontal="right" vertical="center"/>
    </xf>
    <xf numFmtId="0" fontId="9" fillId="0" borderId="6" xfId="0" applyFont="1" applyBorder="1" applyAlignment="1">
      <alignment horizontal="center" vertical="center"/>
    </xf>
    <xf numFmtId="180" fontId="9" fillId="0" borderId="1" xfId="0" applyNumberFormat="1" applyFont="1" applyBorder="1" applyAlignment="1">
      <alignment horizontal="center" vertical="center"/>
    </xf>
    <xf numFmtId="41" fontId="9" fillId="0" borderId="1" xfId="1" applyFont="1" applyBorder="1" applyAlignment="1">
      <alignment horizontal="center" vertical="center"/>
    </xf>
    <xf numFmtId="41" fontId="9" fillId="0" borderId="7" xfId="1" applyFont="1" applyBorder="1">
      <alignment vertical="center"/>
    </xf>
    <xf numFmtId="0" fontId="9" fillId="0" borderId="8" xfId="0" applyFont="1" applyBorder="1" applyAlignment="1">
      <alignment horizontal="center" vertical="center"/>
    </xf>
    <xf numFmtId="41" fontId="9" fillId="0" borderId="9" xfId="0" applyNumberFormat="1" applyFont="1" applyBorder="1" applyAlignment="1">
      <alignment horizontal="center" vertical="center"/>
    </xf>
    <xf numFmtId="180" fontId="9" fillId="0" borderId="9" xfId="0" applyNumberFormat="1" applyFont="1" applyBorder="1" applyAlignment="1">
      <alignment horizontal="center" vertical="center"/>
    </xf>
    <xf numFmtId="41" fontId="9" fillId="0" borderId="9" xfId="1" applyFont="1" applyBorder="1" applyAlignment="1">
      <alignment horizontal="center" vertical="center"/>
    </xf>
    <xf numFmtId="41" fontId="9" fillId="0" borderId="10" xfId="1" applyFont="1" applyBorder="1">
      <alignment vertical="center"/>
    </xf>
    <xf numFmtId="6" fontId="9" fillId="0" borderId="0" xfId="0" applyNumberFormat="1" applyFont="1">
      <alignment vertical="center"/>
    </xf>
    <xf numFmtId="0" fontId="9" fillId="0" borderId="3" xfId="0" applyFont="1" applyBorder="1" applyAlignment="1">
      <alignment horizontal="center" vertical="center"/>
    </xf>
    <xf numFmtId="41" fontId="9" fillId="0" borderId="4" xfId="0" applyNumberFormat="1" applyFont="1" applyBorder="1" applyAlignment="1">
      <alignment horizontal="center" vertical="center"/>
    </xf>
    <xf numFmtId="41" fontId="9" fillId="0" borderId="4" xfId="1" applyFont="1" applyBorder="1" applyAlignment="1">
      <alignment horizontal="center" vertical="center"/>
    </xf>
    <xf numFmtId="41" fontId="9" fillId="0" borderId="5" xfId="1" applyFont="1" applyBorder="1">
      <alignment vertical="center"/>
    </xf>
    <xf numFmtId="41" fontId="9" fillId="0" borderId="1" xfId="0" applyNumberFormat="1" applyFont="1" applyBorder="1" applyAlignment="1">
      <alignment horizontal="center" vertical="center"/>
    </xf>
    <xf numFmtId="179" fontId="9" fillId="0" borderId="1" xfId="0" applyNumberFormat="1" applyFont="1" applyBorder="1" applyAlignment="1">
      <alignment horizontal="center" vertical="center"/>
    </xf>
    <xf numFmtId="179" fontId="9" fillId="0" borderId="9" xfId="0" applyNumberFormat="1" applyFont="1" applyBorder="1" applyAlignment="1">
      <alignment horizontal="center" vertical="center"/>
    </xf>
    <xf numFmtId="41" fontId="9" fillId="0" borderId="0" xfId="0" applyNumberFormat="1" applyFont="1" applyAlignment="1">
      <alignment horizontal="center" vertical="center"/>
    </xf>
    <xf numFmtId="0" fontId="16" fillId="6" borderId="0" xfId="0" applyFont="1" applyFill="1">
      <alignment vertical="center"/>
    </xf>
    <xf numFmtId="0" fontId="9" fillId="6" borderId="0" xfId="0" applyFont="1" applyFill="1">
      <alignment vertical="center"/>
    </xf>
    <xf numFmtId="0" fontId="188" fillId="6" borderId="0" xfId="0" applyFont="1" applyFill="1">
      <alignment vertical="center"/>
    </xf>
    <xf numFmtId="0" fontId="188" fillId="6" borderId="0" xfId="0" applyFont="1" applyFill="1" applyAlignment="1">
      <alignment horizontal="center" vertical="center"/>
    </xf>
    <xf numFmtId="0" fontId="187" fillId="0" borderId="1" xfId="0" applyFont="1" applyBorder="1" applyAlignment="1">
      <alignment horizontal="center" vertical="center"/>
    </xf>
    <xf numFmtId="178" fontId="9" fillId="0" borderId="1" xfId="0" applyNumberFormat="1" applyFont="1" applyBorder="1">
      <alignment vertical="center"/>
    </xf>
    <xf numFmtId="178" fontId="16" fillId="0" borderId="1" xfId="0" applyNumberFormat="1" applyFont="1" applyBorder="1">
      <alignment vertical="center"/>
    </xf>
    <xf numFmtId="178" fontId="16" fillId="6" borderId="1" xfId="0" applyNumberFormat="1" applyFont="1" applyFill="1" applyBorder="1">
      <alignment vertical="center"/>
    </xf>
    <xf numFmtId="178" fontId="9" fillId="6" borderId="1" xfId="0" applyNumberFormat="1" applyFont="1" applyFill="1" applyBorder="1" applyAlignment="1">
      <alignment horizontal="center" vertical="center"/>
    </xf>
    <xf numFmtId="178" fontId="9" fillId="0" borderId="1" xfId="0" applyNumberFormat="1" applyFont="1" applyBorder="1" applyAlignment="1">
      <alignment horizontal="center" vertical="center"/>
    </xf>
    <xf numFmtId="0" fontId="169" fillId="4" borderId="1" xfId="0" applyFont="1" applyFill="1" applyBorder="1" applyAlignment="1">
      <alignment horizontal="center" vertical="center"/>
    </xf>
    <xf numFmtId="179" fontId="182" fillId="0" borderId="0" xfId="0" applyNumberFormat="1" applyFont="1" applyAlignment="1">
      <alignment horizontal="center" vertical="center"/>
    </xf>
    <xf numFmtId="6" fontId="182" fillId="0" borderId="166" xfId="1" applyNumberFormat="1" applyFont="1" applyBorder="1">
      <alignment vertical="center"/>
    </xf>
    <xf numFmtId="0" fontId="176" fillId="6" borderId="16" xfId="2" applyFont="1" applyFill="1" applyBorder="1" applyAlignment="1">
      <alignment horizontal="center" vertical="center" wrapText="1"/>
    </xf>
    <xf numFmtId="41" fontId="169" fillId="0" borderId="2" xfId="1" applyFont="1" applyBorder="1">
      <alignment vertical="center"/>
    </xf>
    <xf numFmtId="41" fontId="182" fillId="0" borderId="2" xfId="1" applyFont="1" applyBorder="1">
      <alignment vertical="center"/>
    </xf>
    <xf numFmtId="41" fontId="169" fillId="6" borderId="16" xfId="1" applyFont="1" applyFill="1" applyBorder="1">
      <alignment vertical="center"/>
    </xf>
    <xf numFmtId="41" fontId="182" fillId="6" borderId="16" xfId="1" applyFont="1" applyFill="1" applyBorder="1">
      <alignment vertical="center"/>
    </xf>
    <xf numFmtId="0" fontId="176" fillId="6" borderId="11" xfId="2" applyFont="1" applyFill="1" applyBorder="1" applyAlignment="1">
      <alignment horizontal="center" vertical="center" wrapText="1"/>
    </xf>
    <xf numFmtId="41" fontId="169" fillId="0" borderId="11" xfId="1" applyFont="1" applyBorder="1">
      <alignment vertical="center"/>
    </xf>
    <xf numFmtId="6" fontId="182" fillId="0" borderId="11" xfId="1" applyNumberFormat="1" applyFont="1" applyBorder="1">
      <alignment vertical="center"/>
    </xf>
    <xf numFmtId="41" fontId="182" fillId="6" borderId="11" xfId="1" applyFont="1" applyFill="1" applyBorder="1">
      <alignment vertical="center"/>
    </xf>
    <xf numFmtId="179" fontId="15" fillId="18" borderId="202" xfId="2" applyNumberFormat="1" applyFont="1" applyFill="1" applyBorder="1" applyAlignment="1">
      <alignment horizontal="center" vertical="center"/>
    </xf>
    <xf numFmtId="177" fontId="15" fillId="18" borderId="202" xfId="3" applyNumberFormat="1" applyFont="1" applyFill="1" applyBorder="1" applyAlignment="1">
      <alignment horizontal="center" vertical="center"/>
    </xf>
    <xf numFmtId="177" fontId="172" fillId="18" borderId="202" xfId="3" applyNumberFormat="1" applyFont="1" applyFill="1" applyBorder="1" applyAlignment="1">
      <alignment horizontal="center" vertical="center"/>
    </xf>
    <xf numFmtId="177" fontId="172" fillId="18" borderId="203" xfId="3" applyNumberFormat="1" applyFont="1" applyFill="1" applyBorder="1" applyAlignment="1">
      <alignment horizontal="center" vertical="center"/>
    </xf>
    <xf numFmtId="0" fontId="172" fillId="16" borderId="204" xfId="2" applyFont="1" applyFill="1" applyBorder="1" applyAlignment="1">
      <alignment horizontal="center" vertical="center" wrapText="1"/>
    </xf>
    <xf numFmtId="0" fontId="172" fillId="16" borderId="205" xfId="2" applyFont="1" applyFill="1" applyBorder="1" applyAlignment="1">
      <alignment horizontal="center" vertical="center" wrapText="1"/>
    </xf>
    <xf numFmtId="178" fontId="17" fillId="16" borderId="205" xfId="2" applyNumberFormat="1" applyFont="1" applyFill="1" applyBorder="1" applyAlignment="1">
      <alignment horizontal="center" vertical="center"/>
    </xf>
    <xf numFmtId="217" fontId="172" fillId="16" borderId="205" xfId="2" applyNumberFormat="1" applyFont="1" applyFill="1" applyBorder="1" applyAlignment="1">
      <alignment horizontal="center" vertical="center"/>
    </xf>
    <xf numFmtId="6" fontId="26" fillId="16" borderId="205" xfId="2" applyNumberFormat="1" applyFont="1" applyFill="1" applyBorder="1" applyAlignment="1">
      <alignment horizontal="right" vertical="center"/>
    </xf>
    <xf numFmtId="6" fontId="17" fillId="16" borderId="205" xfId="2" applyNumberFormat="1" applyFont="1" applyFill="1" applyBorder="1" applyAlignment="1">
      <alignment horizontal="right" vertical="center"/>
    </xf>
    <xf numFmtId="0" fontId="172" fillId="6" borderId="204" xfId="2" applyFont="1" applyFill="1" applyBorder="1" applyAlignment="1">
      <alignment horizontal="center" vertical="center" wrapText="1"/>
    </xf>
    <xf numFmtId="0" fontId="172" fillId="6" borderId="205" xfId="2" applyFont="1" applyFill="1" applyBorder="1" applyAlignment="1">
      <alignment horizontal="center" vertical="center" wrapText="1"/>
    </xf>
    <xf numFmtId="17" fontId="17" fillId="0" borderId="205" xfId="2" applyNumberFormat="1" applyFont="1" applyBorder="1" applyAlignment="1">
      <alignment horizontal="center" vertical="center"/>
    </xf>
    <xf numFmtId="178" fontId="17" fillId="6" borderId="205" xfId="2" applyNumberFormat="1" applyFont="1" applyFill="1" applyBorder="1" applyAlignment="1">
      <alignment horizontal="center" vertical="center"/>
    </xf>
    <xf numFmtId="217" fontId="172" fillId="6" borderId="205" xfId="2" applyNumberFormat="1" applyFont="1" applyFill="1" applyBorder="1" applyAlignment="1">
      <alignment horizontal="center" vertical="center"/>
    </xf>
    <xf numFmtId="178" fontId="26" fillId="6" borderId="205" xfId="2" applyNumberFormat="1" applyFont="1" applyFill="1" applyBorder="1" applyAlignment="1">
      <alignment horizontal="center" vertical="center"/>
    </xf>
    <xf numFmtId="183" fontId="17" fillId="6" borderId="205" xfId="1" applyNumberFormat="1" applyFont="1" applyFill="1" applyBorder="1" applyAlignment="1">
      <alignment horizontal="center" vertical="center"/>
    </xf>
    <xf numFmtId="180" fontId="26" fillId="6" borderId="205" xfId="4" applyNumberFormat="1" applyFont="1" applyFill="1" applyBorder="1" applyAlignment="1">
      <alignment horizontal="right" vertical="center"/>
    </xf>
    <xf numFmtId="6" fontId="26" fillId="6" borderId="205" xfId="2" applyNumberFormat="1" applyFont="1" applyFill="1" applyBorder="1" applyAlignment="1">
      <alignment horizontal="right" vertical="center"/>
    </xf>
    <xf numFmtId="6" fontId="17" fillId="6" borderId="205" xfId="2" applyNumberFormat="1" applyFont="1" applyFill="1" applyBorder="1" applyAlignment="1">
      <alignment horizontal="right" vertical="center"/>
    </xf>
    <xf numFmtId="6" fontId="17" fillId="6" borderId="206" xfId="2" applyNumberFormat="1" applyFont="1" applyFill="1" applyBorder="1" applyAlignment="1">
      <alignment horizontal="right" vertical="center"/>
    </xf>
    <xf numFmtId="0" fontId="172" fillId="0" borderId="204" xfId="2" applyFont="1" applyBorder="1" applyAlignment="1">
      <alignment horizontal="center" vertical="center" wrapText="1"/>
    </xf>
    <xf numFmtId="0" fontId="172" fillId="0" borderId="205" xfId="2" applyFont="1" applyBorder="1" applyAlignment="1">
      <alignment horizontal="center" vertical="center" wrapText="1"/>
    </xf>
    <xf numFmtId="183" fontId="17" fillId="0" borderId="205" xfId="3" applyNumberFormat="1" applyFont="1" applyFill="1" applyBorder="1" applyAlignment="1">
      <alignment horizontal="center" vertical="center"/>
    </xf>
    <xf numFmtId="180" fontId="26" fillId="0" borderId="205" xfId="4" applyNumberFormat="1" applyFont="1" applyFill="1" applyBorder="1" applyAlignment="1">
      <alignment horizontal="right" vertical="center"/>
    </xf>
    <xf numFmtId="6" fontId="17" fillId="0" borderId="205" xfId="2" applyNumberFormat="1" applyFont="1" applyBorder="1" applyAlignment="1">
      <alignment horizontal="right" vertical="center"/>
    </xf>
    <xf numFmtId="176" fontId="26" fillId="0" borderId="206" xfId="3" applyNumberFormat="1" applyFont="1" applyFill="1" applyBorder="1" applyAlignment="1">
      <alignment horizontal="left" vertical="center"/>
    </xf>
    <xf numFmtId="0" fontId="172" fillId="9" borderId="204" xfId="2" applyFont="1" applyFill="1" applyBorder="1" applyAlignment="1">
      <alignment horizontal="center" vertical="center" wrapText="1"/>
    </xf>
    <xf numFmtId="0" fontId="172" fillId="9" borderId="205" xfId="2" applyFont="1" applyFill="1" applyBorder="1" applyAlignment="1">
      <alignment horizontal="center" vertical="center" wrapText="1"/>
    </xf>
    <xf numFmtId="17" fontId="17" fillId="9" borderId="205" xfId="2" applyNumberFormat="1" applyFont="1" applyFill="1" applyBorder="1" applyAlignment="1">
      <alignment horizontal="center" vertical="center"/>
    </xf>
    <xf numFmtId="178" fontId="26" fillId="9" borderId="205" xfId="2" applyNumberFormat="1" applyFont="1" applyFill="1" applyBorder="1" applyAlignment="1">
      <alignment horizontal="center" vertical="center"/>
    </xf>
    <xf numFmtId="217" fontId="15" fillId="9" borderId="205" xfId="2" applyNumberFormat="1" applyFont="1" applyFill="1" applyBorder="1" applyAlignment="1">
      <alignment horizontal="center" vertical="center"/>
    </xf>
    <xf numFmtId="178" fontId="17" fillId="9" borderId="205" xfId="2" applyNumberFormat="1" applyFont="1" applyFill="1" applyBorder="1" applyAlignment="1">
      <alignment horizontal="center" vertical="center"/>
    </xf>
    <xf numFmtId="183" fontId="17" fillId="9" borderId="205" xfId="3" applyNumberFormat="1" applyFont="1" applyFill="1" applyBorder="1" applyAlignment="1">
      <alignment horizontal="center" vertical="center"/>
    </xf>
    <xf numFmtId="180" fontId="26" fillId="9" borderId="205" xfId="4" applyNumberFormat="1" applyFont="1" applyFill="1" applyBorder="1" applyAlignment="1">
      <alignment horizontal="right" vertical="center"/>
    </xf>
    <xf numFmtId="6" fontId="26" fillId="9" borderId="205" xfId="2" applyNumberFormat="1" applyFont="1" applyFill="1" applyBorder="1" applyAlignment="1">
      <alignment horizontal="right" vertical="center"/>
    </xf>
    <xf numFmtId="6" fontId="17" fillId="9" borderId="205" xfId="2" applyNumberFormat="1" applyFont="1" applyFill="1" applyBorder="1" applyAlignment="1">
      <alignment horizontal="right" vertical="center"/>
    </xf>
    <xf numFmtId="176" fontId="26" fillId="9" borderId="206" xfId="3" applyNumberFormat="1" applyFont="1" applyFill="1" applyBorder="1" applyAlignment="1">
      <alignment horizontal="left" vertical="center"/>
    </xf>
    <xf numFmtId="0" fontId="172" fillId="0" borderId="196" xfId="2" applyFont="1" applyBorder="1" applyAlignment="1">
      <alignment horizontal="center" vertical="center" wrapText="1"/>
    </xf>
    <xf numFmtId="0" fontId="172" fillId="0" borderId="197" xfId="2" applyFont="1" applyBorder="1" applyAlignment="1">
      <alignment horizontal="center" vertical="center" wrapText="1"/>
    </xf>
    <xf numFmtId="0" fontId="26" fillId="0" borderId="197" xfId="2" applyFont="1" applyBorder="1" applyAlignment="1">
      <alignment horizontal="center" vertical="center"/>
    </xf>
    <xf numFmtId="217" fontId="15" fillId="0" borderId="197" xfId="2" applyNumberFormat="1" applyFont="1" applyBorder="1" applyAlignment="1">
      <alignment horizontal="center" vertical="center"/>
    </xf>
    <xf numFmtId="178" fontId="26" fillId="6" borderId="197" xfId="2" applyNumberFormat="1" applyFont="1" applyFill="1" applyBorder="1" applyAlignment="1">
      <alignment horizontal="center" vertical="center"/>
    </xf>
    <xf numFmtId="183" fontId="17" fillId="0" borderId="197" xfId="3" applyNumberFormat="1" applyFont="1" applyFill="1" applyBorder="1" applyAlignment="1">
      <alignment horizontal="center" vertical="center"/>
    </xf>
    <xf numFmtId="180" fontId="26" fillId="0" borderId="197" xfId="4" applyNumberFormat="1" applyFont="1" applyFill="1" applyBorder="1" applyAlignment="1">
      <alignment horizontal="right" vertical="center"/>
    </xf>
    <xf numFmtId="6" fontId="26" fillId="0" borderId="197" xfId="2" applyNumberFormat="1" applyFont="1" applyBorder="1" applyAlignment="1">
      <alignment horizontal="right" vertical="center"/>
    </xf>
    <xf numFmtId="6" fontId="17" fillId="0" borderId="197" xfId="2" applyNumberFormat="1" applyFont="1" applyBorder="1" applyAlignment="1">
      <alignment horizontal="right" vertical="center"/>
    </xf>
    <xf numFmtId="6" fontId="173" fillId="0" borderId="207" xfId="2" applyNumberFormat="1" applyFont="1" applyBorder="1" applyAlignment="1">
      <alignment horizontal="right" vertical="center"/>
    </xf>
    <xf numFmtId="217" fontId="15" fillId="0" borderId="205" xfId="2" applyNumberFormat="1" applyFont="1" applyBorder="1" applyAlignment="1">
      <alignment horizontal="center" vertical="center"/>
    </xf>
    <xf numFmtId="6" fontId="26" fillId="0" borderId="205" xfId="2" applyNumberFormat="1" applyFont="1" applyBorder="1" applyAlignment="1">
      <alignment horizontal="right" vertical="center"/>
    </xf>
    <xf numFmtId="0" fontId="172" fillId="0" borderId="211" xfId="2" applyFont="1" applyBorder="1" applyAlignment="1">
      <alignment horizontal="center" vertical="center" wrapText="1"/>
    </xf>
    <xf numFmtId="0" fontId="172" fillId="0" borderId="212" xfId="2" applyFont="1" applyBorder="1" applyAlignment="1">
      <alignment horizontal="center" vertical="center" wrapText="1"/>
    </xf>
    <xf numFmtId="0" fontId="17" fillId="0" borderId="212" xfId="2" applyFont="1" applyBorder="1" applyAlignment="1">
      <alignment horizontal="center" vertical="center"/>
    </xf>
    <xf numFmtId="178" fontId="17" fillId="0" borderId="212" xfId="2" applyNumberFormat="1" applyFont="1" applyBorder="1" applyAlignment="1">
      <alignment horizontal="center" vertical="center"/>
    </xf>
    <xf numFmtId="217" fontId="172" fillId="0" borderId="212" xfId="2" applyNumberFormat="1" applyFont="1" applyBorder="1" applyAlignment="1">
      <alignment horizontal="center" vertical="center"/>
    </xf>
    <xf numFmtId="178" fontId="17" fillId="6" borderId="212" xfId="2" applyNumberFormat="1" applyFont="1" applyFill="1" applyBorder="1" applyAlignment="1">
      <alignment horizontal="center" vertical="center"/>
    </xf>
    <xf numFmtId="176" fontId="17" fillId="0" borderId="212" xfId="3" applyNumberFormat="1" applyFont="1" applyFill="1" applyBorder="1" applyAlignment="1">
      <alignment horizontal="center" vertical="center"/>
    </xf>
    <xf numFmtId="179" fontId="26" fillId="0" borderId="212" xfId="4" applyNumberFormat="1" applyFont="1" applyFill="1" applyBorder="1" applyAlignment="1">
      <alignment horizontal="right" vertical="center"/>
    </xf>
    <xf numFmtId="6" fontId="26" fillId="0" borderId="212" xfId="2" applyNumberFormat="1" applyFont="1" applyBorder="1" applyAlignment="1">
      <alignment horizontal="right" vertical="center"/>
    </xf>
    <xf numFmtId="6" fontId="17" fillId="0" borderId="212" xfId="2" applyNumberFormat="1" applyFont="1" applyBorder="1" applyAlignment="1">
      <alignment horizontal="right" vertical="center"/>
    </xf>
    <xf numFmtId="6" fontId="17" fillId="0" borderId="213" xfId="2" applyNumberFormat="1" applyFont="1" applyBorder="1" applyAlignment="1">
      <alignment horizontal="right" vertical="center"/>
    </xf>
    <xf numFmtId="0" fontId="172" fillId="16" borderId="214" xfId="2" applyFont="1" applyFill="1" applyBorder="1" applyAlignment="1">
      <alignment horizontal="center" vertical="center" wrapText="1"/>
    </xf>
    <xf numFmtId="0" fontId="172" fillId="16" borderId="215" xfId="2" applyFont="1" applyFill="1" applyBorder="1" applyAlignment="1">
      <alignment horizontal="center" vertical="center" wrapText="1"/>
    </xf>
    <xf numFmtId="0" fontId="17" fillId="16" borderId="215" xfId="2" applyFont="1" applyFill="1" applyBorder="1" applyAlignment="1">
      <alignment horizontal="center" vertical="center"/>
    </xf>
    <xf numFmtId="178" fontId="17" fillId="16" borderId="215" xfId="2" applyNumberFormat="1" applyFont="1" applyFill="1" applyBorder="1" applyAlignment="1">
      <alignment horizontal="center" vertical="center"/>
    </xf>
    <xf numFmtId="217" fontId="172" fillId="16" borderId="215" xfId="2" applyNumberFormat="1" applyFont="1" applyFill="1" applyBorder="1" applyAlignment="1">
      <alignment horizontal="center" vertical="center"/>
    </xf>
    <xf numFmtId="176" fontId="17" fillId="16" borderId="215" xfId="3" applyNumberFormat="1" applyFont="1" applyFill="1" applyBorder="1" applyAlignment="1">
      <alignment horizontal="center" vertical="center"/>
    </xf>
    <xf numFmtId="179" fontId="26" fillId="16" borderId="215" xfId="4" applyNumberFormat="1" applyFont="1" applyFill="1" applyBorder="1" applyAlignment="1">
      <alignment horizontal="right" vertical="center"/>
    </xf>
    <xf numFmtId="6" fontId="26" fillId="16" borderId="215" xfId="2" applyNumberFormat="1" applyFont="1" applyFill="1" applyBorder="1" applyAlignment="1">
      <alignment horizontal="right" vertical="center"/>
    </xf>
    <xf numFmtId="6" fontId="17" fillId="16" borderId="215" xfId="2" applyNumberFormat="1" applyFont="1" applyFill="1" applyBorder="1" applyAlignment="1">
      <alignment horizontal="right" vertical="center"/>
    </xf>
    <xf numFmtId="6" fontId="17" fillId="16" borderId="216" xfId="2" applyNumberFormat="1" applyFont="1" applyFill="1" applyBorder="1" applyAlignment="1">
      <alignment horizontal="right" vertical="center"/>
    </xf>
    <xf numFmtId="0" fontId="17" fillId="16" borderId="205" xfId="2" applyFont="1" applyFill="1" applyBorder="1" applyAlignment="1">
      <alignment horizontal="center" vertical="center"/>
    </xf>
    <xf numFmtId="176" fontId="17" fillId="16" borderId="205" xfId="3" applyNumberFormat="1" applyFont="1" applyFill="1" applyBorder="1" applyAlignment="1">
      <alignment horizontal="center" vertical="center"/>
    </xf>
    <xf numFmtId="179" fontId="26" fillId="16" borderId="205" xfId="4" applyNumberFormat="1" applyFont="1" applyFill="1" applyBorder="1" applyAlignment="1">
      <alignment horizontal="right" vertical="center"/>
    </xf>
    <xf numFmtId="6" fontId="17" fillId="16" borderId="206" xfId="2" applyNumberFormat="1" applyFont="1" applyFill="1" applyBorder="1" applyAlignment="1">
      <alignment horizontal="right" vertical="center"/>
    </xf>
    <xf numFmtId="0" fontId="172" fillId="6" borderId="217" xfId="2" applyFont="1" applyFill="1" applyBorder="1" applyAlignment="1">
      <alignment horizontal="center" vertical="center" wrapText="1"/>
    </xf>
    <xf numFmtId="0" fontId="172" fillId="6" borderId="218" xfId="2" applyFont="1" applyFill="1" applyBorder="1" applyAlignment="1">
      <alignment horizontal="center" vertical="center" wrapText="1"/>
    </xf>
    <xf numFmtId="0" fontId="17" fillId="6" borderId="218" xfId="2" applyFont="1" applyFill="1" applyBorder="1" applyAlignment="1">
      <alignment horizontal="center" vertical="center"/>
    </xf>
    <xf numFmtId="178" fontId="17" fillId="6" borderId="218" xfId="2" applyNumberFormat="1" applyFont="1" applyFill="1" applyBorder="1" applyAlignment="1">
      <alignment horizontal="center" vertical="center"/>
    </xf>
    <xf numFmtId="217" fontId="172" fillId="6" borderId="218" xfId="2" applyNumberFormat="1" applyFont="1" applyFill="1" applyBorder="1" applyAlignment="1">
      <alignment horizontal="center" vertical="center"/>
    </xf>
    <xf numFmtId="176" fontId="17" fillId="6" borderId="218" xfId="3" applyNumberFormat="1" applyFont="1" applyFill="1" applyBorder="1" applyAlignment="1">
      <alignment horizontal="center" vertical="center"/>
    </xf>
    <xf numFmtId="179" fontId="17" fillId="6" borderId="218" xfId="4" applyNumberFormat="1" applyFont="1" applyFill="1" applyBorder="1" applyAlignment="1">
      <alignment horizontal="right" vertical="center"/>
    </xf>
    <xf numFmtId="6" fontId="17" fillId="6" borderId="218" xfId="2" applyNumberFormat="1" applyFont="1" applyFill="1" applyBorder="1" applyAlignment="1">
      <alignment horizontal="right" vertical="center"/>
    </xf>
    <xf numFmtId="6" fontId="17" fillId="6" borderId="219" xfId="2" applyNumberFormat="1" applyFont="1" applyFill="1" applyBorder="1" applyAlignment="1">
      <alignment horizontal="right" vertical="center"/>
    </xf>
    <xf numFmtId="0" fontId="17" fillId="6" borderId="205" xfId="2" applyFont="1" applyFill="1" applyBorder="1" applyAlignment="1">
      <alignment horizontal="center" vertical="center"/>
    </xf>
    <xf numFmtId="176" fontId="17" fillId="6" borderId="205" xfId="3" applyNumberFormat="1" applyFont="1" applyFill="1" applyBorder="1" applyAlignment="1">
      <alignment horizontal="center" vertical="center"/>
    </xf>
    <xf numFmtId="179" fontId="26" fillId="6" borderId="205" xfId="4" applyNumberFormat="1" applyFont="1" applyFill="1" applyBorder="1" applyAlignment="1">
      <alignment horizontal="right" vertical="center"/>
    </xf>
    <xf numFmtId="0" fontId="172" fillId="12" borderId="204" xfId="2" applyFont="1" applyFill="1" applyBorder="1" applyAlignment="1">
      <alignment horizontal="center" vertical="center" wrapText="1"/>
    </xf>
    <xf numFmtId="0" fontId="172" fillId="12" borderId="205" xfId="2" applyFont="1" applyFill="1" applyBorder="1" applyAlignment="1">
      <alignment horizontal="center" vertical="center" wrapText="1"/>
    </xf>
    <xf numFmtId="0" fontId="17" fillId="12" borderId="205" xfId="2" applyFont="1" applyFill="1" applyBorder="1" applyAlignment="1">
      <alignment horizontal="center" vertical="center"/>
    </xf>
    <xf numFmtId="178" fontId="17" fillId="12" borderId="205" xfId="2" applyNumberFormat="1" applyFont="1" applyFill="1" applyBorder="1" applyAlignment="1">
      <alignment horizontal="center" vertical="center"/>
    </xf>
    <xf numFmtId="217" fontId="172" fillId="12" borderId="205" xfId="2" applyNumberFormat="1" applyFont="1" applyFill="1" applyBorder="1" applyAlignment="1">
      <alignment horizontal="center" vertical="center"/>
    </xf>
    <xf numFmtId="176" fontId="17" fillId="12" borderId="205" xfId="3" applyNumberFormat="1" applyFont="1" applyFill="1" applyBorder="1" applyAlignment="1">
      <alignment horizontal="center" vertical="center"/>
    </xf>
    <xf numFmtId="179" fontId="26" fillId="12" borderId="205" xfId="4" applyNumberFormat="1" applyFont="1" applyFill="1" applyBorder="1" applyAlignment="1">
      <alignment horizontal="right" vertical="center"/>
    </xf>
    <xf numFmtId="6" fontId="26" fillId="12" borderId="205" xfId="2" applyNumberFormat="1" applyFont="1" applyFill="1" applyBorder="1" applyAlignment="1">
      <alignment horizontal="right" vertical="center"/>
    </xf>
    <xf numFmtId="6" fontId="17" fillId="12" borderId="205" xfId="2" applyNumberFormat="1" applyFont="1" applyFill="1" applyBorder="1" applyAlignment="1">
      <alignment horizontal="right" vertical="center"/>
    </xf>
    <xf numFmtId="6" fontId="17" fillId="12" borderId="206" xfId="2" applyNumberFormat="1" applyFont="1" applyFill="1" applyBorder="1" applyAlignment="1">
      <alignment horizontal="right" vertical="center"/>
    </xf>
    <xf numFmtId="17" fontId="17" fillId="16" borderId="215" xfId="2" applyNumberFormat="1" applyFont="1" applyFill="1" applyBorder="1" applyAlignment="1">
      <alignment horizontal="center" vertical="center"/>
    </xf>
    <xf numFmtId="178" fontId="26" fillId="16" borderId="215" xfId="2" applyNumberFormat="1" applyFont="1" applyFill="1" applyBorder="1" applyAlignment="1">
      <alignment horizontal="center" vertical="center"/>
    </xf>
    <xf numFmtId="217" fontId="15" fillId="16" borderId="215" xfId="2" applyNumberFormat="1" applyFont="1" applyFill="1" applyBorder="1" applyAlignment="1">
      <alignment horizontal="center" vertical="center"/>
    </xf>
    <xf numFmtId="17" fontId="17" fillId="16" borderId="218" xfId="2" applyNumberFormat="1" applyFont="1" applyFill="1" applyBorder="1" applyAlignment="1">
      <alignment horizontal="center" vertical="center"/>
    </xf>
    <xf numFmtId="178" fontId="26" fillId="16" borderId="218" xfId="2" applyNumberFormat="1" applyFont="1" applyFill="1" applyBorder="1" applyAlignment="1">
      <alignment horizontal="center" vertical="center"/>
    </xf>
    <xf numFmtId="217" fontId="15" fillId="16" borderId="218" xfId="2" applyNumberFormat="1" applyFont="1" applyFill="1" applyBorder="1" applyAlignment="1">
      <alignment horizontal="center" vertical="center"/>
    </xf>
    <xf numFmtId="176" fontId="17" fillId="16" borderId="218" xfId="3" applyNumberFormat="1" applyFont="1" applyFill="1" applyBorder="1" applyAlignment="1">
      <alignment horizontal="center" vertical="center"/>
    </xf>
    <xf numFmtId="179" fontId="26" fillId="16" borderId="218" xfId="4" applyNumberFormat="1" applyFont="1" applyFill="1" applyBorder="1" applyAlignment="1">
      <alignment horizontal="right" vertical="center"/>
    </xf>
    <xf numFmtId="6" fontId="26" fillId="16" borderId="218" xfId="2" applyNumberFormat="1" applyFont="1" applyFill="1" applyBorder="1" applyAlignment="1">
      <alignment horizontal="right" vertical="center"/>
    </xf>
    <xf numFmtId="6" fontId="17" fillId="16" borderId="218" xfId="2" applyNumberFormat="1" applyFont="1" applyFill="1" applyBorder="1" applyAlignment="1">
      <alignment horizontal="right" vertical="center"/>
    </xf>
    <xf numFmtId="6" fontId="17" fillId="16" borderId="219" xfId="2" applyNumberFormat="1" applyFont="1" applyFill="1" applyBorder="1" applyAlignment="1">
      <alignment horizontal="right" vertical="center"/>
    </xf>
    <xf numFmtId="178" fontId="26" fillId="0" borderId="205" xfId="2" applyNumberFormat="1" applyFont="1" applyBorder="1" applyAlignment="1">
      <alignment horizontal="center" vertical="center"/>
    </xf>
    <xf numFmtId="176" fontId="17" fillId="0" borderId="205" xfId="3" applyNumberFormat="1" applyFont="1" applyFill="1" applyBorder="1" applyAlignment="1">
      <alignment horizontal="center" vertical="center"/>
    </xf>
    <xf numFmtId="179" fontId="26" fillId="0" borderId="205" xfId="4" applyNumberFormat="1" applyFont="1" applyFill="1" applyBorder="1" applyAlignment="1">
      <alignment horizontal="right" vertical="center"/>
    </xf>
    <xf numFmtId="6" fontId="17" fillId="0" borderId="206" xfId="2" applyNumberFormat="1" applyFont="1" applyBorder="1" applyAlignment="1">
      <alignment horizontal="right" vertical="center"/>
    </xf>
    <xf numFmtId="0" fontId="15" fillId="0" borderId="204" xfId="2" applyFont="1" applyBorder="1" applyAlignment="1">
      <alignment horizontal="center" vertical="center" wrapText="1"/>
    </xf>
    <xf numFmtId="0" fontId="15" fillId="0" borderId="205" xfId="2" applyFont="1" applyBorder="1" applyAlignment="1">
      <alignment horizontal="center" vertical="center" wrapText="1"/>
    </xf>
    <xf numFmtId="17" fontId="26" fillId="0" borderId="205" xfId="2" applyNumberFormat="1" applyFont="1" applyBorder="1" applyAlignment="1">
      <alignment horizontal="center" vertical="center"/>
    </xf>
    <xf numFmtId="176" fontId="26" fillId="0" borderId="205" xfId="3" applyNumberFormat="1" applyFont="1" applyFill="1" applyBorder="1" applyAlignment="1">
      <alignment horizontal="center" vertical="center"/>
    </xf>
    <xf numFmtId="6" fontId="26" fillId="0" borderId="206" xfId="2" applyNumberFormat="1" applyFont="1" applyBorder="1" applyAlignment="1">
      <alignment horizontal="right" vertical="center"/>
    </xf>
    <xf numFmtId="17" fontId="17" fillId="6" borderId="205" xfId="2" applyNumberFormat="1" applyFont="1" applyFill="1" applyBorder="1" applyAlignment="1">
      <alignment horizontal="center" vertical="center"/>
    </xf>
    <xf numFmtId="217" fontId="15" fillId="6" borderId="205" xfId="2" applyNumberFormat="1" applyFont="1" applyFill="1" applyBorder="1" applyAlignment="1">
      <alignment horizontal="center" vertical="center"/>
    </xf>
    <xf numFmtId="176" fontId="26" fillId="6" borderId="205" xfId="3" applyNumberFormat="1" applyFont="1" applyFill="1" applyBorder="1" applyAlignment="1">
      <alignment horizontal="center" vertical="center"/>
    </xf>
    <xf numFmtId="178" fontId="10" fillId="0" borderId="205" xfId="2" applyNumberFormat="1" applyFont="1" applyBorder="1" applyAlignment="1">
      <alignment horizontal="center" vertical="center"/>
    </xf>
    <xf numFmtId="0" fontId="172" fillId="17" borderId="204" xfId="2" applyFont="1" applyFill="1" applyBorder="1" applyAlignment="1">
      <alignment horizontal="center" vertical="center" wrapText="1"/>
    </xf>
    <xf numFmtId="0" fontId="172" fillId="17" borderId="205" xfId="2" applyFont="1" applyFill="1" applyBorder="1" applyAlignment="1">
      <alignment horizontal="center" vertical="center" wrapText="1"/>
    </xf>
    <xf numFmtId="17" fontId="17" fillId="17" borderId="205" xfId="2" applyNumberFormat="1" applyFont="1" applyFill="1" applyBorder="1" applyAlignment="1">
      <alignment horizontal="center" vertical="center"/>
    </xf>
    <xf numFmtId="178" fontId="26" fillId="17" borderId="205" xfId="2" applyNumberFormat="1" applyFont="1" applyFill="1" applyBorder="1" applyAlignment="1">
      <alignment horizontal="center" vertical="center"/>
    </xf>
    <xf numFmtId="217" fontId="15" fillId="17" borderId="205" xfId="2" applyNumberFormat="1" applyFont="1" applyFill="1" applyBorder="1" applyAlignment="1">
      <alignment horizontal="center" vertical="center"/>
    </xf>
    <xf numFmtId="176" fontId="26" fillId="17" borderId="205" xfId="3" applyNumberFormat="1" applyFont="1" applyFill="1" applyBorder="1" applyAlignment="1">
      <alignment horizontal="center" vertical="center"/>
    </xf>
    <xf numFmtId="179" fontId="26" fillId="17" borderId="205" xfId="4" applyNumberFormat="1" applyFont="1" applyFill="1" applyBorder="1" applyAlignment="1">
      <alignment horizontal="right" vertical="center"/>
    </xf>
    <xf numFmtId="6" fontId="26" fillId="17" borderId="205" xfId="2" applyNumberFormat="1" applyFont="1" applyFill="1" applyBorder="1" applyAlignment="1">
      <alignment horizontal="right" vertical="center"/>
    </xf>
    <xf numFmtId="6" fontId="17" fillId="17" borderId="205" xfId="2" applyNumberFormat="1" applyFont="1" applyFill="1" applyBorder="1" applyAlignment="1">
      <alignment horizontal="right" vertical="center"/>
    </xf>
    <xf numFmtId="6" fontId="17" fillId="17" borderId="206" xfId="2" applyNumberFormat="1" applyFont="1" applyFill="1" applyBorder="1" applyAlignment="1">
      <alignment horizontal="right" vertical="center"/>
    </xf>
    <xf numFmtId="17" fontId="17" fillId="12" borderId="205" xfId="2" applyNumberFormat="1" applyFont="1" applyFill="1" applyBorder="1" applyAlignment="1">
      <alignment horizontal="center" vertical="center"/>
    </xf>
    <xf numFmtId="178" fontId="26" fillId="12" borderId="205" xfId="2" applyNumberFormat="1" applyFont="1" applyFill="1" applyBorder="1" applyAlignment="1">
      <alignment horizontal="center" vertical="center"/>
    </xf>
    <xf numFmtId="176" fontId="26" fillId="12" borderId="205" xfId="3" applyNumberFormat="1" applyFont="1" applyFill="1" applyBorder="1" applyAlignment="1">
      <alignment horizontal="center" vertical="center"/>
    </xf>
    <xf numFmtId="0" fontId="15" fillId="16" borderId="214" xfId="2" applyFont="1" applyFill="1" applyBorder="1" applyAlignment="1">
      <alignment horizontal="center" vertical="center" wrapText="1"/>
    </xf>
    <xf numFmtId="0" fontId="15" fillId="16" borderId="215" xfId="2" applyFont="1" applyFill="1" applyBorder="1" applyAlignment="1">
      <alignment horizontal="center" vertical="center" wrapText="1"/>
    </xf>
    <xf numFmtId="17" fontId="26" fillId="16" borderId="215" xfId="2" applyNumberFormat="1" applyFont="1" applyFill="1" applyBorder="1" applyAlignment="1">
      <alignment horizontal="center" vertical="center"/>
    </xf>
    <xf numFmtId="176" fontId="26" fillId="16" borderId="215" xfId="3" applyNumberFormat="1" applyFont="1" applyFill="1" applyBorder="1" applyAlignment="1">
      <alignment horizontal="center" vertical="center"/>
    </xf>
    <xf numFmtId="6" fontId="26" fillId="16" borderId="216" xfId="2" applyNumberFormat="1" applyFont="1" applyFill="1" applyBorder="1" applyAlignment="1">
      <alignment horizontal="right" vertical="center"/>
    </xf>
    <xf numFmtId="17" fontId="17" fillId="6" borderId="220" xfId="2" applyNumberFormat="1" applyFont="1" applyFill="1" applyBorder="1" applyAlignment="1">
      <alignment horizontal="center" vertical="center"/>
    </xf>
    <xf numFmtId="217" fontId="172" fillId="6" borderId="220" xfId="2" applyNumberFormat="1" applyFont="1" applyFill="1" applyBorder="1" applyAlignment="1">
      <alignment horizontal="center" vertical="center"/>
    </xf>
    <xf numFmtId="178" fontId="17" fillId="6" borderId="220" xfId="2" applyNumberFormat="1" applyFont="1" applyFill="1" applyBorder="1" applyAlignment="1">
      <alignment horizontal="center" vertical="center"/>
    </xf>
    <xf numFmtId="179" fontId="26" fillId="6" borderId="220" xfId="4" applyNumberFormat="1" applyFont="1" applyFill="1" applyBorder="1" applyAlignment="1">
      <alignment horizontal="right" vertical="center"/>
    </xf>
    <xf numFmtId="6" fontId="17" fillId="6" borderId="221" xfId="2" applyNumberFormat="1" applyFont="1" applyFill="1" applyBorder="1" applyAlignment="1">
      <alignment horizontal="right" vertical="center"/>
    </xf>
    <xf numFmtId="17" fontId="17" fillId="12" borderId="220" xfId="2" applyNumberFormat="1" applyFont="1" applyFill="1" applyBorder="1" applyAlignment="1">
      <alignment horizontal="center" vertical="center"/>
    </xf>
    <xf numFmtId="217" fontId="172" fillId="12" borderId="220" xfId="2" applyNumberFormat="1" applyFont="1" applyFill="1" applyBorder="1" applyAlignment="1">
      <alignment horizontal="center" vertical="center"/>
    </xf>
    <xf numFmtId="178" fontId="17" fillId="12" borderId="220" xfId="2" applyNumberFormat="1" applyFont="1" applyFill="1" applyBorder="1" applyAlignment="1">
      <alignment horizontal="center" vertical="center"/>
    </xf>
    <xf numFmtId="179" fontId="26" fillId="12" borderId="220" xfId="4" applyNumberFormat="1" applyFont="1" applyFill="1" applyBorder="1" applyAlignment="1">
      <alignment horizontal="right" vertical="center"/>
    </xf>
    <xf numFmtId="6" fontId="17" fillId="12" borderId="221" xfId="2" applyNumberFormat="1" applyFont="1" applyFill="1" applyBorder="1" applyAlignment="1">
      <alignment horizontal="right" vertical="center"/>
    </xf>
    <xf numFmtId="0" fontId="172" fillId="16" borderId="196" xfId="2" applyFont="1" applyFill="1" applyBorder="1" applyAlignment="1">
      <alignment horizontal="center" vertical="center" wrapText="1"/>
    </xf>
    <xf numFmtId="0" fontId="172" fillId="16" borderId="197" xfId="2" applyFont="1" applyFill="1" applyBorder="1" applyAlignment="1">
      <alignment horizontal="center" vertical="center" wrapText="1"/>
    </xf>
    <xf numFmtId="0" fontId="26" fillId="16" borderId="197" xfId="2" applyFont="1" applyFill="1" applyBorder="1" applyAlignment="1">
      <alignment horizontal="center" vertical="center"/>
    </xf>
    <xf numFmtId="217" fontId="15" fillId="16" borderId="197" xfId="2" applyNumberFormat="1" applyFont="1" applyFill="1" applyBorder="1" applyAlignment="1">
      <alignment horizontal="center" vertical="center"/>
    </xf>
    <xf numFmtId="178" fontId="26" fillId="16" borderId="197" xfId="2" applyNumberFormat="1" applyFont="1" applyFill="1" applyBorder="1" applyAlignment="1">
      <alignment horizontal="center" vertical="center"/>
    </xf>
    <xf numFmtId="176" fontId="17" fillId="16" borderId="197" xfId="3" applyNumberFormat="1" applyFont="1" applyFill="1" applyBorder="1" applyAlignment="1">
      <alignment horizontal="center" vertical="center"/>
    </xf>
    <xf numFmtId="179" fontId="26" fillId="16" borderId="197" xfId="4" applyNumberFormat="1" applyFont="1" applyFill="1" applyBorder="1" applyAlignment="1">
      <alignment horizontal="right" vertical="center"/>
    </xf>
    <xf numFmtId="6" fontId="26" fillId="16" borderId="197" xfId="2" applyNumberFormat="1" applyFont="1" applyFill="1" applyBorder="1" applyAlignment="1">
      <alignment horizontal="right" vertical="center"/>
    </xf>
    <xf numFmtId="6" fontId="17" fillId="16" borderId="197" xfId="2" applyNumberFormat="1" applyFont="1" applyFill="1" applyBorder="1" applyAlignment="1">
      <alignment horizontal="right" vertical="center"/>
    </xf>
    <xf numFmtId="6" fontId="17" fillId="16" borderId="207" xfId="2" applyNumberFormat="1" applyFont="1" applyFill="1" applyBorder="1" applyAlignment="1">
      <alignment horizontal="right" vertical="center"/>
    </xf>
    <xf numFmtId="0" fontId="26" fillId="16" borderId="220" xfId="2" applyFont="1" applyFill="1" applyBorder="1" applyAlignment="1">
      <alignment horizontal="center" vertical="center"/>
    </xf>
    <xf numFmtId="217" fontId="15" fillId="16" borderId="220" xfId="2" applyNumberFormat="1" applyFont="1" applyFill="1" applyBorder="1" applyAlignment="1">
      <alignment horizontal="center" vertical="center"/>
    </xf>
    <xf numFmtId="178" fontId="26" fillId="16" borderId="220" xfId="2" applyNumberFormat="1" applyFont="1" applyFill="1" applyBorder="1" applyAlignment="1">
      <alignment horizontal="center" vertical="center"/>
    </xf>
    <xf numFmtId="176" fontId="17" fillId="16" borderId="220" xfId="3" applyNumberFormat="1" applyFont="1" applyFill="1" applyBorder="1" applyAlignment="1">
      <alignment horizontal="center" vertical="center"/>
    </xf>
    <xf numFmtId="179" fontId="26" fillId="16" borderId="220" xfId="4" applyNumberFormat="1" applyFont="1" applyFill="1" applyBorder="1" applyAlignment="1">
      <alignment horizontal="right" vertical="center"/>
    </xf>
    <xf numFmtId="0" fontId="26" fillId="6" borderId="205" xfId="2" applyFont="1" applyFill="1" applyBorder="1" applyAlignment="1">
      <alignment horizontal="center" vertical="center"/>
    </xf>
    <xf numFmtId="179" fontId="26" fillId="6" borderId="218" xfId="4" applyNumberFormat="1" applyFont="1" applyFill="1" applyBorder="1" applyAlignment="1">
      <alignment horizontal="right" vertical="center"/>
    </xf>
    <xf numFmtId="6" fontId="26" fillId="6" borderId="218" xfId="2" applyNumberFormat="1" applyFont="1" applyFill="1" applyBorder="1" applyAlignment="1">
      <alignment horizontal="right" vertical="center"/>
    </xf>
    <xf numFmtId="0" fontId="172" fillId="12" borderId="208" xfId="2" applyFont="1" applyFill="1" applyBorder="1" applyAlignment="1">
      <alignment horizontal="center" vertical="center" wrapText="1"/>
    </xf>
    <xf numFmtId="0" fontId="172" fillId="12" borderId="209" xfId="2" applyFont="1" applyFill="1" applyBorder="1" applyAlignment="1">
      <alignment horizontal="center" vertical="center" wrapText="1"/>
    </xf>
    <xf numFmtId="17" fontId="17" fillId="12" borderId="209" xfId="2" applyNumberFormat="1" applyFont="1" applyFill="1" applyBorder="1" applyAlignment="1">
      <alignment horizontal="center" vertical="center"/>
    </xf>
    <xf numFmtId="178" fontId="26" fillId="12" borderId="209" xfId="2" applyNumberFormat="1" applyFont="1" applyFill="1" applyBorder="1" applyAlignment="1">
      <alignment horizontal="center" vertical="center"/>
    </xf>
    <xf numFmtId="217" fontId="172" fillId="12" borderId="209" xfId="2" applyNumberFormat="1" applyFont="1" applyFill="1" applyBorder="1" applyAlignment="1">
      <alignment horizontal="center" vertical="center"/>
    </xf>
    <xf numFmtId="176" fontId="17" fillId="12" borderId="209" xfId="3" applyNumberFormat="1" applyFont="1" applyFill="1" applyBorder="1" applyAlignment="1">
      <alignment horizontal="center" vertical="center"/>
    </xf>
    <xf numFmtId="179" fontId="26" fillId="12" borderId="209" xfId="4" applyNumberFormat="1" applyFont="1" applyFill="1" applyBorder="1" applyAlignment="1">
      <alignment horizontal="right" vertical="center"/>
    </xf>
    <xf numFmtId="6" fontId="26" fillId="12" borderId="209" xfId="2" applyNumberFormat="1" applyFont="1" applyFill="1" applyBorder="1" applyAlignment="1">
      <alignment horizontal="right" vertical="center"/>
    </xf>
    <xf numFmtId="6" fontId="17" fillId="12" borderId="209" xfId="2" applyNumberFormat="1" applyFont="1" applyFill="1" applyBorder="1" applyAlignment="1">
      <alignment horizontal="right" vertical="center"/>
    </xf>
    <xf numFmtId="6" fontId="17" fillId="12" borderId="210" xfId="2" applyNumberFormat="1" applyFont="1" applyFill="1" applyBorder="1" applyAlignment="1">
      <alignment horizontal="right" vertical="center"/>
    </xf>
    <xf numFmtId="17" fontId="17" fillId="6" borderId="218" xfId="2" applyNumberFormat="1" applyFont="1" applyFill="1" applyBorder="1" applyAlignment="1">
      <alignment horizontal="center" vertical="center" wrapText="1"/>
    </xf>
    <xf numFmtId="0" fontId="15" fillId="6" borderId="204" xfId="2" applyFont="1" applyFill="1" applyBorder="1" applyAlignment="1">
      <alignment horizontal="center" vertical="center" wrapText="1"/>
    </xf>
    <xf numFmtId="0" fontId="15" fillId="6" borderId="205" xfId="2" applyFont="1" applyFill="1" applyBorder="1" applyAlignment="1">
      <alignment horizontal="center" vertical="center" wrapText="1"/>
    </xf>
    <xf numFmtId="6" fontId="26" fillId="6" borderId="206" xfId="2" applyNumberFormat="1" applyFont="1" applyFill="1" applyBorder="1" applyAlignment="1">
      <alignment horizontal="center" vertical="center"/>
    </xf>
    <xf numFmtId="6" fontId="26" fillId="6" borderId="206" xfId="2" applyNumberFormat="1" applyFont="1" applyFill="1" applyBorder="1" applyAlignment="1">
      <alignment horizontal="right" vertical="center"/>
    </xf>
    <xf numFmtId="6" fontId="173" fillId="17" borderId="206" xfId="2" applyNumberFormat="1" applyFont="1" applyFill="1" applyBorder="1" applyAlignment="1">
      <alignment horizontal="right" vertical="center"/>
    </xf>
    <xf numFmtId="0" fontId="15" fillId="17" borderId="204" xfId="2" applyFont="1" applyFill="1" applyBorder="1" applyAlignment="1">
      <alignment horizontal="center" vertical="center" wrapText="1"/>
    </xf>
    <xf numFmtId="0" fontId="15" fillId="17" borderId="205" xfId="2" applyFont="1" applyFill="1" applyBorder="1" applyAlignment="1">
      <alignment horizontal="center" vertical="center" wrapText="1"/>
    </xf>
    <xf numFmtId="0" fontId="26" fillId="17" borderId="205" xfId="2" applyFont="1" applyFill="1" applyBorder="1" applyAlignment="1">
      <alignment horizontal="center" vertical="center"/>
    </xf>
    <xf numFmtId="6" fontId="26" fillId="17" borderId="206" xfId="2" applyNumberFormat="1" applyFont="1" applyFill="1" applyBorder="1" applyAlignment="1">
      <alignment horizontal="right" vertical="center"/>
    </xf>
    <xf numFmtId="0" fontId="172" fillId="6" borderId="214" xfId="2" applyFont="1" applyFill="1" applyBorder="1" applyAlignment="1">
      <alignment horizontal="center" vertical="center" wrapText="1"/>
    </xf>
    <xf numFmtId="0" fontId="172" fillId="6" borderId="215" xfId="2" applyFont="1" applyFill="1" applyBorder="1" applyAlignment="1">
      <alignment horizontal="center" vertical="center" wrapText="1"/>
    </xf>
    <xf numFmtId="17" fontId="17" fillId="6" borderId="215" xfId="2" applyNumberFormat="1" applyFont="1" applyFill="1" applyBorder="1" applyAlignment="1">
      <alignment horizontal="center" vertical="center"/>
    </xf>
    <xf numFmtId="178" fontId="26" fillId="6" borderId="215" xfId="2" applyNumberFormat="1" applyFont="1" applyFill="1" applyBorder="1" applyAlignment="1">
      <alignment horizontal="center" vertical="center"/>
    </xf>
    <xf numFmtId="217" fontId="15" fillId="6" borderId="215" xfId="2" applyNumberFormat="1" applyFont="1" applyFill="1" applyBorder="1" applyAlignment="1">
      <alignment horizontal="center" vertical="center"/>
    </xf>
    <xf numFmtId="178" fontId="17" fillId="6" borderId="215" xfId="2" applyNumberFormat="1" applyFont="1" applyFill="1" applyBorder="1" applyAlignment="1">
      <alignment horizontal="center" vertical="center"/>
    </xf>
    <xf numFmtId="176" fontId="17" fillId="6" borderId="215" xfId="3" applyNumberFormat="1" applyFont="1" applyFill="1" applyBorder="1" applyAlignment="1">
      <alignment horizontal="center" vertical="center"/>
    </xf>
    <xf numFmtId="179" fontId="26" fillId="6" borderId="215" xfId="4" applyNumberFormat="1" applyFont="1" applyFill="1" applyBorder="1" applyAlignment="1">
      <alignment horizontal="right" vertical="center"/>
    </xf>
    <xf numFmtId="6" fontId="26" fillId="6" borderId="215" xfId="2" applyNumberFormat="1" applyFont="1" applyFill="1" applyBorder="1" applyAlignment="1">
      <alignment horizontal="right" vertical="center"/>
    </xf>
    <xf numFmtId="6" fontId="17" fillId="6" borderId="215" xfId="2" applyNumberFormat="1" applyFont="1" applyFill="1" applyBorder="1" applyAlignment="1">
      <alignment horizontal="right" vertical="center"/>
    </xf>
    <xf numFmtId="6" fontId="173" fillId="6" borderId="216" xfId="2" applyNumberFormat="1" applyFont="1" applyFill="1" applyBorder="1" applyAlignment="1">
      <alignment horizontal="center" vertical="center"/>
    </xf>
    <xf numFmtId="0" fontId="172" fillId="6" borderId="222" xfId="2" applyFont="1" applyFill="1" applyBorder="1" applyAlignment="1">
      <alignment horizontal="center" vertical="center" wrapText="1"/>
    </xf>
    <xf numFmtId="0" fontId="172" fillId="6" borderId="220" xfId="2" applyFont="1" applyFill="1" applyBorder="1" applyAlignment="1">
      <alignment horizontal="center" vertical="center" wrapText="1"/>
    </xf>
    <xf numFmtId="178" fontId="26" fillId="6" borderId="220" xfId="2" applyNumberFormat="1" applyFont="1" applyFill="1" applyBorder="1" applyAlignment="1">
      <alignment horizontal="center" vertical="center"/>
    </xf>
    <xf numFmtId="176" fontId="17" fillId="6" borderId="220" xfId="3" applyNumberFormat="1" applyFont="1" applyFill="1" applyBorder="1" applyAlignment="1">
      <alignment horizontal="center" vertical="center"/>
    </xf>
    <xf numFmtId="6" fontId="26" fillId="6" borderId="220" xfId="2" applyNumberFormat="1" applyFont="1" applyFill="1" applyBorder="1" applyAlignment="1">
      <alignment horizontal="right" vertical="center"/>
    </xf>
    <xf numFmtId="6" fontId="17" fillId="6" borderId="220" xfId="2" applyNumberFormat="1" applyFont="1" applyFill="1" applyBorder="1" applyAlignment="1">
      <alignment horizontal="right" vertical="center"/>
    </xf>
    <xf numFmtId="0" fontId="26" fillId="16" borderId="215" xfId="2" applyFont="1" applyFill="1" applyBorder="1" applyAlignment="1">
      <alignment horizontal="center" vertical="center"/>
    </xf>
    <xf numFmtId="176" fontId="17" fillId="17" borderId="205" xfId="3" applyNumberFormat="1" applyFont="1" applyFill="1" applyBorder="1" applyAlignment="1">
      <alignment horizontal="center" vertical="center"/>
    </xf>
    <xf numFmtId="0" fontId="172" fillId="12" borderId="222" xfId="2" applyFont="1" applyFill="1" applyBorder="1" applyAlignment="1">
      <alignment horizontal="center" vertical="center" wrapText="1"/>
    </xf>
    <xf numFmtId="0" fontId="172" fillId="12" borderId="220" xfId="2" applyFont="1" applyFill="1" applyBorder="1" applyAlignment="1">
      <alignment horizontal="center" vertical="center" wrapText="1"/>
    </xf>
    <xf numFmtId="0" fontId="26" fillId="12" borderId="220" xfId="2" applyFont="1" applyFill="1" applyBorder="1" applyAlignment="1">
      <alignment horizontal="center" vertical="center"/>
    </xf>
    <xf numFmtId="178" fontId="26" fillId="12" borderId="220" xfId="2" applyNumberFormat="1" applyFont="1" applyFill="1" applyBorder="1" applyAlignment="1">
      <alignment horizontal="center" vertical="center"/>
    </xf>
    <xf numFmtId="176" fontId="17" fillId="12" borderId="220" xfId="3" applyNumberFormat="1" applyFont="1" applyFill="1" applyBorder="1" applyAlignment="1">
      <alignment horizontal="center" vertical="center"/>
    </xf>
    <xf numFmtId="6" fontId="26" fillId="12" borderId="220" xfId="2" applyNumberFormat="1" applyFont="1" applyFill="1" applyBorder="1" applyAlignment="1">
      <alignment horizontal="right" vertical="center"/>
    </xf>
    <xf numFmtId="6" fontId="17" fillId="12" borderId="220" xfId="2" applyNumberFormat="1" applyFont="1" applyFill="1" applyBorder="1" applyAlignment="1">
      <alignment horizontal="right" vertical="center"/>
    </xf>
    <xf numFmtId="0" fontId="26" fillId="12" borderId="209" xfId="2" applyFont="1" applyFill="1" applyBorder="1" applyAlignment="1">
      <alignment horizontal="center" vertical="center"/>
    </xf>
    <xf numFmtId="0" fontId="172" fillId="6" borderId="200" xfId="2" applyFont="1" applyFill="1" applyBorder="1" applyAlignment="1">
      <alignment horizontal="center" vertical="center" wrapText="1"/>
    </xf>
    <xf numFmtId="0" fontId="172" fillId="6" borderId="201" xfId="2" applyFont="1" applyFill="1" applyBorder="1" applyAlignment="1">
      <alignment horizontal="center" vertical="center" wrapText="1"/>
    </xf>
    <xf numFmtId="0" fontId="26" fillId="6" borderId="201" xfId="2" applyFont="1" applyFill="1" applyBorder="1" applyAlignment="1">
      <alignment horizontal="center" vertical="center"/>
    </xf>
    <xf numFmtId="217" fontId="15" fillId="6" borderId="201" xfId="2" applyNumberFormat="1" applyFont="1" applyFill="1" applyBorder="1" applyAlignment="1">
      <alignment horizontal="center" vertical="center"/>
    </xf>
    <xf numFmtId="178" fontId="26" fillId="6" borderId="201" xfId="2" applyNumberFormat="1" applyFont="1" applyFill="1" applyBorder="1" applyAlignment="1">
      <alignment horizontal="center" vertical="center"/>
    </xf>
    <xf numFmtId="176" fontId="17" fillId="6" borderId="201" xfId="3" applyNumberFormat="1" applyFont="1" applyFill="1" applyBorder="1" applyAlignment="1">
      <alignment horizontal="center" vertical="center"/>
    </xf>
    <xf numFmtId="179" fontId="26" fillId="6" borderId="201" xfId="4" applyNumberFormat="1" applyFont="1" applyFill="1" applyBorder="1" applyAlignment="1">
      <alignment horizontal="right" vertical="center"/>
    </xf>
    <xf numFmtId="6" fontId="26" fillId="6" borderId="201" xfId="2" applyNumberFormat="1" applyFont="1" applyFill="1" applyBorder="1" applyAlignment="1">
      <alignment horizontal="right" vertical="center"/>
    </xf>
    <xf numFmtId="6" fontId="17" fillId="6" borderId="223" xfId="2" applyNumberFormat="1" applyFont="1" applyFill="1" applyBorder="1" applyAlignment="1">
      <alignment horizontal="right" vertical="center"/>
    </xf>
    <xf numFmtId="217" fontId="15" fillId="12" borderId="209" xfId="2" applyNumberFormat="1" applyFont="1" applyFill="1" applyBorder="1" applyAlignment="1">
      <alignment horizontal="center" vertical="center"/>
    </xf>
    <xf numFmtId="0" fontId="15" fillId="0" borderId="196" xfId="2" applyFont="1" applyBorder="1" applyAlignment="1">
      <alignment horizontal="center" vertical="center" wrapText="1"/>
    </xf>
    <xf numFmtId="0" fontId="15" fillId="0" borderId="197" xfId="2" applyFont="1" applyBorder="1" applyAlignment="1">
      <alignment horizontal="center" vertical="center" wrapText="1"/>
    </xf>
    <xf numFmtId="17" fontId="8" fillId="0" borderId="215" xfId="2" applyNumberFormat="1" applyFont="1" applyBorder="1" applyAlignment="1">
      <alignment horizontal="center" vertical="center"/>
    </xf>
    <xf numFmtId="178" fontId="10" fillId="6" borderId="215" xfId="2" applyNumberFormat="1" applyFont="1" applyFill="1" applyBorder="1" applyAlignment="1">
      <alignment horizontal="center" vertical="center"/>
    </xf>
    <xf numFmtId="178" fontId="8" fillId="6" borderId="215" xfId="2" applyNumberFormat="1" applyFont="1" applyFill="1" applyBorder="1" applyAlignment="1">
      <alignment horizontal="center" vertical="center"/>
    </xf>
    <xf numFmtId="176" fontId="26" fillId="0" borderId="197" xfId="3" applyNumberFormat="1" applyFont="1" applyFill="1" applyBorder="1" applyAlignment="1">
      <alignment horizontal="center" vertical="center"/>
    </xf>
    <xf numFmtId="179" fontId="10" fillId="6" borderId="215" xfId="4" applyNumberFormat="1" applyFont="1" applyFill="1" applyBorder="1" applyAlignment="1">
      <alignment horizontal="right" vertical="center"/>
    </xf>
    <xf numFmtId="6" fontId="8" fillId="6" borderId="215" xfId="2" applyNumberFormat="1" applyFont="1" applyFill="1" applyBorder="1" applyAlignment="1">
      <alignment horizontal="right" vertical="center"/>
    </xf>
    <xf numFmtId="176" fontId="26" fillId="0" borderId="207" xfId="3" applyNumberFormat="1" applyFont="1" applyFill="1" applyBorder="1" applyAlignment="1">
      <alignment horizontal="left" vertical="center"/>
    </xf>
    <xf numFmtId="17" fontId="8" fillId="0" borderId="220" xfId="2" applyNumberFormat="1" applyFont="1" applyBorder="1" applyAlignment="1">
      <alignment horizontal="center" vertical="center"/>
    </xf>
    <xf numFmtId="178" fontId="10" fillId="6" borderId="218" xfId="2" applyNumberFormat="1" applyFont="1" applyFill="1" applyBorder="1" applyAlignment="1">
      <alignment horizontal="center" vertical="center"/>
    </xf>
    <xf numFmtId="178" fontId="8" fillId="6" borderId="218" xfId="2" applyNumberFormat="1" applyFont="1" applyFill="1" applyBorder="1" applyAlignment="1">
      <alignment horizontal="center" vertical="center"/>
    </xf>
    <xf numFmtId="179" fontId="10" fillId="6" borderId="218" xfId="4" applyNumberFormat="1" applyFont="1" applyFill="1" applyBorder="1" applyAlignment="1">
      <alignment horizontal="right" vertical="center"/>
    </xf>
    <xf numFmtId="6" fontId="8" fillId="6" borderId="218" xfId="2" applyNumberFormat="1" applyFont="1" applyFill="1" applyBorder="1" applyAlignment="1">
      <alignment horizontal="right" vertical="center"/>
    </xf>
    <xf numFmtId="17" fontId="8" fillId="0" borderId="205" xfId="2" applyNumberFormat="1" applyFont="1" applyBorder="1" applyAlignment="1">
      <alignment horizontal="center" vertical="center"/>
    </xf>
    <xf numFmtId="176" fontId="172" fillId="18" borderId="124" xfId="2" applyNumberFormat="1" applyFont="1" applyFill="1" applyBorder="1" applyAlignment="1">
      <alignment horizontal="right" vertical="center"/>
    </xf>
    <xf numFmtId="6" fontId="188" fillId="6" borderId="0" xfId="0" applyNumberFormat="1" applyFont="1" applyFill="1" applyAlignment="1">
      <alignment horizontal="center" vertical="center"/>
    </xf>
    <xf numFmtId="6" fontId="17" fillId="12" borderId="224" xfId="2" applyNumberFormat="1" applyFont="1" applyFill="1" applyBorder="1" applyAlignment="1">
      <alignment horizontal="right" vertical="center"/>
    </xf>
    <xf numFmtId="6" fontId="187" fillId="0" borderId="1" xfId="0" applyNumberFormat="1" applyFont="1" applyBorder="1" applyAlignment="1">
      <alignment horizontal="center" vertical="center"/>
    </xf>
    <xf numFmtId="6" fontId="26" fillId="12" borderId="225" xfId="2" applyNumberFormat="1" applyFont="1" applyFill="1" applyBorder="1" applyAlignment="1">
      <alignment horizontal="right" vertical="center"/>
    </xf>
    <xf numFmtId="0" fontId="30" fillId="4" borderId="0" xfId="0" applyFont="1" applyFill="1">
      <alignment vertical="center"/>
    </xf>
    <xf numFmtId="0" fontId="32" fillId="4" borderId="0" xfId="0" applyFont="1" applyFill="1">
      <alignment vertical="center"/>
    </xf>
    <xf numFmtId="0" fontId="30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0" fillId="6" borderId="0" xfId="0" applyFill="1">
      <alignment vertic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left" vertical="center"/>
    </xf>
    <xf numFmtId="17" fontId="17" fillId="16" borderId="205" xfId="2" applyNumberFormat="1" applyFont="1" applyFill="1" applyBorder="1" applyAlignment="1">
      <alignment horizontal="center" vertical="center"/>
    </xf>
    <xf numFmtId="178" fontId="26" fillId="16" borderId="205" xfId="2" applyNumberFormat="1" applyFont="1" applyFill="1" applyBorder="1" applyAlignment="1">
      <alignment horizontal="center" vertical="center"/>
    </xf>
    <xf numFmtId="176" fontId="17" fillId="16" borderId="235" xfId="3" applyNumberFormat="1" applyFont="1" applyFill="1" applyBorder="1" applyAlignment="1">
      <alignment horizontal="center" vertical="center"/>
    </xf>
    <xf numFmtId="217" fontId="15" fillId="16" borderId="205" xfId="2" applyNumberFormat="1" applyFont="1" applyFill="1" applyBorder="1" applyAlignment="1">
      <alignment horizontal="center" vertical="center"/>
    </xf>
    <xf numFmtId="217" fontId="172" fillId="17" borderId="205" xfId="2" applyNumberFormat="1" applyFont="1" applyFill="1" applyBorder="1" applyAlignment="1">
      <alignment horizontal="center" vertical="center"/>
    </xf>
    <xf numFmtId="0" fontId="26" fillId="6" borderId="220" xfId="2" applyFont="1" applyFill="1" applyBorder="1" applyAlignment="1">
      <alignment horizontal="center" vertical="center"/>
    </xf>
    <xf numFmtId="217" fontId="15" fillId="6" borderId="220" xfId="2" applyNumberFormat="1" applyFont="1" applyFill="1" applyBorder="1" applyAlignment="1">
      <alignment horizontal="center" vertical="center"/>
    </xf>
    <xf numFmtId="0" fontId="26" fillId="12" borderId="205" xfId="2" applyFont="1" applyFill="1" applyBorder="1" applyAlignment="1">
      <alignment horizontal="center" vertical="center"/>
    </xf>
    <xf numFmtId="179" fontId="26" fillId="12" borderId="218" xfId="4" applyNumberFormat="1" applyFont="1" applyFill="1" applyBorder="1" applyAlignment="1">
      <alignment horizontal="right" vertical="center"/>
    </xf>
    <xf numFmtId="6" fontId="26" fillId="12" borderId="218" xfId="2" applyNumberFormat="1" applyFont="1" applyFill="1" applyBorder="1" applyAlignment="1">
      <alignment horizontal="right" vertical="center"/>
    </xf>
    <xf numFmtId="6" fontId="17" fillId="12" borderId="218" xfId="2" applyNumberFormat="1" applyFont="1" applyFill="1" applyBorder="1" applyAlignment="1">
      <alignment horizontal="right" vertical="center"/>
    </xf>
    <xf numFmtId="6" fontId="17" fillId="12" borderId="219" xfId="2" applyNumberFormat="1" applyFont="1" applyFill="1" applyBorder="1" applyAlignment="1">
      <alignment horizontal="right" vertical="center"/>
    </xf>
    <xf numFmtId="179" fontId="26" fillId="6" borderId="237" xfId="4" applyNumberFormat="1" applyFont="1" applyFill="1" applyBorder="1" applyAlignment="1">
      <alignment horizontal="right" vertical="center"/>
    </xf>
    <xf numFmtId="6" fontId="26" fillId="6" borderId="237" xfId="2" applyNumberFormat="1" applyFont="1" applyFill="1" applyBorder="1" applyAlignment="1">
      <alignment horizontal="right" vertical="center"/>
    </xf>
    <xf numFmtId="6" fontId="17" fillId="6" borderId="237" xfId="2" applyNumberFormat="1" applyFont="1" applyFill="1" applyBorder="1" applyAlignment="1">
      <alignment horizontal="right" vertical="center"/>
    </xf>
    <xf numFmtId="6" fontId="17" fillId="6" borderId="236" xfId="2" applyNumberFormat="1" applyFont="1" applyFill="1" applyBorder="1" applyAlignment="1">
      <alignment horizontal="right" vertical="center"/>
    </xf>
    <xf numFmtId="0" fontId="15" fillId="12" borderId="204" xfId="2" applyFont="1" applyFill="1" applyBorder="1" applyAlignment="1">
      <alignment horizontal="center" vertical="center" wrapText="1"/>
    </xf>
    <xf numFmtId="0" fontId="15" fillId="12" borderId="205" xfId="2" applyFont="1" applyFill="1" applyBorder="1" applyAlignment="1">
      <alignment horizontal="center" vertical="center" wrapText="1"/>
    </xf>
    <xf numFmtId="217" fontId="15" fillId="12" borderId="205" xfId="2" applyNumberFormat="1" applyFont="1" applyFill="1" applyBorder="1" applyAlignment="1">
      <alignment horizontal="center" vertical="center"/>
    </xf>
    <xf numFmtId="6" fontId="26" fillId="12" borderId="206" xfId="2" applyNumberFormat="1" applyFont="1" applyFill="1" applyBorder="1" applyAlignment="1">
      <alignment horizontal="right" vertical="center"/>
    </xf>
    <xf numFmtId="0" fontId="26" fillId="16" borderId="205" xfId="2" applyFont="1" applyFill="1" applyBorder="1" applyAlignment="1">
      <alignment horizontal="center" vertical="center"/>
    </xf>
    <xf numFmtId="0" fontId="172" fillId="17" borderId="222" xfId="2" applyFont="1" applyFill="1" applyBorder="1" applyAlignment="1">
      <alignment horizontal="center" vertical="center" wrapText="1"/>
    </xf>
    <xf numFmtId="0" fontId="172" fillId="17" borderId="220" xfId="2" applyFont="1" applyFill="1" applyBorder="1" applyAlignment="1">
      <alignment horizontal="center" vertical="center" wrapText="1"/>
    </xf>
    <xf numFmtId="0" fontId="26" fillId="17" borderId="220" xfId="2" applyFont="1" applyFill="1" applyBorder="1" applyAlignment="1">
      <alignment horizontal="center" vertical="center"/>
    </xf>
    <xf numFmtId="217" fontId="172" fillId="17" borderId="220" xfId="2" applyNumberFormat="1" applyFont="1" applyFill="1" applyBorder="1" applyAlignment="1">
      <alignment horizontal="center" vertical="center"/>
    </xf>
    <xf numFmtId="178" fontId="26" fillId="17" borderId="220" xfId="2" applyNumberFormat="1" applyFont="1" applyFill="1" applyBorder="1" applyAlignment="1">
      <alignment horizontal="center" vertical="center"/>
    </xf>
    <xf numFmtId="176" fontId="17" fillId="17" borderId="220" xfId="3" applyNumberFormat="1" applyFont="1" applyFill="1" applyBorder="1" applyAlignment="1">
      <alignment horizontal="center" vertical="center"/>
    </xf>
    <xf numFmtId="179" fontId="26" fillId="17" borderId="220" xfId="4" applyNumberFormat="1" applyFont="1" applyFill="1" applyBorder="1" applyAlignment="1">
      <alignment horizontal="right" vertical="center"/>
    </xf>
    <xf numFmtId="6" fontId="26" fillId="17" borderId="220" xfId="2" applyNumberFormat="1" applyFont="1" applyFill="1" applyBorder="1" applyAlignment="1">
      <alignment horizontal="right" vertical="center"/>
    </xf>
    <xf numFmtId="6" fontId="17" fillId="17" borderId="221" xfId="2" applyNumberFormat="1" applyFont="1" applyFill="1" applyBorder="1" applyAlignment="1">
      <alignment horizontal="right" vertical="center"/>
    </xf>
    <xf numFmtId="0" fontId="172" fillId="16" borderId="200" xfId="2" applyFont="1" applyFill="1" applyBorder="1" applyAlignment="1">
      <alignment horizontal="center" vertical="center" wrapText="1"/>
    </xf>
    <xf numFmtId="0" fontId="172" fillId="16" borderId="201" xfId="2" applyFont="1" applyFill="1" applyBorder="1" applyAlignment="1">
      <alignment horizontal="center" vertical="center" wrapText="1"/>
    </xf>
    <xf numFmtId="0" fontId="26" fillId="16" borderId="201" xfId="2" applyFont="1" applyFill="1" applyBorder="1" applyAlignment="1">
      <alignment horizontal="center" vertical="center"/>
    </xf>
    <xf numFmtId="217" fontId="15" fillId="16" borderId="201" xfId="2" applyNumberFormat="1" applyFont="1" applyFill="1" applyBorder="1" applyAlignment="1">
      <alignment horizontal="center" vertical="center"/>
    </xf>
    <xf numFmtId="178" fontId="26" fillId="16" borderId="201" xfId="2" applyNumberFormat="1" applyFont="1" applyFill="1" applyBorder="1" applyAlignment="1">
      <alignment horizontal="center" vertical="center"/>
    </xf>
    <xf numFmtId="176" fontId="17" fillId="16" borderId="201" xfId="3" applyNumberFormat="1" applyFont="1" applyFill="1" applyBorder="1" applyAlignment="1">
      <alignment horizontal="center" vertical="center"/>
    </xf>
    <xf numFmtId="179" fontId="26" fillId="16" borderId="201" xfId="4" applyNumberFormat="1" applyFont="1" applyFill="1" applyBorder="1" applyAlignment="1">
      <alignment horizontal="right" vertical="center"/>
    </xf>
    <xf numFmtId="6" fontId="26" fillId="16" borderId="201" xfId="2" applyNumberFormat="1" applyFont="1" applyFill="1" applyBorder="1" applyAlignment="1">
      <alignment horizontal="right" vertical="center"/>
    </xf>
    <xf numFmtId="6" fontId="17" fillId="16" borderId="223" xfId="2" applyNumberFormat="1" applyFont="1" applyFill="1" applyBorder="1" applyAlignment="1">
      <alignment horizontal="right" vertical="center"/>
    </xf>
    <xf numFmtId="6" fontId="32" fillId="4" borderId="0" xfId="0" applyNumberFormat="1" applyFont="1" applyFill="1">
      <alignment vertical="center"/>
    </xf>
    <xf numFmtId="6" fontId="30" fillId="4" borderId="0" xfId="0" applyNumberFormat="1" applyFont="1" applyFill="1" applyAlignment="1">
      <alignment horizontal="center" vertical="center"/>
    </xf>
    <xf numFmtId="6" fontId="30" fillId="4" borderId="0" xfId="0" applyNumberFormat="1" applyFont="1" applyFill="1">
      <alignment vertical="center"/>
    </xf>
    <xf numFmtId="6" fontId="182" fillId="0" borderId="1" xfId="1" applyNumberFormat="1" applyFont="1" applyBorder="1">
      <alignment vertical="center"/>
    </xf>
    <xf numFmtId="6" fontId="182" fillId="0" borderId="2" xfId="1" applyNumberFormat="1" applyFont="1" applyBorder="1">
      <alignment vertical="center"/>
    </xf>
    <xf numFmtId="6" fontId="182" fillId="0" borderId="161" xfId="1" applyNumberFormat="1" applyFont="1" applyBorder="1">
      <alignment vertical="center"/>
    </xf>
    <xf numFmtId="183" fontId="17" fillId="6" borderId="205" xfId="3" applyNumberFormat="1" applyFont="1" applyFill="1" applyBorder="1" applyAlignment="1">
      <alignment horizontal="center" vertical="center"/>
    </xf>
    <xf numFmtId="176" fontId="26" fillId="6" borderId="206" xfId="3" applyNumberFormat="1" applyFont="1" applyFill="1" applyBorder="1" applyAlignment="1">
      <alignment horizontal="left" vertical="center"/>
    </xf>
    <xf numFmtId="183" fontId="17" fillId="16" borderId="205" xfId="1" applyNumberFormat="1" applyFont="1" applyFill="1" applyBorder="1" applyAlignment="1">
      <alignment horizontal="center" vertical="center"/>
    </xf>
    <xf numFmtId="180" fontId="26" fillId="16" borderId="205" xfId="4" applyNumberFormat="1" applyFont="1" applyFill="1" applyBorder="1" applyAlignment="1">
      <alignment horizontal="right" vertical="center"/>
    </xf>
    <xf numFmtId="0" fontId="172" fillId="0" borderId="208" xfId="2" applyFont="1" applyBorder="1" applyAlignment="1">
      <alignment horizontal="center" vertical="center" wrapText="1"/>
    </xf>
    <xf numFmtId="0" fontId="172" fillId="0" borderId="209" xfId="2" applyFont="1" applyBorder="1" applyAlignment="1">
      <alignment horizontal="center" vertical="center" wrapText="1"/>
    </xf>
    <xf numFmtId="0" fontId="26" fillId="0" borderId="209" xfId="2" applyFont="1" applyBorder="1" applyAlignment="1">
      <alignment horizontal="center" vertical="center"/>
    </xf>
    <xf numFmtId="217" fontId="15" fillId="0" borderId="209" xfId="2" applyNumberFormat="1" applyFont="1" applyBorder="1" applyAlignment="1">
      <alignment horizontal="center" vertical="center"/>
    </xf>
    <xf numFmtId="178" fontId="26" fillId="6" borderId="209" xfId="2" applyNumberFormat="1" applyFont="1" applyFill="1" applyBorder="1" applyAlignment="1">
      <alignment horizontal="center" vertical="center"/>
    </xf>
    <xf numFmtId="183" fontId="17" fillId="0" borderId="209" xfId="3" applyNumberFormat="1" applyFont="1" applyFill="1" applyBorder="1" applyAlignment="1">
      <alignment horizontal="center" vertical="center"/>
    </xf>
    <xf numFmtId="180" fontId="26" fillId="0" borderId="209" xfId="4" applyNumberFormat="1" applyFont="1" applyFill="1" applyBorder="1" applyAlignment="1">
      <alignment horizontal="right" vertical="center"/>
    </xf>
    <xf numFmtId="6" fontId="26" fillId="0" borderId="209" xfId="2" applyNumberFormat="1" applyFont="1" applyBorder="1" applyAlignment="1">
      <alignment horizontal="right" vertical="center"/>
    </xf>
    <xf numFmtId="6" fontId="17" fillId="0" borderId="209" xfId="2" applyNumberFormat="1" applyFont="1" applyBorder="1" applyAlignment="1">
      <alignment horizontal="right" vertical="center"/>
    </xf>
    <xf numFmtId="6" fontId="173" fillId="0" borderId="210" xfId="2" applyNumberFormat="1" applyFont="1" applyBorder="1" applyAlignment="1">
      <alignment horizontal="right" vertical="center"/>
    </xf>
    <xf numFmtId="0" fontId="169" fillId="6" borderId="0" xfId="0" applyFont="1" applyFill="1">
      <alignment vertical="center"/>
    </xf>
    <xf numFmtId="41" fontId="169" fillId="6" borderId="0" xfId="1" applyFont="1" applyFill="1" applyBorder="1">
      <alignment vertical="center"/>
    </xf>
    <xf numFmtId="41" fontId="169" fillId="6" borderId="0" xfId="1" applyFont="1" applyFill="1" applyBorder="1" applyAlignment="1">
      <alignment horizontal="left" vertical="center"/>
    </xf>
    <xf numFmtId="6" fontId="17" fillId="4" borderId="0" xfId="2" applyNumberFormat="1" applyFont="1" applyFill="1" applyAlignment="1">
      <alignment horizontal="right" vertical="center"/>
    </xf>
    <xf numFmtId="0" fontId="172" fillId="6" borderId="0" xfId="0" applyFont="1" applyFill="1">
      <alignment vertical="center"/>
    </xf>
    <xf numFmtId="0" fontId="172" fillId="6" borderId="0" xfId="0" applyFont="1" applyFill="1" applyAlignment="1">
      <alignment vertical="top"/>
    </xf>
    <xf numFmtId="176" fontId="176" fillId="6" borderId="0" xfId="3" applyNumberFormat="1" applyFont="1" applyFill="1" applyBorder="1" applyAlignment="1">
      <alignment horizontal="center" vertical="center"/>
    </xf>
    <xf numFmtId="6" fontId="169" fillId="6" borderId="0" xfId="0" applyNumberFormat="1" applyFont="1" applyFill="1">
      <alignment vertical="center"/>
    </xf>
    <xf numFmtId="41" fontId="169" fillId="6" borderId="0" xfId="0" applyNumberFormat="1" applyFont="1" applyFill="1">
      <alignment vertical="center"/>
    </xf>
    <xf numFmtId="41" fontId="169" fillId="6" borderId="0" xfId="0" applyNumberFormat="1" applyFont="1" applyFill="1" applyAlignment="1">
      <alignment horizontal="center" vertical="center"/>
    </xf>
    <xf numFmtId="0" fontId="172" fillId="6" borderId="0" xfId="0" applyFont="1" applyFill="1" applyAlignment="1">
      <alignment horizontal="center" vertical="center"/>
    </xf>
    <xf numFmtId="6" fontId="17" fillId="6" borderId="0" xfId="2" applyNumberFormat="1" applyFont="1" applyFill="1" applyAlignment="1">
      <alignment horizontal="right" vertical="center"/>
    </xf>
    <xf numFmtId="6" fontId="26" fillId="6" borderId="0" xfId="2" applyNumberFormat="1" applyFont="1" applyFill="1" applyAlignment="1">
      <alignment horizontal="right" vertical="center"/>
    </xf>
    <xf numFmtId="6" fontId="172" fillId="6" borderId="0" xfId="2" applyNumberFormat="1" applyFont="1" applyFill="1" applyAlignment="1">
      <alignment horizontal="right" vertical="center"/>
    </xf>
    <xf numFmtId="176" fontId="26" fillId="4" borderId="0" xfId="3" applyNumberFormat="1" applyFont="1" applyFill="1" applyBorder="1" applyAlignment="1">
      <alignment horizontal="left" vertical="center"/>
    </xf>
    <xf numFmtId="0" fontId="187" fillId="6" borderId="1" xfId="0" applyFont="1" applyFill="1" applyBorder="1" applyAlignment="1">
      <alignment horizontal="center" vertical="center"/>
    </xf>
    <xf numFmtId="0" fontId="172" fillId="77" borderId="238" xfId="2" applyFont="1" applyFill="1" applyBorder="1" applyAlignment="1">
      <alignment horizontal="center" vertical="center" wrapText="1"/>
    </xf>
    <xf numFmtId="0" fontId="172" fillId="77" borderId="239" xfId="2" applyFont="1" applyFill="1" applyBorder="1" applyAlignment="1">
      <alignment horizontal="center" vertical="center" wrapText="1"/>
    </xf>
    <xf numFmtId="0" fontId="17" fillId="77" borderId="239" xfId="2" applyFont="1" applyFill="1" applyBorder="1" applyAlignment="1">
      <alignment horizontal="center" vertical="center"/>
    </xf>
    <xf numFmtId="178" fontId="17" fillId="77" borderId="239" xfId="2" applyNumberFormat="1" applyFont="1" applyFill="1" applyBorder="1" applyAlignment="1">
      <alignment horizontal="center" vertical="center"/>
    </xf>
    <xf numFmtId="217" fontId="172" fillId="77" borderId="239" xfId="2" applyNumberFormat="1" applyFont="1" applyFill="1" applyBorder="1" applyAlignment="1">
      <alignment horizontal="center" vertical="center"/>
    </xf>
    <xf numFmtId="176" fontId="17" fillId="77" borderId="239" xfId="3" applyNumberFormat="1" applyFont="1" applyFill="1" applyBorder="1" applyAlignment="1">
      <alignment horizontal="center" vertical="center"/>
    </xf>
    <xf numFmtId="179" fontId="26" fillId="77" borderId="239" xfId="4" applyNumberFormat="1" applyFont="1" applyFill="1" applyBorder="1" applyAlignment="1">
      <alignment horizontal="right" vertical="center"/>
    </xf>
    <xf numFmtId="6" fontId="26" fillId="77" borderId="239" xfId="2" applyNumberFormat="1" applyFont="1" applyFill="1" applyBorder="1" applyAlignment="1">
      <alignment horizontal="right" vertical="center"/>
    </xf>
    <xf numFmtId="6" fontId="17" fillId="77" borderId="239" xfId="2" applyNumberFormat="1" applyFont="1" applyFill="1" applyBorder="1" applyAlignment="1">
      <alignment horizontal="right" vertical="center"/>
    </xf>
    <xf numFmtId="6" fontId="17" fillId="77" borderId="240" xfId="2" applyNumberFormat="1" applyFont="1" applyFill="1" applyBorder="1" applyAlignment="1">
      <alignment horizontal="right" vertical="center"/>
    </xf>
    <xf numFmtId="0" fontId="172" fillId="77" borderId="217" xfId="2" applyFont="1" applyFill="1" applyBorder="1" applyAlignment="1">
      <alignment horizontal="center" vertical="center" wrapText="1"/>
    </xf>
    <xf numFmtId="0" fontId="172" fillId="77" borderId="218" xfId="2" applyFont="1" applyFill="1" applyBorder="1" applyAlignment="1">
      <alignment horizontal="center" vertical="center" wrapText="1"/>
    </xf>
    <xf numFmtId="0" fontId="17" fillId="77" borderId="218" xfId="2" applyFont="1" applyFill="1" applyBorder="1" applyAlignment="1">
      <alignment horizontal="center" vertical="center"/>
    </xf>
    <xf numFmtId="178" fontId="17" fillId="77" borderId="218" xfId="2" applyNumberFormat="1" applyFont="1" applyFill="1" applyBorder="1" applyAlignment="1">
      <alignment horizontal="center" vertical="center"/>
    </xf>
    <xf numFmtId="217" fontId="172" fillId="77" borderId="218" xfId="2" applyNumberFormat="1" applyFont="1" applyFill="1" applyBorder="1" applyAlignment="1">
      <alignment horizontal="center" vertical="center"/>
    </xf>
    <xf numFmtId="176" fontId="17" fillId="77" borderId="218" xfId="3" applyNumberFormat="1" applyFont="1" applyFill="1" applyBorder="1" applyAlignment="1">
      <alignment horizontal="center" vertical="center"/>
    </xf>
    <xf numFmtId="179" fontId="17" fillId="77" borderId="218" xfId="4" applyNumberFormat="1" applyFont="1" applyFill="1" applyBorder="1" applyAlignment="1">
      <alignment horizontal="right" vertical="center"/>
    </xf>
    <xf numFmtId="6" fontId="17" fillId="77" borderId="218" xfId="2" applyNumberFormat="1" applyFont="1" applyFill="1" applyBorder="1" applyAlignment="1">
      <alignment horizontal="right" vertical="center"/>
    </xf>
    <xf numFmtId="6" fontId="17" fillId="77" borderId="219" xfId="2" applyNumberFormat="1" applyFont="1" applyFill="1" applyBorder="1" applyAlignment="1">
      <alignment horizontal="right" vertical="center"/>
    </xf>
    <xf numFmtId="0" fontId="172" fillId="77" borderId="204" xfId="2" applyFont="1" applyFill="1" applyBorder="1" applyAlignment="1">
      <alignment horizontal="center" vertical="center" wrapText="1"/>
    </xf>
    <xf numFmtId="0" fontId="172" fillId="77" borderId="205" xfId="2" applyFont="1" applyFill="1" applyBorder="1" applyAlignment="1">
      <alignment horizontal="center" vertical="center" wrapText="1"/>
    </xf>
    <xf numFmtId="0" fontId="17" fillId="77" borderId="205" xfId="2" applyFont="1" applyFill="1" applyBorder="1" applyAlignment="1">
      <alignment horizontal="center" vertical="center"/>
    </xf>
    <xf numFmtId="178" fontId="17" fillId="77" borderId="205" xfId="2" applyNumberFormat="1" applyFont="1" applyFill="1" applyBorder="1" applyAlignment="1">
      <alignment horizontal="center" vertical="center"/>
    </xf>
    <xf numFmtId="217" fontId="172" fillId="77" borderId="205" xfId="2" applyNumberFormat="1" applyFont="1" applyFill="1" applyBorder="1" applyAlignment="1">
      <alignment horizontal="center" vertical="center"/>
    </xf>
    <xf numFmtId="176" fontId="17" fillId="77" borderId="205" xfId="3" applyNumberFormat="1" applyFont="1" applyFill="1" applyBorder="1" applyAlignment="1">
      <alignment horizontal="center" vertical="center"/>
    </xf>
    <xf numFmtId="179" fontId="26" fillId="77" borderId="205" xfId="4" applyNumberFormat="1" applyFont="1" applyFill="1" applyBorder="1" applyAlignment="1">
      <alignment horizontal="right" vertical="center"/>
    </xf>
    <xf numFmtId="6" fontId="26" fillId="77" borderId="205" xfId="2" applyNumberFormat="1" applyFont="1" applyFill="1" applyBorder="1" applyAlignment="1">
      <alignment horizontal="right" vertical="center"/>
    </xf>
    <xf numFmtId="6" fontId="17" fillId="77" borderId="205" xfId="2" applyNumberFormat="1" applyFont="1" applyFill="1" applyBorder="1" applyAlignment="1">
      <alignment horizontal="right" vertical="center"/>
    </xf>
    <xf numFmtId="176" fontId="17" fillId="77" borderId="220" xfId="3" applyNumberFormat="1" applyFont="1" applyFill="1" applyBorder="1" applyAlignment="1">
      <alignment horizontal="center" vertical="center"/>
    </xf>
    <xf numFmtId="6" fontId="182" fillId="18" borderId="1" xfId="1" applyNumberFormat="1" applyFont="1" applyFill="1" applyBorder="1">
      <alignment vertical="center"/>
    </xf>
    <xf numFmtId="41" fontId="9" fillId="6" borderId="9" xfId="1" applyFont="1" applyFill="1" applyBorder="1" applyAlignment="1">
      <alignment horizontal="center" vertical="center"/>
    </xf>
    <xf numFmtId="179" fontId="9" fillId="0" borderId="4" xfId="0" applyNumberFormat="1" applyFont="1" applyBorder="1" applyAlignment="1">
      <alignment horizontal="center" vertical="center"/>
    </xf>
    <xf numFmtId="41" fontId="9" fillId="0" borderId="0" xfId="0" applyNumberFormat="1" applyFont="1">
      <alignment vertical="center"/>
    </xf>
    <xf numFmtId="6" fontId="9" fillId="0" borderId="4" xfId="1" applyNumberFormat="1" applyFont="1" applyBorder="1" applyAlignment="1">
      <alignment horizontal="center" vertical="center"/>
    </xf>
    <xf numFmtId="219" fontId="9" fillId="0" borderId="1" xfId="1" applyNumberFormat="1" applyFont="1" applyBorder="1" applyAlignment="1">
      <alignment horizontal="center" vertical="center"/>
    </xf>
    <xf numFmtId="179" fontId="9" fillId="0" borderId="4" xfId="1" applyNumberFormat="1" applyFont="1" applyBorder="1" applyAlignment="1">
      <alignment horizontal="center" vertical="center"/>
    </xf>
    <xf numFmtId="179" fontId="9" fillId="0" borderId="1" xfId="1" applyNumberFormat="1" applyFont="1" applyBorder="1" applyAlignment="1">
      <alignment horizontal="center" vertical="center"/>
    </xf>
    <xf numFmtId="179" fontId="9" fillId="0" borderId="9" xfId="1" applyNumberFormat="1" applyFont="1" applyBorder="1" applyAlignment="1">
      <alignment horizontal="center" vertical="center"/>
    </xf>
    <xf numFmtId="41" fontId="182" fillId="4" borderId="149" xfId="1" applyFont="1" applyFill="1" applyBorder="1">
      <alignment vertical="center"/>
    </xf>
    <xf numFmtId="41" fontId="169" fillId="6" borderId="0" xfId="1" applyFont="1" applyFill="1" applyBorder="1" applyAlignment="1">
      <alignment horizontal="center" vertical="center" wrapText="1"/>
    </xf>
    <xf numFmtId="41" fontId="169" fillId="4" borderId="0" xfId="1" applyFont="1" applyFill="1" applyBorder="1" applyAlignment="1">
      <alignment horizontal="center" vertical="center" wrapText="1"/>
    </xf>
    <xf numFmtId="0" fontId="169" fillId="4" borderId="5" xfId="0" applyFont="1" applyFill="1" applyBorder="1" applyAlignment="1">
      <alignment horizontal="center" vertical="center"/>
    </xf>
    <xf numFmtId="41" fontId="169" fillId="4" borderId="0" xfId="1" applyFont="1" applyFill="1" applyBorder="1" applyAlignment="1">
      <alignment vertical="center"/>
    </xf>
    <xf numFmtId="41" fontId="169" fillId="4" borderId="13" xfId="1" applyFont="1" applyFill="1" applyBorder="1">
      <alignment vertical="center"/>
    </xf>
    <xf numFmtId="41" fontId="169" fillId="6" borderId="65" xfId="1" applyFont="1" applyFill="1" applyBorder="1" applyAlignment="1">
      <alignment horizontal="center" vertical="center"/>
    </xf>
    <xf numFmtId="41" fontId="169" fillId="6" borderId="188" xfId="1" applyFont="1" applyFill="1" applyBorder="1" applyAlignment="1">
      <alignment horizontal="left" vertical="center"/>
    </xf>
    <xf numFmtId="41" fontId="169" fillId="4" borderId="30" xfId="1" applyFont="1" applyFill="1" applyBorder="1" applyAlignment="1">
      <alignment horizontal="center" vertical="center"/>
    </xf>
    <xf numFmtId="41" fontId="169" fillId="4" borderId="13" xfId="1" applyFont="1" applyFill="1" applyBorder="1" applyAlignment="1">
      <alignment horizontal="left" vertical="center"/>
    </xf>
    <xf numFmtId="41" fontId="9" fillId="4" borderId="10" xfId="1" applyFont="1" applyFill="1" applyBorder="1">
      <alignment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176" fontId="26" fillId="6" borderId="0" xfId="3" applyNumberFormat="1" applyFont="1" applyFill="1" applyBorder="1" applyAlignment="1">
      <alignment horizontal="left" vertical="center"/>
    </xf>
    <xf numFmtId="6" fontId="173" fillId="6" borderId="0" xfId="2" applyNumberFormat="1" applyFont="1" applyFill="1" applyAlignment="1">
      <alignment horizontal="right" vertical="center"/>
    </xf>
    <xf numFmtId="6" fontId="173" fillId="6" borderId="0" xfId="2" applyNumberFormat="1" applyFont="1" applyFill="1" applyAlignment="1">
      <alignment horizontal="center" vertical="center"/>
    </xf>
    <xf numFmtId="177" fontId="172" fillId="4" borderId="0" xfId="3" applyNumberFormat="1" applyFont="1" applyFill="1" applyBorder="1" applyAlignment="1">
      <alignment horizontal="center" vertical="center"/>
    </xf>
    <xf numFmtId="41" fontId="169" fillId="6" borderId="16" xfId="1" applyFont="1" applyFill="1" applyBorder="1" applyAlignment="1">
      <alignment horizontal="center" vertical="center"/>
    </xf>
    <xf numFmtId="6" fontId="26" fillId="4" borderId="0" xfId="2" applyNumberFormat="1" applyFont="1" applyFill="1" applyAlignment="1">
      <alignment horizontal="center" vertical="center"/>
    </xf>
    <xf numFmtId="6" fontId="26" fillId="4" borderId="0" xfId="2" applyNumberFormat="1" applyFont="1" applyFill="1" applyAlignment="1">
      <alignment horizontal="right" vertical="center"/>
    </xf>
    <xf numFmtId="0" fontId="172" fillId="0" borderId="222" xfId="2" applyFont="1" applyBorder="1" applyAlignment="1">
      <alignment horizontal="center" vertical="center" wrapText="1"/>
    </xf>
    <xf numFmtId="0" fontId="172" fillId="0" borderId="220" xfId="2" applyFont="1" applyBorder="1" applyAlignment="1">
      <alignment horizontal="center" vertical="center" wrapText="1"/>
    </xf>
    <xf numFmtId="183" fontId="17" fillId="6" borderId="220" xfId="3" applyNumberFormat="1" applyFont="1" applyFill="1" applyBorder="1" applyAlignment="1">
      <alignment horizontal="center" vertical="center"/>
    </xf>
    <xf numFmtId="180" fontId="26" fillId="6" borderId="220" xfId="4" applyNumberFormat="1" applyFont="1" applyFill="1" applyBorder="1" applyAlignment="1">
      <alignment horizontal="right" vertical="center"/>
    </xf>
    <xf numFmtId="6" fontId="17" fillId="0" borderId="220" xfId="2" applyNumberFormat="1" applyFont="1" applyBorder="1" applyAlignment="1">
      <alignment horizontal="right" vertical="center"/>
    </xf>
    <xf numFmtId="176" fontId="26" fillId="6" borderId="221" xfId="3" applyNumberFormat="1" applyFont="1" applyFill="1" applyBorder="1" applyAlignment="1">
      <alignment horizontal="left" vertical="center"/>
    </xf>
    <xf numFmtId="41" fontId="169" fillId="6" borderId="0" xfId="1" applyFont="1" applyFill="1" applyBorder="1" applyAlignment="1">
      <alignment vertical="center"/>
    </xf>
    <xf numFmtId="0" fontId="172" fillId="16" borderId="211" xfId="2" applyFont="1" applyFill="1" applyBorder="1" applyAlignment="1">
      <alignment horizontal="center" vertical="center" wrapText="1"/>
    </xf>
    <xf numFmtId="0" fontId="172" fillId="16" borderId="212" xfId="2" applyFont="1" applyFill="1" applyBorder="1" applyAlignment="1">
      <alignment horizontal="center" vertical="center" wrapText="1"/>
    </xf>
    <xf numFmtId="0" fontId="17" fillId="16" borderId="212" xfId="2" applyFont="1" applyFill="1" applyBorder="1" applyAlignment="1">
      <alignment horizontal="center" vertical="center"/>
    </xf>
    <xf numFmtId="178" fontId="17" fillId="16" borderId="212" xfId="2" applyNumberFormat="1" applyFont="1" applyFill="1" applyBorder="1" applyAlignment="1">
      <alignment horizontal="center" vertical="center"/>
    </xf>
    <xf numFmtId="217" fontId="172" fillId="16" borderId="212" xfId="2" applyNumberFormat="1" applyFont="1" applyFill="1" applyBorder="1" applyAlignment="1">
      <alignment horizontal="center" vertical="center"/>
    </xf>
    <xf numFmtId="176" fontId="17" fillId="16" borderId="212" xfId="3" applyNumberFormat="1" applyFont="1" applyFill="1" applyBorder="1" applyAlignment="1">
      <alignment horizontal="center" vertical="center"/>
    </xf>
    <xf numFmtId="179" fontId="26" fillId="16" borderId="212" xfId="4" applyNumberFormat="1" applyFont="1" applyFill="1" applyBorder="1" applyAlignment="1">
      <alignment horizontal="right" vertical="center"/>
    </xf>
    <xf numFmtId="6" fontId="26" fillId="16" borderId="212" xfId="2" applyNumberFormat="1" applyFont="1" applyFill="1" applyBorder="1" applyAlignment="1">
      <alignment horizontal="right" vertical="center"/>
    </xf>
    <xf numFmtId="6" fontId="17" fillId="16" borderId="212" xfId="2" applyNumberFormat="1" applyFont="1" applyFill="1" applyBorder="1" applyAlignment="1">
      <alignment horizontal="right" vertical="center"/>
    </xf>
    <xf numFmtId="6" fontId="17" fillId="16" borderId="213" xfId="2" applyNumberFormat="1" applyFont="1" applyFill="1" applyBorder="1" applyAlignment="1">
      <alignment horizontal="right" vertical="center"/>
    </xf>
    <xf numFmtId="0" fontId="172" fillId="16" borderId="217" xfId="2" applyFont="1" applyFill="1" applyBorder="1" applyAlignment="1">
      <alignment horizontal="center" vertical="center" wrapText="1"/>
    </xf>
    <xf numFmtId="0" fontId="172" fillId="16" borderId="218" xfId="2" applyFont="1" applyFill="1" applyBorder="1" applyAlignment="1">
      <alignment horizontal="center" vertical="center" wrapText="1"/>
    </xf>
    <xf numFmtId="0" fontId="17" fillId="16" borderId="218" xfId="2" applyFont="1" applyFill="1" applyBorder="1" applyAlignment="1">
      <alignment horizontal="center" vertical="center"/>
    </xf>
    <xf numFmtId="178" fontId="17" fillId="16" borderId="218" xfId="2" applyNumberFormat="1" applyFont="1" applyFill="1" applyBorder="1" applyAlignment="1">
      <alignment horizontal="center" vertical="center"/>
    </xf>
    <xf numFmtId="217" fontId="172" fillId="16" borderId="218" xfId="2" applyNumberFormat="1" applyFont="1" applyFill="1" applyBorder="1" applyAlignment="1">
      <alignment horizontal="center" vertical="center"/>
    </xf>
    <xf numFmtId="0" fontId="15" fillId="16" borderId="204" xfId="2" applyFont="1" applyFill="1" applyBorder="1" applyAlignment="1">
      <alignment horizontal="center" vertical="center" wrapText="1"/>
    </xf>
    <xf numFmtId="0" fontId="15" fillId="16" borderId="205" xfId="2" applyFont="1" applyFill="1" applyBorder="1" applyAlignment="1">
      <alignment horizontal="center" vertical="center" wrapText="1"/>
    </xf>
    <xf numFmtId="17" fontId="26" fillId="16" borderId="205" xfId="2" applyNumberFormat="1" applyFont="1" applyFill="1" applyBorder="1" applyAlignment="1">
      <alignment horizontal="center" vertical="center"/>
    </xf>
    <xf numFmtId="6" fontId="26" fillId="16" borderId="206" xfId="2" applyNumberFormat="1" applyFont="1" applyFill="1" applyBorder="1" applyAlignment="1">
      <alignment horizontal="right" vertical="center"/>
    </xf>
    <xf numFmtId="178" fontId="10" fillId="17" borderId="205" xfId="2" applyNumberFormat="1" applyFont="1" applyFill="1" applyBorder="1" applyAlignment="1">
      <alignment horizontal="center" vertical="center"/>
    </xf>
    <xf numFmtId="0" fontId="172" fillId="17" borderId="217" xfId="2" applyFont="1" applyFill="1" applyBorder="1" applyAlignment="1">
      <alignment horizontal="center" vertical="center" wrapText="1"/>
    </xf>
    <xf numFmtId="0" fontId="172" fillId="17" borderId="218" xfId="2" applyFont="1" applyFill="1" applyBorder="1" applyAlignment="1">
      <alignment horizontal="center" vertical="center" wrapText="1"/>
    </xf>
    <xf numFmtId="0" fontId="17" fillId="17" borderId="218" xfId="2" applyFont="1" applyFill="1" applyBorder="1" applyAlignment="1">
      <alignment horizontal="center" vertical="center"/>
    </xf>
    <xf numFmtId="178" fontId="17" fillId="17" borderId="218" xfId="2" applyNumberFormat="1" applyFont="1" applyFill="1" applyBorder="1" applyAlignment="1">
      <alignment horizontal="center" vertical="center"/>
    </xf>
    <xf numFmtId="217" fontId="172" fillId="17" borderId="218" xfId="2" applyNumberFormat="1" applyFont="1" applyFill="1" applyBorder="1" applyAlignment="1">
      <alignment horizontal="center" vertical="center"/>
    </xf>
    <xf numFmtId="178" fontId="17" fillId="17" borderId="205" xfId="2" applyNumberFormat="1" applyFont="1" applyFill="1" applyBorder="1" applyAlignment="1">
      <alignment horizontal="center" vertical="center"/>
    </xf>
    <xf numFmtId="176" fontId="17" fillId="17" borderId="218" xfId="3" applyNumberFormat="1" applyFont="1" applyFill="1" applyBorder="1" applyAlignment="1">
      <alignment horizontal="center" vertical="center"/>
    </xf>
    <xf numFmtId="179" fontId="26" fillId="17" borderId="218" xfId="4" applyNumberFormat="1" applyFont="1" applyFill="1" applyBorder="1" applyAlignment="1">
      <alignment horizontal="right" vertical="center"/>
    </xf>
    <xf numFmtId="6" fontId="26" fillId="17" borderId="218" xfId="2" applyNumberFormat="1" applyFont="1" applyFill="1" applyBorder="1" applyAlignment="1">
      <alignment horizontal="right" vertical="center"/>
    </xf>
    <xf numFmtId="6" fontId="17" fillId="17" borderId="218" xfId="2" applyNumberFormat="1" applyFont="1" applyFill="1" applyBorder="1" applyAlignment="1">
      <alignment horizontal="right" vertical="center"/>
    </xf>
    <xf numFmtId="6" fontId="17" fillId="17" borderId="219" xfId="2" applyNumberFormat="1" applyFont="1" applyFill="1" applyBorder="1" applyAlignment="1">
      <alignment horizontal="right" vertical="center"/>
    </xf>
    <xf numFmtId="17" fontId="17" fillId="77" borderId="205" xfId="2" applyNumberFormat="1" applyFont="1" applyFill="1" applyBorder="1" applyAlignment="1">
      <alignment horizontal="center" vertical="center"/>
    </xf>
    <xf numFmtId="178" fontId="26" fillId="77" borderId="205" xfId="2" applyNumberFormat="1" applyFont="1" applyFill="1" applyBorder="1" applyAlignment="1">
      <alignment horizontal="center" vertical="center"/>
    </xf>
    <xf numFmtId="217" fontId="15" fillId="77" borderId="205" xfId="2" applyNumberFormat="1" applyFont="1" applyFill="1" applyBorder="1" applyAlignment="1">
      <alignment horizontal="center" vertical="center"/>
    </xf>
    <xf numFmtId="6" fontId="17" fillId="77" borderId="206" xfId="2" applyNumberFormat="1" applyFont="1" applyFill="1" applyBorder="1" applyAlignment="1">
      <alignment horizontal="right" vertical="center"/>
    </xf>
    <xf numFmtId="0" fontId="172" fillId="6" borderId="208" xfId="2" applyFont="1" applyFill="1" applyBorder="1" applyAlignment="1">
      <alignment horizontal="center" vertical="center" wrapText="1"/>
    </xf>
    <xf numFmtId="0" fontId="172" fillId="6" borderId="209" xfId="2" applyFont="1" applyFill="1" applyBorder="1" applyAlignment="1">
      <alignment horizontal="center" vertical="center" wrapText="1"/>
    </xf>
    <xf numFmtId="17" fontId="17" fillId="6" borderId="209" xfId="2" applyNumberFormat="1" applyFont="1" applyFill="1" applyBorder="1" applyAlignment="1">
      <alignment horizontal="center" vertical="center"/>
    </xf>
    <xf numFmtId="217" fontId="172" fillId="6" borderId="209" xfId="2" applyNumberFormat="1" applyFont="1" applyFill="1" applyBorder="1" applyAlignment="1">
      <alignment horizontal="center" vertical="center"/>
    </xf>
    <xf numFmtId="176" fontId="17" fillId="6" borderId="209" xfId="3" applyNumberFormat="1" applyFont="1" applyFill="1" applyBorder="1" applyAlignment="1">
      <alignment horizontal="center" vertical="center"/>
    </xf>
    <xf numFmtId="179" fontId="26" fillId="6" borderId="209" xfId="4" applyNumberFormat="1" applyFont="1" applyFill="1" applyBorder="1" applyAlignment="1">
      <alignment horizontal="right" vertical="center"/>
    </xf>
    <xf numFmtId="6" fontId="17" fillId="6" borderId="210" xfId="2" applyNumberFormat="1" applyFont="1" applyFill="1" applyBorder="1" applyAlignment="1">
      <alignment horizontal="right" vertical="center"/>
    </xf>
    <xf numFmtId="6" fontId="26" fillId="6" borderId="241" xfId="2" applyNumberFormat="1" applyFont="1" applyFill="1" applyBorder="1" applyAlignment="1">
      <alignment horizontal="right" vertical="center"/>
    </xf>
    <xf numFmtId="6" fontId="17" fillId="6" borderId="241" xfId="2" applyNumberFormat="1" applyFont="1" applyFill="1" applyBorder="1" applyAlignment="1">
      <alignment horizontal="right" vertical="center"/>
    </xf>
    <xf numFmtId="6" fontId="26" fillId="16" borderId="220" xfId="2" applyNumberFormat="1" applyFont="1" applyFill="1" applyBorder="1" applyAlignment="1">
      <alignment horizontal="right" vertical="center"/>
    </xf>
    <xf numFmtId="6" fontId="17" fillId="16" borderId="220" xfId="2" applyNumberFormat="1" applyFont="1" applyFill="1" applyBorder="1" applyAlignment="1">
      <alignment horizontal="right" vertical="center"/>
    </xf>
    <xf numFmtId="6" fontId="17" fillId="16" borderId="221" xfId="2" applyNumberFormat="1" applyFont="1" applyFill="1" applyBorder="1" applyAlignment="1">
      <alignment horizontal="right" vertical="center"/>
    </xf>
    <xf numFmtId="179" fontId="26" fillId="16" borderId="237" xfId="4" applyNumberFormat="1" applyFont="1" applyFill="1" applyBorder="1" applyAlignment="1">
      <alignment horizontal="right" vertical="center"/>
    </xf>
    <xf numFmtId="6" fontId="26" fillId="16" borderId="237" xfId="2" applyNumberFormat="1" applyFont="1" applyFill="1" applyBorder="1" applyAlignment="1">
      <alignment horizontal="right" vertical="center"/>
    </xf>
    <xf numFmtId="6" fontId="17" fillId="16" borderId="237" xfId="2" applyNumberFormat="1" applyFont="1" applyFill="1" applyBorder="1" applyAlignment="1">
      <alignment horizontal="right" vertical="center"/>
    </xf>
    <xf numFmtId="6" fontId="17" fillId="16" borderId="236" xfId="2" applyNumberFormat="1" applyFont="1" applyFill="1" applyBorder="1" applyAlignment="1">
      <alignment horizontal="right" vertical="center"/>
    </xf>
    <xf numFmtId="0" fontId="26" fillId="6" borderId="209" xfId="2" applyFont="1" applyFill="1" applyBorder="1" applyAlignment="1">
      <alignment horizontal="center" vertical="center"/>
    </xf>
    <xf numFmtId="6" fontId="26" fillId="6" borderId="225" xfId="2" applyNumberFormat="1" applyFont="1" applyFill="1" applyBorder="1" applyAlignment="1">
      <alignment horizontal="right" vertical="center"/>
    </xf>
    <xf numFmtId="6" fontId="17" fillId="6" borderId="224" xfId="2" applyNumberFormat="1" applyFont="1" applyFill="1" applyBorder="1" applyAlignment="1">
      <alignment horizontal="right" vertical="center"/>
    </xf>
    <xf numFmtId="6" fontId="17" fillId="6" borderId="225" xfId="2" applyNumberFormat="1" applyFont="1" applyFill="1" applyBorder="1" applyAlignment="1">
      <alignment horizontal="right" vertical="center"/>
    </xf>
    <xf numFmtId="217" fontId="15" fillId="12" borderId="220" xfId="2" applyNumberFormat="1" applyFont="1" applyFill="1" applyBorder="1" applyAlignment="1">
      <alignment horizontal="center" vertical="center"/>
    </xf>
    <xf numFmtId="183" fontId="17" fillId="17" borderId="205" xfId="3" applyNumberFormat="1" applyFont="1" applyFill="1" applyBorder="1" applyAlignment="1">
      <alignment horizontal="center" vertical="center"/>
    </xf>
    <xf numFmtId="180" fontId="26" fillId="17" borderId="205" xfId="4" applyNumberFormat="1" applyFont="1" applyFill="1" applyBorder="1" applyAlignment="1">
      <alignment horizontal="right" vertical="center"/>
    </xf>
    <xf numFmtId="176" fontId="26" fillId="17" borderId="206" xfId="3" applyNumberFormat="1" applyFont="1" applyFill="1" applyBorder="1" applyAlignment="1">
      <alignment horizontal="left" vertical="center"/>
    </xf>
    <xf numFmtId="41" fontId="182" fillId="0" borderId="11" xfId="1" applyFont="1" applyBorder="1">
      <alignment vertical="center"/>
    </xf>
    <xf numFmtId="0" fontId="9" fillId="0" borderId="30" xfId="0" applyFont="1" applyBorder="1" applyAlignment="1">
      <alignment horizontal="center" vertical="center"/>
    </xf>
    <xf numFmtId="41" fontId="9" fillId="0" borderId="31" xfId="0" applyNumberFormat="1" applyFont="1" applyBorder="1" applyAlignment="1">
      <alignment horizontal="center" vertical="center"/>
    </xf>
    <xf numFmtId="179" fontId="9" fillId="0" borderId="32" xfId="1" applyNumberFormat="1" applyFont="1" applyBorder="1" applyAlignment="1">
      <alignment horizontal="center" vertical="center"/>
    </xf>
    <xf numFmtId="41" fontId="9" fillId="0" borderId="36" xfId="1" applyFont="1" applyBorder="1" applyAlignment="1">
      <alignment horizontal="center" vertical="center"/>
    </xf>
    <xf numFmtId="41" fontId="9" fillId="0" borderId="13" xfId="1" applyFont="1" applyBorder="1">
      <alignment vertical="center"/>
    </xf>
    <xf numFmtId="41" fontId="169" fillId="6" borderId="155" xfId="1" applyFont="1" applyFill="1" applyBorder="1" applyAlignment="1">
      <alignment vertical="center"/>
    </xf>
    <xf numFmtId="41" fontId="169" fillId="6" borderId="150" xfId="1" applyFont="1" applyFill="1" applyBorder="1" applyAlignment="1">
      <alignment vertical="center"/>
    </xf>
    <xf numFmtId="6" fontId="169" fillId="18" borderId="7" xfId="0" applyNumberFormat="1" applyFont="1" applyFill="1" applyBorder="1">
      <alignment vertical="center"/>
    </xf>
    <xf numFmtId="17" fontId="17" fillId="16" borderId="218" xfId="2" applyNumberFormat="1" applyFont="1" applyFill="1" applyBorder="1" applyAlignment="1">
      <alignment horizontal="center" vertical="center" wrapText="1"/>
    </xf>
    <xf numFmtId="176" fontId="26" fillId="16" borderId="205" xfId="3" applyNumberFormat="1" applyFont="1" applyFill="1" applyBorder="1" applyAlignment="1">
      <alignment horizontal="center" vertical="center"/>
    </xf>
    <xf numFmtId="6" fontId="26" fillId="16" borderId="206" xfId="2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6" fontId="173" fillId="4" borderId="0" xfId="2" applyNumberFormat="1" applyFont="1" applyFill="1" applyAlignment="1">
      <alignment horizontal="right" vertical="center"/>
    </xf>
    <xf numFmtId="6" fontId="173" fillId="4" borderId="0" xfId="2" applyNumberFormat="1" applyFont="1" applyFill="1" applyAlignment="1">
      <alignment horizontal="center" vertical="center"/>
    </xf>
    <xf numFmtId="0" fontId="205" fillId="0" borderId="0" xfId="0" applyFont="1">
      <alignment vertical="center"/>
    </xf>
    <xf numFmtId="179" fontId="26" fillId="77" borderId="218" xfId="4" applyNumberFormat="1" applyFont="1" applyFill="1" applyBorder="1" applyAlignment="1">
      <alignment horizontal="right" vertical="center"/>
    </xf>
    <xf numFmtId="6" fontId="26" fillId="77" borderId="218" xfId="2" applyNumberFormat="1" applyFont="1" applyFill="1" applyBorder="1" applyAlignment="1">
      <alignment horizontal="right" vertical="center"/>
    </xf>
    <xf numFmtId="0" fontId="26" fillId="0" borderId="205" xfId="2" applyFont="1" applyBorder="1" applyAlignment="1">
      <alignment horizontal="center" vertical="center"/>
    </xf>
    <xf numFmtId="6" fontId="173" fillId="0" borderId="206" xfId="2" applyNumberFormat="1" applyFont="1" applyBorder="1" applyAlignment="1">
      <alignment horizontal="right" vertical="center"/>
    </xf>
    <xf numFmtId="180" fontId="26" fillId="0" borderId="242" xfId="4" applyNumberFormat="1" applyFont="1" applyFill="1" applyBorder="1" applyAlignment="1">
      <alignment horizontal="right" vertical="center"/>
    </xf>
    <xf numFmtId="178" fontId="10" fillId="16" borderId="205" xfId="2" applyNumberFormat="1" applyFont="1" applyFill="1" applyBorder="1" applyAlignment="1">
      <alignment horizontal="center" vertical="center"/>
    </xf>
    <xf numFmtId="0" fontId="15" fillId="6" borderId="214" xfId="2" applyFont="1" applyFill="1" applyBorder="1" applyAlignment="1">
      <alignment horizontal="center" vertical="center" wrapText="1"/>
    </xf>
    <xf numFmtId="0" fontId="15" fillId="6" borderId="215" xfId="2" applyFont="1" applyFill="1" applyBorder="1" applyAlignment="1">
      <alignment horizontal="center" vertical="center" wrapText="1"/>
    </xf>
    <xf numFmtId="17" fontId="26" fillId="6" borderId="215" xfId="2" applyNumberFormat="1" applyFont="1" applyFill="1" applyBorder="1" applyAlignment="1">
      <alignment horizontal="center" vertical="center"/>
    </xf>
    <xf numFmtId="176" fontId="26" fillId="6" borderId="215" xfId="3" applyNumberFormat="1" applyFont="1" applyFill="1" applyBorder="1" applyAlignment="1">
      <alignment horizontal="center" vertical="center"/>
    </xf>
    <xf numFmtId="6" fontId="26" fillId="6" borderId="216" xfId="2" applyNumberFormat="1" applyFont="1" applyFill="1" applyBorder="1" applyAlignment="1">
      <alignment horizontal="right" vertical="center"/>
    </xf>
    <xf numFmtId="0" fontId="26" fillId="17" borderId="205" xfId="2" applyFont="1" applyFill="1" applyBorder="1" applyAlignment="1">
      <alignment horizontal="center" vertical="center" wrapText="1"/>
    </xf>
    <xf numFmtId="6" fontId="17" fillId="12" borderId="225" xfId="2" applyNumberFormat="1" applyFont="1" applyFill="1" applyBorder="1" applyAlignment="1">
      <alignment horizontal="right" vertical="center"/>
    </xf>
    <xf numFmtId="0" fontId="26" fillId="6" borderId="215" xfId="2" applyFont="1" applyFill="1" applyBorder="1" applyAlignment="1">
      <alignment horizontal="center" vertical="center"/>
    </xf>
    <xf numFmtId="0" fontId="172" fillId="12" borderId="200" xfId="2" applyFont="1" applyFill="1" applyBorder="1" applyAlignment="1">
      <alignment horizontal="center" vertical="center" wrapText="1"/>
    </xf>
    <xf numFmtId="0" fontId="172" fillId="12" borderId="201" xfId="2" applyFont="1" applyFill="1" applyBorder="1" applyAlignment="1">
      <alignment horizontal="center" vertical="center" wrapText="1"/>
    </xf>
    <xf numFmtId="17" fontId="8" fillId="6" borderId="87" xfId="2" applyNumberFormat="1" applyFont="1" applyFill="1" applyBorder="1" applyAlignment="1">
      <alignment horizontal="center" vertical="center"/>
    </xf>
    <xf numFmtId="17" fontId="8" fillId="0" borderId="149" xfId="2" applyNumberFormat="1" applyFont="1" applyBorder="1" applyAlignment="1">
      <alignment horizontal="center" vertical="center"/>
    </xf>
    <xf numFmtId="179" fontId="10" fillId="6" borderId="243" xfId="4" applyNumberFormat="1" applyFont="1" applyFill="1" applyBorder="1" applyAlignment="1">
      <alignment horizontal="right" vertical="center"/>
    </xf>
    <xf numFmtId="0" fontId="172" fillId="6" borderId="196" xfId="2" applyFont="1" applyFill="1" applyBorder="1" applyAlignment="1">
      <alignment horizontal="center" vertical="center" wrapText="1"/>
    </xf>
    <xf numFmtId="0" fontId="172" fillId="6" borderId="197" xfId="2" applyFont="1" applyFill="1" applyBorder="1" applyAlignment="1">
      <alignment horizontal="center" vertical="center" wrapText="1"/>
    </xf>
    <xf numFmtId="17" fontId="17" fillId="6" borderId="197" xfId="2" applyNumberFormat="1" applyFont="1" applyFill="1" applyBorder="1" applyAlignment="1">
      <alignment horizontal="center" vertical="center"/>
    </xf>
    <xf numFmtId="217" fontId="172" fillId="6" borderId="197" xfId="2" applyNumberFormat="1" applyFont="1" applyFill="1" applyBorder="1" applyAlignment="1">
      <alignment horizontal="center" vertical="center"/>
    </xf>
    <xf numFmtId="176" fontId="17" fillId="6" borderId="197" xfId="3" applyNumberFormat="1" applyFont="1" applyFill="1" applyBorder="1" applyAlignment="1">
      <alignment horizontal="center" vertical="center"/>
    </xf>
    <xf numFmtId="179" fontId="26" fillId="6" borderId="197" xfId="4" applyNumberFormat="1" applyFont="1" applyFill="1" applyBorder="1" applyAlignment="1">
      <alignment horizontal="right" vertical="center"/>
    </xf>
    <xf numFmtId="6" fontId="26" fillId="6" borderId="197" xfId="2" applyNumberFormat="1" applyFont="1" applyFill="1" applyBorder="1" applyAlignment="1">
      <alignment horizontal="right" vertical="center"/>
    </xf>
    <xf numFmtId="6" fontId="17" fillId="6" borderId="197" xfId="2" applyNumberFormat="1" applyFont="1" applyFill="1" applyBorder="1" applyAlignment="1">
      <alignment horizontal="right" vertical="center"/>
    </xf>
    <xf numFmtId="6" fontId="17" fillId="6" borderId="207" xfId="2" applyNumberFormat="1" applyFont="1" applyFill="1" applyBorder="1" applyAlignment="1">
      <alignment horizontal="right" vertical="center"/>
    </xf>
    <xf numFmtId="17" fontId="8" fillId="12" borderId="137" xfId="2" applyNumberFormat="1" applyFont="1" applyFill="1" applyBorder="1" applyAlignment="1">
      <alignment horizontal="center" vertical="center"/>
    </xf>
    <xf numFmtId="178" fontId="10" fillId="12" borderId="147" xfId="2" applyNumberFormat="1" applyFont="1" applyFill="1" applyBorder="1" applyAlignment="1">
      <alignment horizontal="center" vertical="center"/>
    </xf>
    <xf numFmtId="178" fontId="8" fillId="12" borderId="136" xfId="2" applyNumberFormat="1" applyFont="1" applyFill="1" applyBorder="1" applyAlignment="1">
      <alignment horizontal="center" vertical="center"/>
    </xf>
    <xf numFmtId="6" fontId="17" fillId="12" borderId="236" xfId="2" applyNumberFormat="1" applyFont="1" applyFill="1" applyBorder="1" applyAlignment="1">
      <alignment horizontal="right" vertical="center"/>
    </xf>
    <xf numFmtId="17" fontId="8" fillId="12" borderId="156" xfId="2" applyNumberFormat="1" applyFont="1" applyFill="1" applyBorder="1" applyAlignment="1">
      <alignment horizontal="center" vertical="center"/>
    </xf>
    <xf numFmtId="0" fontId="172" fillId="12" borderId="238" xfId="2" applyFont="1" applyFill="1" applyBorder="1" applyAlignment="1">
      <alignment horizontal="center" vertical="center" wrapText="1"/>
    </xf>
    <xf numFmtId="0" fontId="172" fillId="12" borderId="239" xfId="2" applyFont="1" applyFill="1" applyBorder="1" applyAlignment="1">
      <alignment horizontal="center" vertical="center" wrapText="1"/>
    </xf>
    <xf numFmtId="17" fontId="8" fillId="12" borderId="36" xfId="2" applyNumberFormat="1" applyFont="1" applyFill="1" applyBorder="1" applyAlignment="1">
      <alignment horizontal="center" vertical="center"/>
    </xf>
    <xf numFmtId="178" fontId="10" fillId="12" borderId="62" xfId="2" applyNumberFormat="1" applyFont="1" applyFill="1" applyBorder="1" applyAlignment="1">
      <alignment horizontal="center" vertical="center"/>
    </xf>
    <xf numFmtId="217" fontId="172" fillId="12" borderId="178" xfId="2" applyNumberFormat="1" applyFont="1" applyFill="1" applyBorder="1" applyAlignment="1">
      <alignment horizontal="center" vertical="center"/>
    </xf>
    <xf numFmtId="178" fontId="8" fillId="12" borderId="32" xfId="2" applyNumberFormat="1" applyFont="1" applyFill="1" applyBorder="1" applyAlignment="1">
      <alignment horizontal="center" vertical="center"/>
    </xf>
    <xf numFmtId="176" fontId="17" fillId="12" borderId="239" xfId="3" applyNumberFormat="1" applyFont="1" applyFill="1" applyBorder="1" applyAlignment="1">
      <alignment horizontal="center" vertical="center"/>
    </xf>
    <xf numFmtId="179" fontId="26" fillId="12" borderId="239" xfId="4" applyNumberFormat="1" applyFont="1" applyFill="1" applyBorder="1" applyAlignment="1">
      <alignment horizontal="right" vertical="center"/>
    </xf>
    <xf numFmtId="6" fontId="26" fillId="12" borderId="239" xfId="2" applyNumberFormat="1" applyFont="1" applyFill="1" applyBorder="1" applyAlignment="1">
      <alignment horizontal="right" vertical="center"/>
    </xf>
    <xf numFmtId="6" fontId="17" fillId="12" borderId="239" xfId="2" applyNumberFormat="1" applyFont="1" applyFill="1" applyBorder="1" applyAlignment="1">
      <alignment horizontal="right" vertical="center"/>
    </xf>
    <xf numFmtId="6" fontId="17" fillId="12" borderId="240" xfId="2" applyNumberFormat="1" applyFont="1" applyFill="1" applyBorder="1" applyAlignment="1">
      <alignment horizontal="right" vertical="center"/>
    </xf>
    <xf numFmtId="179" fontId="10" fillId="16" borderId="244" xfId="4" applyNumberFormat="1" applyFont="1" applyFill="1" applyBorder="1" applyAlignment="1">
      <alignment horizontal="right" vertical="center"/>
    </xf>
    <xf numFmtId="6" fontId="173" fillId="16" borderId="216" xfId="2" applyNumberFormat="1" applyFont="1" applyFill="1" applyBorder="1" applyAlignment="1">
      <alignment horizontal="center" vertical="center"/>
    </xf>
    <xf numFmtId="177" fontId="172" fillId="6" borderId="0" xfId="3" applyNumberFormat="1" applyFont="1" applyFill="1" applyBorder="1" applyAlignment="1">
      <alignment horizontal="center" vertical="center"/>
    </xf>
    <xf numFmtId="183" fontId="17" fillId="12" borderId="220" xfId="3" applyNumberFormat="1" applyFont="1" applyFill="1" applyBorder="1" applyAlignment="1">
      <alignment horizontal="center" vertical="center"/>
    </xf>
    <xf numFmtId="180" fontId="26" fillId="12" borderId="220" xfId="4" applyNumberFormat="1" applyFont="1" applyFill="1" applyBorder="1" applyAlignment="1">
      <alignment horizontal="right" vertical="center"/>
    </xf>
    <xf numFmtId="0" fontId="27" fillId="0" borderId="2" xfId="2" applyFont="1" applyBorder="1" applyAlignment="1">
      <alignment horizontal="center" vertical="center" wrapText="1"/>
    </xf>
    <xf numFmtId="0" fontId="27" fillId="0" borderId="16" xfId="2" applyFont="1" applyBorder="1" applyAlignment="1">
      <alignment horizontal="center" vertical="center" wrapText="1"/>
    </xf>
    <xf numFmtId="0" fontId="35" fillId="0" borderId="39" xfId="0" applyFont="1" applyBorder="1" applyAlignment="1">
      <alignment horizontal="center" vertical="center"/>
    </xf>
    <xf numFmtId="0" fontId="35" fillId="0" borderId="40" xfId="0" applyFont="1" applyBorder="1" applyAlignment="1">
      <alignment horizontal="center" vertical="center"/>
    </xf>
    <xf numFmtId="0" fontId="35" fillId="0" borderId="37" xfId="0" applyFont="1" applyBorder="1" applyAlignment="1">
      <alignment horizontal="center" vertical="center"/>
    </xf>
    <xf numFmtId="0" fontId="27" fillId="0" borderId="11" xfId="2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6" fillId="0" borderId="2" xfId="2" applyFont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176" fontId="6" fillId="0" borderId="1" xfId="3" applyNumberFormat="1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top"/>
    </xf>
    <xf numFmtId="0" fontId="6" fillId="0" borderId="22" xfId="0" applyFont="1" applyBorder="1" applyAlignment="1">
      <alignment horizontal="center" vertical="top"/>
    </xf>
    <xf numFmtId="0" fontId="6" fillId="0" borderId="14" xfId="0" applyFont="1" applyBorder="1" applyAlignment="1">
      <alignment horizontal="center" vertical="top"/>
    </xf>
    <xf numFmtId="0" fontId="27" fillId="0" borderId="1" xfId="2" applyFont="1" applyBorder="1" applyAlignment="1">
      <alignment horizontal="center" vertical="center" wrapText="1"/>
    </xf>
    <xf numFmtId="0" fontId="27" fillId="0" borderId="47" xfId="2" applyFont="1" applyBorder="1" applyAlignment="1">
      <alignment horizontal="center" vertical="center" wrapText="1"/>
    </xf>
    <xf numFmtId="0" fontId="27" fillId="0" borderId="40" xfId="2" applyFont="1" applyBorder="1" applyAlignment="1">
      <alignment horizontal="center" vertical="center" wrapText="1"/>
    </xf>
    <xf numFmtId="0" fontId="27" fillId="0" borderId="52" xfId="2" applyFont="1" applyBorder="1" applyAlignment="1">
      <alignment horizontal="center" vertical="center" wrapText="1"/>
    </xf>
    <xf numFmtId="0" fontId="27" fillId="0" borderId="53" xfId="2" applyFont="1" applyBorder="1" applyAlignment="1">
      <alignment horizontal="center" vertical="center" wrapText="1"/>
    </xf>
    <xf numFmtId="0" fontId="27" fillId="6" borderId="47" xfId="2" applyFont="1" applyFill="1" applyBorder="1" applyAlignment="1">
      <alignment horizontal="center" vertical="center" wrapText="1"/>
    </xf>
    <xf numFmtId="0" fontId="27" fillId="6" borderId="40" xfId="2" applyFont="1" applyFill="1" applyBorder="1" applyAlignment="1">
      <alignment horizontal="center" vertical="center" wrapText="1"/>
    </xf>
    <xf numFmtId="0" fontId="27" fillId="6" borderId="34" xfId="2" applyFont="1" applyFill="1" applyBorder="1" applyAlignment="1">
      <alignment horizontal="center" vertical="center" wrapText="1"/>
    </xf>
    <xf numFmtId="0" fontId="27" fillId="0" borderId="6" xfId="2" applyFont="1" applyBorder="1" applyAlignment="1">
      <alignment horizontal="center" vertical="center" wrapText="1"/>
    </xf>
    <xf numFmtId="0" fontId="27" fillId="0" borderId="39" xfId="2" applyFont="1" applyBorder="1" applyAlignment="1">
      <alignment horizontal="center" vertical="center" wrapText="1"/>
    </xf>
    <xf numFmtId="0" fontId="27" fillId="0" borderId="34" xfId="2" applyFont="1" applyBorder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0" fontId="6" fillId="0" borderId="39" xfId="2" applyFont="1" applyBorder="1" applyAlignment="1">
      <alignment horizontal="center" vertical="center" wrapText="1"/>
    </xf>
    <xf numFmtId="0" fontId="6" fillId="0" borderId="40" xfId="2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/>
    </xf>
    <xf numFmtId="176" fontId="6" fillId="0" borderId="4" xfId="3" applyNumberFormat="1" applyFont="1" applyFill="1" applyBorder="1" applyAlignment="1">
      <alignment horizontal="center" vertical="center"/>
    </xf>
    <xf numFmtId="0" fontId="6" fillId="0" borderId="44" xfId="0" applyFont="1" applyBorder="1" applyAlignment="1">
      <alignment horizontal="center" vertical="top"/>
    </xf>
    <xf numFmtId="0" fontId="6" fillId="0" borderId="50" xfId="0" applyFont="1" applyBorder="1" applyAlignment="1">
      <alignment horizontal="center" vertical="top"/>
    </xf>
    <xf numFmtId="0" fontId="6" fillId="0" borderId="51" xfId="0" applyFont="1" applyBorder="1" applyAlignment="1">
      <alignment horizontal="center" vertical="top"/>
    </xf>
    <xf numFmtId="0" fontId="38" fillId="0" borderId="56" xfId="2" applyFont="1" applyBorder="1" applyAlignment="1">
      <alignment horizontal="center" vertical="center" wrapText="1"/>
    </xf>
    <xf numFmtId="0" fontId="38" fillId="0" borderId="57" xfId="2" applyFont="1" applyBorder="1" applyAlignment="1">
      <alignment horizontal="center" vertical="center" wrapText="1"/>
    </xf>
    <xf numFmtId="0" fontId="38" fillId="0" borderId="58" xfId="2" applyFont="1" applyBorder="1" applyAlignment="1">
      <alignment horizontal="center" vertical="center" wrapText="1"/>
    </xf>
    <xf numFmtId="0" fontId="27" fillId="2" borderId="61" xfId="2" applyFont="1" applyFill="1" applyBorder="1" applyAlignment="1">
      <alignment horizontal="center" vertical="center" wrapText="1"/>
    </xf>
    <xf numFmtId="0" fontId="27" fillId="2" borderId="49" xfId="2" applyFont="1" applyFill="1" applyBorder="1" applyAlignment="1">
      <alignment horizontal="center" vertical="center" wrapText="1"/>
    </xf>
    <xf numFmtId="0" fontId="27" fillId="2" borderId="33" xfId="2" applyFont="1" applyFill="1" applyBorder="1" applyAlignment="1">
      <alignment horizontal="center" vertical="center" wrapText="1"/>
    </xf>
    <xf numFmtId="0" fontId="27" fillId="2" borderId="60" xfId="2" applyFont="1" applyFill="1" applyBorder="1" applyAlignment="1">
      <alignment horizontal="center" vertical="center" wrapText="1"/>
    </xf>
    <xf numFmtId="0" fontId="27" fillId="2" borderId="22" xfId="2" applyFont="1" applyFill="1" applyBorder="1" applyAlignment="1">
      <alignment horizontal="center" vertical="center" wrapText="1"/>
    </xf>
    <xf numFmtId="0" fontId="27" fillId="2" borderId="14" xfId="2" applyFont="1" applyFill="1" applyBorder="1" applyAlignment="1">
      <alignment horizontal="center" vertical="center" wrapText="1"/>
    </xf>
    <xf numFmtId="0" fontId="40" fillId="6" borderId="39" xfId="2" applyFont="1" applyFill="1" applyBorder="1" applyAlignment="1">
      <alignment horizontal="center" vertical="center" wrapText="1"/>
    </xf>
    <xf numFmtId="0" fontId="40" fillId="6" borderId="34" xfId="2" applyFont="1" applyFill="1" applyBorder="1" applyAlignment="1">
      <alignment horizontal="center" vertical="center" wrapText="1"/>
    </xf>
    <xf numFmtId="0" fontId="40" fillId="6" borderId="40" xfId="2" applyFont="1" applyFill="1" applyBorder="1" applyAlignment="1">
      <alignment horizontal="center" vertical="center" wrapText="1"/>
    </xf>
    <xf numFmtId="0" fontId="40" fillId="6" borderId="52" xfId="2" applyFont="1" applyFill="1" applyBorder="1" applyAlignment="1">
      <alignment horizontal="center" vertical="center" wrapText="1"/>
    </xf>
    <xf numFmtId="0" fontId="40" fillId="6" borderId="54" xfId="2" applyFont="1" applyFill="1" applyBorder="1" applyAlignment="1">
      <alignment horizontal="center" vertical="center" wrapText="1"/>
    </xf>
    <xf numFmtId="0" fontId="40" fillId="6" borderId="53" xfId="2" applyFont="1" applyFill="1" applyBorder="1" applyAlignment="1">
      <alignment horizontal="center" vertical="center" wrapText="1"/>
    </xf>
    <xf numFmtId="0" fontId="38" fillId="0" borderId="62" xfId="2" applyFont="1" applyBorder="1" applyAlignment="1">
      <alignment horizontal="center" vertical="center" wrapText="1"/>
    </xf>
    <xf numFmtId="0" fontId="38" fillId="0" borderId="31" xfId="2" applyFont="1" applyBorder="1" applyAlignment="1">
      <alignment horizontal="center" vertical="center" wrapText="1"/>
    </xf>
    <xf numFmtId="0" fontId="38" fillId="0" borderId="63" xfId="2" applyFont="1" applyBorder="1" applyAlignment="1">
      <alignment horizontal="center" vertical="center" wrapText="1"/>
    </xf>
    <xf numFmtId="187" fontId="27" fillId="0" borderId="65" xfId="2" applyNumberFormat="1" applyFont="1" applyBorder="1" applyAlignment="1">
      <alignment horizontal="center" vertical="center"/>
    </xf>
    <xf numFmtId="187" fontId="27" fillId="0" borderId="57" xfId="2" applyNumberFormat="1" applyFont="1" applyBorder="1" applyAlignment="1">
      <alignment horizontal="center" vertical="center"/>
    </xf>
    <xf numFmtId="187" fontId="27" fillId="0" borderId="64" xfId="2" applyNumberFormat="1" applyFont="1" applyBorder="1" applyAlignment="1">
      <alignment horizontal="center" vertical="center"/>
    </xf>
    <xf numFmtId="176" fontId="31" fillId="0" borderId="15" xfId="3" applyNumberFormat="1" applyFont="1" applyFill="1" applyBorder="1" applyAlignment="1">
      <alignment horizontal="left" vertical="center"/>
    </xf>
    <xf numFmtId="176" fontId="31" fillId="0" borderId="48" xfId="3" applyNumberFormat="1" applyFont="1" applyFill="1" applyBorder="1" applyAlignment="1">
      <alignment horizontal="left" vertical="center"/>
    </xf>
    <xf numFmtId="0" fontId="37" fillId="0" borderId="31" xfId="0" applyFont="1" applyBorder="1" applyAlignment="1">
      <alignment horizontal="center" vertical="center"/>
    </xf>
    <xf numFmtId="0" fontId="27" fillId="0" borderId="54" xfId="2" applyFont="1" applyBorder="1" applyAlignment="1">
      <alignment horizontal="center" vertical="center" wrapText="1"/>
    </xf>
    <xf numFmtId="0" fontId="27" fillId="2" borderId="52" xfId="2" applyFont="1" applyFill="1" applyBorder="1" applyAlignment="1">
      <alignment horizontal="center" vertical="center" wrapText="1"/>
    </xf>
    <xf numFmtId="0" fontId="27" fillId="2" borderId="43" xfId="2" applyFont="1" applyFill="1" applyBorder="1" applyAlignment="1">
      <alignment horizontal="center" vertical="center" wrapText="1"/>
    </xf>
    <xf numFmtId="0" fontId="27" fillId="2" borderId="25" xfId="2" applyFont="1" applyFill="1" applyBorder="1" applyAlignment="1">
      <alignment horizontal="center" vertical="center" wrapText="1"/>
    </xf>
    <xf numFmtId="0" fontId="40" fillId="6" borderId="47" xfId="2" applyFont="1" applyFill="1" applyBorder="1" applyAlignment="1">
      <alignment horizontal="center" vertical="center" wrapText="1"/>
    </xf>
    <xf numFmtId="0" fontId="43" fillId="0" borderId="66" xfId="0" applyFont="1" applyBorder="1" applyAlignment="1">
      <alignment horizontal="center" vertical="center" wrapText="1"/>
    </xf>
    <xf numFmtId="0" fontId="43" fillId="0" borderId="70" xfId="0" applyFont="1" applyBorder="1" applyAlignment="1">
      <alignment horizontal="center" vertical="center"/>
    </xf>
    <xf numFmtId="0" fontId="43" fillId="0" borderId="72" xfId="0" applyFont="1" applyBorder="1" applyAlignment="1">
      <alignment horizontal="center" vertical="center"/>
    </xf>
    <xf numFmtId="0" fontId="43" fillId="0" borderId="67" xfId="0" applyFont="1" applyBorder="1" applyAlignment="1">
      <alignment horizontal="center" vertical="center"/>
    </xf>
    <xf numFmtId="0" fontId="43" fillId="0" borderId="6" xfId="0" applyFont="1" applyBorder="1" applyAlignment="1">
      <alignment horizontal="center" vertical="center"/>
    </xf>
    <xf numFmtId="0" fontId="43" fillId="0" borderId="68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0" borderId="69" xfId="0" applyFont="1" applyBorder="1" applyAlignment="1">
      <alignment horizontal="center" vertical="center"/>
    </xf>
    <xf numFmtId="0" fontId="43" fillId="0" borderId="71" xfId="0" applyFont="1" applyBorder="1" applyAlignment="1">
      <alignment horizontal="center" vertical="center"/>
    </xf>
    <xf numFmtId="0" fontId="43" fillId="0" borderId="73" xfId="0" applyFont="1" applyBorder="1" applyAlignment="1">
      <alignment horizontal="center" vertical="center"/>
    </xf>
    <xf numFmtId="0" fontId="43" fillId="0" borderId="74" xfId="0" applyFont="1" applyBorder="1" applyAlignment="1">
      <alignment horizontal="center" vertical="center"/>
    </xf>
    <xf numFmtId="0" fontId="43" fillId="0" borderId="7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43" fillId="0" borderId="82" xfId="0" applyFont="1" applyBorder="1" applyAlignment="1">
      <alignment horizontal="center" vertical="center"/>
    </xf>
    <xf numFmtId="0" fontId="43" fillId="0" borderId="83" xfId="0" applyFont="1" applyBorder="1" applyAlignment="1">
      <alignment horizontal="center" vertical="center"/>
    </xf>
    <xf numFmtId="0" fontId="43" fillId="0" borderId="84" xfId="0" applyFont="1" applyBorder="1" applyAlignment="1">
      <alignment horizontal="center" vertical="center"/>
    </xf>
    <xf numFmtId="0" fontId="43" fillId="0" borderId="70" xfId="0" applyFont="1" applyBorder="1" applyAlignment="1">
      <alignment horizontal="center" vertical="center" wrapText="1"/>
    </xf>
    <xf numFmtId="0" fontId="43" fillId="0" borderId="72" xfId="0" applyFont="1" applyBorder="1" applyAlignment="1">
      <alignment horizontal="center" vertical="center" wrapText="1"/>
    </xf>
    <xf numFmtId="0" fontId="43" fillId="0" borderId="81" xfId="0" applyFont="1" applyBorder="1" applyAlignment="1">
      <alignment horizontal="center" vertical="center"/>
    </xf>
    <xf numFmtId="0" fontId="43" fillId="0" borderId="34" xfId="0" applyFont="1" applyBorder="1" applyAlignment="1">
      <alignment horizontal="center" vertical="center"/>
    </xf>
    <xf numFmtId="0" fontId="43" fillId="0" borderId="78" xfId="0" applyFont="1" applyBorder="1" applyAlignment="1">
      <alignment horizontal="center" vertical="center"/>
    </xf>
    <xf numFmtId="0" fontId="43" fillId="0" borderId="11" xfId="0" applyFont="1" applyBorder="1" applyAlignment="1">
      <alignment horizontal="center" vertical="center"/>
    </xf>
    <xf numFmtId="0" fontId="43" fillId="0" borderId="79" xfId="0" applyFont="1" applyBorder="1" applyAlignment="1">
      <alignment horizontal="center" vertical="center"/>
    </xf>
    <xf numFmtId="0" fontId="43" fillId="0" borderId="80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43" fillId="0" borderId="16" xfId="0" applyFont="1" applyBorder="1" applyAlignment="1">
      <alignment horizontal="center" vertical="center"/>
    </xf>
    <xf numFmtId="0" fontId="43" fillId="0" borderId="76" xfId="0" applyFont="1" applyBorder="1" applyAlignment="1">
      <alignment horizontal="center" vertical="center"/>
    </xf>
    <xf numFmtId="0" fontId="43" fillId="0" borderId="47" xfId="0" applyFont="1" applyBorder="1" applyAlignment="1">
      <alignment horizontal="center" vertical="center"/>
    </xf>
    <xf numFmtId="0" fontId="43" fillId="0" borderId="40" xfId="0" applyFont="1" applyBorder="1" applyAlignment="1">
      <alignment horizontal="center" vertical="center"/>
    </xf>
    <xf numFmtId="0" fontId="43" fillId="0" borderId="77" xfId="0" applyFont="1" applyBorder="1" applyAlignment="1">
      <alignment horizontal="center" vertical="center"/>
    </xf>
    <xf numFmtId="0" fontId="38" fillId="0" borderId="65" xfId="2" applyFont="1" applyBorder="1" applyAlignment="1">
      <alignment horizontal="center" vertical="center" wrapText="1"/>
    </xf>
    <xf numFmtId="0" fontId="49" fillId="0" borderId="39" xfId="0" applyFont="1" applyBorder="1" applyAlignment="1">
      <alignment horizontal="center" vertical="center"/>
    </xf>
    <xf numFmtId="0" fontId="49" fillId="0" borderId="40" xfId="0" applyFont="1" applyBorder="1" applyAlignment="1">
      <alignment horizontal="center" vertical="center"/>
    </xf>
    <xf numFmtId="0" fontId="49" fillId="0" borderId="37" xfId="0" applyFont="1" applyBorder="1" applyAlignment="1">
      <alignment horizontal="center" vertical="center"/>
    </xf>
    <xf numFmtId="176" fontId="4" fillId="0" borderId="88" xfId="3" applyNumberFormat="1" applyFont="1" applyFill="1" applyBorder="1" applyAlignment="1">
      <alignment horizontal="center" vertical="center"/>
    </xf>
    <xf numFmtId="176" fontId="4" fillId="0" borderId="38" xfId="3" applyNumberFormat="1" applyFont="1" applyFill="1" applyBorder="1" applyAlignment="1">
      <alignment horizontal="center" vertical="center"/>
    </xf>
    <xf numFmtId="176" fontId="4" fillId="0" borderId="89" xfId="3" applyNumberFormat="1" applyFont="1" applyFill="1" applyBorder="1" applyAlignment="1">
      <alignment horizontal="center" vertical="center"/>
    </xf>
    <xf numFmtId="176" fontId="4" fillId="0" borderId="62" xfId="3" applyNumberFormat="1" applyFont="1" applyFill="1" applyBorder="1" applyAlignment="1">
      <alignment horizontal="center" vertical="center"/>
    </xf>
    <xf numFmtId="176" fontId="4" fillId="0" borderId="31" xfId="3" applyNumberFormat="1" applyFont="1" applyFill="1" applyBorder="1" applyAlignment="1">
      <alignment horizontal="center" vertical="center"/>
    </xf>
    <xf numFmtId="176" fontId="4" fillId="0" borderId="32" xfId="3" applyNumberFormat="1" applyFont="1" applyFill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6" fillId="0" borderId="87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0" fontId="27" fillId="0" borderId="52" xfId="2" applyFont="1" applyBorder="1" applyAlignment="1">
      <alignment horizontal="center" vertical="center"/>
    </xf>
    <xf numFmtId="0" fontId="27" fillId="0" borderId="53" xfId="2" applyFont="1" applyBorder="1" applyAlignment="1">
      <alignment horizontal="center" vertical="center"/>
    </xf>
    <xf numFmtId="0" fontId="40" fillId="0" borderId="47" xfId="2" applyFont="1" applyBorder="1" applyAlignment="1">
      <alignment horizontal="center" vertical="center" wrapText="1"/>
    </xf>
    <xf numFmtId="0" fontId="40" fillId="0" borderId="40" xfId="2" applyFont="1" applyBorder="1" applyAlignment="1">
      <alignment horizontal="center" vertical="center" wrapText="1"/>
    </xf>
    <xf numFmtId="0" fontId="40" fillId="0" borderId="34" xfId="2" applyFont="1" applyBorder="1" applyAlignment="1">
      <alignment horizontal="center" vertical="center" wrapText="1"/>
    </xf>
    <xf numFmtId="0" fontId="6" fillId="0" borderId="87" xfId="2" applyFont="1" applyBorder="1" applyAlignment="1">
      <alignment horizontal="center" vertical="center"/>
    </xf>
    <xf numFmtId="0" fontId="6" fillId="0" borderId="11" xfId="2" applyFont="1" applyBorder="1" applyAlignment="1">
      <alignment horizontal="center" vertical="center"/>
    </xf>
    <xf numFmtId="176" fontId="6" fillId="0" borderId="87" xfId="3" applyNumberFormat="1" applyFont="1" applyFill="1" applyBorder="1" applyAlignment="1">
      <alignment horizontal="center" vertical="center"/>
    </xf>
    <xf numFmtId="176" fontId="6" fillId="0" borderId="11" xfId="3" applyNumberFormat="1" applyFont="1" applyFill="1" applyBorder="1" applyAlignment="1">
      <alignment horizontal="center" vertical="center"/>
    </xf>
    <xf numFmtId="0" fontId="40" fillId="0" borderId="52" xfId="2" applyFont="1" applyBorder="1" applyAlignment="1">
      <alignment horizontal="center" vertical="center" wrapText="1"/>
    </xf>
    <xf numFmtId="0" fontId="40" fillId="0" borderId="53" xfId="2" applyFont="1" applyBorder="1" applyAlignment="1">
      <alignment horizontal="center" vertical="center" wrapText="1"/>
    </xf>
    <xf numFmtId="217" fontId="6" fillId="0" borderId="87" xfId="2" applyNumberFormat="1" applyFont="1" applyBorder="1" applyAlignment="1">
      <alignment horizontal="center" vertical="center" wrapText="1"/>
    </xf>
    <xf numFmtId="217" fontId="6" fillId="0" borderId="11" xfId="2" applyNumberFormat="1" applyFont="1" applyBorder="1" applyAlignment="1">
      <alignment horizontal="center" vertical="center"/>
    </xf>
    <xf numFmtId="177" fontId="6" fillId="0" borderId="60" xfId="3" applyNumberFormat="1" applyFont="1" applyFill="1" applyBorder="1" applyAlignment="1">
      <alignment horizontal="center" vertical="center"/>
    </xf>
    <xf numFmtId="177" fontId="6" fillId="0" borderId="22" xfId="3" applyNumberFormat="1" applyFont="1" applyFill="1" applyBorder="1" applyAlignment="1">
      <alignment horizontal="center" vertical="center"/>
    </xf>
    <xf numFmtId="177" fontId="6" fillId="0" borderId="48" xfId="3" applyNumberFormat="1" applyFont="1" applyFill="1" applyBorder="1" applyAlignment="1">
      <alignment horizontal="center" vertical="center"/>
    </xf>
    <xf numFmtId="0" fontId="27" fillId="0" borderId="44" xfId="0" applyFont="1" applyBorder="1" applyAlignment="1">
      <alignment horizontal="center" vertical="center"/>
    </xf>
    <xf numFmtId="0" fontId="27" fillId="0" borderId="51" xfId="0" applyFont="1" applyBorder="1" applyAlignment="1">
      <alignment horizontal="center" vertical="center"/>
    </xf>
    <xf numFmtId="218" fontId="27" fillId="0" borderId="15" xfId="1" applyNumberFormat="1" applyFont="1" applyBorder="1" applyAlignment="1">
      <alignment horizontal="right" vertical="center"/>
    </xf>
    <xf numFmtId="218" fontId="27" fillId="0" borderId="48" xfId="1" applyNumberFormat="1" applyFont="1" applyBorder="1" applyAlignment="1">
      <alignment horizontal="right" vertical="center"/>
    </xf>
    <xf numFmtId="218" fontId="27" fillId="0" borderId="59" xfId="1" applyNumberFormat="1" applyFont="1" applyBorder="1" applyAlignment="1">
      <alignment horizontal="right" vertical="center"/>
    </xf>
    <xf numFmtId="218" fontId="27" fillId="0" borderId="103" xfId="1" applyNumberFormat="1" applyFont="1" applyBorder="1" applyAlignment="1">
      <alignment horizontal="right" vertical="center"/>
    </xf>
    <xf numFmtId="6" fontId="27" fillId="0" borderId="62" xfId="2" applyNumberFormat="1" applyFont="1" applyBorder="1" applyAlignment="1">
      <alignment horizontal="right" vertical="center"/>
    </xf>
    <xf numFmtId="6" fontId="27" fillId="0" borderId="63" xfId="2" applyNumberFormat="1" applyFont="1" applyBorder="1" applyAlignment="1">
      <alignment horizontal="right" vertical="center"/>
    </xf>
    <xf numFmtId="41" fontId="176" fillId="0" borderId="147" xfId="1" applyFont="1" applyFill="1" applyBorder="1" applyAlignment="1">
      <alignment horizontal="center" vertical="center"/>
    </xf>
    <xf numFmtId="41" fontId="176" fillId="0" borderId="135" xfId="1" applyFont="1" applyFill="1" applyBorder="1" applyAlignment="1">
      <alignment horizontal="center" vertical="center"/>
    </xf>
    <xf numFmtId="41" fontId="176" fillId="0" borderId="136" xfId="1" applyFont="1" applyFill="1" applyBorder="1" applyAlignment="1">
      <alignment horizontal="center" vertical="center"/>
    </xf>
    <xf numFmtId="176" fontId="172" fillId="18" borderId="87" xfId="3" applyNumberFormat="1" applyFont="1" applyFill="1" applyBorder="1" applyAlignment="1">
      <alignment horizontal="center" vertical="center"/>
    </xf>
    <xf numFmtId="176" fontId="172" fillId="18" borderId="16" xfId="3" applyNumberFormat="1" applyFont="1" applyFill="1" applyBorder="1" applyAlignment="1">
      <alignment horizontal="center" vertical="center"/>
    </xf>
    <xf numFmtId="0" fontId="172" fillId="18" borderId="44" xfId="0" applyFont="1" applyFill="1" applyBorder="1" applyAlignment="1">
      <alignment horizontal="center" vertical="center"/>
    </xf>
    <xf numFmtId="0" fontId="172" fillId="18" borderId="50" xfId="0" applyFont="1" applyFill="1" applyBorder="1" applyAlignment="1">
      <alignment horizontal="center" vertical="center"/>
    </xf>
    <xf numFmtId="0" fontId="172" fillId="18" borderId="51" xfId="0" applyFont="1" applyFill="1" applyBorder="1" applyAlignment="1">
      <alignment horizontal="center" vertical="center"/>
    </xf>
    <xf numFmtId="0" fontId="172" fillId="18" borderId="39" xfId="2" applyFont="1" applyFill="1" applyBorder="1" applyAlignment="1">
      <alignment horizontal="center" vertical="center" wrapText="1"/>
    </xf>
    <xf numFmtId="0" fontId="172" fillId="18" borderId="40" xfId="2" applyFont="1" applyFill="1" applyBorder="1" applyAlignment="1">
      <alignment horizontal="center" vertical="center" wrapText="1"/>
    </xf>
    <xf numFmtId="0" fontId="172" fillId="18" borderId="87" xfId="2" applyFont="1" applyFill="1" applyBorder="1" applyAlignment="1">
      <alignment horizontal="center" vertical="center" wrapText="1"/>
    </xf>
    <xf numFmtId="0" fontId="172" fillId="18" borderId="16" xfId="2" applyFont="1" applyFill="1" applyBorder="1" applyAlignment="1">
      <alignment horizontal="center" vertical="center" wrapText="1"/>
    </xf>
    <xf numFmtId="0" fontId="172" fillId="18" borderId="87" xfId="2" applyFont="1" applyFill="1" applyBorder="1" applyAlignment="1">
      <alignment horizontal="center" vertical="center"/>
    </xf>
    <xf numFmtId="0" fontId="172" fillId="18" borderId="16" xfId="2" applyFont="1" applyFill="1" applyBorder="1" applyAlignment="1">
      <alignment horizontal="center" vertical="center"/>
    </xf>
    <xf numFmtId="217" fontId="172" fillId="18" borderId="87" xfId="2" applyNumberFormat="1" applyFont="1" applyFill="1" applyBorder="1" applyAlignment="1">
      <alignment horizontal="center" vertical="center" wrapText="1"/>
    </xf>
    <xf numFmtId="217" fontId="172" fillId="18" borderId="16" xfId="2" applyNumberFormat="1" applyFont="1" applyFill="1" applyBorder="1" applyAlignment="1">
      <alignment horizontal="center" vertical="center"/>
    </xf>
    <xf numFmtId="0" fontId="35" fillId="0" borderId="171" xfId="0" applyFont="1" applyBorder="1" applyAlignment="1">
      <alignment horizontal="center" vertical="center" wrapText="1"/>
    </xf>
    <xf numFmtId="0" fontId="35" fillId="0" borderId="172" xfId="0" applyFont="1" applyBorder="1" applyAlignment="1">
      <alignment horizontal="center" vertical="center"/>
    </xf>
    <xf numFmtId="41" fontId="169" fillId="6" borderId="146" xfId="1" applyFont="1" applyFill="1" applyBorder="1" applyAlignment="1">
      <alignment horizontal="left" vertical="center"/>
    </xf>
    <xf numFmtId="41" fontId="169" fillId="6" borderId="140" xfId="1" applyFont="1" applyFill="1" applyBorder="1" applyAlignment="1">
      <alignment horizontal="left" vertical="center"/>
    </xf>
    <xf numFmtId="41" fontId="169" fillId="6" borderId="139" xfId="1" applyFont="1" applyFill="1" applyBorder="1" applyAlignment="1">
      <alignment horizontal="left" vertical="center"/>
    </xf>
    <xf numFmtId="41" fontId="169" fillId="6" borderId="148" xfId="1" applyFont="1" applyFill="1" applyBorder="1" applyAlignment="1">
      <alignment horizontal="left" vertical="center"/>
    </xf>
    <xf numFmtId="41" fontId="169" fillId="6" borderId="144" xfId="1" applyFont="1" applyFill="1" applyBorder="1" applyAlignment="1">
      <alignment horizontal="left" vertical="center"/>
    </xf>
    <xf numFmtId="41" fontId="169" fillId="6" borderId="173" xfId="1" applyFont="1" applyFill="1" applyBorder="1" applyAlignment="1">
      <alignment horizontal="left" vertical="center"/>
    </xf>
    <xf numFmtId="41" fontId="176" fillId="0" borderId="162" xfId="1" applyFont="1" applyFill="1" applyBorder="1" applyAlignment="1">
      <alignment horizontal="center" vertical="center"/>
    </xf>
    <xf numFmtId="41" fontId="176" fillId="0" borderId="163" xfId="1" applyFont="1" applyFill="1" applyBorder="1" applyAlignment="1">
      <alignment horizontal="center" vertical="center"/>
    </xf>
    <xf numFmtId="41" fontId="176" fillId="0" borderId="164" xfId="1" applyFont="1" applyFill="1" applyBorder="1" applyAlignment="1">
      <alignment horizontal="center" vertical="center"/>
    </xf>
    <xf numFmtId="41" fontId="176" fillId="0" borderId="167" xfId="1" applyFont="1" applyFill="1" applyBorder="1" applyAlignment="1">
      <alignment horizontal="center" vertical="center"/>
    </xf>
    <xf numFmtId="41" fontId="176" fillId="0" borderId="168" xfId="1" applyFont="1" applyFill="1" applyBorder="1" applyAlignment="1">
      <alignment horizontal="center" vertical="center"/>
    </xf>
    <xf numFmtId="41" fontId="176" fillId="0" borderId="169" xfId="1" applyFont="1" applyFill="1" applyBorder="1" applyAlignment="1">
      <alignment horizontal="center" vertical="center"/>
    </xf>
    <xf numFmtId="0" fontId="178" fillId="0" borderId="0" xfId="0" applyFont="1" applyAlignment="1">
      <alignment horizontal="center" vertical="center"/>
    </xf>
    <xf numFmtId="0" fontId="177" fillId="18" borderId="134" xfId="2" applyFont="1" applyFill="1" applyBorder="1" applyAlignment="1">
      <alignment horizontal="center" vertical="center" wrapText="1"/>
    </xf>
    <xf numFmtId="0" fontId="177" fillId="18" borderId="123" xfId="2" applyFont="1" applyFill="1" applyBorder="1" applyAlignment="1">
      <alignment horizontal="center" vertical="center" wrapText="1"/>
    </xf>
    <xf numFmtId="41" fontId="169" fillId="6" borderId="146" xfId="1" applyFont="1" applyFill="1" applyBorder="1" applyAlignment="1">
      <alignment horizontal="center" vertical="center"/>
    </xf>
    <xf numFmtId="41" fontId="169" fillId="6" borderId="140" xfId="1" applyFont="1" applyFill="1" applyBorder="1" applyAlignment="1">
      <alignment horizontal="center" vertical="center"/>
    </xf>
    <xf numFmtId="41" fontId="169" fillId="6" borderId="141" xfId="1" applyFont="1" applyFill="1" applyBorder="1" applyAlignment="1">
      <alignment horizontal="center" vertical="center"/>
    </xf>
    <xf numFmtId="41" fontId="169" fillId="6" borderId="148" xfId="1" applyFont="1" applyFill="1" applyBorder="1" applyAlignment="1">
      <alignment horizontal="right" vertical="center"/>
    </xf>
    <xf numFmtId="41" fontId="169" fillId="6" borderId="144" xfId="1" applyFont="1" applyFill="1" applyBorder="1" applyAlignment="1">
      <alignment horizontal="right" vertical="center"/>
    </xf>
    <xf numFmtId="41" fontId="169" fillId="6" borderId="145" xfId="1" applyFont="1" applyFill="1" applyBorder="1" applyAlignment="1">
      <alignment horizontal="right" vertical="center"/>
    </xf>
    <xf numFmtId="41" fontId="169" fillId="18" borderId="148" xfId="1" applyFont="1" applyFill="1" applyBorder="1" applyAlignment="1">
      <alignment horizontal="center" vertical="center"/>
    </xf>
    <xf numFmtId="41" fontId="169" fillId="18" borderId="144" xfId="1" applyFont="1" applyFill="1" applyBorder="1" applyAlignment="1">
      <alignment horizontal="center" vertical="center"/>
    </xf>
    <xf numFmtId="41" fontId="169" fillId="18" borderId="145" xfId="1" applyFont="1" applyFill="1" applyBorder="1" applyAlignment="1">
      <alignment horizontal="center" vertical="center"/>
    </xf>
    <xf numFmtId="178" fontId="17" fillId="16" borderId="0" xfId="2" applyNumberFormat="1" applyFont="1" applyFill="1" applyAlignment="1">
      <alignment horizontal="center" vertical="center"/>
    </xf>
    <xf numFmtId="178" fontId="17" fillId="12" borderId="0" xfId="2" applyNumberFormat="1" applyFont="1" applyFill="1" applyAlignment="1">
      <alignment horizontal="center" vertical="center"/>
    </xf>
    <xf numFmtId="178" fontId="26" fillId="8" borderId="31" xfId="2" applyNumberFormat="1" applyFont="1" applyFill="1" applyBorder="1" applyAlignment="1">
      <alignment horizontal="center" vertical="center"/>
    </xf>
    <xf numFmtId="0" fontId="43" fillId="0" borderId="39" xfId="0" applyFont="1" applyBorder="1" applyAlignment="1">
      <alignment horizontal="center" vertical="center" wrapText="1"/>
    </xf>
    <xf numFmtId="0" fontId="43" fillId="0" borderId="37" xfId="0" applyFont="1" applyBorder="1" applyAlignment="1">
      <alignment horizontal="center" vertical="center"/>
    </xf>
    <xf numFmtId="0" fontId="169" fillId="18" borderId="148" xfId="0" applyFont="1" applyFill="1" applyBorder="1" applyAlignment="1">
      <alignment horizontal="center" vertical="center"/>
    </xf>
    <xf numFmtId="0" fontId="169" fillId="18" borderId="145" xfId="0" applyFont="1" applyFill="1" applyBorder="1" applyAlignment="1">
      <alignment horizontal="center" vertical="center"/>
    </xf>
    <xf numFmtId="41" fontId="176" fillId="0" borderId="152" xfId="1" applyFont="1" applyFill="1" applyBorder="1" applyAlignment="1">
      <alignment horizontal="center" vertical="center"/>
    </xf>
    <xf numFmtId="41" fontId="176" fillId="0" borderId="153" xfId="1" applyFont="1" applyFill="1" applyBorder="1" applyAlignment="1">
      <alignment horizontal="center" vertical="center"/>
    </xf>
    <xf numFmtId="41" fontId="176" fillId="0" borderId="154" xfId="1" applyFont="1" applyFill="1" applyBorder="1" applyAlignment="1">
      <alignment horizontal="center" vertical="center"/>
    </xf>
    <xf numFmtId="217" fontId="176" fillId="18" borderId="146" xfId="3" applyNumberFormat="1" applyFont="1" applyFill="1" applyBorder="1" applyAlignment="1">
      <alignment horizontal="center" vertical="center"/>
    </xf>
    <xf numFmtId="217" fontId="176" fillId="18" borderId="140" xfId="3" applyNumberFormat="1" applyFont="1" applyFill="1" applyBorder="1" applyAlignment="1">
      <alignment horizontal="center" vertical="center"/>
    </xf>
    <xf numFmtId="217" fontId="176" fillId="18" borderId="141" xfId="3" applyNumberFormat="1" applyFont="1" applyFill="1" applyBorder="1" applyAlignment="1">
      <alignment horizontal="center" vertical="center"/>
    </xf>
    <xf numFmtId="41" fontId="176" fillId="0" borderId="15" xfId="1" applyFont="1" applyFill="1" applyBorder="1" applyAlignment="1">
      <alignment horizontal="center" vertical="center"/>
    </xf>
    <xf numFmtId="41" fontId="176" fillId="0" borderId="22" xfId="1" applyFont="1" applyFill="1" applyBorder="1" applyAlignment="1">
      <alignment horizontal="center" vertical="center"/>
    </xf>
    <xf numFmtId="41" fontId="176" fillId="0" borderId="14" xfId="1" applyFont="1" applyFill="1" applyBorder="1" applyAlignment="1">
      <alignment horizontal="center" vertical="center"/>
    </xf>
    <xf numFmtId="41" fontId="176" fillId="0" borderId="157" xfId="1" applyFont="1" applyFill="1" applyBorder="1" applyAlignment="1">
      <alignment horizontal="center" vertical="center"/>
    </xf>
    <xf numFmtId="41" fontId="176" fillId="0" borderId="158" xfId="1" applyFont="1" applyFill="1" applyBorder="1" applyAlignment="1">
      <alignment horizontal="center" vertical="center"/>
    </xf>
    <xf numFmtId="41" fontId="176" fillId="0" borderId="159" xfId="1" applyFont="1" applyFill="1" applyBorder="1" applyAlignment="1">
      <alignment horizontal="center" vertical="center"/>
    </xf>
    <xf numFmtId="179" fontId="182" fillId="0" borderId="38" xfId="0" applyNumberFormat="1" applyFont="1" applyBorder="1" applyAlignment="1">
      <alignment horizontal="center" vertical="center"/>
    </xf>
    <xf numFmtId="0" fontId="35" fillId="0" borderId="40" xfId="0" applyFont="1" applyBorder="1" applyAlignment="1">
      <alignment horizontal="center" vertical="center" wrapText="1"/>
    </xf>
    <xf numFmtId="0" fontId="35" fillId="0" borderId="37" xfId="0" applyFont="1" applyBorder="1" applyAlignment="1">
      <alignment horizontal="center" vertical="center" wrapText="1"/>
    </xf>
    <xf numFmtId="41" fontId="169" fillId="6" borderId="87" xfId="1" applyFont="1" applyFill="1" applyBorder="1" applyAlignment="1">
      <alignment horizontal="center" vertical="center"/>
    </xf>
    <xf numFmtId="41" fontId="169" fillId="6" borderId="16" xfId="1" applyFont="1" applyFill="1" applyBorder="1" applyAlignment="1">
      <alignment horizontal="center" vertical="center"/>
    </xf>
    <xf numFmtId="41" fontId="169" fillId="6" borderId="36" xfId="1" applyFont="1" applyFill="1" applyBorder="1" applyAlignment="1">
      <alignment horizontal="center" vertical="center"/>
    </xf>
    <xf numFmtId="41" fontId="176" fillId="18" borderId="15" xfId="1" applyFont="1" applyFill="1" applyBorder="1" applyAlignment="1">
      <alignment horizontal="center" vertical="center"/>
    </xf>
    <xf numFmtId="41" fontId="176" fillId="18" borderId="22" xfId="1" applyFont="1" applyFill="1" applyBorder="1" applyAlignment="1">
      <alignment horizontal="center" vertical="center"/>
    </xf>
    <xf numFmtId="41" fontId="176" fillId="18" borderId="14" xfId="1" applyFont="1" applyFill="1" applyBorder="1" applyAlignment="1">
      <alignment horizontal="center" vertical="center"/>
    </xf>
    <xf numFmtId="41" fontId="169" fillId="6" borderId="147" xfId="1" applyFont="1" applyFill="1" applyBorder="1" applyAlignment="1">
      <alignment horizontal="center" vertical="center"/>
    </xf>
    <xf numFmtId="41" fontId="169" fillId="6" borderId="135" xfId="1" applyFont="1" applyFill="1" applyBorder="1" applyAlignment="1">
      <alignment horizontal="center" vertical="center"/>
    </xf>
    <xf numFmtId="41" fontId="169" fillId="6" borderId="136" xfId="1" applyFont="1" applyFill="1" applyBorder="1" applyAlignment="1">
      <alignment horizontal="center" vertical="center"/>
    </xf>
    <xf numFmtId="41" fontId="169" fillId="6" borderId="148" xfId="1" applyFont="1" applyFill="1" applyBorder="1" applyAlignment="1">
      <alignment horizontal="center" vertical="center"/>
    </xf>
    <xf numFmtId="41" fontId="169" fillId="6" borderId="144" xfId="1" applyFont="1" applyFill="1" applyBorder="1" applyAlignment="1">
      <alignment horizontal="center" vertical="center"/>
    </xf>
    <xf numFmtId="41" fontId="169" fillId="6" borderId="145" xfId="1" applyFont="1" applyFill="1" applyBorder="1" applyAlignment="1">
      <alignment horizontal="center" vertical="center"/>
    </xf>
    <xf numFmtId="178" fontId="26" fillId="17" borderId="31" xfId="2" applyNumberFormat="1" applyFont="1" applyFill="1" applyBorder="1" applyAlignment="1">
      <alignment horizontal="center" vertical="center"/>
    </xf>
    <xf numFmtId="0" fontId="176" fillId="18" borderId="15" xfId="2" applyFont="1" applyFill="1" applyBorder="1" applyAlignment="1">
      <alignment horizontal="center" vertical="center" wrapText="1"/>
    </xf>
    <xf numFmtId="0" fontId="176" fillId="18" borderId="14" xfId="2" applyFont="1" applyFill="1" applyBorder="1" applyAlignment="1">
      <alignment horizontal="center" vertical="center" wrapText="1"/>
    </xf>
    <xf numFmtId="6" fontId="169" fillId="6" borderId="146" xfId="1" applyNumberFormat="1" applyFont="1" applyFill="1" applyBorder="1" applyAlignment="1">
      <alignment horizontal="center" vertical="center"/>
    </xf>
    <xf numFmtId="0" fontId="169" fillId="17" borderId="65" xfId="0" applyFont="1" applyFill="1" applyBorder="1" applyAlignment="1">
      <alignment horizontal="center" vertical="center"/>
    </xf>
    <xf numFmtId="0" fontId="169" fillId="17" borderId="57" xfId="0" applyFont="1" applyFill="1" applyBorder="1" applyAlignment="1">
      <alignment horizontal="center" vertical="center"/>
    </xf>
    <xf numFmtId="0" fontId="169" fillId="17" borderId="64" xfId="0" applyFont="1" applyFill="1" applyBorder="1" applyAlignment="1">
      <alignment horizontal="center" vertical="center"/>
    </xf>
    <xf numFmtId="0" fontId="172" fillId="18" borderId="196" xfId="2" applyFont="1" applyFill="1" applyBorder="1" applyAlignment="1">
      <alignment horizontal="center" vertical="center" wrapText="1"/>
    </xf>
    <xf numFmtId="0" fontId="172" fillId="18" borderId="200" xfId="2" applyFont="1" applyFill="1" applyBorder="1" applyAlignment="1">
      <alignment horizontal="center" vertical="center" wrapText="1"/>
    </xf>
    <xf numFmtId="0" fontId="172" fillId="18" borderId="197" xfId="2" applyFont="1" applyFill="1" applyBorder="1" applyAlignment="1">
      <alignment horizontal="center" vertical="center" wrapText="1"/>
    </xf>
    <xf numFmtId="0" fontId="172" fillId="18" borderId="201" xfId="2" applyFont="1" applyFill="1" applyBorder="1" applyAlignment="1">
      <alignment horizontal="center" vertical="center" wrapText="1"/>
    </xf>
    <xf numFmtId="0" fontId="172" fillId="18" borderId="197" xfId="2" applyFont="1" applyFill="1" applyBorder="1" applyAlignment="1">
      <alignment horizontal="center" vertical="center"/>
    </xf>
    <xf numFmtId="0" fontId="172" fillId="18" borderId="201" xfId="2" applyFont="1" applyFill="1" applyBorder="1" applyAlignment="1">
      <alignment horizontal="center" vertical="center"/>
    </xf>
    <xf numFmtId="217" fontId="172" fillId="18" borderId="197" xfId="2" applyNumberFormat="1" applyFont="1" applyFill="1" applyBorder="1" applyAlignment="1">
      <alignment horizontal="center" vertical="center" wrapText="1"/>
    </xf>
    <xf numFmtId="217" fontId="172" fillId="18" borderId="201" xfId="2" applyNumberFormat="1" applyFont="1" applyFill="1" applyBorder="1" applyAlignment="1">
      <alignment horizontal="center" vertical="center"/>
    </xf>
    <xf numFmtId="176" fontId="172" fillId="18" borderId="197" xfId="3" applyNumberFormat="1" applyFont="1" applyFill="1" applyBorder="1" applyAlignment="1">
      <alignment horizontal="center" vertical="center"/>
    </xf>
    <xf numFmtId="176" fontId="172" fillId="18" borderId="201" xfId="3" applyNumberFormat="1" applyFont="1" applyFill="1" applyBorder="1" applyAlignment="1">
      <alignment horizontal="center" vertical="center"/>
    </xf>
    <xf numFmtId="0" fontId="172" fillId="18" borderId="198" xfId="0" applyFont="1" applyFill="1" applyBorder="1" applyAlignment="1">
      <alignment horizontal="center" vertical="center"/>
    </xf>
    <xf numFmtId="0" fontId="172" fillId="18" borderId="199" xfId="0" applyFont="1" applyFill="1" applyBorder="1" applyAlignment="1">
      <alignment horizontal="center" vertical="center"/>
    </xf>
    <xf numFmtId="41" fontId="169" fillId="6" borderId="146" xfId="1" applyFont="1" applyFill="1" applyBorder="1" applyAlignment="1">
      <alignment horizontal="right" vertical="center"/>
    </xf>
    <xf numFmtId="41" fontId="169" fillId="6" borderId="140" xfId="1" applyFont="1" applyFill="1" applyBorder="1" applyAlignment="1">
      <alignment horizontal="right" vertical="center"/>
    </xf>
    <xf numFmtId="41" fontId="169" fillId="6" borderId="141" xfId="1" applyFont="1" applyFill="1" applyBorder="1" applyAlignment="1">
      <alignment horizontal="right" vertical="center"/>
    </xf>
    <xf numFmtId="41" fontId="169" fillId="4" borderId="87" xfId="1" applyFont="1" applyFill="1" applyBorder="1" applyAlignment="1">
      <alignment horizontal="center" vertical="center"/>
    </xf>
    <xf numFmtId="41" fontId="169" fillId="4" borderId="16" xfId="1" applyFont="1" applyFill="1" applyBorder="1" applyAlignment="1">
      <alignment horizontal="center" vertical="center"/>
    </xf>
    <xf numFmtId="41" fontId="169" fillId="4" borderId="36" xfId="1" applyFont="1" applyFill="1" applyBorder="1" applyAlignment="1">
      <alignment horizontal="center" vertical="center"/>
    </xf>
    <xf numFmtId="6" fontId="169" fillId="6" borderId="147" xfId="1" applyNumberFormat="1" applyFont="1" applyFill="1" applyBorder="1" applyAlignment="1">
      <alignment horizontal="right" vertical="center"/>
    </xf>
    <xf numFmtId="41" fontId="169" fillId="6" borderId="135" xfId="1" applyFont="1" applyFill="1" applyBorder="1" applyAlignment="1">
      <alignment horizontal="right" vertical="center"/>
    </xf>
    <xf numFmtId="41" fontId="169" fillId="6" borderId="136" xfId="1" applyFont="1" applyFill="1" applyBorder="1" applyAlignment="1">
      <alignment horizontal="right" vertical="center"/>
    </xf>
    <xf numFmtId="6" fontId="169" fillId="6" borderId="148" xfId="1" applyNumberFormat="1" applyFont="1" applyFill="1" applyBorder="1" applyAlignment="1">
      <alignment horizontal="right" vertical="center"/>
    </xf>
    <xf numFmtId="41" fontId="176" fillId="0" borderId="24" xfId="1" applyFont="1" applyFill="1" applyBorder="1" applyAlignment="1">
      <alignment horizontal="center" vertical="center"/>
    </xf>
    <xf numFmtId="41" fontId="176" fillId="0" borderId="0" xfId="1" applyFont="1" applyFill="1" applyBorder="1" applyAlignment="1">
      <alignment horizontal="center" vertical="center"/>
    </xf>
    <xf numFmtId="41" fontId="176" fillId="0" borderId="26" xfId="1" applyFont="1" applyFill="1" applyBorder="1" applyAlignment="1">
      <alignment horizontal="center" vertical="center"/>
    </xf>
    <xf numFmtId="41" fontId="176" fillId="0" borderId="41" xfId="1" applyFont="1" applyFill="1" applyBorder="1" applyAlignment="1">
      <alignment horizontal="center" vertical="center"/>
    </xf>
    <xf numFmtId="41" fontId="176" fillId="0" borderId="17" xfId="1" applyFont="1" applyFill="1" applyBorder="1" applyAlignment="1">
      <alignment horizontal="center" vertical="center"/>
    </xf>
    <xf numFmtId="41" fontId="176" fillId="0" borderId="27" xfId="1" applyFont="1" applyFill="1" applyBorder="1" applyAlignment="1">
      <alignment horizontal="center" vertical="center"/>
    </xf>
    <xf numFmtId="6" fontId="176" fillId="0" borderId="147" xfId="1" applyNumberFormat="1" applyFont="1" applyFill="1" applyBorder="1" applyAlignment="1">
      <alignment horizontal="center" vertical="center"/>
    </xf>
    <xf numFmtId="41" fontId="169" fillId="6" borderId="152" xfId="1" applyFont="1" applyFill="1" applyBorder="1" applyAlignment="1">
      <alignment horizontal="right" vertical="center"/>
    </xf>
    <xf numFmtId="41" fontId="169" fillId="6" borderId="153" xfId="1" applyFont="1" applyFill="1" applyBorder="1" applyAlignment="1">
      <alignment horizontal="right" vertical="center"/>
    </xf>
    <xf numFmtId="41" fontId="169" fillId="6" borderId="154" xfId="1" applyFont="1" applyFill="1" applyBorder="1" applyAlignment="1">
      <alignment horizontal="right" vertical="center"/>
    </xf>
    <xf numFmtId="41" fontId="169" fillId="4" borderId="39" xfId="1" applyFont="1" applyFill="1" applyBorder="1" applyAlignment="1">
      <alignment horizontal="center" vertical="center"/>
    </xf>
    <xf numFmtId="41" fontId="169" fillId="4" borderId="37" xfId="1" applyFont="1" applyFill="1" applyBorder="1" applyAlignment="1">
      <alignment horizontal="center" vertical="center"/>
    </xf>
    <xf numFmtId="41" fontId="169" fillId="4" borderId="190" xfId="1" applyFont="1" applyFill="1" applyBorder="1" applyAlignment="1">
      <alignment horizontal="center" vertical="center"/>
    </xf>
    <xf numFmtId="41" fontId="169" fillId="4" borderId="13" xfId="1" applyFont="1" applyFill="1" applyBorder="1" applyAlignment="1">
      <alignment horizontal="center" vertical="center"/>
    </xf>
    <xf numFmtId="41" fontId="169" fillId="6" borderId="147" xfId="1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</cellXfs>
  <cellStyles count="3265">
    <cellStyle name="_x0005__x0010__x0010_" xfId="80" xr:uid="{00000000-0005-0000-0000-000000000000}"/>
    <cellStyle name="_x0007__x0011__x0011_" xfId="81" xr:uid="{00000000-0005-0000-0000-000001000000}"/>
    <cellStyle name="          _x000d__x000a_mouse.drv=lmouse.drv" xfId="82" xr:uid="{00000000-0005-0000-0000-000002000000}"/>
    <cellStyle name="_x0005__x0010__x0010_ 2" xfId="2133" xr:uid="{00000000-0005-0000-0000-000003000000}"/>
    <cellStyle name="_x0005__x0010__x0010_ 2 2" xfId="2470" xr:uid="{00000000-0005-0000-0000-000004000000}"/>
    <cellStyle name="_x0005__x0010__x0010_ 2 2 2" xfId="3127" xr:uid="{00000000-0005-0000-0000-000005000000}"/>
    <cellStyle name="_x0005__x0010__x0010_ 2 3" xfId="2800" xr:uid="{00000000-0005-0000-0000-000006000000}"/>
    <cellStyle name="_x0005__x0010__x0010_ 3" xfId="2236" xr:uid="{00000000-0005-0000-0000-000007000000}"/>
    <cellStyle name="_x0005__x0010__x0010_ 3 2" xfId="2564" xr:uid="{00000000-0005-0000-0000-000008000000}"/>
    <cellStyle name="_x0005__x0010__x0010_ 3 2 2" xfId="3221" xr:uid="{00000000-0005-0000-0000-000009000000}"/>
    <cellStyle name="_x0005__x0010__x0010_ 3 3" xfId="2894" xr:uid="{00000000-0005-0000-0000-00000A000000}"/>
    <cellStyle name="_x0005__x0010__x0010_ 4" xfId="2238" xr:uid="{00000000-0005-0000-0000-00000B000000}"/>
    <cellStyle name="_x0005__x0010__x0010_ 4 2" xfId="2565" xr:uid="{00000000-0005-0000-0000-00000C000000}"/>
    <cellStyle name="_x0005__x0010__x0010_ 4 2 2" xfId="3222" xr:uid="{00000000-0005-0000-0000-00000D000000}"/>
    <cellStyle name="_x0005__x0010__x0010_ 4 3" xfId="2895" xr:uid="{00000000-0005-0000-0000-00000E000000}"/>
    <cellStyle name="_x0005__x0010__x0010_ 5" xfId="2277" xr:uid="{00000000-0005-0000-0000-00000F000000}"/>
    <cellStyle name="_x0005__x0010__x0010_ 5 2" xfId="2934" xr:uid="{00000000-0005-0000-0000-000010000000}"/>
    <cellStyle name="_x0005__x0010__x0010_ 6" xfId="2604" xr:uid="{00000000-0005-0000-0000-000011000000}"/>
    <cellStyle name="_x000d_$" xfId="83" xr:uid="{00000000-0005-0000-0000-000012000000}"/>
    <cellStyle name="_x000d_;&amp;?;" xfId="84" xr:uid="{00000000-0005-0000-0000-000013000000}"/>
    <cellStyle name="_x000d_蛜Ǿ[0" xfId="85" xr:uid="{00000000-0005-0000-0000-000014000000}"/>
    <cellStyle name="_x000d_蛜Ǿ[0 2" xfId="2134" xr:uid="{00000000-0005-0000-0000-000015000000}"/>
    <cellStyle name="_x000d_蛜Ǿ[0 2 2" xfId="2471" xr:uid="{00000000-0005-0000-0000-000016000000}"/>
    <cellStyle name="_x000d_蛜Ǿ[0 2 2 2" xfId="3128" xr:uid="{00000000-0005-0000-0000-000017000000}"/>
    <cellStyle name="_x000d_蛜Ǿ[0 2 3" xfId="2801" xr:uid="{00000000-0005-0000-0000-000018000000}"/>
    <cellStyle name="_x000d_蛜Ǿ[0 3" xfId="2278" xr:uid="{00000000-0005-0000-0000-000019000000}"/>
    <cellStyle name="_x000d_蛜Ǿ[0 3 2" xfId="2935" xr:uid="{00000000-0005-0000-0000-00001A000000}"/>
    <cellStyle name="_x000d_蛜Ǿ[0 4" xfId="2605" xr:uid="{00000000-0005-0000-0000-00001B000000}"/>
    <cellStyle name="#.0" xfId="86" xr:uid="{00000000-0005-0000-0000-00001C000000}"/>
    <cellStyle name=".0" xfId="87" xr:uid="{00000000-0005-0000-0000-00001D000000}"/>
    <cellStyle name="??&amp;O?&amp;H?_x0008__x000f__x0007_?_x0007__x0001__x0001_" xfId="88" xr:uid="{00000000-0005-0000-0000-00001E000000}"/>
    <cellStyle name="??&amp;O?&amp;H?_x0008_??_x0007__x0001__x0001_" xfId="89" xr:uid="{00000000-0005-0000-0000-00001F000000}"/>
    <cellStyle name="_B4 Vendor List-20090901CY" xfId="90" xr:uid="{00000000-0005-0000-0000-000020000000}"/>
    <cellStyle name="_Bidding_WH_status_check_090615" xfId="91" xr:uid="{00000000-0005-0000-0000-000021000000}"/>
    <cellStyle name="_BOE B3 Rework system utility(090706)" xfId="92" xr:uid="{00000000-0005-0000-0000-000022000000}"/>
    <cellStyle name="_Book2" xfId="93" xr:uid="{00000000-0005-0000-0000-000023000000}"/>
    <cellStyle name="_EMD외자재수급(4,5,6월)" xfId="94" xr:uid="{00000000-0005-0000-0000-000024000000}"/>
    <cellStyle name="_KCT C_F U_T(05.03.14)" xfId="95" xr:uid="{00000000-0005-0000-0000-000025000000}"/>
    <cellStyle name="|: 获取数据 ..." xfId="96" xr:uid="{00000000-0005-0000-0000-000026000000}"/>
    <cellStyle name="¤@?e_TEST-1 " xfId="97" xr:uid="{00000000-0005-0000-0000-000027000000}"/>
    <cellStyle name="æØè [0.00]_PRODUCT DETAIL Q1" xfId="98" xr:uid="{00000000-0005-0000-0000-000028000000}"/>
    <cellStyle name="æØè_PRODUCT DETAIL Q1" xfId="99" xr:uid="{00000000-0005-0000-0000-000029000000}"/>
    <cellStyle name="ÊÝ [0.00]_PRODUCT DETAIL Q1" xfId="100" xr:uid="{00000000-0005-0000-0000-00002A000000}"/>
    <cellStyle name="ÊÝ_PRODUCT DETAIL Q1" xfId="101" xr:uid="{00000000-0005-0000-0000-00002B000000}"/>
    <cellStyle name="W?_BOOKSHIP_¨öCAuCoE©÷ " xfId="102" xr:uid="{00000000-0005-0000-0000-00002C000000}"/>
    <cellStyle name="W_BOOKSHIP" xfId="103" xr:uid="{00000000-0005-0000-0000-00002D000000}"/>
    <cellStyle name="0,0_x000d__x000a_NA_x000d__x000a_" xfId="104" xr:uid="{00000000-0005-0000-0000-00002E000000}"/>
    <cellStyle name="0.0" xfId="105" xr:uid="{00000000-0005-0000-0000-00002F000000}"/>
    <cellStyle name="0뾍R_x0005_?뾍b_x0005_" xfId="106" xr:uid="{00000000-0005-0000-0000-000030000000}"/>
    <cellStyle name="¼AU≫?XLS!check_filesche|_x0005_" xfId="107" xr:uid="{00000000-0005-0000-0000-000031000000}"/>
    <cellStyle name="1" xfId="108" xr:uid="{00000000-0005-0000-0000-000032000000}"/>
    <cellStyle name="1_1127PHM (2)" xfId="109" xr:uid="{00000000-0005-0000-0000-000033000000}"/>
    <cellStyle name="1_1127PHM (4)" xfId="110" xr:uid="{00000000-0005-0000-0000-000034000000}"/>
    <cellStyle name="1_2000PN지침" xfId="111" xr:uid="{00000000-0005-0000-0000-000035000000}"/>
    <cellStyle name="1_918PHM (2)" xfId="112" xr:uid="{00000000-0005-0000-0000-000036000000}"/>
    <cellStyle name="1_97년PI333종합" xfId="113" xr:uid="{00000000-0005-0000-0000-000037000000}"/>
    <cellStyle name="1_CRD판매 (2)" xfId="114" xr:uid="{00000000-0005-0000-0000-000038000000}"/>
    <cellStyle name="1_MC&amp;다변화" xfId="115" xr:uid="{00000000-0005-0000-0000-000039000000}"/>
    <cellStyle name="100" xfId="116" xr:uid="{00000000-0005-0000-0000-00003A000000}"/>
    <cellStyle name="100 2" xfId="117" xr:uid="{00000000-0005-0000-0000-00003B000000}"/>
    <cellStyle name="100 2 2" xfId="118" xr:uid="{00000000-0005-0000-0000-00003C000000}"/>
    <cellStyle name="20% - Accent1" xfId="119" xr:uid="{00000000-0005-0000-0000-00003D000000}"/>
    <cellStyle name="20% - Accent2" xfId="120" xr:uid="{00000000-0005-0000-0000-00003E000000}"/>
    <cellStyle name="20% - Accent3" xfId="121" xr:uid="{00000000-0005-0000-0000-00003F000000}"/>
    <cellStyle name="20% - Accent4" xfId="122" xr:uid="{00000000-0005-0000-0000-000040000000}"/>
    <cellStyle name="20% - Accent5" xfId="123" xr:uid="{00000000-0005-0000-0000-000041000000}"/>
    <cellStyle name="20% - Accent6" xfId="124" xr:uid="{00000000-0005-0000-0000-000042000000}"/>
    <cellStyle name="20% - アクセント 1" xfId="125" xr:uid="{00000000-0005-0000-0000-000043000000}"/>
    <cellStyle name="20% - アクセント 1 2" xfId="126" xr:uid="{00000000-0005-0000-0000-000044000000}"/>
    <cellStyle name="20% - アクセント 2" xfId="127" xr:uid="{00000000-0005-0000-0000-000045000000}"/>
    <cellStyle name="20% - アクセント 2 2" xfId="128" xr:uid="{00000000-0005-0000-0000-000046000000}"/>
    <cellStyle name="20% - アクセント 3" xfId="129" xr:uid="{00000000-0005-0000-0000-000047000000}"/>
    <cellStyle name="20% - アクセント 3 2" xfId="130" xr:uid="{00000000-0005-0000-0000-000048000000}"/>
    <cellStyle name="20% - アクセント 4" xfId="131" xr:uid="{00000000-0005-0000-0000-000049000000}"/>
    <cellStyle name="20% - アクセント 4 2" xfId="132" xr:uid="{00000000-0005-0000-0000-00004A000000}"/>
    <cellStyle name="20% - アクセント 5" xfId="133" xr:uid="{00000000-0005-0000-0000-00004B000000}"/>
    <cellStyle name="20% - アクセント 5 2" xfId="134" xr:uid="{00000000-0005-0000-0000-00004C000000}"/>
    <cellStyle name="20% - アクセント 6" xfId="135" xr:uid="{00000000-0005-0000-0000-00004D000000}"/>
    <cellStyle name="20% - アクセント 6 2" xfId="136" xr:uid="{00000000-0005-0000-0000-00004E000000}"/>
    <cellStyle name="20% - 强调文字颜色 1" xfId="137" xr:uid="{00000000-0005-0000-0000-00004F000000}"/>
    <cellStyle name="20% - 强调文字颜色 1 2" xfId="138" xr:uid="{00000000-0005-0000-0000-000050000000}"/>
    <cellStyle name="20% - 强调文字颜色 2" xfId="139" xr:uid="{00000000-0005-0000-0000-000051000000}"/>
    <cellStyle name="20% - 强调文字颜色 2 2" xfId="140" xr:uid="{00000000-0005-0000-0000-000052000000}"/>
    <cellStyle name="20% - 强调文字颜色 3" xfId="141" xr:uid="{00000000-0005-0000-0000-000053000000}"/>
    <cellStyle name="20% - 强调文字颜色 3 2" xfId="142" xr:uid="{00000000-0005-0000-0000-000054000000}"/>
    <cellStyle name="20% - 强调文字颜色 4" xfId="143" xr:uid="{00000000-0005-0000-0000-000055000000}"/>
    <cellStyle name="20% - 强调文字颜色 4 2" xfId="144" xr:uid="{00000000-0005-0000-0000-000056000000}"/>
    <cellStyle name="20% - 强调文字颜色 5" xfId="145" xr:uid="{00000000-0005-0000-0000-000057000000}"/>
    <cellStyle name="20% - 强调文字颜色 5 2" xfId="146" xr:uid="{00000000-0005-0000-0000-000058000000}"/>
    <cellStyle name="20% - 强调文字颜色 6" xfId="147" xr:uid="{00000000-0005-0000-0000-000059000000}"/>
    <cellStyle name="20% - 强调文字颜色 6 2" xfId="148" xr:uid="{00000000-0005-0000-0000-00005A000000}"/>
    <cellStyle name="20% - 강조색1" xfId="3242" builtinId="30" customBuiltin="1"/>
    <cellStyle name="20% - 강조색2" xfId="3246" builtinId="34" customBuiltin="1"/>
    <cellStyle name="20% - 강조색3" xfId="3250" builtinId="38" customBuiltin="1"/>
    <cellStyle name="20% - 강조색4" xfId="3254" builtinId="42" customBuiltin="1"/>
    <cellStyle name="20% - 강조색5" xfId="3258" builtinId="46" customBuiltin="1"/>
    <cellStyle name="20% - 강조색6" xfId="3262" builtinId="50" customBuiltin="1"/>
    <cellStyle name="40% - Accent1" xfId="149" xr:uid="{00000000-0005-0000-0000-00005B000000}"/>
    <cellStyle name="40% - Accent2" xfId="150" xr:uid="{00000000-0005-0000-0000-00005C000000}"/>
    <cellStyle name="40% - Accent3" xfId="151" xr:uid="{00000000-0005-0000-0000-00005D000000}"/>
    <cellStyle name="40% - Accent4" xfId="152" xr:uid="{00000000-0005-0000-0000-00005E000000}"/>
    <cellStyle name="40% - Accent5" xfId="153" xr:uid="{00000000-0005-0000-0000-00005F000000}"/>
    <cellStyle name="40% - Accent6" xfId="154" xr:uid="{00000000-0005-0000-0000-000060000000}"/>
    <cellStyle name="40% - アクセント 1" xfId="155" xr:uid="{00000000-0005-0000-0000-000061000000}"/>
    <cellStyle name="40% - アクセント 1 2" xfId="156" xr:uid="{00000000-0005-0000-0000-000062000000}"/>
    <cellStyle name="40% - アクセント 2" xfId="157" xr:uid="{00000000-0005-0000-0000-000063000000}"/>
    <cellStyle name="40% - アクセント 2 2" xfId="158" xr:uid="{00000000-0005-0000-0000-000064000000}"/>
    <cellStyle name="40% - アクセント 3" xfId="159" xr:uid="{00000000-0005-0000-0000-000065000000}"/>
    <cellStyle name="40% - アクセント 3 2" xfId="160" xr:uid="{00000000-0005-0000-0000-000066000000}"/>
    <cellStyle name="40% - アクセント 4" xfId="161" xr:uid="{00000000-0005-0000-0000-000067000000}"/>
    <cellStyle name="40% - アクセント 4 2" xfId="162" xr:uid="{00000000-0005-0000-0000-000068000000}"/>
    <cellStyle name="40% - アクセント 5" xfId="163" xr:uid="{00000000-0005-0000-0000-000069000000}"/>
    <cellStyle name="40% - アクセント 5 2" xfId="164" xr:uid="{00000000-0005-0000-0000-00006A000000}"/>
    <cellStyle name="40% - アクセント 6" xfId="165" xr:uid="{00000000-0005-0000-0000-00006B000000}"/>
    <cellStyle name="40% - アクセント 6 2" xfId="166" xr:uid="{00000000-0005-0000-0000-00006C000000}"/>
    <cellStyle name="40% - 强调文字颜色 1" xfId="167" xr:uid="{00000000-0005-0000-0000-00006D000000}"/>
    <cellStyle name="40% - 强调文字颜色 1 2" xfId="168" xr:uid="{00000000-0005-0000-0000-00006E000000}"/>
    <cellStyle name="40% - 强调文字颜色 2" xfId="169" xr:uid="{00000000-0005-0000-0000-00006F000000}"/>
    <cellStyle name="40% - 强调文字颜色 2 2" xfId="170" xr:uid="{00000000-0005-0000-0000-000070000000}"/>
    <cellStyle name="40% - 强调文字颜色 3" xfId="171" xr:uid="{00000000-0005-0000-0000-000071000000}"/>
    <cellStyle name="40% - 强调文字颜色 3 2" xfId="172" xr:uid="{00000000-0005-0000-0000-000072000000}"/>
    <cellStyle name="40% - 强调文字颜色 4" xfId="173" xr:uid="{00000000-0005-0000-0000-000073000000}"/>
    <cellStyle name="40% - 强调文字颜色 4 2" xfId="174" xr:uid="{00000000-0005-0000-0000-000074000000}"/>
    <cellStyle name="40% - 强调文字颜色 5" xfId="175" xr:uid="{00000000-0005-0000-0000-000075000000}"/>
    <cellStyle name="40% - 强调文字颜色 5 2" xfId="176" xr:uid="{00000000-0005-0000-0000-000076000000}"/>
    <cellStyle name="40% - 强调文字颜色 6" xfId="177" xr:uid="{00000000-0005-0000-0000-000077000000}"/>
    <cellStyle name="40% - 强调文字颜色 6 2" xfId="178" xr:uid="{00000000-0005-0000-0000-000078000000}"/>
    <cellStyle name="40% - 강조색1" xfId="3243" builtinId="31" customBuiltin="1"/>
    <cellStyle name="40% - 강조색2" xfId="3247" builtinId="35" customBuiltin="1"/>
    <cellStyle name="40% - 강조색3" xfId="3251" builtinId="39" customBuiltin="1"/>
    <cellStyle name="40% - 강조색4" xfId="3255" builtinId="43" customBuiltin="1"/>
    <cellStyle name="40% - 강조색5" xfId="3259" builtinId="47" customBuiltin="1"/>
    <cellStyle name="40% - 강조색6" xfId="3263" builtinId="51" customBuiltin="1"/>
    <cellStyle name="60% - Accent1" xfId="179" xr:uid="{00000000-0005-0000-0000-000079000000}"/>
    <cellStyle name="60% - Accent2" xfId="180" xr:uid="{00000000-0005-0000-0000-00007A000000}"/>
    <cellStyle name="60% - Accent3" xfId="181" xr:uid="{00000000-0005-0000-0000-00007B000000}"/>
    <cellStyle name="60% - Accent4" xfId="182" xr:uid="{00000000-0005-0000-0000-00007C000000}"/>
    <cellStyle name="60% - Accent5" xfId="183" xr:uid="{00000000-0005-0000-0000-00007D000000}"/>
    <cellStyle name="60% - Accent6" xfId="184" xr:uid="{00000000-0005-0000-0000-00007E000000}"/>
    <cellStyle name="60% - アクセント 1" xfId="185" xr:uid="{00000000-0005-0000-0000-00007F000000}"/>
    <cellStyle name="60% - アクセント 2" xfId="186" xr:uid="{00000000-0005-0000-0000-000080000000}"/>
    <cellStyle name="60% - アクセント 3" xfId="187" xr:uid="{00000000-0005-0000-0000-000081000000}"/>
    <cellStyle name="60% - アクセント 4" xfId="188" xr:uid="{00000000-0005-0000-0000-000082000000}"/>
    <cellStyle name="60% - アクセント 5" xfId="189" xr:uid="{00000000-0005-0000-0000-000083000000}"/>
    <cellStyle name="60% - アクセント 6" xfId="190" xr:uid="{00000000-0005-0000-0000-000084000000}"/>
    <cellStyle name="60% - 强调文字颜色 1" xfId="191" xr:uid="{00000000-0005-0000-0000-000085000000}"/>
    <cellStyle name="60% - 强调文字颜色 2" xfId="192" xr:uid="{00000000-0005-0000-0000-000086000000}"/>
    <cellStyle name="60% - 强调文字颜色 3" xfId="193" xr:uid="{00000000-0005-0000-0000-000087000000}"/>
    <cellStyle name="60% - 强调文字颜色 4" xfId="194" xr:uid="{00000000-0005-0000-0000-000088000000}"/>
    <cellStyle name="60% - 强调文字颜色 5" xfId="195" xr:uid="{00000000-0005-0000-0000-000089000000}"/>
    <cellStyle name="60% - 强调文字颜色 6" xfId="196" xr:uid="{00000000-0005-0000-0000-00008A000000}"/>
    <cellStyle name="60% - 강조색1" xfId="3244" builtinId="32" customBuiltin="1"/>
    <cellStyle name="60% - 강조색2" xfId="3248" builtinId="36" customBuiltin="1"/>
    <cellStyle name="60% - 강조색3" xfId="3252" builtinId="40" customBuiltin="1"/>
    <cellStyle name="60% - 강조색4" xfId="3256" builtinId="44" customBuiltin="1"/>
    <cellStyle name="60% - 강조색5" xfId="3260" builtinId="48" customBuiltin="1"/>
    <cellStyle name="60% - 강조색6" xfId="3264" builtinId="52" customBuiltin="1"/>
    <cellStyle name="a_Q2 FY96" xfId="197" xr:uid="{00000000-0005-0000-0000-00008B000000}"/>
    <cellStyle name="A¡§¡ⓒ¡E¡þ¡EO [0]_¡§oCAuCoE¨I¡A " xfId="198" xr:uid="{00000000-0005-0000-0000-00008C000000}"/>
    <cellStyle name="A¡§¡ⓒ¡E¡þ¡EO_¡§oCAuCoE¨I¡A " xfId="199" xr:uid="{00000000-0005-0000-0000-00008D000000}"/>
    <cellStyle name="A¨­¢¬¢Ò [0]_¡Æ¨ÏAo" xfId="200" xr:uid="{00000000-0005-0000-0000-00008E000000}"/>
    <cellStyle name="A¨­￠￢￠O [0]_¨oCAuCoEⓒ÷ " xfId="201" xr:uid="{00000000-0005-0000-0000-00008F000000}"/>
    <cellStyle name="A¨­¢¬¢Ò [0]_INQUIRY ¢¯¥ì¨ú¡ÀA©¬A©ª " xfId="202" xr:uid="{00000000-0005-0000-0000-000090000000}"/>
    <cellStyle name="A¨­¢¬¢Ò_¡Æ¨ÏAo" xfId="203" xr:uid="{00000000-0005-0000-0000-000091000000}"/>
    <cellStyle name="A¨­￠￢￠O_¨oCAuCoEⓒ÷ " xfId="204" xr:uid="{00000000-0005-0000-0000-000092000000}"/>
    <cellStyle name="A¨­¢¬¢Ò_INQUIRY ¢¯¥ì¨ú¡ÀA©¬A©ª " xfId="205" xr:uid="{00000000-0005-0000-0000-000093000000}"/>
    <cellStyle name="Accent1" xfId="206" xr:uid="{00000000-0005-0000-0000-000094000000}"/>
    <cellStyle name="Accent2" xfId="207" xr:uid="{00000000-0005-0000-0000-000095000000}"/>
    <cellStyle name="Accent3" xfId="208" xr:uid="{00000000-0005-0000-0000-000096000000}"/>
    <cellStyle name="Accent4" xfId="209" xr:uid="{00000000-0005-0000-0000-000097000000}"/>
    <cellStyle name="Accent5" xfId="210" xr:uid="{00000000-0005-0000-0000-000098000000}"/>
    <cellStyle name="Accent6" xfId="211" xr:uid="{00000000-0005-0000-0000-000099000000}"/>
    <cellStyle name="Actual Date" xfId="212" xr:uid="{00000000-0005-0000-0000-00009A000000}"/>
    <cellStyle name="ÅëÈ­ [0]_ ´ë    Çü " xfId="213" xr:uid="{00000000-0005-0000-0000-00009B000000}"/>
    <cellStyle name="AeE­ [0]_ ¸n A÷_V100 ºI¹I,³≫¼o 2.2 PILOT " xfId="214" xr:uid="{00000000-0005-0000-0000-00009C000000}"/>
    <cellStyle name="ÅëÈ­ [0]_¡Ú¾ÈÜ¬ Á¾ÇÕºñ±³ " xfId="215" xr:uid="{00000000-0005-0000-0000-00009D000000}"/>
    <cellStyle name="AeE­ [0]_¸AAa" xfId="216" xr:uid="{00000000-0005-0000-0000-00009E000000}"/>
    <cellStyle name="ÅëÈ­ [0]_¼­½ÄÃ¼01_ÅõÀÔ°èÈ¹ " xfId="217" xr:uid="{00000000-0005-0000-0000-00009F000000}"/>
    <cellStyle name="AeE­ [0]_¼­½AAI¶÷_AoAO°eE¹ " xfId="218" xr:uid="{00000000-0005-0000-0000-0000A0000000}"/>
    <cellStyle name="ÅëÈ­ [0]_¼­½ÄÀÏ¶÷_ÅõÀÔ°èÈ¹ " xfId="219" xr:uid="{00000000-0005-0000-0000-0000A1000000}"/>
    <cellStyle name="AeE­ [0]_1.ÆC¸A½CAu " xfId="220" xr:uid="{00000000-0005-0000-0000-0000A2000000}"/>
    <cellStyle name="ÅëÈ­ [0]_1.ÆÇ¸Å½ÇÀû " xfId="221" xr:uid="{00000000-0005-0000-0000-0000A3000000}"/>
    <cellStyle name="AeE­ [0]_1.SUMMARY " xfId="222" xr:uid="{00000000-0005-0000-0000-0000A4000000}"/>
    <cellStyle name="ÅëÈ­ [0]_1.SUMMARY " xfId="223" xr:uid="{00000000-0005-0000-0000-0000A5000000}"/>
    <cellStyle name="AeE­ [0]_2.CONCEPT " xfId="224" xr:uid="{00000000-0005-0000-0000-0000A6000000}"/>
    <cellStyle name="ÅëÈ­ [0]_2.CONCEPT " xfId="225" xr:uid="{00000000-0005-0000-0000-0000A7000000}"/>
    <cellStyle name="AeE­ [0]_3.MSCHEDULE¿μ¹R " xfId="226" xr:uid="{00000000-0005-0000-0000-0000A8000000}"/>
    <cellStyle name="ÅëÈ­ [0]_3PJTR°èÈ¹ " xfId="227" xr:uid="{00000000-0005-0000-0000-0000A9000000}"/>
    <cellStyle name="AeE­ [0]_4 " xfId="228" xr:uid="{00000000-0005-0000-0000-0000AA000000}"/>
    <cellStyle name="ÅëÈ­ [0]_4 " xfId="229" xr:uid="{00000000-0005-0000-0000-0000AB000000}"/>
    <cellStyle name="AeE­ [0]_6-3°æAi·A " xfId="230" xr:uid="{00000000-0005-0000-0000-0000AC000000}"/>
    <cellStyle name="ÅëÈ­ [0]_6-3°æÀï·Â " xfId="231" xr:uid="{00000000-0005-0000-0000-0000AD000000}"/>
    <cellStyle name="AeE­ [0]_7.MASTER SCHEDULE " xfId="232" xr:uid="{00000000-0005-0000-0000-0000AE000000}"/>
    <cellStyle name="ÅëÈ­ [0]_7.MASTER SCHEDULE " xfId="233" xr:uid="{00000000-0005-0000-0000-0000AF000000}"/>
    <cellStyle name="AeE­ [0]_AI¿ø°eE¹ " xfId="234" xr:uid="{00000000-0005-0000-0000-0000B0000000}"/>
    <cellStyle name="ÅëÈ­ [0]_ÀÎ¿ø°èÈ¹ " xfId="235" xr:uid="{00000000-0005-0000-0000-0000B1000000}"/>
    <cellStyle name="AeE­ [0]_AOA¾AIA¤ " xfId="236" xr:uid="{00000000-0005-0000-0000-0000B2000000}"/>
    <cellStyle name="ÅëÈ­ [0]_ÃÖÁ¾ÀÏÁ¤ " xfId="237" xr:uid="{00000000-0005-0000-0000-0000B3000000}"/>
    <cellStyle name="AeE­ [0]_INQUIRY ¿μ¾÷AßAø " xfId="238" xr:uid="{00000000-0005-0000-0000-0000B4000000}"/>
    <cellStyle name="ÅëÈ­ [0]_MKN-M1.1 " xfId="239" xr:uid="{00000000-0005-0000-0000-0000B5000000}"/>
    <cellStyle name="AeE­ [0]_ºÐ·u±a01_AoAO°eE¹ " xfId="240" xr:uid="{00000000-0005-0000-0000-0000B6000000}"/>
    <cellStyle name="ÅëÈ­ [0]_ºÐ·ù±â01_ÅõÀÔ°èÈ¹ " xfId="241" xr:uid="{00000000-0005-0000-0000-0000B7000000}"/>
    <cellStyle name="AeE­ [0]_ºÐ·u±a02_AoAO°eE¹ " xfId="242" xr:uid="{00000000-0005-0000-0000-0000B8000000}"/>
    <cellStyle name="ÅëÈ­ [0]_ºÐ·ù±â02_ÅõÀÔ°èÈ¹ " xfId="243" xr:uid="{00000000-0005-0000-0000-0000B9000000}"/>
    <cellStyle name="AeE­ [0]_ºÐ·u±a03_AoAO°eE¹ " xfId="244" xr:uid="{00000000-0005-0000-0000-0000BA000000}"/>
    <cellStyle name="ÅëÈ­ [0]_ºÐ·ù±â03_ÅõÀÔ°èÈ¹ " xfId="245" xr:uid="{00000000-0005-0000-0000-0000BB000000}"/>
    <cellStyle name="AeE­ [0]_ºÐ·u±aAØ_AoAO°eE¹ " xfId="246" xr:uid="{00000000-0005-0000-0000-0000BC000000}"/>
    <cellStyle name="ÅëÈ­ [0]_ºÐ·ù±âÁØ_ÅõÀÔ°èÈ¹ " xfId="247" xr:uid="{00000000-0005-0000-0000-0000BD000000}"/>
    <cellStyle name="AeE­ [0]_ºÐ·u±aE￡_AoAO°eE¹ " xfId="248" xr:uid="{00000000-0005-0000-0000-0000BE000000}"/>
    <cellStyle name="ÅëÈ­ [0]_ºÐ·ù±âÈ£_ÅõÀÔ°èÈ¹ " xfId="249" xr:uid="{00000000-0005-0000-0000-0000BF000000}"/>
    <cellStyle name="AeE­ [0]_SAMPLE " xfId="250" xr:uid="{00000000-0005-0000-0000-0000C0000000}"/>
    <cellStyle name="ÅëÈ­ [0]_SAMPLE " xfId="251" xr:uid="{00000000-0005-0000-0000-0000C1000000}"/>
    <cellStyle name="AeE­ [0]_Sheet1 (2)_1.SUMMARY " xfId="252" xr:uid="{00000000-0005-0000-0000-0000C2000000}"/>
    <cellStyle name="ÅëÈ­ [0]_Sheet1 (2)_1.SUMMARY " xfId="253" xr:uid="{00000000-0005-0000-0000-0000C3000000}"/>
    <cellStyle name="AeE­ [0]_Sheet1_XD AOA¾AIA¤ " xfId="254" xr:uid="{00000000-0005-0000-0000-0000C4000000}"/>
    <cellStyle name="ÅëÈ­ [0]_Sheet1_XD ÃÖÁ¾ÀÏÁ¤ " xfId="255" xr:uid="{00000000-0005-0000-0000-0000C5000000}"/>
    <cellStyle name="AeE­ [0]_SMG-CKD-d1.1 " xfId="256" xr:uid="{00000000-0005-0000-0000-0000C6000000}"/>
    <cellStyle name="ÅëÈ­ [0]_SMG-CKD-d1.1 " xfId="257" xr:uid="{00000000-0005-0000-0000-0000C7000000}"/>
    <cellStyle name="ÅëÈ­_ ´ë    Çü " xfId="258" xr:uid="{00000000-0005-0000-0000-0000C8000000}"/>
    <cellStyle name="AeE­_ ¸n A÷_V100 ºI¹I,³≫¼o 2.2 PILOT " xfId="259" xr:uid="{00000000-0005-0000-0000-0000C9000000}"/>
    <cellStyle name="ÅëÈ­_¡Ú¾ÈÜ¬ Á¾ÇÕºñ±³ " xfId="260" xr:uid="{00000000-0005-0000-0000-0000CA000000}"/>
    <cellStyle name="AeE­_¸AAa" xfId="261" xr:uid="{00000000-0005-0000-0000-0000CB000000}"/>
    <cellStyle name="ÅëÈ­_¼­½ÄÃ¼01_ÅõÀÔ°èÈ¹ " xfId="262" xr:uid="{00000000-0005-0000-0000-0000CC000000}"/>
    <cellStyle name="AeE­_¼­½AAI¶÷_AoAO°eE¹ " xfId="263" xr:uid="{00000000-0005-0000-0000-0000CD000000}"/>
    <cellStyle name="ÅëÈ­_¼­½ÄÀÏ¶÷_ÅõÀÔ°èÈ¹ " xfId="264" xr:uid="{00000000-0005-0000-0000-0000CE000000}"/>
    <cellStyle name="AeE­_1.ÆC¸A½CAu " xfId="265" xr:uid="{00000000-0005-0000-0000-0000CF000000}"/>
    <cellStyle name="ÅëÈ­_1.ÆÇ¸Å½ÇÀû " xfId="266" xr:uid="{00000000-0005-0000-0000-0000D0000000}"/>
    <cellStyle name="AeE­_1.SUMMARY " xfId="267" xr:uid="{00000000-0005-0000-0000-0000D1000000}"/>
    <cellStyle name="ÅëÈ­_1.SUMMARY " xfId="268" xr:uid="{00000000-0005-0000-0000-0000D2000000}"/>
    <cellStyle name="AeE­_2.CONCEPT " xfId="269" xr:uid="{00000000-0005-0000-0000-0000D3000000}"/>
    <cellStyle name="ÅëÈ­_2.CONCEPT " xfId="270" xr:uid="{00000000-0005-0000-0000-0000D4000000}"/>
    <cellStyle name="AeE­_3.MSCHEDULE¿μ¹R " xfId="271" xr:uid="{00000000-0005-0000-0000-0000D5000000}"/>
    <cellStyle name="ÅëÈ­_3PJTR°èÈ¹ " xfId="272" xr:uid="{00000000-0005-0000-0000-0000D6000000}"/>
    <cellStyle name="AeE­_4 " xfId="273" xr:uid="{00000000-0005-0000-0000-0000D7000000}"/>
    <cellStyle name="ÅëÈ­_4 " xfId="274" xr:uid="{00000000-0005-0000-0000-0000D8000000}"/>
    <cellStyle name="AeE­_6-3°æAi·A " xfId="275" xr:uid="{00000000-0005-0000-0000-0000D9000000}"/>
    <cellStyle name="ÅëÈ­_6-3°æÀï·Â " xfId="276" xr:uid="{00000000-0005-0000-0000-0000DA000000}"/>
    <cellStyle name="AeE­_7.MASTER SCHEDULE " xfId="277" xr:uid="{00000000-0005-0000-0000-0000DB000000}"/>
    <cellStyle name="ÅëÈ­_7.MASTER SCHEDULE " xfId="278" xr:uid="{00000000-0005-0000-0000-0000DC000000}"/>
    <cellStyle name="AeE­_AI¿ø°eE¹ " xfId="279" xr:uid="{00000000-0005-0000-0000-0000DD000000}"/>
    <cellStyle name="ÅëÈ­_ÀÎ¿ø°èÈ¹ " xfId="280" xr:uid="{00000000-0005-0000-0000-0000DE000000}"/>
    <cellStyle name="AeE­_AOA¾AIA¤ " xfId="281" xr:uid="{00000000-0005-0000-0000-0000DF000000}"/>
    <cellStyle name="ÅëÈ­_ÃÖÁ¾ÀÏÁ¤ " xfId="282" xr:uid="{00000000-0005-0000-0000-0000E0000000}"/>
    <cellStyle name="AeE­_INQUIRY ¿μ¾÷AßAø " xfId="283" xr:uid="{00000000-0005-0000-0000-0000E1000000}"/>
    <cellStyle name="ÅëÈ­_MKN-M1.1 " xfId="284" xr:uid="{00000000-0005-0000-0000-0000E2000000}"/>
    <cellStyle name="AeE­_ºÐ·u±a01_AoAO°eE¹ " xfId="285" xr:uid="{00000000-0005-0000-0000-0000E3000000}"/>
    <cellStyle name="ÅëÈ­_ºÐ·ù±â01_ÅõÀÔ°èÈ¹ " xfId="286" xr:uid="{00000000-0005-0000-0000-0000E4000000}"/>
    <cellStyle name="AeE­_ºÐ·u±a02_AoAO°eE¹ " xfId="287" xr:uid="{00000000-0005-0000-0000-0000E5000000}"/>
    <cellStyle name="ÅëÈ­_ºÐ·ù±â02_ÅõÀÔ°èÈ¹ " xfId="288" xr:uid="{00000000-0005-0000-0000-0000E6000000}"/>
    <cellStyle name="AeE­_ºÐ·u±a03_AoAO°eE¹ " xfId="289" xr:uid="{00000000-0005-0000-0000-0000E7000000}"/>
    <cellStyle name="ÅëÈ­_ºÐ·ù±â03_ÅõÀÔ°èÈ¹ " xfId="290" xr:uid="{00000000-0005-0000-0000-0000E8000000}"/>
    <cellStyle name="AeE­_ºÐ·u±aAØ_AoAO°eE¹ " xfId="291" xr:uid="{00000000-0005-0000-0000-0000E9000000}"/>
    <cellStyle name="ÅëÈ­_ºÐ·ù±âÁØ_ÅõÀÔ°èÈ¹ " xfId="292" xr:uid="{00000000-0005-0000-0000-0000EA000000}"/>
    <cellStyle name="AeE­_ºÐ·u±aE￡_AoAO°eE¹ " xfId="293" xr:uid="{00000000-0005-0000-0000-0000EB000000}"/>
    <cellStyle name="ÅëÈ­_ºÐ·ù±âÈ£_ÅõÀÔ°èÈ¹ " xfId="294" xr:uid="{00000000-0005-0000-0000-0000EC000000}"/>
    <cellStyle name="AeE­_SAMPLE " xfId="295" xr:uid="{00000000-0005-0000-0000-0000ED000000}"/>
    <cellStyle name="ÅëÈ­_SAMPLE " xfId="296" xr:uid="{00000000-0005-0000-0000-0000EE000000}"/>
    <cellStyle name="AeE­_Sheet1 (2)_1.SUMMARY " xfId="297" xr:uid="{00000000-0005-0000-0000-0000EF000000}"/>
    <cellStyle name="ÅëÈ­_Sheet1 (2)_1.SUMMARY " xfId="298" xr:uid="{00000000-0005-0000-0000-0000F0000000}"/>
    <cellStyle name="AeE­_Sheet1_XD AOA¾AIA¤ " xfId="299" xr:uid="{00000000-0005-0000-0000-0000F1000000}"/>
    <cellStyle name="ÅëÈ­_Sheet1_XD ÃÖÁ¾ÀÏÁ¤ " xfId="300" xr:uid="{00000000-0005-0000-0000-0000F2000000}"/>
    <cellStyle name="AeE­_SMG-CKD-d1.1 " xfId="301" xr:uid="{00000000-0005-0000-0000-0000F3000000}"/>
    <cellStyle name="ÅëÈ­_SMG-CKD-d1.1 " xfId="302" xr:uid="{00000000-0005-0000-0000-0000F4000000}"/>
    <cellStyle name="AeE¡© [0]_¡Æ¨ÏAo" xfId="303" xr:uid="{00000000-0005-0000-0000-0000F5000000}"/>
    <cellStyle name="AeE¡©_¡Æ¨ÏAo" xfId="304" xr:uid="{00000000-0005-0000-0000-0000F6000000}"/>
    <cellStyle name="AeE¡ⓒ [0]_¨oCAuCoEⓒ÷ " xfId="305" xr:uid="{00000000-0005-0000-0000-0000F7000000}"/>
    <cellStyle name="AeE¡ⓒ_¨oCAuCoEⓒ÷ " xfId="306" xr:uid="{00000000-0005-0000-0000-0000F8000000}"/>
    <cellStyle name="AeE￠R¨I [0]_¡§oCAuCoE¨I¡A " xfId="307" xr:uid="{00000000-0005-0000-0000-0000F9000000}"/>
    <cellStyle name="AeE￠R¨I_¡§oCAuCoE¨I¡A " xfId="308" xr:uid="{00000000-0005-0000-0000-0000FA000000}"/>
    <cellStyle name="ÄÞ¸¶ [0]_ ´ë    Çü " xfId="309" xr:uid="{00000000-0005-0000-0000-0000FB000000}"/>
    <cellStyle name="AÞ¸¶ [0]_ ¸n A÷_V100 ºI¹I,³≫¼o 2.2 PILOT " xfId="310" xr:uid="{00000000-0005-0000-0000-0000FC000000}"/>
    <cellStyle name="ÄÞ¸¶ [0]_¡Ú¾ÈÜ¬ Á¾ÇÕºñ±³ " xfId="311" xr:uid="{00000000-0005-0000-0000-0000FD000000}"/>
    <cellStyle name="AÞ¸¶ [0]_¿i¿μ¾E " xfId="312" xr:uid="{00000000-0005-0000-0000-0000FE000000}"/>
    <cellStyle name="ÄÞ¸¶ [0]_½ÇÀûÇöÈ² " xfId="313" xr:uid="{00000000-0005-0000-0000-0000FF000000}"/>
    <cellStyle name="AÞ¸¶ [0]_½CAuCoE² _01하반기上" xfId="314" xr:uid="{00000000-0005-0000-0000-000000010000}"/>
    <cellStyle name="ÄÞ¸¶ [0]_1.SUMMARY " xfId="315" xr:uid="{00000000-0005-0000-0000-000001010000}"/>
    <cellStyle name="AÞ¸¶ [0]_2.CONCEPT " xfId="316" xr:uid="{00000000-0005-0000-0000-000002010000}"/>
    <cellStyle name="ÄÞ¸¶ [0]_2.CONCEPT " xfId="317" xr:uid="{00000000-0005-0000-0000-000003010000}"/>
    <cellStyle name="AÞ¸¶ [0]_3.MSCHEDULE¿μ¹R " xfId="318" xr:uid="{00000000-0005-0000-0000-000004010000}"/>
    <cellStyle name="ÄÞ¸¶ [0]_3PJTR°èÈ¹ " xfId="319" xr:uid="{00000000-0005-0000-0000-000005010000}"/>
    <cellStyle name="AÞ¸¶ [0]_4 " xfId="320" xr:uid="{00000000-0005-0000-0000-000006010000}"/>
    <cellStyle name="ÄÞ¸¶ [0]_4 " xfId="321" xr:uid="{00000000-0005-0000-0000-000007010000}"/>
    <cellStyle name="AÞ¸¶ [0]_6-3°æAi·A " xfId="322" xr:uid="{00000000-0005-0000-0000-000008010000}"/>
    <cellStyle name="ÄÞ¸¶ [0]_6-3°æÀï·Â " xfId="323" xr:uid="{00000000-0005-0000-0000-000009010000}"/>
    <cellStyle name="AÞ¸¶ [0]_7.MASTER SCHEDULE " xfId="324" xr:uid="{00000000-0005-0000-0000-00000A010000}"/>
    <cellStyle name="ÄÞ¸¶ [0]_7.MASTER SCHEDULE " xfId="325" xr:uid="{00000000-0005-0000-0000-00000B010000}"/>
    <cellStyle name="AÞ¸¶ [0]_AI¿ø°eE¹ " xfId="326" xr:uid="{00000000-0005-0000-0000-00000C010000}"/>
    <cellStyle name="ÄÞ¸¶ [0]_ÀÎ¿ø°èÈ¹ " xfId="327" xr:uid="{00000000-0005-0000-0000-00000D010000}"/>
    <cellStyle name="AÞ¸¶ [0]_AOA¾AIA¤ " xfId="328" xr:uid="{00000000-0005-0000-0000-00000E010000}"/>
    <cellStyle name="ÄÞ¸¶ [0]_ÃÖÁ¾ÀÏÁ¤ " xfId="329" xr:uid="{00000000-0005-0000-0000-00000F010000}"/>
    <cellStyle name="AÞ¸¶ [0]_INQUIRY ¿μ¾÷AßAø " xfId="330" xr:uid="{00000000-0005-0000-0000-000010010000}"/>
    <cellStyle name="ÄÞ¸¶ [0]_MKN-M1.1 " xfId="331" xr:uid="{00000000-0005-0000-0000-000011010000}"/>
    <cellStyle name="AÞ¸¶ [0]_SAMPLE " xfId="332" xr:uid="{00000000-0005-0000-0000-000012010000}"/>
    <cellStyle name="ÄÞ¸¶ [0]_SAMPLE " xfId="333" xr:uid="{00000000-0005-0000-0000-000013010000}"/>
    <cellStyle name="AÞ¸¶ [0]_Sheet1 (2)_1.SUMMARY " xfId="334" xr:uid="{00000000-0005-0000-0000-000014010000}"/>
    <cellStyle name="ÄÞ¸¶ [0]_Sheet1 (2)_1.SUMMARY " xfId="335" xr:uid="{00000000-0005-0000-0000-000015010000}"/>
    <cellStyle name="AÞ¸¶ [0]_Sheet1_XD AOA¾AIA¤ " xfId="336" xr:uid="{00000000-0005-0000-0000-000016010000}"/>
    <cellStyle name="ÄÞ¸¶ [0]_Sheet1_XD ÃÖÁ¾ÀÏÁ¤ " xfId="337" xr:uid="{00000000-0005-0000-0000-000017010000}"/>
    <cellStyle name="AÞ¸¶ [0]_SMG-CKD-d1.1 " xfId="338" xr:uid="{00000000-0005-0000-0000-000018010000}"/>
    <cellStyle name="ÄÞ¸¶ [0]_SMG-CKD-d1.1 " xfId="339" xr:uid="{00000000-0005-0000-0000-000019010000}"/>
    <cellStyle name="AÞ¸¶,_x0005__x0014_" xfId="340" xr:uid="{00000000-0005-0000-0000-00001A010000}"/>
    <cellStyle name="ÄÞ¸¶_ ´ë    Çü " xfId="341" xr:uid="{00000000-0005-0000-0000-00001B010000}"/>
    <cellStyle name="AÞ¸¶_!!!GO" xfId="342" xr:uid="{00000000-0005-0000-0000-00001C010000}"/>
    <cellStyle name="ÄÞ¸¶_¡Ú¾ÈÜ¬ Á¾ÇÕºñ±³ " xfId="343" xr:uid="{00000000-0005-0000-0000-00001D010000}"/>
    <cellStyle name="AÞ¸¶_¿i¿μ¾E " xfId="344" xr:uid="{00000000-0005-0000-0000-00001E010000}"/>
    <cellStyle name="ÄÞ¸¶_½ÇÀûÇöÈ² " xfId="345" xr:uid="{00000000-0005-0000-0000-00001F010000}"/>
    <cellStyle name="AÞ¸¶_2.CONCEPT " xfId="346" xr:uid="{00000000-0005-0000-0000-000020010000}"/>
    <cellStyle name="ÄÞ¸¶_2.CONCEPT " xfId="347" xr:uid="{00000000-0005-0000-0000-000021010000}"/>
    <cellStyle name="AÞ¸¶_3.MSCHEDULE¿μ¹R " xfId="348" xr:uid="{00000000-0005-0000-0000-000022010000}"/>
    <cellStyle name="ÄÞ¸¶_3PJTR°èÈ¹ " xfId="349" xr:uid="{00000000-0005-0000-0000-000023010000}"/>
    <cellStyle name="AÞ¸¶_4 " xfId="350" xr:uid="{00000000-0005-0000-0000-000024010000}"/>
    <cellStyle name="ÄÞ¸¶_4 " xfId="351" xr:uid="{00000000-0005-0000-0000-000025010000}"/>
    <cellStyle name="AÞ¸¶_6-3°æAi·A " xfId="352" xr:uid="{00000000-0005-0000-0000-000026010000}"/>
    <cellStyle name="ÄÞ¸¶_6-3°æÀï·Â " xfId="353" xr:uid="{00000000-0005-0000-0000-000027010000}"/>
    <cellStyle name="AÞ¸¶_7.MASTER SCHEDULE " xfId="354" xr:uid="{00000000-0005-0000-0000-000028010000}"/>
    <cellStyle name="ÄÞ¸¶_7.MASTER SCHEDULE " xfId="355" xr:uid="{00000000-0005-0000-0000-000029010000}"/>
    <cellStyle name="AÞ¸¶_AI¿ø°eE¹ " xfId="356" xr:uid="{00000000-0005-0000-0000-00002A010000}"/>
    <cellStyle name="ÄÞ¸¶_ÀÎ¿ø°èÈ¹ " xfId="357" xr:uid="{00000000-0005-0000-0000-00002B010000}"/>
    <cellStyle name="AÞ¸¶_AOA¾AIA¤ " xfId="358" xr:uid="{00000000-0005-0000-0000-00002C010000}"/>
    <cellStyle name="ÄÞ¸¶_ÃÖÁ¾ÀÏÁ¤ " xfId="359" xr:uid="{00000000-0005-0000-0000-00002D010000}"/>
    <cellStyle name="AÞ¸¶_INQUIRY ¿μ¾÷AßAø " xfId="360" xr:uid="{00000000-0005-0000-0000-00002E010000}"/>
    <cellStyle name="ÄÞ¸¶_MKN-M1.1 " xfId="361" xr:uid="{00000000-0005-0000-0000-00002F010000}"/>
    <cellStyle name="AÞ¸¶_SAMPLE " xfId="362" xr:uid="{00000000-0005-0000-0000-000030010000}"/>
    <cellStyle name="ÄÞ¸¶_SAMPLE " xfId="363" xr:uid="{00000000-0005-0000-0000-000031010000}"/>
    <cellStyle name="AÞ¸¶_Sheet1 (2)_1.SUMMARY " xfId="364" xr:uid="{00000000-0005-0000-0000-000032010000}"/>
    <cellStyle name="ÄÞ¸¶_Sheet1 (2)_1.SUMMARY " xfId="365" xr:uid="{00000000-0005-0000-0000-000033010000}"/>
    <cellStyle name="AÞ¸¶_Sheet1_XD AOA¾AIA¤ " xfId="366" xr:uid="{00000000-0005-0000-0000-000034010000}"/>
    <cellStyle name="ÄÞ¸¶_Sheet1_XD ÃÖÁ¾ÀÏÁ¤ " xfId="367" xr:uid="{00000000-0005-0000-0000-000035010000}"/>
    <cellStyle name="AÞ¸¶_SMG-CKD-d1.1 " xfId="368" xr:uid="{00000000-0005-0000-0000-000036010000}"/>
    <cellStyle name="ÄÞ¸¶_SMG-CKD-d1.1 " xfId="369" xr:uid="{00000000-0005-0000-0000-000037010000}"/>
    <cellStyle name="_x0002_b" xfId="370" xr:uid="{00000000-0005-0000-0000-000038010000}"/>
    <cellStyle name="_x0002_b 2" xfId="2135" xr:uid="{00000000-0005-0000-0000-000039010000}"/>
    <cellStyle name="_x0002_b 2 2" xfId="2472" xr:uid="{00000000-0005-0000-0000-00003A010000}"/>
    <cellStyle name="_x0002_b 2 2 2" xfId="3129" xr:uid="{00000000-0005-0000-0000-00003B010000}"/>
    <cellStyle name="_x0002_b 2 3" xfId="2802" xr:uid="{00000000-0005-0000-0000-00003C010000}"/>
    <cellStyle name="_x0002_b 3" xfId="2279" xr:uid="{00000000-0005-0000-0000-00003D010000}"/>
    <cellStyle name="_x0002_b 3 2" xfId="2936" xr:uid="{00000000-0005-0000-0000-00003E010000}"/>
    <cellStyle name="_x0002_b 4" xfId="2606" xr:uid="{00000000-0005-0000-0000-00003F010000}"/>
    <cellStyle name="Bad" xfId="371" xr:uid="{00000000-0005-0000-0000-000040010000}"/>
    <cellStyle name="C_TITLE" xfId="372" xr:uid="{00000000-0005-0000-0000-000041010000}"/>
    <cellStyle name="C_TITLE_10월생산계획" xfId="373" xr:uid="{00000000-0005-0000-0000-000042010000}"/>
    <cellStyle name="C_TITLE_6월생산계획" xfId="374" xr:uid="{00000000-0005-0000-0000-000043010000}"/>
    <cellStyle name="C_TITLE_6월생산계획_2011년 10월 생산계획" xfId="375" xr:uid="{00000000-0005-0000-0000-000044010000}"/>
    <cellStyle name="C_TITLE_6월생산계획_2011년 8월 생산계획-수정" xfId="376" xr:uid="{00000000-0005-0000-0000-000045010000}"/>
    <cellStyle name="C_TITLE_6월생산계획_2011년 9월 생산계획" xfId="377" xr:uid="{00000000-0005-0000-0000-000046010000}"/>
    <cellStyle name="C_TITLE_8월생산계획(1)" xfId="378" xr:uid="{00000000-0005-0000-0000-000047010000}"/>
    <cellStyle name="C_TITLE_8월생산계획110805" xfId="379" xr:uid="{00000000-0005-0000-0000-000048010000}"/>
    <cellStyle name="C¡ÍA¨ª_¡Æ¨ÏAo" xfId="380" xr:uid="{00000000-0005-0000-0000-000049010000}"/>
    <cellStyle name="C¡IA¨ª_¡Æ￠R¨uO￠￢¡ÆAIA￠´_￥iⓒ￡A¨IAIA￠´ " xfId="381" xr:uid="{00000000-0005-0000-0000-00004A010000}"/>
    <cellStyle name="C¡ÍA¨ª_¡íc¨ú¡À¨¬I¨¬¡Æ AN¡Æe " xfId="382" xr:uid="{00000000-0005-0000-0000-00004B010000}"/>
    <cellStyle name="C¡IA¨ª_¡ic¨u¡A¨￢I¨￢¡Æ AN¡Æe _철도청 전동차 개조 14량 생산 계획(2002.3.26)" xfId="383" xr:uid="{00000000-0005-0000-0000-00004C010000}"/>
    <cellStyle name="C￠RIA¡§¨￡_￠Ric¡§u￠RA¡§¡þI¡§¡þ￠R¨¡ AN￠R¨¡e " xfId="384" xr:uid="{00000000-0005-0000-0000-00004D010000}"/>
    <cellStyle name="C￥AØ_  FAB AIA¤  " xfId="385" xr:uid="{00000000-0005-0000-0000-00004E010000}"/>
    <cellStyle name="Ç¥ÁØ_ ´ë    Çü " xfId="386" xr:uid="{00000000-0005-0000-0000-00004F010000}"/>
    <cellStyle name="C￥AØ_¡ßFO AoAUºnºn±³ " xfId="387" xr:uid="{00000000-0005-0000-0000-000050010000}"/>
    <cellStyle name="Ç¥ÁØ_¡ßFO ÅõÀÚºñºñ±³ " xfId="388" xr:uid="{00000000-0005-0000-0000-000051010000}"/>
    <cellStyle name="C￥AØ_¿￢±¸¼O °ø≫cCoE² " xfId="389" xr:uid="{00000000-0005-0000-0000-000052010000}"/>
    <cellStyle name="Ç¥ÁØ_¿µ¾÷ÇöÈ² " xfId="390" xr:uid="{00000000-0005-0000-0000-000053010000}"/>
    <cellStyle name="C￥AØ_¿i¿μ¾E " xfId="391" xr:uid="{00000000-0005-0000-0000-000054010000}"/>
    <cellStyle name="Ç¥ÁØ_±â¾È " xfId="392" xr:uid="{00000000-0005-0000-0000-000055010000}"/>
    <cellStyle name="C￥AØ_≫c¾÷ºIº° AN°e " xfId="393" xr:uid="{00000000-0005-0000-0000-000056010000}"/>
    <cellStyle name="Ç¥ÁØ_°¡¼Ö¸°ÀÏÁ¤_µðÁ©ÀÏÁ¤ " xfId="394" xr:uid="{00000000-0005-0000-0000-000057010000}"/>
    <cellStyle name="C￥AØ_°¡¼O¸°AIA¤_μðAⓒAIA¤ " xfId="395" xr:uid="{00000000-0005-0000-0000-000058010000}"/>
    <cellStyle name="Ç¥ÁØ_°³¹ßÀÏÁ¤ " xfId="396" xr:uid="{00000000-0005-0000-0000-000059010000}"/>
    <cellStyle name="C￥AØ_°³¹ßAIA¤  (2)_°³¹ßAIA¤ " xfId="397" xr:uid="{00000000-0005-0000-0000-00005A010000}"/>
    <cellStyle name="Ç¥ÁØ_°³¹ßÀÏÁ¤  (2)_°³¹ßÀÏÁ¤ " xfId="398" xr:uid="{00000000-0005-0000-0000-00005B010000}"/>
    <cellStyle name="C￥AØ_°u¸RC×¸n_¾÷A¾º° " xfId="399" xr:uid="{00000000-0005-0000-0000-00005C010000}"/>
    <cellStyle name="Ç¥ÁØ_1.ÆÇ¸Å½ÇÀû " xfId="400" xr:uid="{00000000-0005-0000-0000-00005D010000}"/>
    <cellStyle name="C￥AØ_1.SUMMARY " xfId="401" xr:uid="{00000000-0005-0000-0000-00005E010000}"/>
    <cellStyle name="Ç¥ÁØ_1.SUMMARY " xfId="402" xr:uid="{00000000-0005-0000-0000-00005F010000}"/>
    <cellStyle name="C￥AØ_10+10 " xfId="403" xr:uid="{00000000-0005-0000-0000-000060010000}"/>
    <cellStyle name="Ç¥ÁØ_2.CONCEPT " xfId="404" xr:uid="{00000000-0005-0000-0000-000061010000}"/>
    <cellStyle name="C￥AØ_3.MSCHEDULE¿μ¹R " xfId="405" xr:uid="{00000000-0005-0000-0000-000062010000}"/>
    <cellStyle name="Ç¥ÁØ_3PJTR°èÈ¹ " xfId="406" xr:uid="{00000000-0005-0000-0000-000063010000}"/>
    <cellStyle name="C￥AØ_4 " xfId="407" xr:uid="{00000000-0005-0000-0000-000064010000}"/>
    <cellStyle name="Ç¥ÁØ_4 " xfId="408" xr:uid="{00000000-0005-0000-0000-000065010000}"/>
    <cellStyle name="C￥AØ_5-1±¤°i " xfId="409" xr:uid="{00000000-0005-0000-0000-000066010000}"/>
    <cellStyle name="Ç¥ÁØ_5-1±¤°í " xfId="410" xr:uid="{00000000-0005-0000-0000-000067010000}"/>
    <cellStyle name="C￥AØ_6-3°æAi·A " xfId="411" xr:uid="{00000000-0005-0000-0000-000068010000}"/>
    <cellStyle name="Ç¥ÁØ_6-3°æÀï·Â " xfId="412" xr:uid="{00000000-0005-0000-0000-000069010000}"/>
    <cellStyle name="C￥AØ_7.MASTER SCHEDULE " xfId="413" xr:uid="{00000000-0005-0000-0000-00006A010000}"/>
    <cellStyle name="Ç¥ÁØ_7.MASTER SCHEDULE " xfId="414" xr:uid="{00000000-0005-0000-0000-00006B010000}"/>
    <cellStyle name="C￥AØ_96AI¿ø°e2 " xfId="415" xr:uid="{00000000-0005-0000-0000-00006C010000}"/>
    <cellStyle name="Ç¥ÁØ_96ÀÎ¿ø°è2 " xfId="416" xr:uid="{00000000-0005-0000-0000-00006D010000}"/>
    <cellStyle name="C￥AØ_96AI¿ø°O 3 " xfId="417" xr:uid="{00000000-0005-0000-0000-00006E010000}"/>
    <cellStyle name="Ç¥ÁØ_96ÀÎ¿ø°Ô 3 " xfId="418" xr:uid="{00000000-0005-0000-0000-00006F010000}"/>
    <cellStyle name="C￥AØ_A·ºI2 " xfId="419" xr:uid="{00000000-0005-0000-0000-000070010000}"/>
    <cellStyle name="Ç¥ÁØ_Ã·ºÎ2 " xfId="420" xr:uid="{00000000-0005-0000-0000-000071010000}"/>
    <cellStyle name="C￥AØ_Æi¼º¸RCA " xfId="421" xr:uid="{00000000-0005-0000-0000-000072010000}"/>
    <cellStyle name="Ç¥ÁØ_ÃÖÁ¾ÀÏÁ¤ " xfId="422" xr:uid="{00000000-0005-0000-0000-000073010000}"/>
    <cellStyle name="C￥AØ_AoAUºn(ºI¼­º°,°eA¤º°) " xfId="423" xr:uid="{00000000-0005-0000-0000-000074010000}"/>
    <cellStyle name="Ç¥ÁØ_ÅõÀÚºñ(ºÎ¼­º°,°èÁ¤º°) " xfId="424" xr:uid="{00000000-0005-0000-0000-000075010000}"/>
    <cellStyle name="C￥AØ_Aß±a≫y≫e°eE¹ " xfId="425" xr:uid="{00000000-0005-0000-0000-000076010000}"/>
    <cellStyle name="Ç¥ÁØ_Áý°èÇ¥(2¿ù) " xfId="426" xr:uid="{00000000-0005-0000-0000-000077010000}"/>
    <cellStyle name="C￥AØ_C￥Ao " xfId="427" xr:uid="{00000000-0005-0000-0000-000078010000}"/>
    <cellStyle name="Ç¥ÁØ_ÇùÁ¶Àü_ÅõÀÔ°èÈ¹ " xfId="428" xr:uid="{00000000-0005-0000-0000-000079010000}"/>
    <cellStyle name="C￥AØ_lx-taxi " xfId="429" xr:uid="{00000000-0005-0000-0000-00007A010000}"/>
    <cellStyle name="Ç¥ÁØ_lx-taxi " xfId="430" xr:uid="{00000000-0005-0000-0000-00007B010000}"/>
    <cellStyle name="C￥AØ_M105CDT " xfId="431" xr:uid="{00000000-0005-0000-0000-00007C010000}"/>
    <cellStyle name="Ç¥ÁØ_MKN-M1.1 " xfId="432" xr:uid="{00000000-0005-0000-0000-00007D010000}"/>
    <cellStyle name="C￥AØ_page 2 " xfId="433" xr:uid="{00000000-0005-0000-0000-00007E010000}"/>
    <cellStyle name="Ç¥ÁØ_page 2 " xfId="434" xr:uid="{00000000-0005-0000-0000-00007F010000}"/>
    <cellStyle name="C￥AØ_page 2  2" xfId="435" xr:uid="{00000000-0005-0000-0000-000080010000}"/>
    <cellStyle name="Ç¥ÁØ_page 2  2" xfId="436" xr:uid="{00000000-0005-0000-0000-000081010000}"/>
    <cellStyle name="C￥AØ_page 2  3" xfId="437" xr:uid="{00000000-0005-0000-0000-000082010000}"/>
    <cellStyle name="Ç¥ÁØ_page 2  3" xfId="438" xr:uid="{00000000-0005-0000-0000-000083010000}"/>
    <cellStyle name="C￥AØ_page 2  4" xfId="439" xr:uid="{00000000-0005-0000-0000-000084010000}"/>
    <cellStyle name="Ç¥ÁØ_page 2  4" xfId="440" xr:uid="{00000000-0005-0000-0000-000085010000}"/>
    <cellStyle name="C￥AØ_page 2  5" xfId="441" xr:uid="{00000000-0005-0000-0000-000086010000}"/>
    <cellStyle name="Ç¥ÁØ_page 2  5" xfId="442" xr:uid="{00000000-0005-0000-0000-000087010000}"/>
    <cellStyle name="C￥AØ_page 2  6" xfId="443" xr:uid="{00000000-0005-0000-0000-000088010000}"/>
    <cellStyle name="Ç¥ÁØ_page 2  6" xfId="444" xr:uid="{00000000-0005-0000-0000-000089010000}"/>
    <cellStyle name="C￥AØ_page 2 _030514-생산팀 감사자료" xfId="445" xr:uid="{00000000-0005-0000-0000-00008A010000}"/>
    <cellStyle name="Ç¥ÁØ_page 2 _030514-생산팀 감사자료" xfId="446" xr:uid="{00000000-0005-0000-0000-00008B010000}"/>
    <cellStyle name="C￥AØ_page 2 _030514-생산팀 감사자료 2" xfId="447" xr:uid="{00000000-0005-0000-0000-00008C010000}"/>
    <cellStyle name="Ç¥ÁØ_page 2 _030514-생산팀 감사자료 2" xfId="448" xr:uid="{00000000-0005-0000-0000-00008D010000}"/>
    <cellStyle name="C￥AØ_page 2 _030514-생산팀 감사자료 3" xfId="449" xr:uid="{00000000-0005-0000-0000-00008E010000}"/>
    <cellStyle name="Ç¥ÁØ_page 2 _030514-생산팀 감사자료 3" xfId="450" xr:uid="{00000000-0005-0000-0000-00008F010000}"/>
    <cellStyle name="C￥AØ_page 2 _030514-생산팀 감사자료 4" xfId="451" xr:uid="{00000000-0005-0000-0000-000090010000}"/>
    <cellStyle name="Ç¥ÁØ_page 2 _030514-생산팀 감사자료 4" xfId="452" xr:uid="{00000000-0005-0000-0000-000091010000}"/>
    <cellStyle name="C￥AØ_page 2 _030514-생산팀 감사자료 5" xfId="453" xr:uid="{00000000-0005-0000-0000-000092010000}"/>
    <cellStyle name="Ç¥ÁØ_page 2 _030514-생산팀 감사자료 5" xfId="454" xr:uid="{00000000-0005-0000-0000-000093010000}"/>
    <cellStyle name="C￥AØ_page 2 _030514-생산팀 감사자료 6" xfId="455" xr:uid="{00000000-0005-0000-0000-000094010000}"/>
    <cellStyle name="Ç¥ÁØ_page 2 _030514-생산팀 감사자료 6" xfId="456" xr:uid="{00000000-0005-0000-0000-000095010000}"/>
    <cellStyle name="C￥AØ_page 2 _030514-생산팀 감사자료_10월생산계획" xfId="457" xr:uid="{00000000-0005-0000-0000-000096010000}"/>
    <cellStyle name="Ç¥ÁØ_page 2 _030514-생산팀 감사자료_10월생산계획" xfId="458" xr:uid="{00000000-0005-0000-0000-000097010000}"/>
    <cellStyle name="C￥AØ_page 2 _030514-생산팀 감사자료_6월생산계획" xfId="459" xr:uid="{00000000-0005-0000-0000-000098010000}"/>
    <cellStyle name="Ç¥ÁØ_page 2 _030514-생산팀 감사자료_6월생산계획" xfId="460" xr:uid="{00000000-0005-0000-0000-000099010000}"/>
    <cellStyle name="C￥AØ_page 2 _030514-생산팀 감사자료_8월생산계획(1)" xfId="461" xr:uid="{00000000-0005-0000-0000-00009A010000}"/>
    <cellStyle name="Ç¥ÁØ_page 2 _030514-생산팀 감사자료_8월생산계획(1)" xfId="462" xr:uid="{00000000-0005-0000-0000-00009B010000}"/>
    <cellStyle name="C￥AØ_page 2 _030514-생산팀 감사자료_8월생산계획110805" xfId="463" xr:uid="{00000000-0005-0000-0000-00009C010000}"/>
    <cellStyle name="Ç¥ÁØ_page 2 _030514-생산팀 감사자료_8월생산계획110805" xfId="464" xr:uid="{00000000-0005-0000-0000-00009D010000}"/>
    <cellStyle name="C￥AØ_page 2 _030516-0516생산효율반보고자료통보" xfId="465" xr:uid="{00000000-0005-0000-0000-00009E010000}"/>
    <cellStyle name="Ç¥ÁØ_page 2 _030516-0516생산효율반보고자료통보" xfId="466" xr:uid="{00000000-0005-0000-0000-00009F010000}"/>
    <cellStyle name="C￥AØ_page 2 _030929-사무실 조직도 및 현장조직도-2003930" xfId="467" xr:uid="{00000000-0005-0000-0000-0000A0010000}"/>
    <cellStyle name="Ç¥ÁØ_page 2 _030929-사무실 조직도 및 현장조직도-2003930" xfId="468" xr:uid="{00000000-0005-0000-0000-0000A1010000}"/>
    <cellStyle name="C￥AØ_page 2 _03년도 기술연기소(중기부문) 투자계획" xfId="469" xr:uid="{00000000-0005-0000-0000-0000A2010000}"/>
    <cellStyle name="Ç¥ÁØ_page 2 _03년도 기술연기소(중기부문) 투자계획" xfId="470" xr:uid="{00000000-0005-0000-0000-0000A3010000}"/>
    <cellStyle name="C￥AØ_page 2 _06년,07년 대일일계획-060616-2006616" xfId="471" xr:uid="{00000000-0005-0000-0000-0000A4010000}"/>
    <cellStyle name="Ç¥ÁØ_page 2 _06년,07년 대일일계획-060616-2006616" xfId="472" xr:uid="{00000000-0005-0000-0000-0000A5010000}"/>
    <cellStyle name="C￥AØ_page 2 _06년,07년 대일일계획-060616-2006616 2" xfId="473" xr:uid="{00000000-0005-0000-0000-0000A6010000}"/>
    <cellStyle name="Ç¥ÁØ_page 2 _06년,07년 대일일계획-060616-2006616 2" xfId="474" xr:uid="{00000000-0005-0000-0000-0000A7010000}"/>
    <cellStyle name="C￥AØ_page 2 _06년,07년 대일일계획-060616-2006616 3" xfId="475" xr:uid="{00000000-0005-0000-0000-0000A8010000}"/>
    <cellStyle name="Ç¥ÁØ_page 2 _06년,07년 대일일계획-060616-2006616 3" xfId="476" xr:uid="{00000000-0005-0000-0000-0000A9010000}"/>
    <cellStyle name="C￥AØ_page 2 _06년,07년 대일일계획-060616-2006616 4" xfId="477" xr:uid="{00000000-0005-0000-0000-0000AA010000}"/>
    <cellStyle name="Ç¥ÁØ_page 2 _06년,07년 대일일계획-060616-2006616 4" xfId="478" xr:uid="{00000000-0005-0000-0000-0000AB010000}"/>
    <cellStyle name="C￥AØ_page 2 _06년,07년 대일일계획-060616-2006616 5" xfId="479" xr:uid="{00000000-0005-0000-0000-0000AC010000}"/>
    <cellStyle name="Ç¥ÁØ_page 2 _06년,07년 대일일계획-060616-2006616 5" xfId="480" xr:uid="{00000000-0005-0000-0000-0000AD010000}"/>
    <cellStyle name="C￥AØ_page 2 _06년,07년 대일일계획-060616-2006616 6" xfId="481" xr:uid="{00000000-0005-0000-0000-0000AE010000}"/>
    <cellStyle name="Ç¥ÁØ_page 2 _06년,07년 대일일계획-060616-2006616 6" xfId="482" xr:uid="{00000000-0005-0000-0000-0000AF010000}"/>
    <cellStyle name="C￥AØ_page 2 _06년,07년 대일일계획-060616-2006616_10월생산계획" xfId="483" xr:uid="{00000000-0005-0000-0000-0000B0010000}"/>
    <cellStyle name="Ç¥ÁØ_page 2 _06년,07년 대일일계획-060616-2006616_10월생산계획" xfId="484" xr:uid="{00000000-0005-0000-0000-0000B1010000}"/>
    <cellStyle name="C￥AØ_page 2 _06년,07년 대일일계획-060616-2006616_6월생산계획" xfId="485" xr:uid="{00000000-0005-0000-0000-0000B2010000}"/>
    <cellStyle name="Ç¥ÁØ_page 2 _06년,07년 대일일계획-060616-2006616_6월생산계획" xfId="486" xr:uid="{00000000-0005-0000-0000-0000B3010000}"/>
    <cellStyle name="C￥AØ_page 2 _06년,07년 대일일계획-060616-2006616_8월생산계획(1)" xfId="487" xr:uid="{00000000-0005-0000-0000-0000B4010000}"/>
    <cellStyle name="Ç¥ÁØ_page 2 _06년,07년 대일일계획-060616-2006616_8월생산계획(1)" xfId="488" xr:uid="{00000000-0005-0000-0000-0000B5010000}"/>
    <cellStyle name="C￥AØ_page 2 _06년,07년 대일일계획-060616-2006616_8월생산계획110805" xfId="489" xr:uid="{00000000-0005-0000-0000-0000B6010000}"/>
    <cellStyle name="Ç¥ÁØ_page 2 _06년,07년 대일일계획-060616-2006616_8월생산계획110805" xfId="490" xr:uid="{00000000-0005-0000-0000-0000B7010000}"/>
    <cellStyle name="C￥AØ_page 2 _06년,07년 대일일계획-2006614" xfId="491" xr:uid="{00000000-0005-0000-0000-0000B8010000}"/>
    <cellStyle name="Ç¥ÁØ_page 2 _06년,07년 대일일계획-2006614" xfId="492" xr:uid="{00000000-0005-0000-0000-0000B9010000}"/>
    <cellStyle name="C￥AØ_page 2 _06년,07년 대일일계획-2006614 2" xfId="493" xr:uid="{00000000-0005-0000-0000-0000BA010000}"/>
    <cellStyle name="Ç¥ÁØ_page 2 _06년,07년 대일일계획-2006614 2" xfId="494" xr:uid="{00000000-0005-0000-0000-0000BB010000}"/>
    <cellStyle name="C￥AØ_page 2 _06년,07년 대일일계획-2006614 3" xfId="495" xr:uid="{00000000-0005-0000-0000-0000BC010000}"/>
    <cellStyle name="Ç¥ÁØ_page 2 _06년,07년 대일일계획-2006614 3" xfId="496" xr:uid="{00000000-0005-0000-0000-0000BD010000}"/>
    <cellStyle name="C￥AØ_page 2 _06년,07년 대일일계획-2006614 4" xfId="497" xr:uid="{00000000-0005-0000-0000-0000BE010000}"/>
    <cellStyle name="Ç¥ÁØ_page 2 _06년,07년 대일일계획-2006614 4" xfId="498" xr:uid="{00000000-0005-0000-0000-0000BF010000}"/>
    <cellStyle name="C￥AØ_page 2 _06년,07년 대일일계획-2006614 5" xfId="499" xr:uid="{00000000-0005-0000-0000-0000C0010000}"/>
    <cellStyle name="Ç¥ÁØ_page 2 _06년,07년 대일일계획-2006614 5" xfId="500" xr:uid="{00000000-0005-0000-0000-0000C1010000}"/>
    <cellStyle name="C￥AØ_page 2 _06년,07년 대일일계획-2006614 6" xfId="501" xr:uid="{00000000-0005-0000-0000-0000C2010000}"/>
    <cellStyle name="Ç¥ÁØ_page 2 _06년,07년 대일일계획-2006614 6" xfId="502" xr:uid="{00000000-0005-0000-0000-0000C3010000}"/>
    <cellStyle name="C￥AØ_page 2 _06년,07년 대일일계획-2006614_10월생산계획" xfId="503" xr:uid="{00000000-0005-0000-0000-0000C4010000}"/>
    <cellStyle name="Ç¥ÁØ_page 2 _06년,07년 대일일계획-2006614_10월생산계획" xfId="504" xr:uid="{00000000-0005-0000-0000-0000C5010000}"/>
    <cellStyle name="C￥AØ_page 2 _06년,07년 대일일계획-2006614_6월생산계획" xfId="505" xr:uid="{00000000-0005-0000-0000-0000C6010000}"/>
    <cellStyle name="Ç¥ÁØ_page 2 _06년,07년 대일일계획-2006614_6월생산계획" xfId="506" xr:uid="{00000000-0005-0000-0000-0000C7010000}"/>
    <cellStyle name="C￥AØ_page 2 _06년,07년 대일일계획-2006614_8월생산계획(1)" xfId="507" xr:uid="{00000000-0005-0000-0000-0000C8010000}"/>
    <cellStyle name="Ç¥ÁØ_page 2 _06년,07년 대일일계획-2006614_8월생산계획(1)" xfId="508" xr:uid="{00000000-0005-0000-0000-0000C9010000}"/>
    <cellStyle name="C￥AØ_page 2 _06년,07년 대일일계획-2006614_8월생산계획110805" xfId="509" xr:uid="{00000000-0005-0000-0000-0000CA010000}"/>
    <cellStyle name="Ç¥ÁØ_page 2 _06년,07년 대일일계획-2006614_8월생산계획110805" xfId="510" xr:uid="{00000000-0005-0000-0000-0000CB010000}"/>
    <cellStyle name="C￥AØ_page 2 _06년,07년 대일일계획-2006615" xfId="511" xr:uid="{00000000-0005-0000-0000-0000CC010000}"/>
    <cellStyle name="Ç¥ÁØ_page 2 _06년,07년 대일일계획-2006615" xfId="512" xr:uid="{00000000-0005-0000-0000-0000CD010000}"/>
    <cellStyle name="C￥AØ_page 2 _06년,07년 대일일계획-2006615 2" xfId="513" xr:uid="{00000000-0005-0000-0000-0000CE010000}"/>
    <cellStyle name="Ç¥ÁØ_page 2 _06년,07년 대일일계획-2006615 2" xfId="514" xr:uid="{00000000-0005-0000-0000-0000CF010000}"/>
    <cellStyle name="C￥AØ_page 2 _06년,07년 대일일계획-2006615 3" xfId="515" xr:uid="{00000000-0005-0000-0000-0000D0010000}"/>
    <cellStyle name="Ç¥ÁØ_page 2 _06년,07년 대일일계획-2006615 3" xfId="516" xr:uid="{00000000-0005-0000-0000-0000D1010000}"/>
    <cellStyle name="C￥AØ_page 2 _06년,07년 대일일계획-2006615 4" xfId="517" xr:uid="{00000000-0005-0000-0000-0000D2010000}"/>
    <cellStyle name="Ç¥ÁØ_page 2 _06년,07년 대일일계획-2006615 4" xfId="518" xr:uid="{00000000-0005-0000-0000-0000D3010000}"/>
    <cellStyle name="C￥AØ_page 2 _06년,07년 대일일계획-2006615 5" xfId="519" xr:uid="{00000000-0005-0000-0000-0000D4010000}"/>
    <cellStyle name="Ç¥ÁØ_page 2 _06년,07년 대일일계획-2006615 5" xfId="520" xr:uid="{00000000-0005-0000-0000-0000D5010000}"/>
    <cellStyle name="C￥AØ_page 2 _06년,07년 대일일계획-2006615 6" xfId="521" xr:uid="{00000000-0005-0000-0000-0000D6010000}"/>
    <cellStyle name="Ç¥ÁØ_page 2 _06년,07년 대일일계획-2006615 6" xfId="522" xr:uid="{00000000-0005-0000-0000-0000D7010000}"/>
    <cellStyle name="C￥AØ_page 2 _06년,07년 대일일계획-2006615_10월생산계획" xfId="523" xr:uid="{00000000-0005-0000-0000-0000D8010000}"/>
    <cellStyle name="Ç¥ÁØ_page 2 _06년,07년 대일일계획-2006615_10월생산계획" xfId="524" xr:uid="{00000000-0005-0000-0000-0000D9010000}"/>
    <cellStyle name="C￥AØ_page 2 _06년,07년 대일일계획-2006615_6월생산계획" xfId="525" xr:uid="{00000000-0005-0000-0000-0000DA010000}"/>
    <cellStyle name="Ç¥ÁØ_page 2 _06년,07년 대일일계획-2006615_6월생산계획" xfId="526" xr:uid="{00000000-0005-0000-0000-0000DB010000}"/>
    <cellStyle name="C￥AØ_page 2 _06년,07년 대일일계획-2006615_8월생산계획(1)" xfId="527" xr:uid="{00000000-0005-0000-0000-0000DC010000}"/>
    <cellStyle name="Ç¥ÁØ_page 2 _06년,07년 대일일계획-2006615_8월생산계획(1)" xfId="528" xr:uid="{00000000-0005-0000-0000-0000DD010000}"/>
    <cellStyle name="C￥AØ_page 2 _06년,07년 대일일계획-2006615_8월생산계획110805" xfId="529" xr:uid="{00000000-0005-0000-0000-0000DE010000}"/>
    <cellStyle name="Ç¥ÁØ_page 2 _06년,07년 대일일계획-2006615_8월생산계획110805" xfId="530" xr:uid="{00000000-0005-0000-0000-0000DF010000}"/>
    <cellStyle name="C￥AØ_page 2 _06년,07년 대일정계획(REV.1)-060706-200677" xfId="531" xr:uid="{00000000-0005-0000-0000-0000E0010000}"/>
    <cellStyle name="Ç¥ÁØ_page 2 _06년,07년 대일정계획(REV.1)-060706-200677" xfId="532" xr:uid="{00000000-0005-0000-0000-0000E1010000}"/>
    <cellStyle name="C￥AØ_page 2 _06년,07년 대일정계획(REV.1)-060706-200677 2" xfId="533" xr:uid="{00000000-0005-0000-0000-0000E2010000}"/>
    <cellStyle name="Ç¥ÁØ_page 2 _06년,07년 대일정계획(REV.1)-060706-200677 2" xfId="534" xr:uid="{00000000-0005-0000-0000-0000E3010000}"/>
    <cellStyle name="C￥AØ_page 2 _06년,07년 대일정계획(REV.1)-060706-200677 3" xfId="535" xr:uid="{00000000-0005-0000-0000-0000E4010000}"/>
    <cellStyle name="Ç¥ÁØ_page 2 _06년,07년 대일정계획(REV.1)-060706-200677 3" xfId="536" xr:uid="{00000000-0005-0000-0000-0000E5010000}"/>
    <cellStyle name="C￥AØ_page 2 _06년,07년 대일정계획(REV.1)-060706-200677 4" xfId="537" xr:uid="{00000000-0005-0000-0000-0000E6010000}"/>
    <cellStyle name="Ç¥ÁØ_page 2 _06년,07년 대일정계획(REV.1)-060706-200677 4" xfId="538" xr:uid="{00000000-0005-0000-0000-0000E7010000}"/>
    <cellStyle name="C￥AØ_page 2 _06년,07년 대일정계획(REV.1)-060706-200677 5" xfId="539" xr:uid="{00000000-0005-0000-0000-0000E8010000}"/>
    <cellStyle name="Ç¥ÁØ_page 2 _06년,07년 대일정계획(REV.1)-060706-200677 5" xfId="540" xr:uid="{00000000-0005-0000-0000-0000E9010000}"/>
    <cellStyle name="C￥AØ_page 2 _06년,07년 대일정계획(REV.1)-060706-200677 6" xfId="541" xr:uid="{00000000-0005-0000-0000-0000EA010000}"/>
    <cellStyle name="Ç¥ÁØ_page 2 _06년,07년 대일정계획(REV.1)-060706-200677 6" xfId="542" xr:uid="{00000000-0005-0000-0000-0000EB010000}"/>
    <cellStyle name="C￥AØ_page 2 _06년,07년 대일정계획(REV.1)-060706-200677_10월생산계획" xfId="543" xr:uid="{00000000-0005-0000-0000-0000EC010000}"/>
    <cellStyle name="Ç¥ÁØ_page 2 _06년,07년 대일정계획(REV.1)-060706-200677_10월생산계획" xfId="544" xr:uid="{00000000-0005-0000-0000-0000ED010000}"/>
    <cellStyle name="C￥AØ_page 2 _06년,07년 대일정계획(REV.1)-060706-200677_6월생산계획" xfId="545" xr:uid="{00000000-0005-0000-0000-0000EE010000}"/>
    <cellStyle name="Ç¥ÁØ_page 2 _06년,07년 대일정계획(REV.1)-060706-200677_6월생산계획" xfId="546" xr:uid="{00000000-0005-0000-0000-0000EF010000}"/>
    <cellStyle name="C￥AØ_page 2 _06년,07년 대일정계획(REV.1)-060706-200677_8월생산계획(1)" xfId="547" xr:uid="{00000000-0005-0000-0000-0000F0010000}"/>
    <cellStyle name="Ç¥ÁØ_page 2 _06년,07년 대일정계획(REV.1)-060706-200677_8월생산계획(1)" xfId="548" xr:uid="{00000000-0005-0000-0000-0000F1010000}"/>
    <cellStyle name="C￥AØ_page 2 _06년,07년 대일정계획(REV.1)-060706-200677_8월생산계획110805" xfId="549" xr:uid="{00000000-0005-0000-0000-0000F2010000}"/>
    <cellStyle name="Ç¥ÁØ_page 2 _06년,07년 대일정계획(REV.1)-060706-200677_8월생산계획110805" xfId="550" xr:uid="{00000000-0005-0000-0000-0000F3010000}"/>
    <cellStyle name="C￥AØ_page 2 _10월생산계획" xfId="551" xr:uid="{00000000-0005-0000-0000-0000F4010000}"/>
    <cellStyle name="Ç¥ÁØ_page 2 _10월생산계획" xfId="552" xr:uid="{00000000-0005-0000-0000-0000F5010000}"/>
    <cellStyle name="C￥AØ_page 2 _1차 종합보고(030221)" xfId="553" xr:uid="{00000000-0005-0000-0000-0000F6010000}"/>
    <cellStyle name="Ç¥ÁØ_page 2 _1차 종합보고(030221)" xfId="554" xr:uid="{00000000-0005-0000-0000-0000F7010000}"/>
    <cellStyle name="C￥AØ_page 2 _1차 종합보고(030221) 2" xfId="555" xr:uid="{00000000-0005-0000-0000-0000F8010000}"/>
    <cellStyle name="Ç¥ÁØ_page 2 _1차 종합보고(030221) 2" xfId="556" xr:uid="{00000000-0005-0000-0000-0000F9010000}"/>
    <cellStyle name="C￥AØ_page 2 _1차 종합보고(030221) 3" xfId="557" xr:uid="{00000000-0005-0000-0000-0000FA010000}"/>
    <cellStyle name="Ç¥ÁØ_page 2 _1차 종합보고(030221) 3" xfId="558" xr:uid="{00000000-0005-0000-0000-0000FB010000}"/>
    <cellStyle name="C￥AØ_page 2 _1차 종합보고(030221) 4" xfId="559" xr:uid="{00000000-0005-0000-0000-0000FC010000}"/>
    <cellStyle name="Ç¥ÁØ_page 2 _1차 종합보고(030221) 4" xfId="560" xr:uid="{00000000-0005-0000-0000-0000FD010000}"/>
    <cellStyle name="C￥AØ_page 2 _1차 종합보고(030221) 5" xfId="561" xr:uid="{00000000-0005-0000-0000-0000FE010000}"/>
    <cellStyle name="Ç¥ÁØ_page 2 _1차 종합보고(030221) 5" xfId="562" xr:uid="{00000000-0005-0000-0000-0000FF010000}"/>
    <cellStyle name="C￥AØ_page 2 _1차 종합보고(030221) 6" xfId="563" xr:uid="{00000000-0005-0000-0000-000000020000}"/>
    <cellStyle name="Ç¥ÁØ_page 2 _1차 종합보고(030221) 6" xfId="564" xr:uid="{00000000-0005-0000-0000-000001020000}"/>
    <cellStyle name="C￥AØ_page 2 _1차 종합보고(030221)_10월생산계획" xfId="565" xr:uid="{00000000-0005-0000-0000-000002020000}"/>
    <cellStyle name="Ç¥ÁØ_page 2 _1차 종합보고(030221)_10월생산계획" xfId="566" xr:uid="{00000000-0005-0000-0000-000003020000}"/>
    <cellStyle name="C￥AØ_page 2 _1차 종합보고(030221)_6월생산계획" xfId="567" xr:uid="{00000000-0005-0000-0000-000004020000}"/>
    <cellStyle name="Ç¥ÁØ_page 2 _1차 종합보고(030221)_6월생산계획" xfId="568" xr:uid="{00000000-0005-0000-0000-000005020000}"/>
    <cellStyle name="C￥AØ_page 2 _1차 종합보고(030221)_8월생산계획(1)" xfId="569" xr:uid="{00000000-0005-0000-0000-000006020000}"/>
    <cellStyle name="Ç¥ÁØ_page 2 _1차 종합보고(030221)_8월생산계획(1)" xfId="570" xr:uid="{00000000-0005-0000-0000-000007020000}"/>
    <cellStyle name="C￥AØ_page 2 _1차 종합보고(030221)_8월생산계획110805" xfId="571" xr:uid="{00000000-0005-0000-0000-000008020000}"/>
    <cellStyle name="Ç¥ÁØ_page 2 _1차 종합보고(030221)_8월생산계획110805" xfId="572" xr:uid="{00000000-0005-0000-0000-000009020000}"/>
    <cellStyle name="C￥AØ_page 2 _2002 투자 미집행내역" xfId="573" xr:uid="{00000000-0005-0000-0000-00000A020000}"/>
    <cellStyle name="Ç¥ÁØ_page 2 _2002 투자 미집행내역" xfId="574" xr:uid="{00000000-0005-0000-0000-00000B020000}"/>
    <cellStyle name="C￥AØ_page 2 _2002년 철차부문투자예상실적1114" xfId="575" xr:uid="{00000000-0005-0000-0000-00000C020000}"/>
    <cellStyle name="Ç¥ÁØ_page 2 _2002년 철차부문투자예상실적1114" xfId="576" xr:uid="{00000000-0005-0000-0000-00000D020000}"/>
    <cellStyle name="C￥AØ_page 2 _2003년 시설투자 계획_TPI " xfId="577" xr:uid="{00000000-0005-0000-0000-00000E020000}"/>
    <cellStyle name="Ç¥ÁØ_page 2 _2003년 시설투자 계획_TPI " xfId="578" xr:uid="{00000000-0005-0000-0000-00000F020000}"/>
    <cellStyle name="C￥AØ_page 2 _2003년 시설투자 계획_TPI  2" xfId="579" xr:uid="{00000000-0005-0000-0000-000010020000}"/>
    <cellStyle name="Ç¥ÁØ_page 2 _2003년 시설투자 계획_TPI  2" xfId="580" xr:uid="{00000000-0005-0000-0000-000011020000}"/>
    <cellStyle name="C￥AØ_page 2 _2003년 시설투자 계획_TPI  3" xfId="581" xr:uid="{00000000-0005-0000-0000-000012020000}"/>
    <cellStyle name="Ç¥ÁØ_page 2 _2003년 시설투자 계획_TPI  3" xfId="582" xr:uid="{00000000-0005-0000-0000-000013020000}"/>
    <cellStyle name="C￥AØ_page 2 _2003년 시설투자 계획_TPI  4" xfId="583" xr:uid="{00000000-0005-0000-0000-000014020000}"/>
    <cellStyle name="Ç¥ÁØ_page 2 _2003년 시설투자 계획_TPI  4" xfId="584" xr:uid="{00000000-0005-0000-0000-000015020000}"/>
    <cellStyle name="C￥AØ_page 2 _2003년 시설투자 계획_TPI  5" xfId="585" xr:uid="{00000000-0005-0000-0000-000016020000}"/>
    <cellStyle name="Ç¥ÁØ_page 2 _2003년 시설투자 계획_TPI  5" xfId="586" xr:uid="{00000000-0005-0000-0000-000017020000}"/>
    <cellStyle name="C￥AØ_page 2 _2003년 시설투자 계획_TPI  6" xfId="587" xr:uid="{00000000-0005-0000-0000-000018020000}"/>
    <cellStyle name="Ç¥ÁØ_page 2 _2003년 시설투자 계획_TPI  6" xfId="588" xr:uid="{00000000-0005-0000-0000-000019020000}"/>
    <cellStyle name="C￥AØ_page 2 _2003년 시설투자 계획_TPI _10월생산계획" xfId="589" xr:uid="{00000000-0005-0000-0000-00001A020000}"/>
    <cellStyle name="Ç¥ÁØ_page 2 _2003년 시설투자 계획_TPI _10월생산계획" xfId="590" xr:uid="{00000000-0005-0000-0000-00001B020000}"/>
    <cellStyle name="C￥AØ_page 2 _2003년 시설투자 계획_TPI _6월생산계획" xfId="591" xr:uid="{00000000-0005-0000-0000-00001C020000}"/>
    <cellStyle name="Ç¥ÁØ_page 2 _2003년 시설투자 계획_TPI _6월생산계획" xfId="592" xr:uid="{00000000-0005-0000-0000-00001D020000}"/>
    <cellStyle name="C￥AØ_page 2 _2003년 시설투자 계획_TPI _8월생산계획(1)" xfId="593" xr:uid="{00000000-0005-0000-0000-00001E020000}"/>
    <cellStyle name="Ç¥ÁØ_page 2 _2003년 시설투자 계획_TPI _8월생산계획(1)" xfId="594" xr:uid="{00000000-0005-0000-0000-00001F020000}"/>
    <cellStyle name="C￥AØ_page 2 _2003년 시설투자 계획_TPI _8월생산계획110805" xfId="595" xr:uid="{00000000-0005-0000-0000-000020020000}"/>
    <cellStyle name="Ç¥ÁØ_page 2 _2003년 시설투자 계획_TPI _8월생산계획110805" xfId="596" xr:uid="{00000000-0005-0000-0000-000021020000}"/>
    <cellStyle name="C￥AØ_page 2 _2003년및중장기투자계획_중앙연구소_020926" xfId="597" xr:uid="{00000000-0005-0000-0000-000022020000}"/>
    <cellStyle name="Ç¥ÁØ_page 2 _2003년및중장기투자계획_중앙연구소_020926" xfId="598" xr:uid="{00000000-0005-0000-0000-000023020000}"/>
    <cellStyle name="C￥AØ_page 2 _2003년투자계획수정최종0106" xfId="599" xr:uid="{00000000-0005-0000-0000-000024020000}"/>
    <cellStyle name="Ç¥ÁØ_page 2 _2003년투자계획수정최종0106" xfId="600" xr:uid="{00000000-0005-0000-0000-000025020000}"/>
    <cellStyle name="C￥AØ_page 2 _2003년투자종합최종(0106)R2_code" xfId="601" xr:uid="{00000000-0005-0000-0000-000026020000}"/>
    <cellStyle name="Ç¥ÁØ_page 2 _2003년투자종합최종(0106)R2_code" xfId="602" xr:uid="{00000000-0005-0000-0000-000027020000}"/>
    <cellStyle name="C￥AØ_page 2 _2003년투자종합최종(0106)R2_code 2" xfId="603" xr:uid="{00000000-0005-0000-0000-000028020000}"/>
    <cellStyle name="Ç¥ÁØ_page 2 _2003년투자종합최종(0106)R2_code 2" xfId="604" xr:uid="{00000000-0005-0000-0000-000029020000}"/>
    <cellStyle name="C￥AØ_page 2 _2003년투자종합최종(0106)R2_code 3" xfId="605" xr:uid="{00000000-0005-0000-0000-00002A020000}"/>
    <cellStyle name="Ç¥ÁØ_page 2 _2003년투자종합최종(0106)R2_code 3" xfId="606" xr:uid="{00000000-0005-0000-0000-00002B020000}"/>
    <cellStyle name="C￥AØ_page 2 _2003년투자종합최종(0106)R2_code 4" xfId="607" xr:uid="{00000000-0005-0000-0000-00002C020000}"/>
    <cellStyle name="Ç¥ÁØ_page 2 _2003년투자종합최종(0106)R2_code 4" xfId="608" xr:uid="{00000000-0005-0000-0000-00002D020000}"/>
    <cellStyle name="C￥AØ_page 2 _2003년투자종합최종(0106)R2_code 5" xfId="609" xr:uid="{00000000-0005-0000-0000-00002E020000}"/>
    <cellStyle name="Ç¥ÁØ_page 2 _2003년투자종합최종(0106)R2_code 5" xfId="610" xr:uid="{00000000-0005-0000-0000-00002F020000}"/>
    <cellStyle name="C￥AØ_page 2 _2003년투자종합최종(0106)R2_code 6" xfId="611" xr:uid="{00000000-0005-0000-0000-000030020000}"/>
    <cellStyle name="Ç¥ÁØ_page 2 _2003년투자종합최종(0106)R2_code 6" xfId="612" xr:uid="{00000000-0005-0000-0000-000031020000}"/>
    <cellStyle name="C￥AØ_page 2 _2003년투자종합최종(0106)R2_code_10월생산계획" xfId="613" xr:uid="{00000000-0005-0000-0000-000032020000}"/>
    <cellStyle name="Ç¥ÁØ_page 2 _2003년투자종합최종(0106)R2_code_10월생산계획" xfId="614" xr:uid="{00000000-0005-0000-0000-000033020000}"/>
    <cellStyle name="C￥AØ_page 2 _2003년투자종합최종(0106)R2_code_6월생산계획" xfId="615" xr:uid="{00000000-0005-0000-0000-000034020000}"/>
    <cellStyle name="Ç¥ÁØ_page 2 _2003년투자종합최종(0106)R2_code_6월생산계획" xfId="616" xr:uid="{00000000-0005-0000-0000-000035020000}"/>
    <cellStyle name="C￥AØ_page 2 _2003년투자종합최종(0106)R2_code_8월생산계획(1)" xfId="617" xr:uid="{00000000-0005-0000-0000-000036020000}"/>
    <cellStyle name="Ç¥ÁØ_page 2 _2003년투자종합최종(0106)R2_code_8월생산계획(1)" xfId="618" xr:uid="{00000000-0005-0000-0000-000037020000}"/>
    <cellStyle name="C￥AØ_page 2 _2003년투자종합최종(0106)R2_code_8월생산계획110805" xfId="619" xr:uid="{00000000-0005-0000-0000-000038020000}"/>
    <cellStyle name="Ç¥ÁØ_page 2 _2003년투자종합최종(0106)R2_code_8월생산계획110805" xfId="620" xr:uid="{00000000-0005-0000-0000-000039020000}"/>
    <cellStyle name="C￥AØ_page 2 _2003년투자종합최종(0109)" xfId="621" xr:uid="{00000000-0005-0000-0000-00003A020000}"/>
    <cellStyle name="Ç¥ÁØ_page 2 _2003년투자종합최종(0109)" xfId="622" xr:uid="{00000000-0005-0000-0000-00003B020000}"/>
    <cellStyle name="C￥AØ_page 2 _2003년투자종합최종(0109) 2" xfId="623" xr:uid="{00000000-0005-0000-0000-00003C020000}"/>
    <cellStyle name="Ç¥ÁØ_page 2 _2003년투자종합최종(0109) 2" xfId="624" xr:uid="{00000000-0005-0000-0000-00003D020000}"/>
    <cellStyle name="C￥AØ_page 2 _2003년투자종합최종(0109) 3" xfId="625" xr:uid="{00000000-0005-0000-0000-00003E020000}"/>
    <cellStyle name="Ç¥ÁØ_page 2 _2003년투자종합최종(0109) 3" xfId="626" xr:uid="{00000000-0005-0000-0000-00003F020000}"/>
    <cellStyle name="C￥AØ_page 2 _2003년투자종합최종(0109) 4" xfId="627" xr:uid="{00000000-0005-0000-0000-000040020000}"/>
    <cellStyle name="Ç¥ÁØ_page 2 _2003년투자종합최종(0109) 4" xfId="628" xr:uid="{00000000-0005-0000-0000-000041020000}"/>
    <cellStyle name="C￥AØ_page 2 _2003년투자종합최종(0109) 5" xfId="629" xr:uid="{00000000-0005-0000-0000-000042020000}"/>
    <cellStyle name="Ç¥ÁØ_page 2 _2003년투자종합최종(0109) 5" xfId="630" xr:uid="{00000000-0005-0000-0000-000043020000}"/>
    <cellStyle name="C￥AØ_page 2 _2003년투자종합최종(0109) 6" xfId="631" xr:uid="{00000000-0005-0000-0000-000044020000}"/>
    <cellStyle name="Ç¥ÁØ_page 2 _2003년투자종합최종(0109) 6" xfId="632" xr:uid="{00000000-0005-0000-0000-000045020000}"/>
    <cellStyle name="C￥AØ_page 2 _2003년투자종합최종(0109)_10월생산계획" xfId="633" xr:uid="{00000000-0005-0000-0000-000046020000}"/>
    <cellStyle name="Ç¥ÁØ_page 2 _2003년투자종합최종(0109)_10월생산계획" xfId="634" xr:uid="{00000000-0005-0000-0000-000047020000}"/>
    <cellStyle name="C￥AØ_page 2 _2003년투자종합최종(0109)_6월생산계획" xfId="635" xr:uid="{00000000-0005-0000-0000-000048020000}"/>
    <cellStyle name="Ç¥ÁØ_page 2 _2003년투자종합최종(0109)_6월생산계획" xfId="636" xr:uid="{00000000-0005-0000-0000-000049020000}"/>
    <cellStyle name="C￥AØ_page 2 _2003년투자종합최종(0109)_8월생산계획(1)" xfId="637" xr:uid="{00000000-0005-0000-0000-00004A020000}"/>
    <cellStyle name="Ç¥ÁØ_page 2 _2003년투자종합최종(0109)_8월생산계획(1)" xfId="638" xr:uid="{00000000-0005-0000-0000-00004B020000}"/>
    <cellStyle name="C￥AØ_page 2 _2003년투자종합최종(0109)_8월생산계획110805" xfId="639" xr:uid="{00000000-0005-0000-0000-00004C020000}"/>
    <cellStyle name="Ç¥ÁØ_page 2 _2003년투자종합최종(0109)_8월생산계획110805" xfId="640" xr:uid="{00000000-0005-0000-0000-00004D020000}"/>
    <cellStyle name="C￥AØ_page 2 _2003년투자종합최종(12.18)사장님결재_통보용" xfId="641" xr:uid="{00000000-0005-0000-0000-00004E020000}"/>
    <cellStyle name="Ç¥ÁØ_page 2 _2003년투자종합최종(12.18)사장님결재_통보용" xfId="642" xr:uid="{00000000-0005-0000-0000-00004F020000}"/>
    <cellStyle name="C￥AØ_page 2 _2003년투자종합최종(12.18)사장님결재_통보용 2" xfId="643" xr:uid="{00000000-0005-0000-0000-000050020000}"/>
    <cellStyle name="Ç¥ÁØ_page 2 _2003년투자종합최종(12.18)사장님결재_통보용 2" xfId="644" xr:uid="{00000000-0005-0000-0000-000051020000}"/>
    <cellStyle name="C￥AØ_page 2 _2003년투자종합최종(12.18)사장님결재_통보용 3" xfId="645" xr:uid="{00000000-0005-0000-0000-000052020000}"/>
    <cellStyle name="Ç¥ÁØ_page 2 _2003년투자종합최종(12.18)사장님결재_통보용 3" xfId="646" xr:uid="{00000000-0005-0000-0000-000053020000}"/>
    <cellStyle name="C￥AØ_page 2 _2003년투자종합최종(12.18)사장님결재_통보용 4" xfId="647" xr:uid="{00000000-0005-0000-0000-000054020000}"/>
    <cellStyle name="Ç¥ÁØ_page 2 _2003년투자종합최종(12.18)사장님결재_통보용 4" xfId="648" xr:uid="{00000000-0005-0000-0000-000055020000}"/>
    <cellStyle name="C￥AØ_page 2 _2003년투자종합최종(12.18)사장님결재_통보용 5" xfId="649" xr:uid="{00000000-0005-0000-0000-000056020000}"/>
    <cellStyle name="Ç¥ÁØ_page 2 _2003년투자종합최종(12.18)사장님결재_통보용 5" xfId="650" xr:uid="{00000000-0005-0000-0000-000057020000}"/>
    <cellStyle name="C￥AØ_page 2 _2003년투자종합최종(12.18)사장님결재_통보용 6" xfId="651" xr:uid="{00000000-0005-0000-0000-000058020000}"/>
    <cellStyle name="Ç¥ÁØ_page 2 _2003년투자종합최종(12.18)사장님결재_통보용 6" xfId="652" xr:uid="{00000000-0005-0000-0000-000059020000}"/>
    <cellStyle name="C￥AØ_page 2 _2003년투자종합최종(12.18)사장님결재_통보용_10월생산계획" xfId="653" xr:uid="{00000000-0005-0000-0000-00005A020000}"/>
    <cellStyle name="Ç¥ÁØ_page 2 _2003년투자종합최종(12.18)사장님결재_통보용_10월생산계획" xfId="654" xr:uid="{00000000-0005-0000-0000-00005B020000}"/>
    <cellStyle name="C￥AØ_page 2 _2003년투자종합최종(12.18)사장님결재_통보용_6월생산계획" xfId="655" xr:uid="{00000000-0005-0000-0000-00005C020000}"/>
    <cellStyle name="Ç¥ÁØ_page 2 _2003년투자종합최종(12.18)사장님결재_통보용_6월생산계획" xfId="656" xr:uid="{00000000-0005-0000-0000-00005D020000}"/>
    <cellStyle name="C￥AØ_page 2 _2003년투자종합최종(12.18)사장님결재_통보용_8월생산계획(1)" xfId="657" xr:uid="{00000000-0005-0000-0000-00005E020000}"/>
    <cellStyle name="Ç¥ÁØ_page 2 _2003년투자종합최종(12.18)사장님결재_통보용_8월생산계획(1)" xfId="658" xr:uid="{00000000-0005-0000-0000-00005F020000}"/>
    <cellStyle name="C￥AØ_page 2 _2003년투자종합최종(12.18)사장님결재_통보용_8월생산계획110805" xfId="659" xr:uid="{00000000-0005-0000-0000-000060020000}"/>
    <cellStyle name="Ç¥ÁØ_page 2 _2003년투자종합최종(12.18)사장님결재_통보용_8월생산계획110805" xfId="660" xr:uid="{00000000-0005-0000-0000-000061020000}"/>
    <cellStyle name="C￥AØ_page 2 _2003시설투자실적집계(03.08.18)대금지불기준(작업용-2)" xfId="661" xr:uid="{00000000-0005-0000-0000-000062020000}"/>
    <cellStyle name="Ç¥ÁØ_page 2 _2003시설투자실적집계(03.08.18)대금지불기준(작업용-2)" xfId="662" xr:uid="{00000000-0005-0000-0000-000063020000}"/>
    <cellStyle name="C￥AØ_page 2 _2004 기관차  생산량 검토" xfId="663" xr:uid="{00000000-0005-0000-0000-000064020000}"/>
    <cellStyle name="Ç¥ÁØ_page 2 _2004 기관차  생산량 검토" xfId="664" xr:uid="{00000000-0005-0000-0000-000065020000}"/>
    <cellStyle name="C￥AØ_page 2 _2004 기관차  생산량 검토 2" xfId="665" xr:uid="{00000000-0005-0000-0000-000066020000}"/>
    <cellStyle name="Ç¥ÁØ_page 2 _2004 기관차  생산량 검토 2" xfId="666" xr:uid="{00000000-0005-0000-0000-000067020000}"/>
    <cellStyle name="C￥AØ_page 2 _2004 기관차  생산량 검토 3" xfId="667" xr:uid="{00000000-0005-0000-0000-000068020000}"/>
    <cellStyle name="Ç¥ÁØ_page 2 _2004 기관차  생산량 검토 3" xfId="668" xr:uid="{00000000-0005-0000-0000-000069020000}"/>
    <cellStyle name="C￥AØ_page 2 _2004 기관차  생산량 검토 4" xfId="669" xr:uid="{00000000-0005-0000-0000-00006A020000}"/>
    <cellStyle name="Ç¥ÁØ_page 2 _2004 기관차  생산량 검토 4" xfId="670" xr:uid="{00000000-0005-0000-0000-00006B020000}"/>
    <cellStyle name="C￥AØ_page 2 _2004 기관차  생산량 검토 5" xfId="671" xr:uid="{00000000-0005-0000-0000-00006C020000}"/>
    <cellStyle name="Ç¥ÁØ_page 2 _2004 기관차  생산량 검토 5" xfId="672" xr:uid="{00000000-0005-0000-0000-00006D020000}"/>
    <cellStyle name="C￥AØ_page 2 _2004 기관차  생산량 검토 6" xfId="673" xr:uid="{00000000-0005-0000-0000-00006E020000}"/>
    <cellStyle name="Ç¥ÁØ_page 2 _2004 기관차  생산량 검토 6" xfId="674" xr:uid="{00000000-0005-0000-0000-00006F020000}"/>
    <cellStyle name="C￥AØ_page 2 _2004 기관차  생산량 검토_10월생산계획" xfId="675" xr:uid="{00000000-0005-0000-0000-000070020000}"/>
    <cellStyle name="Ç¥ÁØ_page 2 _2004 기관차  생산량 검토_10월생산계획" xfId="676" xr:uid="{00000000-0005-0000-0000-000071020000}"/>
    <cellStyle name="C￥AØ_page 2 _2004 기관차  생산량 검토_6월생산계획" xfId="677" xr:uid="{00000000-0005-0000-0000-000072020000}"/>
    <cellStyle name="Ç¥ÁØ_page 2 _2004 기관차  생산량 검토_6월생산계획" xfId="678" xr:uid="{00000000-0005-0000-0000-000073020000}"/>
    <cellStyle name="C￥AØ_page 2 _2004 기관차  생산량 검토_8월생산계획(1)" xfId="679" xr:uid="{00000000-0005-0000-0000-000074020000}"/>
    <cellStyle name="Ç¥ÁØ_page 2 _2004 기관차  생산량 검토_8월생산계획(1)" xfId="680" xr:uid="{00000000-0005-0000-0000-000075020000}"/>
    <cellStyle name="C￥AØ_page 2 _2004 기관차  생산량 검토_8월생산계획110805" xfId="681" xr:uid="{00000000-0005-0000-0000-000076020000}"/>
    <cellStyle name="Ç¥ÁØ_page 2 _2004 기관차  생산량 검토_8월생산계획110805" xfId="682" xr:uid="{00000000-0005-0000-0000-000077020000}"/>
    <cellStyle name="C￥AØ_page 2 _2004기관차 생산계획 보고-040212" xfId="683" xr:uid="{00000000-0005-0000-0000-000078020000}"/>
    <cellStyle name="Ç¥ÁØ_page 2 _2004기관차 생산계획 보고-040212" xfId="684" xr:uid="{00000000-0005-0000-0000-000079020000}"/>
    <cellStyle name="C￥AØ_page 2 _6월생산계획" xfId="685" xr:uid="{00000000-0005-0000-0000-00007A020000}"/>
    <cellStyle name="Ç¥ÁØ_page 2 _6월생산계획" xfId="686" xr:uid="{00000000-0005-0000-0000-00007B020000}"/>
    <cellStyle name="C￥AØ_page 2 _8월생산계획(1)" xfId="687" xr:uid="{00000000-0005-0000-0000-00007C020000}"/>
    <cellStyle name="Ç¥ÁØ_page 2 _8월생산계획(1)" xfId="688" xr:uid="{00000000-0005-0000-0000-00007D020000}"/>
    <cellStyle name="C￥AØ_page 2 _8월생산계획110805" xfId="689" xr:uid="{00000000-0005-0000-0000-00007E020000}"/>
    <cellStyle name="Ç¥ÁØ_page 2 _8월생산계획110805" xfId="690" xr:uid="{00000000-0005-0000-0000-00007F020000}"/>
    <cellStyle name="C￥AØ_page 2 _Book1" xfId="691" xr:uid="{00000000-0005-0000-0000-000080020000}"/>
    <cellStyle name="Ç¥ÁØ_page 2 _Book1" xfId="692" xr:uid="{00000000-0005-0000-0000-000081020000}"/>
    <cellStyle name="C￥AØ_page 2 _Book2" xfId="693" xr:uid="{00000000-0005-0000-0000-000082020000}"/>
    <cellStyle name="Ç¥ÁØ_page 2 _Book2" xfId="694" xr:uid="{00000000-0005-0000-0000-000083020000}"/>
    <cellStyle name="C￥AØ_page 2 _Book2 2" xfId="695" xr:uid="{00000000-0005-0000-0000-000084020000}"/>
    <cellStyle name="Ç¥ÁØ_page 2 _Book2 2" xfId="696" xr:uid="{00000000-0005-0000-0000-000085020000}"/>
    <cellStyle name="C￥AØ_page 2 _Book2 3" xfId="697" xr:uid="{00000000-0005-0000-0000-000086020000}"/>
    <cellStyle name="Ç¥ÁØ_page 2 _Book2 3" xfId="698" xr:uid="{00000000-0005-0000-0000-000087020000}"/>
    <cellStyle name="C￥AØ_page 2 _Book2 4" xfId="699" xr:uid="{00000000-0005-0000-0000-000088020000}"/>
    <cellStyle name="Ç¥ÁØ_page 2 _Book2 4" xfId="700" xr:uid="{00000000-0005-0000-0000-000089020000}"/>
    <cellStyle name="C￥AØ_page 2 _Book2 5" xfId="701" xr:uid="{00000000-0005-0000-0000-00008A020000}"/>
    <cellStyle name="Ç¥ÁØ_page 2 _Book2 5" xfId="702" xr:uid="{00000000-0005-0000-0000-00008B020000}"/>
    <cellStyle name="C￥AØ_page 2 _Book2 6" xfId="703" xr:uid="{00000000-0005-0000-0000-00008C020000}"/>
    <cellStyle name="Ç¥ÁØ_page 2 _Book2 6" xfId="704" xr:uid="{00000000-0005-0000-0000-00008D020000}"/>
    <cellStyle name="C￥AØ_page 2 _Book2_10월생산계획" xfId="705" xr:uid="{00000000-0005-0000-0000-00008E020000}"/>
    <cellStyle name="Ç¥ÁØ_page 2 _Book2_10월생산계획" xfId="706" xr:uid="{00000000-0005-0000-0000-00008F020000}"/>
    <cellStyle name="C￥AØ_page 2 _Book2_6월생산계획" xfId="707" xr:uid="{00000000-0005-0000-0000-000090020000}"/>
    <cellStyle name="Ç¥ÁØ_page 2 _Book2_6월생산계획" xfId="708" xr:uid="{00000000-0005-0000-0000-000091020000}"/>
    <cellStyle name="C￥AØ_page 2 _Book2_8월생산계획(1)" xfId="709" xr:uid="{00000000-0005-0000-0000-000092020000}"/>
    <cellStyle name="Ç¥ÁØ_page 2 _Book2_8월생산계획(1)" xfId="710" xr:uid="{00000000-0005-0000-0000-000093020000}"/>
    <cellStyle name="C￥AØ_page 2 _Book2_8월생산계획110805" xfId="711" xr:uid="{00000000-0005-0000-0000-000094020000}"/>
    <cellStyle name="Ç¥ÁØ_page 2 _Book2_8월생산계획110805" xfId="712" xr:uid="{00000000-0005-0000-0000-000095020000}"/>
    <cellStyle name="C￥AØ_page 2 _J2-7003(생산효율개선계획(아테네전동차)" xfId="713" xr:uid="{00000000-0005-0000-0000-000096020000}"/>
    <cellStyle name="Ç¥ÁØ_page 2 _J2-7003(생산효율개선계획(아테네전동차)" xfId="714" xr:uid="{00000000-0005-0000-0000-000097020000}"/>
    <cellStyle name="C￥AØ_page 2 _J4-7011(생산 효율개선계획 보고-200301)" xfId="715" xr:uid="{00000000-0005-0000-0000-000098020000}"/>
    <cellStyle name="Ç¥ÁØ_page 2 _J4-7011(생산 효율개선계획 보고-200301)" xfId="716" xr:uid="{00000000-0005-0000-0000-000099020000}"/>
    <cellStyle name="C￥AØ_page 2 _J4-7011(생산 효율개선계획 보고-200301) 2" xfId="717" xr:uid="{00000000-0005-0000-0000-00009A020000}"/>
    <cellStyle name="Ç¥ÁØ_page 2 _J4-7011(생산 효율개선계획 보고-200301) 2" xfId="718" xr:uid="{00000000-0005-0000-0000-00009B020000}"/>
    <cellStyle name="C￥AØ_page 2 _J4-7011(생산 효율개선계획 보고-200301) 3" xfId="719" xr:uid="{00000000-0005-0000-0000-00009C020000}"/>
    <cellStyle name="Ç¥ÁØ_page 2 _J4-7011(생산 효율개선계획 보고-200301) 3" xfId="720" xr:uid="{00000000-0005-0000-0000-00009D020000}"/>
    <cellStyle name="C￥AØ_page 2 _J4-7011(생산 효율개선계획 보고-200301) 4" xfId="721" xr:uid="{00000000-0005-0000-0000-00009E020000}"/>
    <cellStyle name="Ç¥ÁØ_page 2 _J4-7011(생산 효율개선계획 보고-200301) 4" xfId="722" xr:uid="{00000000-0005-0000-0000-00009F020000}"/>
    <cellStyle name="C￥AØ_page 2 _J4-7011(생산 효율개선계획 보고-200301) 5" xfId="723" xr:uid="{00000000-0005-0000-0000-0000A0020000}"/>
    <cellStyle name="Ç¥ÁØ_page 2 _J4-7011(생산 효율개선계획 보고-200301) 5" xfId="724" xr:uid="{00000000-0005-0000-0000-0000A1020000}"/>
    <cellStyle name="C￥AØ_page 2 _J4-7011(생산 효율개선계획 보고-200301) 6" xfId="725" xr:uid="{00000000-0005-0000-0000-0000A2020000}"/>
    <cellStyle name="Ç¥ÁØ_page 2 _J4-7011(생산 효율개선계획 보고-200301) 6" xfId="726" xr:uid="{00000000-0005-0000-0000-0000A3020000}"/>
    <cellStyle name="C￥AØ_page 2 _J4-7011(생산 효율개선계획 보고-200301)_10월생산계획" xfId="727" xr:uid="{00000000-0005-0000-0000-0000A4020000}"/>
    <cellStyle name="Ç¥ÁØ_page 2 _J4-7011(생산 효율개선계획 보고-200301)_10월생산계획" xfId="728" xr:uid="{00000000-0005-0000-0000-0000A5020000}"/>
    <cellStyle name="C￥AØ_page 2 _J4-7011(생산 효율개선계획 보고-200301)_6월생산계획" xfId="729" xr:uid="{00000000-0005-0000-0000-0000A6020000}"/>
    <cellStyle name="Ç¥ÁØ_page 2 _J4-7011(생산 효율개선계획 보고-200301)_6월생산계획" xfId="730" xr:uid="{00000000-0005-0000-0000-0000A7020000}"/>
    <cellStyle name="C￥AØ_page 2 _J4-7011(생산 효율개선계획 보고-200301)_8월생산계획(1)" xfId="731" xr:uid="{00000000-0005-0000-0000-0000A8020000}"/>
    <cellStyle name="Ç¥ÁØ_page 2 _J4-7011(생산 효율개선계획 보고-200301)_8월생산계획(1)" xfId="732" xr:uid="{00000000-0005-0000-0000-0000A9020000}"/>
    <cellStyle name="C￥AØ_page 2 _J4-7011(생산 효율개선계획 보고-200301)_8월생산계획110805" xfId="733" xr:uid="{00000000-0005-0000-0000-0000AA020000}"/>
    <cellStyle name="Ç¥ÁØ_page 2 _J4-7011(생산 효율개선계획 보고-200301)_8월생산계획110805" xfId="734" xr:uid="{00000000-0005-0000-0000-0000AB020000}"/>
    <cellStyle name="C￥AØ_page 2 _J4-7022(동력객차 생산효율향상 1차 보고자료(030221)" xfId="735" xr:uid="{00000000-0005-0000-0000-0000AC020000}"/>
    <cellStyle name="Ç¥ÁØ_page 2 _J4-7022(동력객차 생산효율향상 1차 보고자료(030221)" xfId="736" xr:uid="{00000000-0005-0000-0000-0000AD020000}"/>
    <cellStyle name="C￥AØ_page 2 _J4-7022(동력객차 생산효율향상 1차 보고자료(030221) 2" xfId="737" xr:uid="{00000000-0005-0000-0000-0000AE020000}"/>
    <cellStyle name="Ç¥ÁØ_page 2 _J4-7022(동력객차 생산효율향상 1차 보고자료(030221) 2" xfId="738" xr:uid="{00000000-0005-0000-0000-0000AF020000}"/>
    <cellStyle name="C￥AØ_page 2 _J4-7022(동력객차 생산효율향상 1차 보고자료(030221) 3" xfId="739" xr:uid="{00000000-0005-0000-0000-0000B0020000}"/>
    <cellStyle name="Ç¥ÁØ_page 2 _J4-7022(동력객차 생산효율향상 1차 보고자료(030221) 3" xfId="740" xr:uid="{00000000-0005-0000-0000-0000B1020000}"/>
    <cellStyle name="C￥AØ_page 2 _J4-7022(동력객차 생산효율향상 1차 보고자료(030221) 4" xfId="741" xr:uid="{00000000-0005-0000-0000-0000B2020000}"/>
    <cellStyle name="Ç¥ÁØ_page 2 _J4-7022(동력객차 생산효율향상 1차 보고자료(030221) 4" xfId="742" xr:uid="{00000000-0005-0000-0000-0000B3020000}"/>
    <cellStyle name="C￥AØ_page 2 _J4-7022(동력객차 생산효율향상 1차 보고자료(030221) 5" xfId="743" xr:uid="{00000000-0005-0000-0000-0000B4020000}"/>
    <cellStyle name="Ç¥ÁØ_page 2 _J4-7022(동력객차 생산효율향상 1차 보고자료(030221) 5" xfId="744" xr:uid="{00000000-0005-0000-0000-0000B5020000}"/>
    <cellStyle name="C￥AØ_page 2 _J4-7022(동력객차 생산효율향상 1차 보고자료(030221) 6" xfId="745" xr:uid="{00000000-0005-0000-0000-0000B6020000}"/>
    <cellStyle name="Ç¥ÁØ_page 2 _J4-7022(동력객차 생산효율향상 1차 보고자료(030221) 6" xfId="746" xr:uid="{00000000-0005-0000-0000-0000B7020000}"/>
    <cellStyle name="C￥AØ_page 2 _J4-7022(동력객차 생산효율향상 1차 보고자료(030221)_10월생산계획" xfId="747" xr:uid="{00000000-0005-0000-0000-0000B8020000}"/>
    <cellStyle name="Ç¥ÁØ_page 2 _J4-7022(동력객차 생산효율향상 1차 보고자료(030221)_10월생산계획" xfId="748" xr:uid="{00000000-0005-0000-0000-0000B9020000}"/>
    <cellStyle name="C￥AØ_page 2 _J4-7022(동력객차 생산효율향상 1차 보고자료(030221)_6월생산계획" xfId="749" xr:uid="{00000000-0005-0000-0000-0000BA020000}"/>
    <cellStyle name="Ç¥ÁØ_page 2 _J4-7022(동력객차 생산효율향상 1차 보고자료(030221)_6월생산계획" xfId="750" xr:uid="{00000000-0005-0000-0000-0000BB020000}"/>
    <cellStyle name="C￥AØ_page 2 _J4-7022(동력객차 생산효율향상 1차 보고자료(030221)_8월생산계획(1)" xfId="751" xr:uid="{00000000-0005-0000-0000-0000BC020000}"/>
    <cellStyle name="Ç¥ÁØ_page 2 _J4-7022(동력객차 생산효율향상 1차 보고자료(030221)_8월생산계획(1)" xfId="752" xr:uid="{00000000-0005-0000-0000-0000BD020000}"/>
    <cellStyle name="C￥AØ_page 2 _J4-7022(동력객차 생산효율향상 1차 보고자료(030221)_8월생산계획110805" xfId="753" xr:uid="{00000000-0005-0000-0000-0000BE020000}"/>
    <cellStyle name="Ç¥ÁØ_page 2 _J4-7022(동력객차 생산효율향상 1차 보고자료(030221)_8월생산계획110805" xfId="754" xr:uid="{00000000-0005-0000-0000-0000BF020000}"/>
    <cellStyle name="C￥AØ_page 2 _J4-7023(생산 효율개선 1차수 종합보고(030221)" xfId="755" xr:uid="{00000000-0005-0000-0000-0000C0020000}"/>
    <cellStyle name="Ç¥ÁØ_page 2 _J4-7023(생산 효율개선 1차수 종합보고(030221)" xfId="756" xr:uid="{00000000-0005-0000-0000-0000C1020000}"/>
    <cellStyle name="C￥AØ_page 2 _J4-7024(생산 효율개선관련 팀별개선대책발표(030221))" xfId="757" xr:uid="{00000000-0005-0000-0000-0000C2020000}"/>
    <cellStyle name="Ç¥ÁØ_page 2 _J4-7024(생산 효율개선관련 팀별개선대책발표(030221))" xfId="758" xr:uid="{00000000-0005-0000-0000-0000C3020000}"/>
    <cellStyle name="C￥AØ_page 2 _J4-7024(생산 효율개선관련 팀별개선대책발표(030221)) 2" xfId="759" xr:uid="{00000000-0005-0000-0000-0000C4020000}"/>
    <cellStyle name="Ç¥ÁØ_page 2 _J4-7024(생산 효율개선관련 팀별개선대책발표(030221)) 2" xfId="760" xr:uid="{00000000-0005-0000-0000-0000C5020000}"/>
    <cellStyle name="C￥AØ_page 2 _J4-7024(생산 효율개선관련 팀별개선대책발표(030221)) 3" xfId="761" xr:uid="{00000000-0005-0000-0000-0000C6020000}"/>
    <cellStyle name="Ç¥ÁØ_page 2 _J4-7024(생산 효율개선관련 팀별개선대책발표(030221)) 3" xfId="762" xr:uid="{00000000-0005-0000-0000-0000C7020000}"/>
    <cellStyle name="C￥AØ_page 2 _J4-7024(생산 효율개선관련 팀별개선대책발표(030221)) 4" xfId="763" xr:uid="{00000000-0005-0000-0000-0000C8020000}"/>
    <cellStyle name="Ç¥ÁØ_page 2 _J4-7024(생산 효율개선관련 팀별개선대책발표(030221)) 4" xfId="764" xr:uid="{00000000-0005-0000-0000-0000C9020000}"/>
    <cellStyle name="C￥AØ_page 2 _J4-7024(생산 효율개선관련 팀별개선대책발표(030221)) 5" xfId="765" xr:uid="{00000000-0005-0000-0000-0000CA020000}"/>
    <cellStyle name="Ç¥ÁØ_page 2 _J4-7024(생산 효율개선관련 팀별개선대책발표(030221)) 5" xfId="766" xr:uid="{00000000-0005-0000-0000-0000CB020000}"/>
    <cellStyle name="C￥AØ_page 2 _J4-7024(생산 효율개선관련 팀별개선대책발표(030221)) 6" xfId="767" xr:uid="{00000000-0005-0000-0000-0000CC020000}"/>
    <cellStyle name="Ç¥ÁØ_page 2 _J4-7024(생산 효율개선관련 팀별개선대책발표(030221)) 6" xfId="768" xr:uid="{00000000-0005-0000-0000-0000CD020000}"/>
    <cellStyle name="C￥AØ_page 2 _J4-7024(생산 효율개선관련 팀별개선대책발표(030221))_10월생산계획" xfId="769" xr:uid="{00000000-0005-0000-0000-0000CE020000}"/>
    <cellStyle name="Ç¥ÁØ_page 2 _J4-7024(생산 효율개선관련 팀별개선대책발표(030221))_10월생산계획" xfId="770" xr:uid="{00000000-0005-0000-0000-0000CF020000}"/>
    <cellStyle name="C￥AØ_page 2 _J4-7024(생산 효율개선관련 팀별개선대책발표(030221))_6월생산계획" xfId="771" xr:uid="{00000000-0005-0000-0000-0000D0020000}"/>
    <cellStyle name="Ç¥ÁØ_page 2 _J4-7024(생산 효율개선관련 팀별개선대책발표(030221))_6월생산계획" xfId="772" xr:uid="{00000000-0005-0000-0000-0000D1020000}"/>
    <cellStyle name="C￥AØ_page 2 _J4-7024(생산 효율개선관련 팀별개선대책발표(030221))_8월생산계획(1)" xfId="773" xr:uid="{00000000-0005-0000-0000-0000D2020000}"/>
    <cellStyle name="Ç¥ÁØ_page 2 _J4-7024(생산 효율개선관련 팀별개선대책발표(030221))_8월생산계획(1)" xfId="774" xr:uid="{00000000-0005-0000-0000-0000D3020000}"/>
    <cellStyle name="C￥AØ_page 2 _J4-7024(생산 효율개선관련 팀별개선대책발표(030221))_8월생산계획110805" xfId="775" xr:uid="{00000000-0005-0000-0000-0000D4020000}"/>
    <cellStyle name="Ç¥ÁØ_page 2 _J4-7024(생산 효율개선관련 팀별개선대책발표(030221))_8월생산계획110805" xfId="776" xr:uid="{00000000-0005-0000-0000-0000D5020000}"/>
    <cellStyle name="C￥AØ_page 2 _QC조직도030820-2003929" xfId="777" xr:uid="{00000000-0005-0000-0000-0000D6020000}"/>
    <cellStyle name="Ç¥ÁØ_page 2 _QC조직도030820-2003929" xfId="778" xr:uid="{00000000-0005-0000-0000-0000D7020000}"/>
    <cellStyle name="C￥AØ_page 2 _공장장회의-20040302" xfId="779" xr:uid="{00000000-0005-0000-0000-0000D8020000}"/>
    <cellStyle name="Ç¥ÁØ_page 2 _공장장회의-20040302" xfId="780" xr:uid="{00000000-0005-0000-0000-0000D9020000}"/>
    <cellStyle name="C￥AØ_page 2 _공장장회의-20040302 2" xfId="781" xr:uid="{00000000-0005-0000-0000-0000DA020000}"/>
    <cellStyle name="Ç¥ÁØ_page 2 _공장장회의-20040302 2" xfId="782" xr:uid="{00000000-0005-0000-0000-0000DB020000}"/>
    <cellStyle name="C￥AØ_page 2 _공장장회의-20040302 3" xfId="783" xr:uid="{00000000-0005-0000-0000-0000DC020000}"/>
    <cellStyle name="Ç¥ÁØ_page 2 _공장장회의-20040302 3" xfId="784" xr:uid="{00000000-0005-0000-0000-0000DD020000}"/>
    <cellStyle name="C￥AØ_page 2 _공장장회의-20040302 4" xfId="785" xr:uid="{00000000-0005-0000-0000-0000DE020000}"/>
    <cellStyle name="Ç¥ÁØ_page 2 _공장장회의-20040302 4" xfId="786" xr:uid="{00000000-0005-0000-0000-0000DF020000}"/>
    <cellStyle name="C￥AØ_page 2 _공장장회의-20040302 5" xfId="787" xr:uid="{00000000-0005-0000-0000-0000E0020000}"/>
    <cellStyle name="Ç¥ÁØ_page 2 _공장장회의-20040302 5" xfId="788" xr:uid="{00000000-0005-0000-0000-0000E1020000}"/>
    <cellStyle name="C￥AØ_page 2 _공장장회의-20040302 6" xfId="789" xr:uid="{00000000-0005-0000-0000-0000E2020000}"/>
    <cellStyle name="Ç¥ÁØ_page 2 _공장장회의-20040302 6" xfId="790" xr:uid="{00000000-0005-0000-0000-0000E3020000}"/>
    <cellStyle name="C￥AØ_page 2 _공장장회의-20040302_10월생산계획" xfId="791" xr:uid="{00000000-0005-0000-0000-0000E4020000}"/>
    <cellStyle name="Ç¥ÁØ_page 2 _공장장회의-20040302_10월생산계획" xfId="792" xr:uid="{00000000-0005-0000-0000-0000E5020000}"/>
    <cellStyle name="C￥AØ_page 2 _공장장회의-20040302_6월생산계획" xfId="793" xr:uid="{00000000-0005-0000-0000-0000E6020000}"/>
    <cellStyle name="Ç¥ÁØ_page 2 _공장장회의-20040302_6월생산계획" xfId="794" xr:uid="{00000000-0005-0000-0000-0000E7020000}"/>
    <cellStyle name="C￥AØ_page 2 _공장장회의-20040302_8월생산계획(1)" xfId="795" xr:uid="{00000000-0005-0000-0000-0000E8020000}"/>
    <cellStyle name="Ç¥ÁØ_page 2 _공장장회의-20040302_8월생산계획(1)" xfId="796" xr:uid="{00000000-0005-0000-0000-0000E9020000}"/>
    <cellStyle name="C￥AØ_page 2 _공장장회의-20040302_8월생산계획110805" xfId="797" xr:uid="{00000000-0005-0000-0000-0000EA020000}"/>
    <cellStyle name="Ç¥ÁØ_page 2 _공장장회의-20040302_8월생산계획110805" xfId="798" xr:uid="{00000000-0005-0000-0000-0000EB020000}"/>
    <cellStyle name="C￥AØ_page 2 _공장장회의-2004316" xfId="799" xr:uid="{00000000-0005-0000-0000-0000EC020000}"/>
    <cellStyle name="Ç¥ÁØ_page 2 _공장장회의-2004316" xfId="800" xr:uid="{00000000-0005-0000-0000-0000ED020000}"/>
    <cellStyle name="C￥AØ_page 2 _관리현장구분_제출현황_2003_2월_4주" xfId="801" xr:uid="{00000000-0005-0000-0000-0000EE020000}"/>
    <cellStyle name="Ç¥ÁØ_page 2 _관리현장구분_제출현황_2003_2월_4주" xfId="802" xr:uid="{00000000-0005-0000-0000-0000EF020000}"/>
    <cellStyle name="C￥AØ_page 2 _관리현장구분_제출현황_2003_3월_1주-200337" xfId="803" xr:uid="{00000000-0005-0000-0000-0000F0020000}"/>
    <cellStyle name="Ç¥ÁØ_page 2 _관리현장구분_제출현황_2003_3월_1주-200337" xfId="804" xr:uid="{00000000-0005-0000-0000-0000F1020000}"/>
    <cellStyle name="C￥AØ_page 2 _구체대차표준mh절감추진계획(사장님보고완)" xfId="805" xr:uid="{00000000-0005-0000-0000-0000F2020000}"/>
    <cellStyle name="Ç¥ÁØ_page 2 _구체대차표준mh절감추진계획(사장님보고완)" xfId="806" xr:uid="{00000000-0005-0000-0000-0000F3020000}"/>
    <cellStyle name="C￥AØ_page 2 _기관차 라인 부하(방8+3량)" xfId="807" xr:uid="{00000000-0005-0000-0000-0000F4020000}"/>
    <cellStyle name="Ç¥ÁØ_page 2 _기관차 라인 부하(방8+3량)" xfId="808" xr:uid="{00000000-0005-0000-0000-0000F5020000}"/>
    <cellStyle name="C￥AØ_page 2 _기관차 라인 부하(방8+3량) 2" xfId="809" xr:uid="{00000000-0005-0000-0000-0000F6020000}"/>
    <cellStyle name="Ç¥ÁØ_page 2 _기관차 라인 부하(방8+3량) 2" xfId="810" xr:uid="{00000000-0005-0000-0000-0000F7020000}"/>
    <cellStyle name="C￥AØ_page 2 _기관차 라인 부하(방8+3량) 3" xfId="811" xr:uid="{00000000-0005-0000-0000-0000F8020000}"/>
    <cellStyle name="Ç¥ÁØ_page 2 _기관차 라인 부하(방8+3량) 3" xfId="812" xr:uid="{00000000-0005-0000-0000-0000F9020000}"/>
    <cellStyle name="C￥AØ_page 2 _기관차 라인 부하(방8+3량) 4" xfId="813" xr:uid="{00000000-0005-0000-0000-0000FA020000}"/>
    <cellStyle name="Ç¥ÁØ_page 2 _기관차 라인 부하(방8+3량) 4" xfId="814" xr:uid="{00000000-0005-0000-0000-0000FB020000}"/>
    <cellStyle name="C￥AØ_page 2 _기관차 라인 부하(방8+3량) 5" xfId="815" xr:uid="{00000000-0005-0000-0000-0000FC020000}"/>
    <cellStyle name="Ç¥ÁØ_page 2 _기관차 라인 부하(방8+3량) 5" xfId="816" xr:uid="{00000000-0005-0000-0000-0000FD020000}"/>
    <cellStyle name="C￥AØ_page 2 _기관차 라인 부하(방8+3량) 6" xfId="817" xr:uid="{00000000-0005-0000-0000-0000FE020000}"/>
    <cellStyle name="Ç¥ÁØ_page 2 _기관차 라인 부하(방8+3량) 6" xfId="818" xr:uid="{00000000-0005-0000-0000-0000FF020000}"/>
    <cellStyle name="C￥AØ_page 2 _기관차 라인 부하(방8+3량)_10월생산계획" xfId="819" xr:uid="{00000000-0005-0000-0000-000000030000}"/>
    <cellStyle name="Ç¥ÁØ_page 2 _기관차 라인 부하(방8+3량)_10월생산계획" xfId="820" xr:uid="{00000000-0005-0000-0000-000001030000}"/>
    <cellStyle name="C￥AØ_page 2 _기관차 라인 부하(방8+3량)_6월생산계획" xfId="821" xr:uid="{00000000-0005-0000-0000-000002030000}"/>
    <cellStyle name="Ç¥ÁØ_page 2 _기관차 라인 부하(방8+3량)_6월생산계획" xfId="822" xr:uid="{00000000-0005-0000-0000-000003030000}"/>
    <cellStyle name="C￥AØ_page 2 _기관차 라인 부하(방8+3량)_8월생산계획(1)" xfId="823" xr:uid="{00000000-0005-0000-0000-000004030000}"/>
    <cellStyle name="Ç¥ÁØ_page 2 _기관차 라인 부하(방8+3량)_8월생산계획(1)" xfId="824" xr:uid="{00000000-0005-0000-0000-000005030000}"/>
    <cellStyle name="C￥AØ_page 2 _기관차 라인 부하(방8+3량)_8월생산계획110805" xfId="825" xr:uid="{00000000-0005-0000-0000-000006030000}"/>
    <cellStyle name="Ç¥ÁØ_page 2 _기관차 라인 부하(방8+3량)_8월생산계획110805" xfId="826" xr:uid="{00000000-0005-0000-0000-000007030000}"/>
    <cellStyle name="C￥AØ_page 2 _도장진행-1.18" xfId="827" xr:uid="{00000000-0005-0000-0000-000008030000}"/>
    <cellStyle name="Ç¥ÁØ_page 2 _도장진행-1.18" xfId="828" xr:uid="{00000000-0005-0000-0000-000009030000}"/>
    <cellStyle name="C￥AØ_page 2 _동력차생산팀 생산성저조검토0531-2003531" xfId="829" xr:uid="{00000000-0005-0000-0000-00000A030000}"/>
    <cellStyle name="Ç¥ÁØ_page 2 _동력차생산팀 생산성저조검토0531-2003531" xfId="830" xr:uid="{00000000-0005-0000-0000-00000B030000}"/>
    <cellStyle name="C￥AØ_page 2 _동력차생산팀 생산성저조검토0531-200369" xfId="831" xr:uid="{00000000-0005-0000-0000-00000C030000}"/>
    <cellStyle name="Ç¥ÁØ_page 2 _동력차생산팀 생산성저조검토0531-200369" xfId="832" xr:uid="{00000000-0005-0000-0000-00000D030000}"/>
    <cellStyle name="C￥AØ_page 2 _로보트가동율 관련 자료r1" xfId="833" xr:uid="{00000000-0005-0000-0000-00000E030000}"/>
    <cellStyle name="Ç¥ÁØ_page 2 _로보트가동율 관련 자료r1" xfId="834" xr:uid="{00000000-0005-0000-0000-00000F030000}"/>
    <cellStyle name="C￥AØ_page 2 _민학기차장님(3월19일)J4-7028(생산 효율개선계획 보고(동력차 2차)-20030317)" xfId="835" xr:uid="{00000000-0005-0000-0000-000010030000}"/>
    <cellStyle name="Ç¥ÁØ_page 2 _민학기차장님(3월19일)J4-7028(생산 효율개선계획 보고(동력차 2차)-20030317)" xfId="836" xr:uid="{00000000-0005-0000-0000-000011030000}"/>
    <cellStyle name="C￥AØ_page 2 _방글라 기본계획" xfId="837" xr:uid="{00000000-0005-0000-0000-000012030000}"/>
    <cellStyle name="Ç¥ÁØ_page 2 _방글라 기본계획" xfId="838" xr:uid="{00000000-0005-0000-0000-000013030000}"/>
    <cellStyle name="C￥AØ_page 2 _배오민(uf)" xfId="839" xr:uid="{00000000-0005-0000-0000-000014030000}"/>
    <cellStyle name="Ç¥ÁØ_page 2 _배오민(uf)" xfId="840" xr:uid="{00000000-0005-0000-0000-000015030000}"/>
    <cellStyle name="C￥AØ_page 2 _변대호-J2-7003(생산효율개선계획(아테네전동차)" xfId="841" xr:uid="{00000000-0005-0000-0000-000016030000}"/>
    <cellStyle name="Ç¥ÁØ_page 2 _변대호-J2-7003(생산효율개선계획(아테네전동차)" xfId="842" xr:uid="{00000000-0005-0000-0000-000017030000}"/>
    <cellStyle name="C￥AØ_page 2 _변대호-J4-7028(생산효율개선계획(인도전동차)" xfId="843" xr:uid="{00000000-0005-0000-0000-000018030000}"/>
    <cellStyle name="Ç¥ÁØ_page 2 _변대호-J4-7028(생산효율개선계획(인도전동차)" xfId="844" xr:uid="{00000000-0005-0000-0000-000019030000}"/>
    <cellStyle name="C￥AØ_page 2 _비상생산" xfId="845" xr:uid="{00000000-0005-0000-0000-00001A030000}"/>
    <cellStyle name="Ç¥ÁØ_page 2 _비상생산" xfId="846" xr:uid="{00000000-0005-0000-0000-00001B030000}"/>
    <cellStyle name="C￥AØ_page 2 _비상생산_경쟁력비교" xfId="847" xr:uid="{00000000-0005-0000-0000-00001C030000}"/>
    <cellStyle name="Ç¥ÁØ_page 2 _비상생산_경쟁력비교" xfId="848" xr:uid="{00000000-0005-0000-0000-00001D030000}"/>
    <cellStyle name="C￥AØ_page 2 _사내외주업체" xfId="849" xr:uid="{00000000-0005-0000-0000-00001E030000}"/>
    <cellStyle name="Ç¥ÁØ_page 2 _사내외주업체" xfId="850" xr:uid="{00000000-0005-0000-0000-00001F030000}"/>
    <cellStyle name="C￥AØ_page 2 _사내외주업체_경쟁력비교" xfId="851" xr:uid="{00000000-0005-0000-0000-000020030000}"/>
    <cellStyle name="Ç¥ÁØ_page 2 _사내외주업체_경쟁력비교" xfId="852" xr:uid="{00000000-0005-0000-0000-000021030000}"/>
    <cellStyle name="C￥AØ_page 2 _사본 - 공장장회의-20040210-200429" xfId="853" xr:uid="{00000000-0005-0000-0000-000022030000}"/>
    <cellStyle name="Ç¥ÁØ_page 2 _사본 - 공장장회의-20040210-200429" xfId="854" xr:uid="{00000000-0005-0000-0000-000023030000}"/>
    <cellStyle name="C￥AØ_page 2 _사본 - 공장장회의-20040210-200429 2" xfId="855" xr:uid="{00000000-0005-0000-0000-000024030000}"/>
    <cellStyle name="Ç¥ÁØ_page 2 _사본 - 공장장회의-20040210-200429 2" xfId="856" xr:uid="{00000000-0005-0000-0000-000025030000}"/>
    <cellStyle name="C￥AØ_page 2 _사본 - 공장장회의-20040210-200429 3" xfId="857" xr:uid="{00000000-0005-0000-0000-000026030000}"/>
    <cellStyle name="Ç¥ÁØ_page 2 _사본 - 공장장회의-20040210-200429 3" xfId="858" xr:uid="{00000000-0005-0000-0000-000027030000}"/>
    <cellStyle name="C￥AØ_page 2 _사본 - 공장장회의-20040210-200429 4" xfId="859" xr:uid="{00000000-0005-0000-0000-000028030000}"/>
    <cellStyle name="Ç¥ÁØ_page 2 _사본 - 공장장회의-20040210-200429 4" xfId="860" xr:uid="{00000000-0005-0000-0000-000029030000}"/>
    <cellStyle name="C￥AØ_page 2 _사본 - 공장장회의-20040210-200429 5" xfId="861" xr:uid="{00000000-0005-0000-0000-00002A030000}"/>
    <cellStyle name="Ç¥ÁØ_page 2 _사본 - 공장장회의-20040210-200429 5" xfId="862" xr:uid="{00000000-0005-0000-0000-00002B030000}"/>
    <cellStyle name="C￥AØ_page 2 _사본 - 공장장회의-20040210-200429 6" xfId="863" xr:uid="{00000000-0005-0000-0000-00002C030000}"/>
    <cellStyle name="Ç¥ÁØ_page 2 _사본 - 공장장회의-20040210-200429 6" xfId="864" xr:uid="{00000000-0005-0000-0000-00002D030000}"/>
    <cellStyle name="C￥AØ_page 2 _사본 - 공장장회의-20040210-200429_10월생산계획" xfId="865" xr:uid="{00000000-0005-0000-0000-00002E030000}"/>
    <cellStyle name="Ç¥ÁØ_page 2 _사본 - 공장장회의-20040210-200429_10월생산계획" xfId="866" xr:uid="{00000000-0005-0000-0000-00002F030000}"/>
    <cellStyle name="C￥AØ_page 2 _사본 - 공장장회의-20040210-200429_6월생산계획" xfId="867" xr:uid="{00000000-0005-0000-0000-000030030000}"/>
    <cellStyle name="Ç¥ÁØ_page 2 _사본 - 공장장회의-20040210-200429_6월생산계획" xfId="868" xr:uid="{00000000-0005-0000-0000-000031030000}"/>
    <cellStyle name="C￥AØ_page 2 _사본 - 공장장회의-20040210-200429_8월생산계획(1)" xfId="869" xr:uid="{00000000-0005-0000-0000-000032030000}"/>
    <cellStyle name="Ç¥ÁØ_page 2 _사본 - 공장장회의-20040210-200429_8월생산계획(1)" xfId="870" xr:uid="{00000000-0005-0000-0000-000033030000}"/>
    <cellStyle name="C￥AØ_page 2 _사본 - 공장장회의-20040210-200429_8월생산계획110805" xfId="871" xr:uid="{00000000-0005-0000-0000-000034030000}"/>
    <cellStyle name="Ç¥ÁØ_page 2 _사본 - 공장장회의-20040210-200429_8월생산계획110805" xfId="872" xr:uid="{00000000-0005-0000-0000-000035030000}"/>
    <cellStyle name="C￥AØ_page 2 _생산계획(SE개선후)1203배포용-2003129" xfId="873" xr:uid="{00000000-0005-0000-0000-000036030000}"/>
    <cellStyle name="Ç¥ÁØ_page 2 _생산계획(SE개선후)1203배포용-2003129" xfId="874" xr:uid="{00000000-0005-0000-0000-000037030000}"/>
    <cellStyle name="C￥AØ_page 2 _생산기술조직도-2003929" xfId="875" xr:uid="{00000000-0005-0000-0000-000038030000}"/>
    <cellStyle name="Ç¥ÁØ_page 2 _생산기술조직도-2003929" xfId="876" xr:uid="{00000000-0005-0000-0000-000039030000}"/>
    <cellStyle name="C￥AØ_page 2 _생산효율개선 TFT 추진현황" xfId="877" xr:uid="{00000000-0005-0000-0000-00003A030000}"/>
    <cellStyle name="Ç¥ÁØ_page 2 _생산효율개선 TFT 추진현황" xfId="878" xr:uid="{00000000-0005-0000-0000-00003B030000}"/>
    <cellStyle name="C￥AØ_page 2 _유연계획(4월)-양식-2004322" xfId="879" xr:uid="{00000000-0005-0000-0000-00003C030000}"/>
    <cellStyle name="Ç¥ÁØ_page 2 _유연계획(4월)-양식-2004322" xfId="880" xr:uid="{00000000-0005-0000-0000-00003D030000}"/>
    <cellStyle name="C￥AØ_page 2 _이란MOCK_UP&amp;양산생산계획(1024 LEAD TIME포함)" xfId="881" xr:uid="{00000000-0005-0000-0000-00003E030000}"/>
    <cellStyle name="Ç¥ÁØ_page 2 _이란MOCK_UP&amp;양산생산계획(1024 LEAD TIME포함)" xfId="882" xr:uid="{00000000-0005-0000-0000-00003F030000}"/>
    <cellStyle name="C￥AØ_page 2 _일일계획(MOCK UP)" xfId="883" xr:uid="{00000000-0005-0000-0000-000040030000}"/>
    <cellStyle name="Ç¥ÁØ_page 2 _일일계획(MOCK UP)" xfId="884" xr:uid="{00000000-0005-0000-0000-000041030000}"/>
    <cellStyle name="C￥AØ_page 2 _자기부상 생산만회 계획 보고-200441-200447" xfId="885" xr:uid="{00000000-0005-0000-0000-000042030000}"/>
    <cellStyle name="Ç¥ÁØ_page 2 _자기부상 생산만회 계획 보고-200441-200447" xfId="886" xr:uid="{00000000-0005-0000-0000-000043030000}"/>
    <cellStyle name="C￥AØ_page 2 _장상길-사본 - 생산 효율개선계획 보고(Series-1차)-20030324-20030327" xfId="887" xr:uid="{00000000-0005-0000-0000-000044030000}"/>
    <cellStyle name="Ç¥ÁØ_page 2 _장상길-사본 - 생산 효율개선계획 보고(Series-1차)-20030324-20030327" xfId="888" xr:uid="{00000000-0005-0000-0000-000045030000}"/>
    <cellStyle name="C￥AØ_page 2 _장상길-생산 효율개선계획 보고(Series-1차)-20030324-20030327" xfId="889" xr:uid="{00000000-0005-0000-0000-000046030000}"/>
    <cellStyle name="Ç¥ÁØ_page 2 _장상길-생산 효율개선계획 보고(Series-1차)-20030324-20030327" xfId="890" xr:uid="{00000000-0005-0000-0000-000047030000}"/>
    <cellStyle name="C￥AØ_page 2 _장상길-생산 효율개선계획 보고(Series-2차)-20030324-20030327" xfId="891" xr:uid="{00000000-0005-0000-0000-000048030000}"/>
    <cellStyle name="Ç¥ÁØ_page 2 _장상길-생산 효율개선계획 보고(Series-2차)-20030324-20030327" xfId="892" xr:uid="{00000000-0005-0000-0000-000049030000}"/>
    <cellStyle name="C￥AØ_page 2 _전기기관차 18량 세부일정 협의-협조전 첨부용" xfId="893" xr:uid="{00000000-0005-0000-0000-00004A030000}"/>
    <cellStyle name="Ç¥ÁØ_page 2 _전기기관차 18량 세부일정 협의-협조전 첨부용" xfId="894" xr:uid="{00000000-0005-0000-0000-00004B030000}"/>
    <cellStyle name="C￥AØ_page 2 _전기기관차 18량 세부일정 협의-협조전 첨부용 2" xfId="895" xr:uid="{00000000-0005-0000-0000-00004C030000}"/>
    <cellStyle name="Ç¥ÁØ_page 2 _전기기관차 18량 세부일정 협의-협조전 첨부용 2" xfId="896" xr:uid="{00000000-0005-0000-0000-00004D030000}"/>
    <cellStyle name="C￥AØ_page 2 _전기기관차 18량 세부일정 협의-협조전 첨부용 3" xfId="897" xr:uid="{00000000-0005-0000-0000-00004E030000}"/>
    <cellStyle name="Ç¥ÁØ_page 2 _전기기관차 18량 세부일정 협의-협조전 첨부용 3" xfId="898" xr:uid="{00000000-0005-0000-0000-00004F030000}"/>
    <cellStyle name="C￥AØ_page 2 _전기기관차 18량 세부일정 협의-협조전 첨부용 4" xfId="899" xr:uid="{00000000-0005-0000-0000-000050030000}"/>
    <cellStyle name="Ç¥ÁØ_page 2 _전기기관차 18량 세부일정 협의-협조전 첨부용 4" xfId="900" xr:uid="{00000000-0005-0000-0000-000051030000}"/>
    <cellStyle name="C￥AØ_page 2 _전기기관차 18량 세부일정 협의-협조전 첨부용 5" xfId="901" xr:uid="{00000000-0005-0000-0000-000052030000}"/>
    <cellStyle name="Ç¥ÁØ_page 2 _전기기관차 18량 세부일정 협의-협조전 첨부용 5" xfId="902" xr:uid="{00000000-0005-0000-0000-000053030000}"/>
    <cellStyle name="C￥AØ_page 2 _전기기관차 18량 세부일정 협의-협조전 첨부용 6" xfId="903" xr:uid="{00000000-0005-0000-0000-000054030000}"/>
    <cellStyle name="Ç¥ÁØ_page 2 _전기기관차 18량 세부일정 협의-협조전 첨부용 6" xfId="904" xr:uid="{00000000-0005-0000-0000-000055030000}"/>
    <cellStyle name="C￥AØ_page 2 _전기기관차 18량 세부일정 협의-협조전 첨부용_10월생산계획" xfId="905" xr:uid="{00000000-0005-0000-0000-000056030000}"/>
    <cellStyle name="Ç¥ÁØ_page 2 _전기기관차 18량 세부일정 협의-협조전 첨부용_10월생산계획" xfId="906" xr:uid="{00000000-0005-0000-0000-000057030000}"/>
    <cellStyle name="C￥AØ_page 2 _전기기관차 18량 세부일정 협의-협조전 첨부용_6월생산계획" xfId="907" xr:uid="{00000000-0005-0000-0000-000058030000}"/>
    <cellStyle name="Ç¥ÁØ_page 2 _전기기관차 18량 세부일정 협의-협조전 첨부용_6월생산계획" xfId="908" xr:uid="{00000000-0005-0000-0000-000059030000}"/>
    <cellStyle name="C￥AØ_page 2 _전기기관차 18량 세부일정 협의-협조전 첨부용_8월생산계획(1)" xfId="909" xr:uid="{00000000-0005-0000-0000-00005A030000}"/>
    <cellStyle name="Ç¥ÁØ_page 2 _전기기관차 18량 세부일정 협의-협조전 첨부용_8월생산계획(1)" xfId="910" xr:uid="{00000000-0005-0000-0000-00005B030000}"/>
    <cellStyle name="C￥AØ_page 2 _전기기관차 18량 세부일정 협의-협조전 첨부용_8월생산계획110805" xfId="911" xr:uid="{00000000-0005-0000-0000-00005C030000}"/>
    <cellStyle name="Ç¥ÁØ_page 2 _전기기관차 18량 세부일정 협의-협조전 첨부용_8월생산계획110805" xfId="912" xr:uid="{00000000-0005-0000-0000-00005D030000}"/>
    <cellStyle name="C￥AØ_page 2 _전기기관차 문제점 보고" xfId="913" xr:uid="{00000000-0005-0000-0000-00005E030000}"/>
    <cellStyle name="Ç¥ÁØ_page 2 _전기기관차 문제점 보고" xfId="914" xr:uid="{00000000-0005-0000-0000-00005F030000}"/>
    <cellStyle name="C￥AØ_page 2 _전기기관차 문제점 보고 2" xfId="915" xr:uid="{00000000-0005-0000-0000-000060030000}"/>
    <cellStyle name="Ç¥ÁØ_page 2 _전기기관차 문제점 보고 2" xfId="916" xr:uid="{00000000-0005-0000-0000-000061030000}"/>
    <cellStyle name="C￥AØ_page 2 _전기기관차 문제점 보고 3" xfId="917" xr:uid="{00000000-0005-0000-0000-000062030000}"/>
    <cellStyle name="Ç¥ÁØ_page 2 _전기기관차 문제점 보고 3" xfId="918" xr:uid="{00000000-0005-0000-0000-000063030000}"/>
    <cellStyle name="C￥AØ_page 2 _전기기관차 문제점 보고 4" xfId="919" xr:uid="{00000000-0005-0000-0000-000064030000}"/>
    <cellStyle name="Ç¥ÁØ_page 2 _전기기관차 문제점 보고 4" xfId="920" xr:uid="{00000000-0005-0000-0000-000065030000}"/>
    <cellStyle name="C￥AØ_page 2 _전기기관차 문제점 보고 5" xfId="921" xr:uid="{00000000-0005-0000-0000-000066030000}"/>
    <cellStyle name="Ç¥ÁØ_page 2 _전기기관차 문제점 보고 5" xfId="922" xr:uid="{00000000-0005-0000-0000-000067030000}"/>
    <cellStyle name="C￥AØ_page 2 _전기기관차 문제점 보고 6" xfId="923" xr:uid="{00000000-0005-0000-0000-000068030000}"/>
    <cellStyle name="Ç¥ÁØ_page 2 _전기기관차 문제점 보고 6" xfId="924" xr:uid="{00000000-0005-0000-0000-000069030000}"/>
    <cellStyle name="C￥AØ_page 2 _전기기관차 문제점 보고_10월생산계획" xfId="925" xr:uid="{00000000-0005-0000-0000-00006A030000}"/>
    <cellStyle name="Ç¥ÁØ_page 2 _전기기관차 문제점 보고_10월생산계획" xfId="926" xr:uid="{00000000-0005-0000-0000-00006B030000}"/>
    <cellStyle name="C￥AØ_page 2 _전기기관차 문제점 보고_6월생산계획" xfId="927" xr:uid="{00000000-0005-0000-0000-00006C030000}"/>
    <cellStyle name="Ç¥ÁØ_page 2 _전기기관차 문제점 보고_6월생산계획" xfId="928" xr:uid="{00000000-0005-0000-0000-00006D030000}"/>
    <cellStyle name="C￥AØ_page 2 _전기기관차 문제점 보고_8월생산계획(1)" xfId="929" xr:uid="{00000000-0005-0000-0000-00006E030000}"/>
    <cellStyle name="Ç¥ÁØ_page 2 _전기기관차 문제점 보고_8월생산계획(1)" xfId="930" xr:uid="{00000000-0005-0000-0000-00006F030000}"/>
    <cellStyle name="C￥AØ_page 2 _전기기관차 문제점 보고_8월생산계획110805" xfId="931" xr:uid="{00000000-0005-0000-0000-000070030000}"/>
    <cellStyle name="Ç¥ÁØ_page 2 _전기기관차 문제점 보고_8월생산계획110805" xfId="932" xr:uid="{00000000-0005-0000-0000-000071030000}"/>
    <cellStyle name="C￥AØ_page 2 _전체 제작일정12.29" xfId="933" xr:uid="{00000000-0005-0000-0000-000072030000}"/>
    <cellStyle name="Ç¥ÁØ_page 2 _전체 제작일정12.29" xfId="934" xr:uid="{00000000-0005-0000-0000-000073030000}"/>
    <cellStyle name="C￥AØ_page 2 _전체 제작일정12.29 2" xfId="935" xr:uid="{00000000-0005-0000-0000-000074030000}"/>
    <cellStyle name="Ç¥ÁØ_page 2 _전체 제작일정12.29 2" xfId="936" xr:uid="{00000000-0005-0000-0000-000075030000}"/>
    <cellStyle name="C￥AØ_page 2 _전체 제작일정12.29 3" xfId="937" xr:uid="{00000000-0005-0000-0000-000076030000}"/>
    <cellStyle name="Ç¥ÁØ_page 2 _전체 제작일정12.29 3" xfId="938" xr:uid="{00000000-0005-0000-0000-000077030000}"/>
    <cellStyle name="C￥AØ_page 2 _전체 제작일정12.29 4" xfId="939" xr:uid="{00000000-0005-0000-0000-000078030000}"/>
    <cellStyle name="Ç¥ÁØ_page 2 _전체 제작일정12.29 4" xfId="940" xr:uid="{00000000-0005-0000-0000-000079030000}"/>
    <cellStyle name="C￥AØ_page 2 _전체 제작일정12.29 5" xfId="941" xr:uid="{00000000-0005-0000-0000-00007A030000}"/>
    <cellStyle name="Ç¥ÁØ_page 2 _전체 제작일정12.29 5" xfId="942" xr:uid="{00000000-0005-0000-0000-00007B030000}"/>
    <cellStyle name="C￥AØ_page 2 _전체 제작일정12.29 6" xfId="943" xr:uid="{00000000-0005-0000-0000-00007C030000}"/>
    <cellStyle name="Ç¥ÁØ_page 2 _전체 제작일정12.29 6" xfId="944" xr:uid="{00000000-0005-0000-0000-00007D030000}"/>
    <cellStyle name="C￥AØ_page 2 _전체 제작일정12.29_10월생산계획" xfId="945" xr:uid="{00000000-0005-0000-0000-00007E030000}"/>
    <cellStyle name="Ç¥ÁØ_page 2 _전체 제작일정12.29_10월생산계획" xfId="946" xr:uid="{00000000-0005-0000-0000-00007F030000}"/>
    <cellStyle name="C￥AØ_page 2 _전체 제작일정12.29_6월생산계획" xfId="947" xr:uid="{00000000-0005-0000-0000-000080030000}"/>
    <cellStyle name="Ç¥ÁØ_page 2 _전체 제작일정12.29_6월생산계획" xfId="948" xr:uid="{00000000-0005-0000-0000-000081030000}"/>
    <cellStyle name="C￥AØ_page 2 _전체 제작일정12.29_8월생산계획(1)" xfId="949" xr:uid="{00000000-0005-0000-0000-000082030000}"/>
    <cellStyle name="Ç¥ÁØ_page 2 _전체 제작일정12.29_8월생산계획(1)" xfId="950" xr:uid="{00000000-0005-0000-0000-000083030000}"/>
    <cellStyle name="C￥AØ_page 2 _전체 제작일정12.29_8월생산계획110805" xfId="951" xr:uid="{00000000-0005-0000-0000-000084030000}"/>
    <cellStyle name="Ç¥ÁØ_page 2 _전체 제작일정12.29_8월생산계획110805" xfId="952" xr:uid="{00000000-0005-0000-0000-000085030000}"/>
    <cellStyle name="C￥AØ_page 2 _전체 제작일정2.3(8+3)" xfId="953" xr:uid="{00000000-0005-0000-0000-000086030000}"/>
    <cellStyle name="Ç¥ÁØ_page 2 _전체 제작일정2.3(8+3)" xfId="954" xr:uid="{00000000-0005-0000-0000-000087030000}"/>
    <cellStyle name="C￥AØ_page 2 _전체 제작일정2.3(8+3) 2" xfId="955" xr:uid="{00000000-0005-0000-0000-000088030000}"/>
    <cellStyle name="Ç¥ÁØ_page 2 _전체 제작일정2.3(8+3) 2" xfId="956" xr:uid="{00000000-0005-0000-0000-000089030000}"/>
    <cellStyle name="C￥AØ_page 2 _전체 제작일정2.3(8+3) 3" xfId="957" xr:uid="{00000000-0005-0000-0000-00008A030000}"/>
    <cellStyle name="Ç¥ÁØ_page 2 _전체 제작일정2.3(8+3) 3" xfId="958" xr:uid="{00000000-0005-0000-0000-00008B030000}"/>
    <cellStyle name="C￥AØ_page 2 _전체 제작일정2.3(8+3) 4" xfId="959" xr:uid="{00000000-0005-0000-0000-00008C030000}"/>
    <cellStyle name="Ç¥ÁØ_page 2 _전체 제작일정2.3(8+3) 4" xfId="960" xr:uid="{00000000-0005-0000-0000-00008D030000}"/>
    <cellStyle name="C￥AØ_page 2 _전체 제작일정2.3(8+3) 5" xfId="961" xr:uid="{00000000-0005-0000-0000-00008E030000}"/>
    <cellStyle name="Ç¥ÁØ_page 2 _전체 제작일정2.3(8+3) 5" xfId="962" xr:uid="{00000000-0005-0000-0000-00008F030000}"/>
    <cellStyle name="C￥AØ_page 2 _전체 제작일정2.3(8+3) 6" xfId="963" xr:uid="{00000000-0005-0000-0000-000090030000}"/>
    <cellStyle name="Ç¥ÁØ_page 2 _전체 제작일정2.3(8+3) 6" xfId="964" xr:uid="{00000000-0005-0000-0000-000091030000}"/>
    <cellStyle name="C￥AØ_page 2 _전체 제작일정2.3(8+3)_10월생산계획" xfId="965" xr:uid="{00000000-0005-0000-0000-000092030000}"/>
    <cellStyle name="Ç¥ÁØ_page 2 _전체 제작일정2.3(8+3)_10월생산계획" xfId="966" xr:uid="{00000000-0005-0000-0000-000093030000}"/>
    <cellStyle name="C￥AØ_page 2 _전체 제작일정2.3(8+3)_6월생산계획" xfId="967" xr:uid="{00000000-0005-0000-0000-000094030000}"/>
    <cellStyle name="Ç¥ÁØ_page 2 _전체 제작일정2.3(8+3)_6월생산계획" xfId="968" xr:uid="{00000000-0005-0000-0000-000095030000}"/>
    <cellStyle name="C￥AØ_page 2 _전체 제작일정2.3(8+3)_8월생산계획(1)" xfId="969" xr:uid="{00000000-0005-0000-0000-000096030000}"/>
    <cellStyle name="Ç¥ÁØ_page 2 _전체 제작일정2.3(8+3)_8월생산계획(1)" xfId="970" xr:uid="{00000000-0005-0000-0000-000097030000}"/>
    <cellStyle name="C￥AØ_page 2 _전체 제작일정2.3(8+3)_8월생산계획110805" xfId="971" xr:uid="{00000000-0005-0000-0000-000098030000}"/>
    <cellStyle name="Ç¥ÁØ_page 2 _전체 제작일정2.3(8+3)_8월생산계획110805" xfId="972" xr:uid="{00000000-0005-0000-0000-000099030000}"/>
    <cellStyle name="C￥AØ_page 2 _제작일정R1 1.28" xfId="973" xr:uid="{00000000-0005-0000-0000-00009A030000}"/>
    <cellStyle name="Ç¥ÁØ_page 2 _제작일정R1 1.28" xfId="974" xr:uid="{00000000-0005-0000-0000-00009B030000}"/>
    <cellStyle name="C￥AØ_page 2 _제작일정R1 1.28 2" xfId="975" xr:uid="{00000000-0005-0000-0000-00009C030000}"/>
    <cellStyle name="Ç¥ÁØ_page 2 _제작일정R1 1.28 2" xfId="976" xr:uid="{00000000-0005-0000-0000-00009D030000}"/>
    <cellStyle name="C￥AØ_page 2 _제작일정R1 1.28 3" xfId="977" xr:uid="{00000000-0005-0000-0000-00009E030000}"/>
    <cellStyle name="Ç¥ÁØ_page 2 _제작일정R1 1.28 3" xfId="978" xr:uid="{00000000-0005-0000-0000-00009F030000}"/>
    <cellStyle name="C￥AØ_page 2 _제작일정R1 1.28 4" xfId="979" xr:uid="{00000000-0005-0000-0000-0000A0030000}"/>
    <cellStyle name="Ç¥ÁØ_page 2 _제작일정R1 1.28 4" xfId="980" xr:uid="{00000000-0005-0000-0000-0000A1030000}"/>
    <cellStyle name="C￥AØ_page 2 _제작일정R1 1.28 5" xfId="981" xr:uid="{00000000-0005-0000-0000-0000A2030000}"/>
    <cellStyle name="Ç¥ÁØ_page 2 _제작일정R1 1.28 5" xfId="982" xr:uid="{00000000-0005-0000-0000-0000A3030000}"/>
    <cellStyle name="C￥AØ_page 2 _제작일정R1 1.28 6" xfId="983" xr:uid="{00000000-0005-0000-0000-0000A4030000}"/>
    <cellStyle name="Ç¥ÁØ_page 2 _제작일정R1 1.28 6" xfId="984" xr:uid="{00000000-0005-0000-0000-0000A5030000}"/>
    <cellStyle name="C￥AØ_page 2 _제작일정R1 1.28_10월생산계획" xfId="985" xr:uid="{00000000-0005-0000-0000-0000A6030000}"/>
    <cellStyle name="Ç¥ÁØ_page 2 _제작일정R1 1.28_10월생산계획" xfId="986" xr:uid="{00000000-0005-0000-0000-0000A7030000}"/>
    <cellStyle name="C￥AØ_page 2 _제작일정R1 1.28_6월생산계획" xfId="987" xr:uid="{00000000-0005-0000-0000-0000A8030000}"/>
    <cellStyle name="Ç¥ÁØ_page 2 _제작일정R1 1.28_6월생산계획" xfId="988" xr:uid="{00000000-0005-0000-0000-0000A9030000}"/>
    <cellStyle name="C￥AØ_page 2 _제작일정R1 1.28_8월생산계획(1)" xfId="989" xr:uid="{00000000-0005-0000-0000-0000AA030000}"/>
    <cellStyle name="Ç¥ÁØ_page 2 _제작일정R1 1.28_8월생산계획(1)" xfId="990" xr:uid="{00000000-0005-0000-0000-0000AB030000}"/>
    <cellStyle name="C￥AØ_page 2 _제작일정R1 1.28_8월생산계획110805" xfId="991" xr:uid="{00000000-0005-0000-0000-0000AC030000}"/>
    <cellStyle name="Ç¥ÁØ_page 2 _제작일정R1 1.28_8월생산계획110805" xfId="992" xr:uid="{00000000-0005-0000-0000-0000AD030000}"/>
    <cellStyle name="C￥AØ_page 2 _조직도" xfId="993" xr:uid="{00000000-0005-0000-0000-0000AE030000}"/>
    <cellStyle name="Ç¥ÁØ_page 2 _조직도" xfId="994" xr:uid="{00000000-0005-0000-0000-0000AF030000}"/>
    <cellStyle name="C￥AØ_page 2 _조직도 2" xfId="995" xr:uid="{00000000-0005-0000-0000-0000B0030000}"/>
    <cellStyle name="Ç¥ÁØ_page 2 _조직도 2" xfId="996" xr:uid="{00000000-0005-0000-0000-0000B1030000}"/>
    <cellStyle name="C￥AØ_page 2 _조직도 3" xfId="997" xr:uid="{00000000-0005-0000-0000-0000B2030000}"/>
    <cellStyle name="Ç¥ÁØ_page 2 _조직도 3" xfId="998" xr:uid="{00000000-0005-0000-0000-0000B3030000}"/>
    <cellStyle name="C￥AØ_page 2 _조직도 4" xfId="999" xr:uid="{00000000-0005-0000-0000-0000B4030000}"/>
    <cellStyle name="Ç¥ÁØ_page 2 _조직도 4" xfId="1000" xr:uid="{00000000-0005-0000-0000-0000B5030000}"/>
    <cellStyle name="C￥AØ_page 2 _조직도 5" xfId="1001" xr:uid="{00000000-0005-0000-0000-0000B6030000}"/>
    <cellStyle name="Ç¥ÁØ_page 2 _조직도 5" xfId="1002" xr:uid="{00000000-0005-0000-0000-0000B7030000}"/>
    <cellStyle name="C￥AØ_page 2 _조직도 6" xfId="1003" xr:uid="{00000000-0005-0000-0000-0000B8030000}"/>
    <cellStyle name="Ç¥ÁØ_page 2 _조직도 6" xfId="1004" xr:uid="{00000000-0005-0000-0000-0000B9030000}"/>
    <cellStyle name="C￥AØ_page 2 _조직도_10월생산계획" xfId="1005" xr:uid="{00000000-0005-0000-0000-0000BA030000}"/>
    <cellStyle name="Ç¥ÁØ_page 2 _조직도_10월생산계획" xfId="1006" xr:uid="{00000000-0005-0000-0000-0000BB030000}"/>
    <cellStyle name="C￥AØ_page 2 _조직도_6월생산계획" xfId="1007" xr:uid="{00000000-0005-0000-0000-0000BC030000}"/>
    <cellStyle name="Ç¥ÁØ_page 2 _조직도_6월생산계획" xfId="1008" xr:uid="{00000000-0005-0000-0000-0000BD030000}"/>
    <cellStyle name="C￥AØ_page 2 _조직도_8월생산계획(1)" xfId="1009" xr:uid="{00000000-0005-0000-0000-0000BE030000}"/>
    <cellStyle name="Ç¥ÁØ_page 2 _조직도_8월생산계획(1)" xfId="1010" xr:uid="{00000000-0005-0000-0000-0000BF030000}"/>
    <cellStyle name="C￥AØ_page 2 _조직도_8월생산계획110805" xfId="1011" xr:uid="{00000000-0005-0000-0000-0000C0030000}"/>
    <cellStyle name="Ç¥ÁØ_page 2 _조직도_8월생산계획110805" xfId="1012" xr:uid="{00000000-0005-0000-0000-0000C1030000}"/>
    <cellStyle name="C￥AØ_page 2 _주간공정회의자료(3월11일)부문장주재" xfId="1013" xr:uid="{00000000-0005-0000-0000-0000C2030000}"/>
    <cellStyle name="Ç¥ÁØ_page 2 _주간공정회의자료(3월11일)부문장주재" xfId="1014" xr:uid="{00000000-0005-0000-0000-0000C3030000}"/>
    <cellStyle name="C￥AØ_page 2 _주간공정회의자료(3월11일)부문장주재 2" xfId="1015" xr:uid="{00000000-0005-0000-0000-0000C4030000}"/>
    <cellStyle name="Ç¥ÁØ_page 2 _주간공정회의자료(3월11일)부문장주재 2" xfId="1016" xr:uid="{00000000-0005-0000-0000-0000C5030000}"/>
    <cellStyle name="C￥AØ_page 2 _주간공정회의자료(3월11일)부문장주재 3" xfId="1017" xr:uid="{00000000-0005-0000-0000-0000C6030000}"/>
    <cellStyle name="Ç¥ÁØ_page 2 _주간공정회의자료(3월11일)부문장주재 3" xfId="1018" xr:uid="{00000000-0005-0000-0000-0000C7030000}"/>
    <cellStyle name="C￥AØ_page 2 _주간공정회의자료(3월11일)부문장주재 4" xfId="1019" xr:uid="{00000000-0005-0000-0000-0000C8030000}"/>
    <cellStyle name="Ç¥ÁØ_page 2 _주간공정회의자료(3월11일)부문장주재 4" xfId="1020" xr:uid="{00000000-0005-0000-0000-0000C9030000}"/>
    <cellStyle name="C￥AØ_page 2 _주간공정회의자료(3월11일)부문장주재 5" xfId="1021" xr:uid="{00000000-0005-0000-0000-0000CA030000}"/>
    <cellStyle name="Ç¥ÁØ_page 2 _주간공정회의자료(3월11일)부문장주재 5" xfId="1022" xr:uid="{00000000-0005-0000-0000-0000CB030000}"/>
    <cellStyle name="C￥AØ_page 2 _주간공정회의자료(3월11일)부문장주재 6" xfId="1023" xr:uid="{00000000-0005-0000-0000-0000CC030000}"/>
    <cellStyle name="Ç¥ÁØ_page 2 _주간공정회의자료(3월11일)부문장주재 6" xfId="1024" xr:uid="{00000000-0005-0000-0000-0000CD030000}"/>
    <cellStyle name="C￥AØ_page 2 _주간공정회의자료(3월11일)부문장주재_10월생산계획" xfId="1025" xr:uid="{00000000-0005-0000-0000-0000CE030000}"/>
    <cellStyle name="Ç¥ÁØ_page 2 _주간공정회의자료(3월11일)부문장주재_10월생산계획" xfId="1026" xr:uid="{00000000-0005-0000-0000-0000CF030000}"/>
    <cellStyle name="C￥AØ_page 2 _주간공정회의자료(3월11일)부문장주재_6월생산계획" xfId="1027" xr:uid="{00000000-0005-0000-0000-0000D0030000}"/>
    <cellStyle name="Ç¥ÁØ_page 2 _주간공정회의자료(3월11일)부문장주재_6월생산계획" xfId="1028" xr:uid="{00000000-0005-0000-0000-0000D1030000}"/>
    <cellStyle name="C￥AØ_page 2 _주간공정회의자료(3월11일)부문장주재_8월생산계획(1)" xfId="1029" xr:uid="{00000000-0005-0000-0000-0000D2030000}"/>
    <cellStyle name="Ç¥ÁØ_page 2 _주간공정회의자료(3월11일)부문장주재_8월생산계획(1)" xfId="1030" xr:uid="{00000000-0005-0000-0000-0000D3030000}"/>
    <cellStyle name="C￥AØ_page 2 _주간공정회의자료(3월11일)부문장주재_8월생산계획110805" xfId="1031" xr:uid="{00000000-0005-0000-0000-0000D4030000}"/>
    <cellStyle name="Ç¥ÁØ_page 2 _주간공정회의자료(3월11일)부문장주재_8월생산계획110805" xfId="1032" xr:uid="{00000000-0005-0000-0000-0000D5030000}"/>
    <cellStyle name="C￥AØ_page 2 _주간공정회의자료(3월4일)부문장주재-200438" xfId="1033" xr:uid="{00000000-0005-0000-0000-0000D6030000}"/>
    <cellStyle name="Ç¥ÁØ_page 2 _주간공정회의자료(3월4일)부문장주재-200438" xfId="1034" xr:uid="{00000000-0005-0000-0000-0000D7030000}"/>
    <cellStyle name="C￥AØ_page 2 _주간공정회의자료(3월4일)부문장주재-200438 2" xfId="1035" xr:uid="{00000000-0005-0000-0000-0000D8030000}"/>
    <cellStyle name="Ç¥ÁØ_page 2 _주간공정회의자료(3월4일)부문장주재-200438 2" xfId="1036" xr:uid="{00000000-0005-0000-0000-0000D9030000}"/>
    <cellStyle name="C￥AØ_page 2 _주간공정회의자료(3월4일)부문장주재-200438 3" xfId="1037" xr:uid="{00000000-0005-0000-0000-0000DA030000}"/>
    <cellStyle name="Ç¥ÁØ_page 2 _주간공정회의자료(3월4일)부문장주재-200438 3" xfId="1038" xr:uid="{00000000-0005-0000-0000-0000DB030000}"/>
    <cellStyle name="C￥AØ_page 2 _주간공정회의자료(3월4일)부문장주재-200438 4" xfId="1039" xr:uid="{00000000-0005-0000-0000-0000DC030000}"/>
    <cellStyle name="Ç¥ÁØ_page 2 _주간공정회의자료(3월4일)부문장주재-200438 4" xfId="1040" xr:uid="{00000000-0005-0000-0000-0000DD030000}"/>
    <cellStyle name="C￥AØ_page 2 _주간공정회의자료(3월4일)부문장주재-200438 5" xfId="1041" xr:uid="{00000000-0005-0000-0000-0000DE030000}"/>
    <cellStyle name="Ç¥ÁØ_page 2 _주간공정회의자료(3월4일)부문장주재-200438 5" xfId="1042" xr:uid="{00000000-0005-0000-0000-0000DF030000}"/>
    <cellStyle name="C￥AØ_page 2 _주간공정회의자료(3월4일)부문장주재-200438 6" xfId="1043" xr:uid="{00000000-0005-0000-0000-0000E0030000}"/>
    <cellStyle name="Ç¥ÁØ_page 2 _주간공정회의자료(3월4일)부문장주재-200438 6" xfId="1044" xr:uid="{00000000-0005-0000-0000-0000E1030000}"/>
    <cellStyle name="C￥AØ_page 2 _주간공정회의자료(3월4일)부문장주재-200438_10월생산계획" xfId="1045" xr:uid="{00000000-0005-0000-0000-0000E2030000}"/>
    <cellStyle name="Ç¥ÁØ_page 2 _주간공정회의자료(3월4일)부문장주재-200438_10월생산계획" xfId="1046" xr:uid="{00000000-0005-0000-0000-0000E3030000}"/>
    <cellStyle name="C￥AØ_page 2 _주간공정회의자료(3월4일)부문장주재-200438_6월생산계획" xfId="1047" xr:uid="{00000000-0005-0000-0000-0000E4030000}"/>
    <cellStyle name="Ç¥ÁØ_page 2 _주간공정회의자료(3월4일)부문장주재-200438_6월생산계획" xfId="1048" xr:uid="{00000000-0005-0000-0000-0000E5030000}"/>
    <cellStyle name="C￥AØ_page 2 _주간공정회의자료(3월4일)부문장주재-200438_8월생산계획(1)" xfId="1049" xr:uid="{00000000-0005-0000-0000-0000E6030000}"/>
    <cellStyle name="Ç¥ÁØ_page 2 _주간공정회의자료(3월4일)부문장주재-200438_8월생산계획(1)" xfId="1050" xr:uid="{00000000-0005-0000-0000-0000E7030000}"/>
    <cellStyle name="C￥AØ_page 2 _주간공정회의자료(3월4일)부문장주재-200438_8월생산계획110805" xfId="1051" xr:uid="{00000000-0005-0000-0000-0000E8030000}"/>
    <cellStyle name="Ç¥ÁØ_page 2 _주간공정회의자료(3월4일)부문장주재-200438_8월생산계획110805" xfId="1052" xr:uid="{00000000-0005-0000-0000-0000E9030000}"/>
    <cellStyle name="C￥AØ_page 2 _철도청 전동차 개조 14량 생산 계획(2002.3.26)" xfId="1053" xr:uid="{00000000-0005-0000-0000-0000EA030000}"/>
    <cellStyle name="Ç¥ÁØ_page 2 _철도청 전동차 개조 14량 생산 계획(2002.3.26)" xfId="1054" xr:uid="{00000000-0005-0000-0000-0000EB030000}"/>
    <cellStyle name="C￥AØ_page 2 _철차부문중장기 투자계획최종안R1" xfId="1055" xr:uid="{00000000-0005-0000-0000-0000EC030000}"/>
    <cellStyle name="Ç¥ÁØ_page 2 _철차부문중장기 투자계획최종안R1" xfId="1056" xr:uid="{00000000-0005-0000-0000-0000ED030000}"/>
    <cellStyle name="C￥AØ_page 2 _플랜트연구팀-2003년도투자계획-021114" xfId="1057" xr:uid="{00000000-0005-0000-0000-0000EE030000}"/>
    <cellStyle name="Ç¥ÁØ_page 2 _플랜트연구팀-2003년도투자계획-021114" xfId="1058" xr:uid="{00000000-0005-0000-0000-0000EF030000}"/>
    <cellStyle name="C￥AØ_page 2 _효율9월1주(전장1,3반)-2003918-2003919" xfId="1059" xr:uid="{00000000-0005-0000-0000-0000F0030000}"/>
    <cellStyle name="Ç¥ÁØ_page 2 _효율9월1주(전장1,3반)-2003918-2003919" xfId="1060" xr:uid="{00000000-0005-0000-0000-0000F1030000}"/>
    <cellStyle name="C￥AØ_RDTR99ML " xfId="1061" xr:uid="{00000000-0005-0000-0000-0000F2030000}"/>
    <cellStyle name="Ç¥ÁØ_RDTR99ML " xfId="1062" xr:uid="{00000000-0005-0000-0000-0000F3030000}"/>
    <cellStyle name="C￥AØ_Sheet1_¿μ¾÷CoE² " xfId="1063" xr:uid="{00000000-0005-0000-0000-0000F4030000}"/>
    <cellStyle name="Ç¥ÁØ_Sheet1_0N-HANDLING " xfId="1064" xr:uid="{00000000-0005-0000-0000-0000F5030000}"/>
    <cellStyle name="C￥AØ_Sheet1_Ay°eC￥(2¿u) " xfId="1065" xr:uid="{00000000-0005-0000-0000-0000F6030000}"/>
    <cellStyle name="Ç¥ÁØ_Sheet1_Áý°èÇ¥(2¿ù) " xfId="1066" xr:uid="{00000000-0005-0000-0000-0000F7030000}"/>
    <cellStyle name="C￥AØ_SMG-CKD-d1.1 " xfId="1067" xr:uid="{00000000-0005-0000-0000-0000F8030000}"/>
    <cellStyle name="Ç¥ÁØ_SMG-CKD-d1.1 " xfId="1068" xr:uid="{00000000-0005-0000-0000-0000F9030000}"/>
    <cellStyle name="C￥AØ_WIPER " xfId="1069" xr:uid="{00000000-0005-0000-0000-0000FA030000}"/>
    <cellStyle name="Ç¥ÁØ_WIPER " xfId="1070" xr:uid="{00000000-0005-0000-0000-0000FB030000}"/>
    <cellStyle name="C￥AØ_XD AOA¾AIA¤ " xfId="1071" xr:uid="{00000000-0005-0000-0000-0000FC030000}"/>
    <cellStyle name="Ç¥ÁØ_XD ÃÖÁ¾ÀÏÁ¤ " xfId="1072" xr:uid="{00000000-0005-0000-0000-0000FD030000}"/>
    <cellStyle name="C￥AØ_μðAⓒAIA¤ " xfId="1073" xr:uid="{00000000-0005-0000-0000-0000FE030000}"/>
    <cellStyle name="Calc Currency (0)" xfId="1074" xr:uid="{00000000-0005-0000-0000-0000FF030000}"/>
    <cellStyle name="Calculation" xfId="1075" xr:uid="{00000000-0005-0000-0000-000000040000}"/>
    <cellStyle name="category" xfId="1076" xr:uid="{00000000-0005-0000-0000-000001040000}"/>
    <cellStyle name="Check Cell" xfId="1077" xr:uid="{00000000-0005-0000-0000-000002040000}"/>
    <cellStyle name="Comma [0]" xfId="1078" xr:uid="{00000000-0005-0000-0000-000003040000}"/>
    <cellStyle name="Comma_ SG&amp;A Bridge" xfId="1079" xr:uid="{00000000-0005-0000-0000-000004040000}"/>
    <cellStyle name="Comma0" xfId="1080" xr:uid="{00000000-0005-0000-0000-000005040000}"/>
    <cellStyle name="Copied" xfId="1081" xr:uid="{00000000-0005-0000-0000-000006040000}"/>
    <cellStyle name="Curren?_x0012_퐀_x0017_?" xfId="1082" xr:uid="{00000000-0005-0000-0000-000007040000}"/>
    <cellStyle name="Currency [0]" xfId="1083" xr:uid="{00000000-0005-0000-0000-000008040000}"/>
    <cellStyle name="Currency_ SG&amp;A Bridge " xfId="1084" xr:uid="{00000000-0005-0000-0000-000009040000}"/>
    <cellStyle name="Currency0" xfId="1085" xr:uid="{00000000-0005-0000-0000-00000A040000}"/>
    <cellStyle name="Currency1" xfId="1086" xr:uid="{00000000-0005-0000-0000-00000B040000}"/>
    <cellStyle name="Date" xfId="1087" xr:uid="{00000000-0005-0000-0000-00000C040000}"/>
    <cellStyle name="Entered" xfId="1088" xr:uid="{00000000-0005-0000-0000-00000D040000}"/>
    <cellStyle name="entry" xfId="1089" xr:uid="{00000000-0005-0000-0000-00000E040000}"/>
    <cellStyle name="Euro" xfId="1090" xr:uid="{00000000-0005-0000-0000-00000F040000}"/>
    <cellStyle name="Explanatory Text" xfId="1091" xr:uid="{00000000-0005-0000-0000-000010040000}"/>
    <cellStyle name="Fixed" xfId="1092" xr:uid="{00000000-0005-0000-0000-000011040000}"/>
    <cellStyle name="Good" xfId="1093" xr:uid="{00000000-0005-0000-0000-000012040000}"/>
    <cellStyle name="Grey" xfId="1094" xr:uid="{00000000-0005-0000-0000-000013040000}"/>
    <cellStyle name="HEADER" xfId="1095" xr:uid="{00000000-0005-0000-0000-000014040000}"/>
    <cellStyle name="Header1" xfId="1096" xr:uid="{00000000-0005-0000-0000-000015040000}"/>
    <cellStyle name="Header2" xfId="1097" xr:uid="{00000000-0005-0000-0000-000016040000}"/>
    <cellStyle name="Header2 2" xfId="1098" xr:uid="{00000000-0005-0000-0000-000017040000}"/>
    <cellStyle name="Heading 1" xfId="1099" xr:uid="{00000000-0005-0000-0000-000018040000}"/>
    <cellStyle name="Heading 1 2" xfId="1100" xr:uid="{00000000-0005-0000-0000-000019040000}"/>
    <cellStyle name="Heading 2" xfId="1101" xr:uid="{00000000-0005-0000-0000-00001A040000}"/>
    <cellStyle name="Heading 2 2" xfId="1102" xr:uid="{00000000-0005-0000-0000-00001B040000}"/>
    <cellStyle name="Heading 3" xfId="1103" xr:uid="{00000000-0005-0000-0000-00001C040000}"/>
    <cellStyle name="Heading 4" xfId="1104" xr:uid="{00000000-0005-0000-0000-00001D040000}"/>
    <cellStyle name="Heading1" xfId="1105" xr:uid="{00000000-0005-0000-0000-00001E040000}"/>
    <cellStyle name="Heading2" xfId="1106" xr:uid="{00000000-0005-0000-0000-00001F040000}"/>
    <cellStyle name="HIGHLIGHT" xfId="1107" xr:uid="{00000000-0005-0000-0000-000020040000}"/>
    <cellStyle name="iles|_x0005_h" xfId="1108" xr:uid="{00000000-0005-0000-0000-000021040000}"/>
    <cellStyle name="Input" xfId="1109" xr:uid="{00000000-0005-0000-0000-000022040000}"/>
    <cellStyle name="Input [yellow]" xfId="1110" xr:uid="{00000000-0005-0000-0000-000023040000}"/>
    <cellStyle name="Input [yellow] 2" xfId="1111" xr:uid="{00000000-0005-0000-0000-000024040000}"/>
    <cellStyle name="Input [yellow] 2 2" xfId="1112" xr:uid="{00000000-0005-0000-0000-000025040000}"/>
    <cellStyle name="Input [yellow] 3" xfId="1113" xr:uid="{00000000-0005-0000-0000-000026040000}"/>
    <cellStyle name="les" xfId="1114" xr:uid="{00000000-0005-0000-0000-000027040000}"/>
    <cellStyle name="Linked Cell" xfId="1115" xr:uid="{00000000-0005-0000-0000-000028040000}"/>
    <cellStyle name="Milliers [0]" xfId="1116" xr:uid="{00000000-0005-0000-0000-000029040000}"/>
    <cellStyle name="Milliers_!!!GO" xfId="1117" xr:uid="{00000000-0005-0000-0000-00002A040000}"/>
    <cellStyle name="Model" xfId="1118" xr:uid="{00000000-0005-0000-0000-00002B040000}"/>
    <cellStyle name="Model 2" xfId="1119" xr:uid="{00000000-0005-0000-0000-00002C040000}"/>
    <cellStyle name="Model 2 2" xfId="1120" xr:uid="{00000000-0005-0000-0000-00002D040000}"/>
    <cellStyle name="Model 2 2 2" xfId="2609" xr:uid="{00000000-0005-0000-0000-00002E040000}"/>
    <cellStyle name="Model 2 3" xfId="2608" xr:uid="{00000000-0005-0000-0000-00002F040000}"/>
    <cellStyle name="Model 3" xfId="2607" xr:uid="{00000000-0005-0000-0000-000030040000}"/>
    <cellStyle name="Mon?aire [0]" xfId="1121" xr:uid="{00000000-0005-0000-0000-000031040000}"/>
    <cellStyle name="Mon?aire_!!!GO" xfId="1122" xr:uid="{00000000-0005-0000-0000-000032040000}"/>
    <cellStyle name="Neutral" xfId="1123" xr:uid="{00000000-0005-0000-0000-000033040000}"/>
    <cellStyle name="no dec" xfId="1124" xr:uid="{00000000-0005-0000-0000-000034040000}"/>
    <cellStyle name="Normal - Style1" xfId="1125" xr:uid="{00000000-0005-0000-0000-000035040000}"/>
    <cellStyle name="Normal_ SG&amp;A Bridge " xfId="1126" xr:uid="{00000000-0005-0000-0000-000036040000}"/>
    <cellStyle name="Note" xfId="1127" xr:uid="{00000000-0005-0000-0000-000037040000}"/>
    <cellStyle name="NUM_" xfId="1128" xr:uid="{00000000-0005-0000-0000-000038040000}"/>
    <cellStyle name="o??귟 [0.00]_PRODUCT DETAIL Q1" xfId="1129" xr:uid="{00000000-0005-0000-0000-000039040000}"/>
    <cellStyle name="Œ…‹æØ‚è [0.00]_PRODUCT DETAIL Q1" xfId="1130" xr:uid="{00000000-0005-0000-0000-00003A040000}"/>
    <cellStyle name="Œ…‹æØ‚è_PRODUCT DETAIL Q1" xfId="1131" xr:uid="{00000000-0005-0000-0000-00003B040000}"/>
    <cellStyle name="Output" xfId="1132" xr:uid="{00000000-0005-0000-0000-00003C040000}"/>
    <cellStyle name="Percent [2]" xfId="1133" xr:uid="{00000000-0005-0000-0000-00003D040000}"/>
    <cellStyle name="Percent_!!!GO" xfId="1134" xr:uid="{00000000-0005-0000-0000-00003E040000}"/>
    <cellStyle name="price" xfId="1135" xr:uid="{00000000-0005-0000-0000-00003F040000}"/>
    <cellStyle name="R?" xfId="1136" xr:uid="{00000000-0005-0000-0000-000040040000}"/>
    <cellStyle name="R_TITLE" xfId="1137" xr:uid="{00000000-0005-0000-0000-000041040000}"/>
    <cellStyle name="R_TITLE_10월생산계획" xfId="1138" xr:uid="{00000000-0005-0000-0000-000042040000}"/>
    <cellStyle name="R_TITLE_6월생산계획" xfId="1139" xr:uid="{00000000-0005-0000-0000-000043040000}"/>
    <cellStyle name="R_TITLE_6월생산계획_2011년 10월 생산계획" xfId="1140" xr:uid="{00000000-0005-0000-0000-000044040000}"/>
    <cellStyle name="R_TITLE_6월생산계획_2011년 8월 생산계획-수정" xfId="1141" xr:uid="{00000000-0005-0000-0000-000045040000}"/>
    <cellStyle name="R_TITLE_6월생산계획_2011년 9월 생산계획" xfId="1142" xr:uid="{00000000-0005-0000-0000-000046040000}"/>
    <cellStyle name="R_TITLE_8월생산계획(1)" xfId="1143" xr:uid="{00000000-0005-0000-0000-000047040000}"/>
    <cellStyle name="R_TITLE_8월생산계획110805" xfId="1144" xr:uid="{00000000-0005-0000-0000-000048040000}"/>
    <cellStyle name="revised" xfId="1145" xr:uid="{00000000-0005-0000-0000-000049040000}"/>
    <cellStyle name="RevList" xfId="1146" xr:uid="{00000000-0005-0000-0000-00004A040000}"/>
    <cellStyle name="roux_laroux" xfId="1147" xr:uid="{00000000-0005-0000-0000-00004B040000}"/>
    <cellStyle name="sche|_x0005_" xfId="1148" xr:uid="{00000000-0005-0000-0000-00004C040000}"/>
    <cellStyle name="section" xfId="1149" xr:uid="{00000000-0005-0000-0000-00004D040000}"/>
    <cellStyle name="STANDARD" xfId="1150" xr:uid="{00000000-0005-0000-0000-00004E040000}"/>
    <cellStyle name="subhead" xfId="1151" xr:uid="{00000000-0005-0000-0000-00004F040000}"/>
    <cellStyle name="Subtotal" xfId="1152" xr:uid="{00000000-0005-0000-0000-000050040000}"/>
    <cellStyle name="þ_x001d_ð'&amp;Oy?Hy9_x0008__x000f__x0007_æ_x0007__x0007__x0001__x0001_" xfId="1153" xr:uid="{00000000-0005-0000-0000-000051040000}"/>
    <cellStyle name="title" xfId="1154" xr:uid="{00000000-0005-0000-0000-000052040000}"/>
    <cellStyle name="Title 2" xfId="1155" xr:uid="{00000000-0005-0000-0000-000053040000}"/>
    <cellStyle name="Total" xfId="1156" xr:uid="{00000000-0005-0000-0000-000054040000}"/>
    <cellStyle name="Total 2" xfId="1157" xr:uid="{00000000-0005-0000-0000-000055040000}"/>
    <cellStyle name="Unprot" xfId="1158" xr:uid="{00000000-0005-0000-0000-000056040000}"/>
    <cellStyle name="Unprot$" xfId="1159" xr:uid="{00000000-0005-0000-0000-000057040000}"/>
    <cellStyle name="Unprotect" xfId="1160" xr:uid="{00000000-0005-0000-0000-000058040000}"/>
    <cellStyle name="Warning Text" xfId="1161" xr:uid="{00000000-0005-0000-0000-000059040000}"/>
    <cellStyle name="XLS'|_x0005_t" xfId="1162" xr:uid="{00000000-0005-0000-0000-00005A040000}"/>
    <cellStyle name="アクセント 1" xfId="1163" xr:uid="{00000000-0005-0000-0000-00005B040000}"/>
    <cellStyle name="アクセント 2" xfId="1164" xr:uid="{00000000-0005-0000-0000-00005C040000}"/>
    <cellStyle name="アクセント 3" xfId="1165" xr:uid="{00000000-0005-0000-0000-00005D040000}"/>
    <cellStyle name="アクセント 4" xfId="1166" xr:uid="{00000000-0005-0000-0000-00005E040000}"/>
    <cellStyle name="アクセント 5" xfId="1167" xr:uid="{00000000-0005-0000-0000-00005F040000}"/>
    <cellStyle name="アクセント 6" xfId="1168" xr:uid="{00000000-0005-0000-0000-000060040000}"/>
    <cellStyle name="スタイル 1" xfId="1169" xr:uid="{00000000-0005-0000-0000-000061040000}"/>
    <cellStyle name="スタイル 2" xfId="1170" xr:uid="{00000000-0005-0000-0000-000062040000}"/>
    <cellStyle name="スタイル 3" xfId="1171" xr:uid="{00000000-0005-0000-0000-000063040000}"/>
    <cellStyle name="タイトル" xfId="1172" xr:uid="{00000000-0005-0000-0000-000064040000}"/>
    <cellStyle name="チェック セル" xfId="1173" xr:uid="{00000000-0005-0000-0000-000065040000}"/>
    <cellStyle name="どちらでもない" xfId="1174" xr:uid="{00000000-0005-0000-0000-000066040000}"/>
    <cellStyle name="メモ" xfId="1175" xr:uid="{00000000-0005-0000-0000-000067040000}"/>
    <cellStyle name="メモ 2" xfId="1176" xr:uid="{00000000-0005-0000-0000-000068040000}"/>
    <cellStyle name="リンク セル" xfId="1177" xr:uid="{00000000-0005-0000-0000-000069040000}"/>
    <cellStyle name="强调文字颜色 1" xfId="1178" xr:uid="{00000000-0005-0000-0000-00006A040000}"/>
    <cellStyle name="强调文字颜色 2" xfId="1179" xr:uid="{00000000-0005-0000-0000-00006B040000}"/>
    <cellStyle name="强调文字颜色 3" xfId="1180" xr:uid="{00000000-0005-0000-0000-00006C040000}"/>
    <cellStyle name="强调文字颜色 4" xfId="1181" xr:uid="{00000000-0005-0000-0000-00006D040000}"/>
    <cellStyle name="强调文字颜色 5" xfId="1182" xr:uid="{00000000-0005-0000-0000-00006E040000}"/>
    <cellStyle name="强调文字颜色 6" xfId="1183" xr:uid="{00000000-0005-0000-0000-00006F040000}"/>
    <cellStyle name="강조색1" xfId="3241" builtinId="29" customBuiltin="1"/>
    <cellStyle name="강조색1 2" xfId="21" xr:uid="{00000000-0005-0000-0000-000071040000}"/>
    <cellStyle name="강조색2" xfId="3245" builtinId="33" customBuiltin="1"/>
    <cellStyle name="강조색3" xfId="3249" builtinId="37" customBuiltin="1"/>
    <cellStyle name="강조색4" xfId="3253" builtinId="41" customBuiltin="1"/>
    <cellStyle name="강조색5" xfId="3257" builtinId="45" customBuiltin="1"/>
    <cellStyle name="강조색6" xfId="3261" builtinId="49" customBuiltin="1"/>
    <cellStyle name="检查单元格" xfId="1184" xr:uid="{00000000-0005-0000-0000-000072040000}"/>
    <cellStyle name="見出し 1" xfId="1185" xr:uid="{00000000-0005-0000-0000-000073040000}"/>
    <cellStyle name="見出し 2" xfId="1186" xr:uid="{00000000-0005-0000-0000-000074040000}"/>
    <cellStyle name="見出し 3" xfId="1187" xr:uid="{00000000-0005-0000-0000-000075040000}"/>
    <cellStyle name="見出し 3 2" xfId="1188" xr:uid="{00000000-0005-0000-0000-000076040000}"/>
    <cellStyle name="見出し 3 2 2" xfId="1189" xr:uid="{00000000-0005-0000-0000-000077040000}"/>
    <cellStyle name="見出し 4" xfId="1190" xr:uid="{00000000-0005-0000-0000-000078040000}"/>
    <cellStyle name="경고문" xfId="3237" builtinId="11" customBuiltin="1"/>
    <cellStyle name="警告文" xfId="1191" xr:uid="{00000000-0005-0000-0000-000079040000}"/>
    <cellStyle name="警告文本" xfId="1192" xr:uid="{00000000-0005-0000-0000-00007A040000}"/>
    <cellStyle name="계산" xfId="3234" builtinId="22" customBuiltin="1"/>
    <cellStyle name="計算" xfId="1193" xr:uid="{00000000-0005-0000-0000-00007B040000}"/>
    <cellStyle name="计算" xfId="1194" xr:uid="{00000000-0005-0000-0000-00007C040000}"/>
    <cellStyle name="計算 2" xfId="1195" xr:uid="{00000000-0005-0000-0000-00007D040000}"/>
    <cellStyle name="计算 2" xfId="1196" xr:uid="{00000000-0005-0000-0000-00007E040000}"/>
    <cellStyle name="고정소숫점" xfId="1197" xr:uid="{00000000-0005-0000-0000-00007F040000}"/>
    <cellStyle name="고정출력1" xfId="1198" xr:uid="{00000000-0005-0000-0000-000080040000}"/>
    <cellStyle name="고정출력2" xfId="1199" xr:uid="{00000000-0005-0000-0000-000081040000}"/>
    <cellStyle name="适中" xfId="1200" xr:uid="{00000000-0005-0000-0000-000082040000}"/>
    <cellStyle name="나쁨" xfId="3230" builtinId="27" customBuiltin="1"/>
    <cellStyle name="나쁨 2" xfId="22" xr:uid="{00000000-0005-0000-0000-000084040000}"/>
    <cellStyle name="날짜" xfId="1201" xr:uid="{00000000-0005-0000-0000-000085040000}"/>
    <cellStyle name="달러" xfId="1202" xr:uid="{00000000-0005-0000-0000-000086040000}"/>
    <cellStyle name="뒤에 오는 하이퍼링크" xfId="1203" xr:uid="{00000000-0005-0000-0000-000087040000}"/>
    <cellStyle name="딶" xfId="1204" xr:uid="{00000000-0005-0000-0000-000088040000}"/>
    <cellStyle name="똿뗦먛귟 [0.00]_NT Server " xfId="1205" xr:uid="{00000000-0005-0000-0000-000089040000}"/>
    <cellStyle name="똿뗦먛귟_NT Server " xfId="1206" xr:uid="{00000000-0005-0000-0000-00008A040000}"/>
    <cellStyle name="良い" xfId="1207" xr:uid="{00000000-0005-0000-0000-00008B040000}"/>
    <cellStyle name="链接单元格" xfId="1208" xr:uid="{00000000-0005-0000-0000-00008C040000}"/>
    <cellStyle name="메모" xfId="3238" builtinId="10" customBuiltin="1"/>
    <cellStyle name="믅됞 [0.00]_NT Server " xfId="1209" xr:uid="{00000000-0005-0000-0000-00008D040000}"/>
    <cellStyle name="믅됞_NT Server " xfId="1210" xr:uid="{00000000-0005-0000-0000-00008E040000}"/>
    <cellStyle name="백" xfId="1211" xr:uid="{00000000-0005-0000-0000-00008F040000}"/>
    <cellStyle name="백_Daeshin Price List (122309)" xfId="1212" xr:uid="{00000000-0005-0000-0000-000090040000}"/>
    <cellStyle name="백_Daeshin Price List (122309)_Daeshin Pricing and Calculations 7Jun12" xfId="1213" xr:uid="{00000000-0005-0000-0000-000091040000}"/>
    <cellStyle name="백분율 [0]" xfId="1214" xr:uid="{00000000-0005-0000-0000-000092040000}"/>
    <cellStyle name="백분율 10" xfId="1215" xr:uid="{00000000-0005-0000-0000-000093040000}"/>
    <cellStyle name="백분율 10 2" xfId="1216" xr:uid="{00000000-0005-0000-0000-000094040000}"/>
    <cellStyle name="백분율 100" xfId="1217" xr:uid="{00000000-0005-0000-0000-000095040000}"/>
    <cellStyle name="백분율 100 2" xfId="1218" xr:uid="{00000000-0005-0000-0000-000096040000}"/>
    <cellStyle name="백분율 101" xfId="1219" xr:uid="{00000000-0005-0000-0000-000097040000}"/>
    <cellStyle name="백분율 101 2" xfId="1220" xr:uid="{00000000-0005-0000-0000-000098040000}"/>
    <cellStyle name="백분율 102" xfId="1221" xr:uid="{00000000-0005-0000-0000-000099040000}"/>
    <cellStyle name="백분율 102 2" xfId="1222" xr:uid="{00000000-0005-0000-0000-00009A040000}"/>
    <cellStyle name="백분율 103" xfId="1223" xr:uid="{00000000-0005-0000-0000-00009B040000}"/>
    <cellStyle name="백분율 103 2" xfId="1224" xr:uid="{00000000-0005-0000-0000-00009C040000}"/>
    <cellStyle name="백분율 104" xfId="1225" xr:uid="{00000000-0005-0000-0000-00009D040000}"/>
    <cellStyle name="백분율 104 2" xfId="1226" xr:uid="{00000000-0005-0000-0000-00009E040000}"/>
    <cellStyle name="백분율 105" xfId="1227" xr:uid="{00000000-0005-0000-0000-00009F040000}"/>
    <cellStyle name="백분율 105 2" xfId="1228" xr:uid="{00000000-0005-0000-0000-0000A0040000}"/>
    <cellStyle name="백분율 106" xfId="1229" xr:uid="{00000000-0005-0000-0000-0000A1040000}"/>
    <cellStyle name="백분율 106 2" xfId="1230" xr:uid="{00000000-0005-0000-0000-0000A2040000}"/>
    <cellStyle name="백분율 107" xfId="1231" xr:uid="{00000000-0005-0000-0000-0000A3040000}"/>
    <cellStyle name="백분율 107 2" xfId="1232" xr:uid="{00000000-0005-0000-0000-0000A4040000}"/>
    <cellStyle name="백분율 108" xfId="1233" xr:uid="{00000000-0005-0000-0000-0000A5040000}"/>
    <cellStyle name="백분율 108 2" xfId="1234" xr:uid="{00000000-0005-0000-0000-0000A6040000}"/>
    <cellStyle name="백분율 109" xfId="1235" xr:uid="{00000000-0005-0000-0000-0000A7040000}"/>
    <cellStyle name="백분율 109 2" xfId="1236" xr:uid="{00000000-0005-0000-0000-0000A8040000}"/>
    <cellStyle name="백분율 11" xfId="1237" xr:uid="{00000000-0005-0000-0000-0000A9040000}"/>
    <cellStyle name="백분율 11 2" xfId="1238" xr:uid="{00000000-0005-0000-0000-0000AA040000}"/>
    <cellStyle name="백분율 110" xfId="1239" xr:uid="{00000000-0005-0000-0000-0000AB040000}"/>
    <cellStyle name="백분율 110 2" xfId="1240" xr:uid="{00000000-0005-0000-0000-0000AC040000}"/>
    <cellStyle name="백분율 111" xfId="1241" xr:uid="{00000000-0005-0000-0000-0000AD040000}"/>
    <cellStyle name="백분율 111 2" xfId="1242" xr:uid="{00000000-0005-0000-0000-0000AE040000}"/>
    <cellStyle name="백분율 112" xfId="1243" xr:uid="{00000000-0005-0000-0000-0000AF040000}"/>
    <cellStyle name="백분율 112 2" xfId="1244" xr:uid="{00000000-0005-0000-0000-0000B0040000}"/>
    <cellStyle name="백분율 113" xfId="1245" xr:uid="{00000000-0005-0000-0000-0000B1040000}"/>
    <cellStyle name="백분율 113 2" xfId="1246" xr:uid="{00000000-0005-0000-0000-0000B2040000}"/>
    <cellStyle name="백분율 114" xfId="1247" xr:uid="{00000000-0005-0000-0000-0000B3040000}"/>
    <cellStyle name="백분율 114 2" xfId="1248" xr:uid="{00000000-0005-0000-0000-0000B4040000}"/>
    <cellStyle name="백분율 115" xfId="1249" xr:uid="{00000000-0005-0000-0000-0000B5040000}"/>
    <cellStyle name="백분율 115 2" xfId="1250" xr:uid="{00000000-0005-0000-0000-0000B6040000}"/>
    <cellStyle name="백분율 116" xfId="1251" xr:uid="{00000000-0005-0000-0000-0000B7040000}"/>
    <cellStyle name="백분율 116 2" xfId="1252" xr:uid="{00000000-0005-0000-0000-0000B8040000}"/>
    <cellStyle name="백분율 117" xfId="1253" xr:uid="{00000000-0005-0000-0000-0000B9040000}"/>
    <cellStyle name="백분율 117 2" xfId="1254" xr:uid="{00000000-0005-0000-0000-0000BA040000}"/>
    <cellStyle name="백분율 118" xfId="1255" xr:uid="{00000000-0005-0000-0000-0000BB040000}"/>
    <cellStyle name="백분율 118 2" xfId="1256" xr:uid="{00000000-0005-0000-0000-0000BC040000}"/>
    <cellStyle name="백분율 119" xfId="1257" xr:uid="{00000000-0005-0000-0000-0000BD040000}"/>
    <cellStyle name="백분율 119 2" xfId="1258" xr:uid="{00000000-0005-0000-0000-0000BE040000}"/>
    <cellStyle name="백분율 12" xfId="1259" xr:uid="{00000000-0005-0000-0000-0000BF040000}"/>
    <cellStyle name="백분율 12 2" xfId="1260" xr:uid="{00000000-0005-0000-0000-0000C0040000}"/>
    <cellStyle name="백분율 120" xfId="1261" xr:uid="{00000000-0005-0000-0000-0000C1040000}"/>
    <cellStyle name="백분율 120 2" xfId="1262" xr:uid="{00000000-0005-0000-0000-0000C2040000}"/>
    <cellStyle name="백분율 121" xfId="1263" xr:uid="{00000000-0005-0000-0000-0000C3040000}"/>
    <cellStyle name="백분율 121 2" xfId="1264" xr:uid="{00000000-0005-0000-0000-0000C4040000}"/>
    <cellStyle name="백분율 122" xfId="1265" xr:uid="{00000000-0005-0000-0000-0000C5040000}"/>
    <cellStyle name="백분율 122 2" xfId="1266" xr:uid="{00000000-0005-0000-0000-0000C6040000}"/>
    <cellStyle name="백분율 123" xfId="1267" xr:uid="{00000000-0005-0000-0000-0000C7040000}"/>
    <cellStyle name="백분율 123 2" xfId="1268" xr:uid="{00000000-0005-0000-0000-0000C8040000}"/>
    <cellStyle name="백분율 124" xfId="1269" xr:uid="{00000000-0005-0000-0000-0000C9040000}"/>
    <cellStyle name="백분율 124 2" xfId="1270" xr:uid="{00000000-0005-0000-0000-0000CA040000}"/>
    <cellStyle name="백분율 125" xfId="1271" xr:uid="{00000000-0005-0000-0000-0000CB040000}"/>
    <cellStyle name="백분율 125 2" xfId="1272" xr:uid="{00000000-0005-0000-0000-0000CC040000}"/>
    <cellStyle name="백분율 126" xfId="1273" xr:uid="{00000000-0005-0000-0000-0000CD040000}"/>
    <cellStyle name="백분율 126 2" xfId="1274" xr:uid="{00000000-0005-0000-0000-0000CE040000}"/>
    <cellStyle name="백분율 127" xfId="1275" xr:uid="{00000000-0005-0000-0000-0000CF040000}"/>
    <cellStyle name="백분율 127 2" xfId="1276" xr:uid="{00000000-0005-0000-0000-0000D0040000}"/>
    <cellStyle name="백분율 128" xfId="1277" xr:uid="{00000000-0005-0000-0000-0000D1040000}"/>
    <cellStyle name="백분율 128 2" xfId="1278" xr:uid="{00000000-0005-0000-0000-0000D2040000}"/>
    <cellStyle name="백분율 129" xfId="1279" xr:uid="{00000000-0005-0000-0000-0000D3040000}"/>
    <cellStyle name="백분율 129 2" xfId="1280" xr:uid="{00000000-0005-0000-0000-0000D4040000}"/>
    <cellStyle name="백분율 13" xfId="1281" xr:uid="{00000000-0005-0000-0000-0000D5040000}"/>
    <cellStyle name="백분율 13 2" xfId="1282" xr:uid="{00000000-0005-0000-0000-0000D6040000}"/>
    <cellStyle name="백분율 130" xfId="1283" xr:uid="{00000000-0005-0000-0000-0000D7040000}"/>
    <cellStyle name="백분율 130 2" xfId="1284" xr:uid="{00000000-0005-0000-0000-0000D8040000}"/>
    <cellStyle name="백분율 131" xfId="1285" xr:uid="{00000000-0005-0000-0000-0000D9040000}"/>
    <cellStyle name="백분율 131 2" xfId="1286" xr:uid="{00000000-0005-0000-0000-0000DA040000}"/>
    <cellStyle name="백분율 132" xfId="1287" xr:uid="{00000000-0005-0000-0000-0000DB040000}"/>
    <cellStyle name="백분율 132 2" xfId="1288" xr:uid="{00000000-0005-0000-0000-0000DC040000}"/>
    <cellStyle name="백분율 133" xfId="1289" xr:uid="{00000000-0005-0000-0000-0000DD040000}"/>
    <cellStyle name="백분율 133 2" xfId="1290" xr:uid="{00000000-0005-0000-0000-0000DE040000}"/>
    <cellStyle name="백분율 134" xfId="1291" xr:uid="{00000000-0005-0000-0000-0000DF040000}"/>
    <cellStyle name="백분율 134 2" xfId="1292" xr:uid="{00000000-0005-0000-0000-0000E0040000}"/>
    <cellStyle name="백분율 135" xfId="1293" xr:uid="{00000000-0005-0000-0000-0000E1040000}"/>
    <cellStyle name="백분율 135 2" xfId="1294" xr:uid="{00000000-0005-0000-0000-0000E2040000}"/>
    <cellStyle name="백분율 136" xfId="1295" xr:uid="{00000000-0005-0000-0000-0000E3040000}"/>
    <cellStyle name="백분율 136 2" xfId="1296" xr:uid="{00000000-0005-0000-0000-0000E4040000}"/>
    <cellStyle name="백분율 137" xfId="1297" xr:uid="{00000000-0005-0000-0000-0000E5040000}"/>
    <cellStyle name="백분율 137 2" xfId="1298" xr:uid="{00000000-0005-0000-0000-0000E6040000}"/>
    <cellStyle name="백분율 138" xfId="1299" xr:uid="{00000000-0005-0000-0000-0000E7040000}"/>
    <cellStyle name="백분율 138 2" xfId="1300" xr:uid="{00000000-0005-0000-0000-0000E8040000}"/>
    <cellStyle name="백분율 139" xfId="1301" xr:uid="{00000000-0005-0000-0000-0000E9040000}"/>
    <cellStyle name="백분율 139 2" xfId="1302" xr:uid="{00000000-0005-0000-0000-0000EA040000}"/>
    <cellStyle name="백분율 14" xfId="1303" xr:uid="{00000000-0005-0000-0000-0000EB040000}"/>
    <cellStyle name="백분율 14 2" xfId="1304" xr:uid="{00000000-0005-0000-0000-0000EC040000}"/>
    <cellStyle name="백분율 140" xfId="1305" xr:uid="{00000000-0005-0000-0000-0000ED040000}"/>
    <cellStyle name="백분율 140 2" xfId="1306" xr:uid="{00000000-0005-0000-0000-0000EE040000}"/>
    <cellStyle name="백분율 141" xfId="1307" xr:uid="{00000000-0005-0000-0000-0000EF040000}"/>
    <cellStyle name="백분율 141 2" xfId="1308" xr:uid="{00000000-0005-0000-0000-0000F0040000}"/>
    <cellStyle name="백분율 142" xfId="1309" xr:uid="{00000000-0005-0000-0000-0000F1040000}"/>
    <cellStyle name="백분율 142 2" xfId="1310" xr:uid="{00000000-0005-0000-0000-0000F2040000}"/>
    <cellStyle name="백분율 143" xfId="1311" xr:uid="{00000000-0005-0000-0000-0000F3040000}"/>
    <cellStyle name="백분율 143 2" xfId="1312" xr:uid="{00000000-0005-0000-0000-0000F4040000}"/>
    <cellStyle name="백분율 144" xfId="1313" xr:uid="{00000000-0005-0000-0000-0000F5040000}"/>
    <cellStyle name="백분율 144 2" xfId="1314" xr:uid="{00000000-0005-0000-0000-0000F6040000}"/>
    <cellStyle name="백분율 145" xfId="1315" xr:uid="{00000000-0005-0000-0000-0000F7040000}"/>
    <cellStyle name="백분율 145 2" xfId="1316" xr:uid="{00000000-0005-0000-0000-0000F8040000}"/>
    <cellStyle name="백분율 146" xfId="1317" xr:uid="{00000000-0005-0000-0000-0000F9040000}"/>
    <cellStyle name="백분율 146 2" xfId="1318" xr:uid="{00000000-0005-0000-0000-0000FA040000}"/>
    <cellStyle name="백분율 147" xfId="1319" xr:uid="{00000000-0005-0000-0000-0000FB040000}"/>
    <cellStyle name="백분율 147 2" xfId="1320" xr:uid="{00000000-0005-0000-0000-0000FC040000}"/>
    <cellStyle name="백분율 148" xfId="1321" xr:uid="{00000000-0005-0000-0000-0000FD040000}"/>
    <cellStyle name="백분율 148 2" xfId="1322" xr:uid="{00000000-0005-0000-0000-0000FE040000}"/>
    <cellStyle name="백분율 149" xfId="1323" xr:uid="{00000000-0005-0000-0000-0000FF040000}"/>
    <cellStyle name="백분율 149 2" xfId="1324" xr:uid="{00000000-0005-0000-0000-000000050000}"/>
    <cellStyle name="백분율 15" xfId="1325" xr:uid="{00000000-0005-0000-0000-000001050000}"/>
    <cellStyle name="백분율 15 2" xfId="1326" xr:uid="{00000000-0005-0000-0000-000002050000}"/>
    <cellStyle name="백분율 150" xfId="1327" xr:uid="{00000000-0005-0000-0000-000003050000}"/>
    <cellStyle name="백분율 150 2" xfId="1328" xr:uid="{00000000-0005-0000-0000-000004050000}"/>
    <cellStyle name="백분율 151" xfId="1329" xr:uid="{00000000-0005-0000-0000-000005050000}"/>
    <cellStyle name="백분율 151 2" xfId="1330" xr:uid="{00000000-0005-0000-0000-000006050000}"/>
    <cellStyle name="백분율 152" xfId="1331" xr:uid="{00000000-0005-0000-0000-000007050000}"/>
    <cellStyle name="백분율 152 2" xfId="1332" xr:uid="{00000000-0005-0000-0000-000008050000}"/>
    <cellStyle name="백분율 153" xfId="1333" xr:uid="{00000000-0005-0000-0000-000009050000}"/>
    <cellStyle name="백분율 153 2" xfId="1334" xr:uid="{00000000-0005-0000-0000-00000A050000}"/>
    <cellStyle name="백분율 154" xfId="1335" xr:uid="{00000000-0005-0000-0000-00000B050000}"/>
    <cellStyle name="백분율 154 2" xfId="1336" xr:uid="{00000000-0005-0000-0000-00000C050000}"/>
    <cellStyle name="백분율 155" xfId="1337" xr:uid="{00000000-0005-0000-0000-00000D050000}"/>
    <cellStyle name="백분율 155 2" xfId="1338" xr:uid="{00000000-0005-0000-0000-00000E050000}"/>
    <cellStyle name="백분율 156" xfId="1339" xr:uid="{00000000-0005-0000-0000-00000F050000}"/>
    <cellStyle name="백분율 156 2" xfId="1340" xr:uid="{00000000-0005-0000-0000-000010050000}"/>
    <cellStyle name="백분율 157" xfId="1341" xr:uid="{00000000-0005-0000-0000-000011050000}"/>
    <cellStyle name="백분율 157 2" xfId="1342" xr:uid="{00000000-0005-0000-0000-000012050000}"/>
    <cellStyle name="백분율 158" xfId="1343" xr:uid="{00000000-0005-0000-0000-000013050000}"/>
    <cellStyle name="백분율 158 2" xfId="1344" xr:uid="{00000000-0005-0000-0000-000014050000}"/>
    <cellStyle name="백분율 159" xfId="1345" xr:uid="{00000000-0005-0000-0000-000015050000}"/>
    <cellStyle name="백분율 159 2" xfId="1346" xr:uid="{00000000-0005-0000-0000-000016050000}"/>
    <cellStyle name="백분율 16" xfId="1347" xr:uid="{00000000-0005-0000-0000-000017050000}"/>
    <cellStyle name="백분율 16 2" xfId="1348" xr:uid="{00000000-0005-0000-0000-000018050000}"/>
    <cellStyle name="백분율 160" xfId="1349" xr:uid="{00000000-0005-0000-0000-000019050000}"/>
    <cellStyle name="백분율 160 2" xfId="1350" xr:uid="{00000000-0005-0000-0000-00001A050000}"/>
    <cellStyle name="백분율 161" xfId="1351" xr:uid="{00000000-0005-0000-0000-00001B050000}"/>
    <cellStyle name="백분율 161 2" xfId="1352" xr:uid="{00000000-0005-0000-0000-00001C050000}"/>
    <cellStyle name="백분율 162" xfId="1353" xr:uid="{00000000-0005-0000-0000-00001D050000}"/>
    <cellStyle name="백분율 162 2" xfId="1354" xr:uid="{00000000-0005-0000-0000-00001E050000}"/>
    <cellStyle name="백분율 163" xfId="1355" xr:uid="{00000000-0005-0000-0000-00001F050000}"/>
    <cellStyle name="백분율 164" xfId="1356" xr:uid="{00000000-0005-0000-0000-000020050000}"/>
    <cellStyle name="백분율 165" xfId="1357" xr:uid="{00000000-0005-0000-0000-000021050000}"/>
    <cellStyle name="백분율 166" xfId="1358" xr:uid="{00000000-0005-0000-0000-000022050000}"/>
    <cellStyle name="백분율 167" xfId="1359" xr:uid="{00000000-0005-0000-0000-000023050000}"/>
    <cellStyle name="백분율 168" xfId="1360" xr:uid="{00000000-0005-0000-0000-000024050000}"/>
    <cellStyle name="백분율 169" xfId="1361" xr:uid="{00000000-0005-0000-0000-000025050000}"/>
    <cellStyle name="백분율 17" xfId="1362" xr:uid="{00000000-0005-0000-0000-000026050000}"/>
    <cellStyle name="백분율 17 2" xfId="1363" xr:uid="{00000000-0005-0000-0000-000027050000}"/>
    <cellStyle name="백분율 170" xfId="1364" xr:uid="{00000000-0005-0000-0000-000028050000}"/>
    <cellStyle name="백분율 171" xfId="1365" xr:uid="{00000000-0005-0000-0000-000029050000}"/>
    <cellStyle name="백분율 172" xfId="1366" xr:uid="{00000000-0005-0000-0000-00002A050000}"/>
    <cellStyle name="백분율 173" xfId="1367" xr:uid="{00000000-0005-0000-0000-00002B050000}"/>
    <cellStyle name="백분율 174" xfId="1368" xr:uid="{00000000-0005-0000-0000-00002C050000}"/>
    <cellStyle name="백분율 175" xfId="1369" xr:uid="{00000000-0005-0000-0000-00002D050000}"/>
    <cellStyle name="백분율 176" xfId="1370" xr:uid="{00000000-0005-0000-0000-00002E050000}"/>
    <cellStyle name="백분율 177" xfId="1371" xr:uid="{00000000-0005-0000-0000-00002F050000}"/>
    <cellStyle name="백분율 178" xfId="1372" xr:uid="{00000000-0005-0000-0000-000030050000}"/>
    <cellStyle name="백분율 179" xfId="1373" xr:uid="{00000000-0005-0000-0000-000031050000}"/>
    <cellStyle name="백분율 18" xfId="1374" xr:uid="{00000000-0005-0000-0000-000032050000}"/>
    <cellStyle name="백분율 18 2" xfId="1375" xr:uid="{00000000-0005-0000-0000-000033050000}"/>
    <cellStyle name="백분율 180" xfId="1376" xr:uid="{00000000-0005-0000-0000-000034050000}"/>
    <cellStyle name="백분율 181" xfId="1377" xr:uid="{00000000-0005-0000-0000-000035050000}"/>
    <cellStyle name="백분율 182" xfId="1378" xr:uid="{00000000-0005-0000-0000-000036050000}"/>
    <cellStyle name="백분율 183" xfId="1379" xr:uid="{00000000-0005-0000-0000-000037050000}"/>
    <cellStyle name="백분율 184" xfId="1380" xr:uid="{00000000-0005-0000-0000-000038050000}"/>
    <cellStyle name="백분율 185" xfId="1381" xr:uid="{00000000-0005-0000-0000-000039050000}"/>
    <cellStyle name="백분율 186" xfId="1382" xr:uid="{00000000-0005-0000-0000-00003A050000}"/>
    <cellStyle name="백분율 187" xfId="1383" xr:uid="{00000000-0005-0000-0000-00003B050000}"/>
    <cellStyle name="백분율 188" xfId="1384" xr:uid="{00000000-0005-0000-0000-00003C050000}"/>
    <cellStyle name="백분율 189" xfId="1385" xr:uid="{00000000-0005-0000-0000-00003D050000}"/>
    <cellStyle name="백분율 19" xfId="1386" xr:uid="{00000000-0005-0000-0000-00003E050000}"/>
    <cellStyle name="백분율 19 2" xfId="1387" xr:uid="{00000000-0005-0000-0000-00003F050000}"/>
    <cellStyle name="백분율 190" xfId="1388" xr:uid="{00000000-0005-0000-0000-000040050000}"/>
    <cellStyle name="백분율 191" xfId="1389" xr:uid="{00000000-0005-0000-0000-000041050000}"/>
    <cellStyle name="백분율 192" xfId="1390" xr:uid="{00000000-0005-0000-0000-000042050000}"/>
    <cellStyle name="백분율 193" xfId="1391" xr:uid="{00000000-0005-0000-0000-000043050000}"/>
    <cellStyle name="백분율 194" xfId="1392" xr:uid="{00000000-0005-0000-0000-000044050000}"/>
    <cellStyle name="백분율 195" xfId="1393" xr:uid="{00000000-0005-0000-0000-000045050000}"/>
    <cellStyle name="백분율 196" xfId="1394" xr:uid="{00000000-0005-0000-0000-000046050000}"/>
    <cellStyle name="백분율 197" xfId="1395" xr:uid="{00000000-0005-0000-0000-000047050000}"/>
    <cellStyle name="백분율 198" xfId="1396" xr:uid="{00000000-0005-0000-0000-000048050000}"/>
    <cellStyle name="백분율 199" xfId="1397" xr:uid="{00000000-0005-0000-0000-000049050000}"/>
    <cellStyle name="백분율 2" xfId="23" xr:uid="{00000000-0005-0000-0000-00004A050000}"/>
    <cellStyle name="백분율 2 2" xfId="1399" xr:uid="{00000000-0005-0000-0000-00004B050000}"/>
    <cellStyle name="백분율 2 2 2" xfId="1400" xr:uid="{00000000-0005-0000-0000-00004C050000}"/>
    <cellStyle name="백분율 2 2 3" xfId="1401" xr:uid="{00000000-0005-0000-0000-00004D050000}"/>
    <cellStyle name="백분율 2 2 4" xfId="1402" xr:uid="{00000000-0005-0000-0000-00004E050000}"/>
    <cellStyle name="백분율 2 3" xfId="1403" xr:uid="{00000000-0005-0000-0000-00004F050000}"/>
    <cellStyle name="백분율 2 4" xfId="1404" xr:uid="{00000000-0005-0000-0000-000050050000}"/>
    <cellStyle name="백분율 2 5" xfId="1398" xr:uid="{00000000-0005-0000-0000-000051050000}"/>
    <cellStyle name="백분율 20" xfId="1405" xr:uid="{00000000-0005-0000-0000-000052050000}"/>
    <cellStyle name="백분율 20 2" xfId="1406" xr:uid="{00000000-0005-0000-0000-000053050000}"/>
    <cellStyle name="백분율 200" xfId="1407" xr:uid="{00000000-0005-0000-0000-000054050000}"/>
    <cellStyle name="백분율 201" xfId="1408" xr:uid="{00000000-0005-0000-0000-000055050000}"/>
    <cellStyle name="백분율 202" xfId="1409" xr:uid="{00000000-0005-0000-0000-000056050000}"/>
    <cellStyle name="백분율 203" xfId="1410" xr:uid="{00000000-0005-0000-0000-000057050000}"/>
    <cellStyle name="백분율 204" xfId="1411" xr:uid="{00000000-0005-0000-0000-000058050000}"/>
    <cellStyle name="백분율 205" xfId="1412" xr:uid="{00000000-0005-0000-0000-000059050000}"/>
    <cellStyle name="백분율 206" xfId="1413" xr:uid="{00000000-0005-0000-0000-00005A050000}"/>
    <cellStyle name="백분율 207" xfId="1414" xr:uid="{00000000-0005-0000-0000-00005B050000}"/>
    <cellStyle name="백분율 208" xfId="1415" xr:uid="{00000000-0005-0000-0000-00005C050000}"/>
    <cellStyle name="백분율 209" xfId="1416" xr:uid="{00000000-0005-0000-0000-00005D050000}"/>
    <cellStyle name="백분율 21" xfId="1417" xr:uid="{00000000-0005-0000-0000-00005E050000}"/>
    <cellStyle name="백분율 21 2" xfId="1418" xr:uid="{00000000-0005-0000-0000-00005F050000}"/>
    <cellStyle name="백분율 210" xfId="1419" xr:uid="{00000000-0005-0000-0000-000060050000}"/>
    <cellStyle name="백분율 211" xfId="1420" xr:uid="{00000000-0005-0000-0000-000061050000}"/>
    <cellStyle name="백분율 212" xfId="1421" xr:uid="{00000000-0005-0000-0000-000062050000}"/>
    <cellStyle name="백분율 213" xfId="1422" xr:uid="{00000000-0005-0000-0000-000063050000}"/>
    <cellStyle name="백분율 214" xfId="1423" xr:uid="{00000000-0005-0000-0000-000064050000}"/>
    <cellStyle name="백분율 215" xfId="1424" xr:uid="{00000000-0005-0000-0000-000065050000}"/>
    <cellStyle name="백분율 216" xfId="1425" xr:uid="{00000000-0005-0000-0000-000066050000}"/>
    <cellStyle name="백분율 217" xfId="1426" xr:uid="{00000000-0005-0000-0000-000067050000}"/>
    <cellStyle name="백분율 218" xfId="1427" xr:uid="{00000000-0005-0000-0000-000068050000}"/>
    <cellStyle name="백분율 219" xfId="1428" xr:uid="{00000000-0005-0000-0000-000069050000}"/>
    <cellStyle name="백분율 22" xfId="1429" xr:uid="{00000000-0005-0000-0000-00006A050000}"/>
    <cellStyle name="백분율 22 2" xfId="1430" xr:uid="{00000000-0005-0000-0000-00006B050000}"/>
    <cellStyle name="백분율 23" xfId="1431" xr:uid="{00000000-0005-0000-0000-00006C050000}"/>
    <cellStyle name="백분율 23 2" xfId="1432" xr:uid="{00000000-0005-0000-0000-00006D050000}"/>
    <cellStyle name="백분율 24" xfId="1433" xr:uid="{00000000-0005-0000-0000-00006E050000}"/>
    <cellStyle name="백분율 24 2" xfId="1434" xr:uid="{00000000-0005-0000-0000-00006F050000}"/>
    <cellStyle name="백분율 25" xfId="1435" xr:uid="{00000000-0005-0000-0000-000070050000}"/>
    <cellStyle name="백분율 25 2" xfId="1436" xr:uid="{00000000-0005-0000-0000-000071050000}"/>
    <cellStyle name="백분율 26" xfId="1437" xr:uid="{00000000-0005-0000-0000-000072050000}"/>
    <cellStyle name="백분율 26 2" xfId="1438" xr:uid="{00000000-0005-0000-0000-000073050000}"/>
    <cellStyle name="백분율 27" xfId="1439" xr:uid="{00000000-0005-0000-0000-000074050000}"/>
    <cellStyle name="백분율 27 2" xfId="1440" xr:uid="{00000000-0005-0000-0000-000075050000}"/>
    <cellStyle name="백분율 28" xfId="1441" xr:uid="{00000000-0005-0000-0000-000076050000}"/>
    <cellStyle name="백분율 28 2" xfId="1442" xr:uid="{00000000-0005-0000-0000-000077050000}"/>
    <cellStyle name="백분율 29" xfId="1443" xr:uid="{00000000-0005-0000-0000-000078050000}"/>
    <cellStyle name="백분율 29 2" xfId="1444" xr:uid="{00000000-0005-0000-0000-000079050000}"/>
    <cellStyle name="백분율 3" xfId="1445" xr:uid="{00000000-0005-0000-0000-00007A050000}"/>
    <cellStyle name="백분율 3 2" xfId="1446" xr:uid="{00000000-0005-0000-0000-00007B050000}"/>
    <cellStyle name="백분율 3 3" xfId="1447" xr:uid="{00000000-0005-0000-0000-00007C050000}"/>
    <cellStyle name="백분율 3 4" xfId="1448" xr:uid="{00000000-0005-0000-0000-00007D050000}"/>
    <cellStyle name="백분율 3 5" xfId="1449" xr:uid="{00000000-0005-0000-0000-00007E050000}"/>
    <cellStyle name="백분율 30" xfId="1450" xr:uid="{00000000-0005-0000-0000-00007F050000}"/>
    <cellStyle name="백분율 30 2" xfId="1451" xr:uid="{00000000-0005-0000-0000-000080050000}"/>
    <cellStyle name="백분율 31" xfId="1452" xr:uid="{00000000-0005-0000-0000-000081050000}"/>
    <cellStyle name="백분율 31 2" xfId="1453" xr:uid="{00000000-0005-0000-0000-000082050000}"/>
    <cellStyle name="백분율 32" xfId="1454" xr:uid="{00000000-0005-0000-0000-000083050000}"/>
    <cellStyle name="백분율 32 2" xfId="1455" xr:uid="{00000000-0005-0000-0000-000084050000}"/>
    <cellStyle name="백분율 33" xfId="1456" xr:uid="{00000000-0005-0000-0000-000085050000}"/>
    <cellStyle name="백분율 33 2" xfId="1457" xr:uid="{00000000-0005-0000-0000-000086050000}"/>
    <cellStyle name="백분율 34" xfId="1458" xr:uid="{00000000-0005-0000-0000-000087050000}"/>
    <cellStyle name="백분율 34 2" xfId="1459" xr:uid="{00000000-0005-0000-0000-000088050000}"/>
    <cellStyle name="백분율 35" xfId="1460" xr:uid="{00000000-0005-0000-0000-000089050000}"/>
    <cellStyle name="백분율 35 2" xfId="1461" xr:uid="{00000000-0005-0000-0000-00008A050000}"/>
    <cellStyle name="백분율 36" xfId="1462" xr:uid="{00000000-0005-0000-0000-00008B050000}"/>
    <cellStyle name="백분율 36 2" xfId="1463" xr:uid="{00000000-0005-0000-0000-00008C050000}"/>
    <cellStyle name="백분율 37" xfId="1464" xr:uid="{00000000-0005-0000-0000-00008D050000}"/>
    <cellStyle name="백분율 37 2" xfId="1465" xr:uid="{00000000-0005-0000-0000-00008E050000}"/>
    <cellStyle name="백분율 38" xfId="1466" xr:uid="{00000000-0005-0000-0000-00008F050000}"/>
    <cellStyle name="백분율 38 2" xfId="1467" xr:uid="{00000000-0005-0000-0000-000090050000}"/>
    <cellStyle name="백분율 39" xfId="1468" xr:uid="{00000000-0005-0000-0000-000091050000}"/>
    <cellStyle name="백분율 39 2" xfId="1469" xr:uid="{00000000-0005-0000-0000-000092050000}"/>
    <cellStyle name="백분율 4" xfId="1470" xr:uid="{00000000-0005-0000-0000-000093050000}"/>
    <cellStyle name="백분율 4 2" xfId="1471" xr:uid="{00000000-0005-0000-0000-000094050000}"/>
    <cellStyle name="백분율 4 3" xfId="1472" xr:uid="{00000000-0005-0000-0000-000095050000}"/>
    <cellStyle name="백분율 4 4" xfId="1473" xr:uid="{00000000-0005-0000-0000-000096050000}"/>
    <cellStyle name="백분율 4 5" xfId="1474" xr:uid="{00000000-0005-0000-0000-000097050000}"/>
    <cellStyle name="백분율 40" xfId="1475" xr:uid="{00000000-0005-0000-0000-000098050000}"/>
    <cellStyle name="백분율 40 2" xfId="1476" xr:uid="{00000000-0005-0000-0000-000099050000}"/>
    <cellStyle name="백분율 41" xfId="1477" xr:uid="{00000000-0005-0000-0000-00009A050000}"/>
    <cellStyle name="백분율 41 2" xfId="1478" xr:uid="{00000000-0005-0000-0000-00009B050000}"/>
    <cellStyle name="백분율 42" xfId="1479" xr:uid="{00000000-0005-0000-0000-00009C050000}"/>
    <cellStyle name="백분율 42 2" xfId="1480" xr:uid="{00000000-0005-0000-0000-00009D050000}"/>
    <cellStyle name="백분율 43" xfId="1481" xr:uid="{00000000-0005-0000-0000-00009E050000}"/>
    <cellStyle name="백분율 43 2" xfId="1482" xr:uid="{00000000-0005-0000-0000-00009F050000}"/>
    <cellStyle name="백분율 44" xfId="1483" xr:uid="{00000000-0005-0000-0000-0000A0050000}"/>
    <cellStyle name="백분율 44 2" xfId="1484" xr:uid="{00000000-0005-0000-0000-0000A1050000}"/>
    <cellStyle name="백분율 45" xfId="1485" xr:uid="{00000000-0005-0000-0000-0000A2050000}"/>
    <cellStyle name="백분율 45 2" xfId="1486" xr:uid="{00000000-0005-0000-0000-0000A3050000}"/>
    <cellStyle name="백분율 46" xfId="1487" xr:uid="{00000000-0005-0000-0000-0000A4050000}"/>
    <cellStyle name="백분율 46 2" xfId="1488" xr:uid="{00000000-0005-0000-0000-0000A5050000}"/>
    <cellStyle name="백분율 47" xfId="1489" xr:uid="{00000000-0005-0000-0000-0000A6050000}"/>
    <cellStyle name="백분율 47 2" xfId="1490" xr:uid="{00000000-0005-0000-0000-0000A7050000}"/>
    <cellStyle name="백분율 48" xfId="1491" xr:uid="{00000000-0005-0000-0000-0000A8050000}"/>
    <cellStyle name="백분율 48 2" xfId="1492" xr:uid="{00000000-0005-0000-0000-0000A9050000}"/>
    <cellStyle name="백분율 49" xfId="1493" xr:uid="{00000000-0005-0000-0000-0000AA050000}"/>
    <cellStyle name="백분율 49 2" xfId="1494" xr:uid="{00000000-0005-0000-0000-0000AB050000}"/>
    <cellStyle name="백분율 5" xfId="1495" xr:uid="{00000000-0005-0000-0000-0000AC050000}"/>
    <cellStyle name="백분율 5 2" xfId="1496" xr:uid="{00000000-0005-0000-0000-0000AD050000}"/>
    <cellStyle name="백분율 5 3" xfId="1497" xr:uid="{00000000-0005-0000-0000-0000AE050000}"/>
    <cellStyle name="백분율 50" xfId="1498" xr:uid="{00000000-0005-0000-0000-0000AF050000}"/>
    <cellStyle name="백분율 50 2" xfId="1499" xr:uid="{00000000-0005-0000-0000-0000B0050000}"/>
    <cellStyle name="백분율 51" xfId="1500" xr:uid="{00000000-0005-0000-0000-0000B1050000}"/>
    <cellStyle name="백분율 51 2" xfId="1501" xr:uid="{00000000-0005-0000-0000-0000B2050000}"/>
    <cellStyle name="백분율 52" xfId="1502" xr:uid="{00000000-0005-0000-0000-0000B3050000}"/>
    <cellStyle name="백분율 52 2" xfId="1503" xr:uid="{00000000-0005-0000-0000-0000B4050000}"/>
    <cellStyle name="백분율 53" xfId="1504" xr:uid="{00000000-0005-0000-0000-0000B5050000}"/>
    <cellStyle name="백분율 53 2" xfId="1505" xr:uid="{00000000-0005-0000-0000-0000B6050000}"/>
    <cellStyle name="백분율 54" xfId="1506" xr:uid="{00000000-0005-0000-0000-0000B7050000}"/>
    <cellStyle name="백분율 54 2" xfId="1507" xr:uid="{00000000-0005-0000-0000-0000B8050000}"/>
    <cellStyle name="백분율 55" xfId="1508" xr:uid="{00000000-0005-0000-0000-0000B9050000}"/>
    <cellStyle name="백분율 55 2" xfId="1509" xr:uid="{00000000-0005-0000-0000-0000BA050000}"/>
    <cellStyle name="백분율 56" xfId="1510" xr:uid="{00000000-0005-0000-0000-0000BB050000}"/>
    <cellStyle name="백분율 56 2" xfId="1511" xr:uid="{00000000-0005-0000-0000-0000BC050000}"/>
    <cellStyle name="백분율 57" xfId="1512" xr:uid="{00000000-0005-0000-0000-0000BD050000}"/>
    <cellStyle name="백분율 57 2" xfId="1513" xr:uid="{00000000-0005-0000-0000-0000BE050000}"/>
    <cellStyle name="백분율 58" xfId="1514" xr:uid="{00000000-0005-0000-0000-0000BF050000}"/>
    <cellStyle name="백분율 58 2" xfId="1515" xr:uid="{00000000-0005-0000-0000-0000C0050000}"/>
    <cellStyle name="백분율 59" xfId="1516" xr:uid="{00000000-0005-0000-0000-0000C1050000}"/>
    <cellStyle name="백분율 59 2" xfId="1517" xr:uid="{00000000-0005-0000-0000-0000C2050000}"/>
    <cellStyle name="백분율 6" xfId="1518" xr:uid="{00000000-0005-0000-0000-0000C3050000}"/>
    <cellStyle name="백분율 60" xfId="1519" xr:uid="{00000000-0005-0000-0000-0000C4050000}"/>
    <cellStyle name="백분율 60 2" xfId="1520" xr:uid="{00000000-0005-0000-0000-0000C5050000}"/>
    <cellStyle name="백분율 61" xfId="1521" xr:uid="{00000000-0005-0000-0000-0000C6050000}"/>
    <cellStyle name="백분율 61 2" xfId="1522" xr:uid="{00000000-0005-0000-0000-0000C7050000}"/>
    <cellStyle name="백분율 62" xfId="1523" xr:uid="{00000000-0005-0000-0000-0000C8050000}"/>
    <cellStyle name="백분율 62 2" xfId="1524" xr:uid="{00000000-0005-0000-0000-0000C9050000}"/>
    <cellStyle name="백분율 63" xfId="1525" xr:uid="{00000000-0005-0000-0000-0000CA050000}"/>
    <cellStyle name="백분율 63 2" xfId="1526" xr:uid="{00000000-0005-0000-0000-0000CB050000}"/>
    <cellStyle name="백분율 64" xfId="1527" xr:uid="{00000000-0005-0000-0000-0000CC050000}"/>
    <cellStyle name="백분율 64 2" xfId="1528" xr:uid="{00000000-0005-0000-0000-0000CD050000}"/>
    <cellStyle name="백분율 65" xfId="1529" xr:uid="{00000000-0005-0000-0000-0000CE050000}"/>
    <cellStyle name="백분율 65 2" xfId="1530" xr:uid="{00000000-0005-0000-0000-0000CF050000}"/>
    <cellStyle name="백분율 66" xfId="1531" xr:uid="{00000000-0005-0000-0000-0000D0050000}"/>
    <cellStyle name="백분율 66 2" xfId="1532" xr:uid="{00000000-0005-0000-0000-0000D1050000}"/>
    <cellStyle name="백분율 67" xfId="1533" xr:uid="{00000000-0005-0000-0000-0000D2050000}"/>
    <cellStyle name="백분율 67 2" xfId="1534" xr:uid="{00000000-0005-0000-0000-0000D3050000}"/>
    <cellStyle name="백분율 68" xfId="1535" xr:uid="{00000000-0005-0000-0000-0000D4050000}"/>
    <cellStyle name="백분율 68 2" xfId="1536" xr:uid="{00000000-0005-0000-0000-0000D5050000}"/>
    <cellStyle name="백분율 69" xfId="1537" xr:uid="{00000000-0005-0000-0000-0000D6050000}"/>
    <cellStyle name="백분율 69 2" xfId="1538" xr:uid="{00000000-0005-0000-0000-0000D7050000}"/>
    <cellStyle name="백분율 7" xfId="1539" xr:uid="{00000000-0005-0000-0000-0000D8050000}"/>
    <cellStyle name="백분율 70" xfId="1540" xr:uid="{00000000-0005-0000-0000-0000D9050000}"/>
    <cellStyle name="백분율 70 2" xfId="1541" xr:uid="{00000000-0005-0000-0000-0000DA050000}"/>
    <cellStyle name="백분율 71" xfId="1542" xr:uid="{00000000-0005-0000-0000-0000DB050000}"/>
    <cellStyle name="백분율 71 2" xfId="1543" xr:uid="{00000000-0005-0000-0000-0000DC050000}"/>
    <cellStyle name="백분율 72" xfId="1544" xr:uid="{00000000-0005-0000-0000-0000DD050000}"/>
    <cellStyle name="백분율 72 2" xfId="1545" xr:uid="{00000000-0005-0000-0000-0000DE050000}"/>
    <cellStyle name="백분율 73" xfId="1546" xr:uid="{00000000-0005-0000-0000-0000DF050000}"/>
    <cellStyle name="백분율 73 2" xfId="1547" xr:uid="{00000000-0005-0000-0000-0000E0050000}"/>
    <cellStyle name="백분율 74" xfId="1548" xr:uid="{00000000-0005-0000-0000-0000E1050000}"/>
    <cellStyle name="백분율 74 2" xfId="1549" xr:uid="{00000000-0005-0000-0000-0000E2050000}"/>
    <cellStyle name="백분율 75" xfId="1550" xr:uid="{00000000-0005-0000-0000-0000E3050000}"/>
    <cellStyle name="백분율 75 2" xfId="1551" xr:uid="{00000000-0005-0000-0000-0000E4050000}"/>
    <cellStyle name="백분율 76" xfId="1552" xr:uid="{00000000-0005-0000-0000-0000E5050000}"/>
    <cellStyle name="백분율 76 2" xfId="1553" xr:uid="{00000000-0005-0000-0000-0000E6050000}"/>
    <cellStyle name="백분율 77" xfId="1554" xr:uid="{00000000-0005-0000-0000-0000E7050000}"/>
    <cellStyle name="백분율 77 2" xfId="1555" xr:uid="{00000000-0005-0000-0000-0000E8050000}"/>
    <cellStyle name="백분율 78" xfId="1556" xr:uid="{00000000-0005-0000-0000-0000E9050000}"/>
    <cellStyle name="백분율 78 2" xfId="1557" xr:uid="{00000000-0005-0000-0000-0000EA050000}"/>
    <cellStyle name="백분율 79" xfId="1558" xr:uid="{00000000-0005-0000-0000-0000EB050000}"/>
    <cellStyle name="백분율 79 2" xfId="1559" xr:uid="{00000000-0005-0000-0000-0000EC050000}"/>
    <cellStyle name="백분율 8" xfId="1560" xr:uid="{00000000-0005-0000-0000-0000ED050000}"/>
    <cellStyle name="백분율 80" xfId="1561" xr:uid="{00000000-0005-0000-0000-0000EE050000}"/>
    <cellStyle name="백분율 80 2" xfId="1562" xr:uid="{00000000-0005-0000-0000-0000EF050000}"/>
    <cellStyle name="백분율 81" xfId="1563" xr:uid="{00000000-0005-0000-0000-0000F0050000}"/>
    <cellStyle name="백분율 81 2" xfId="1564" xr:uid="{00000000-0005-0000-0000-0000F1050000}"/>
    <cellStyle name="백분율 82" xfId="1565" xr:uid="{00000000-0005-0000-0000-0000F2050000}"/>
    <cellStyle name="백분율 82 2" xfId="1566" xr:uid="{00000000-0005-0000-0000-0000F3050000}"/>
    <cellStyle name="백분율 83" xfId="1567" xr:uid="{00000000-0005-0000-0000-0000F4050000}"/>
    <cellStyle name="백분율 83 2" xfId="1568" xr:uid="{00000000-0005-0000-0000-0000F5050000}"/>
    <cellStyle name="백분율 84" xfId="1569" xr:uid="{00000000-0005-0000-0000-0000F6050000}"/>
    <cellStyle name="백분율 84 2" xfId="1570" xr:uid="{00000000-0005-0000-0000-0000F7050000}"/>
    <cellStyle name="백분율 85" xfId="1571" xr:uid="{00000000-0005-0000-0000-0000F8050000}"/>
    <cellStyle name="백분율 85 2" xfId="1572" xr:uid="{00000000-0005-0000-0000-0000F9050000}"/>
    <cellStyle name="백분율 86" xfId="1573" xr:uid="{00000000-0005-0000-0000-0000FA050000}"/>
    <cellStyle name="백분율 86 2" xfId="1574" xr:uid="{00000000-0005-0000-0000-0000FB050000}"/>
    <cellStyle name="백분율 87" xfId="1575" xr:uid="{00000000-0005-0000-0000-0000FC050000}"/>
    <cellStyle name="백분율 87 2" xfId="1576" xr:uid="{00000000-0005-0000-0000-0000FD050000}"/>
    <cellStyle name="백분율 88" xfId="1577" xr:uid="{00000000-0005-0000-0000-0000FE050000}"/>
    <cellStyle name="백분율 88 2" xfId="1578" xr:uid="{00000000-0005-0000-0000-0000FF050000}"/>
    <cellStyle name="백분율 89" xfId="1579" xr:uid="{00000000-0005-0000-0000-000000060000}"/>
    <cellStyle name="백분율 89 2" xfId="1580" xr:uid="{00000000-0005-0000-0000-000001060000}"/>
    <cellStyle name="백분율 9" xfId="1581" xr:uid="{00000000-0005-0000-0000-000002060000}"/>
    <cellStyle name="백분율 9 2" xfId="1582" xr:uid="{00000000-0005-0000-0000-000003060000}"/>
    <cellStyle name="백분율 90" xfId="1583" xr:uid="{00000000-0005-0000-0000-000004060000}"/>
    <cellStyle name="백분율 90 2" xfId="1584" xr:uid="{00000000-0005-0000-0000-000005060000}"/>
    <cellStyle name="백분율 91" xfId="1585" xr:uid="{00000000-0005-0000-0000-000006060000}"/>
    <cellStyle name="백분율 91 2" xfId="1586" xr:uid="{00000000-0005-0000-0000-000007060000}"/>
    <cellStyle name="백분율 92" xfId="1587" xr:uid="{00000000-0005-0000-0000-000008060000}"/>
    <cellStyle name="백분율 92 2" xfId="1588" xr:uid="{00000000-0005-0000-0000-000009060000}"/>
    <cellStyle name="백분율 93" xfId="1589" xr:uid="{00000000-0005-0000-0000-00000A060000}"/>
    <cellStyle name="백분율 93 2" xfId="1590" xr:uid="{00000000-0005-0000-0000-00000B060000}"/>
    <cellStyle name="백분율 94" xfId="1591" xr:uid="{00000000-0005-0000-0000-00000C060000}"/>
    <cellStyle name="백분율 94 2" xfId="1592" xr:uid="{00000000-0005-0000-0000-00000D060000}"/>
    <cellStyle name="백분율 95" xfId="1593" xr:uid="{00000000-0005-0000-0000-00000E060000}"/>
    <cellStyle name="백분율 95 2" xfId="1594" xr:uid="{00000000-0005-0000-0000-00000F060000}"/>
    <cellStyle name="백분율 96" xfId="1595" xr:uid="{00000000-0005-0000-0000-000010060000}"/>
    <cellStyle name="백분율 96 2" xfId="1596" xr:uid="{00000000-0005-0000-0000-000011060000}"/>
    <cellStyle name="백분율 97" xfId="1597" xr:uid="{00000000-0005-0000-0000-000012060000}"/>
    <cellStyle name="백분율 97 2" xfId="1598" xr:uid="{00000000-0005-0000-0000-000013060000}"/>
    <cellStyle name="백분율 98" xfId="1599" xr:uid="{00000000-0005-0000-0000-000014060000}"/>
    <cellStyle name="백분율 98 2" xfId="1600" xr:uid="{00000000-0005-0000-0000-000015060000}"/>
    <cellStyle name="백분율 99" xfId="1601" xr:uid="{00000000-0005-0000-0000-000016060000}"/>
    <cellStyle name="백분율 99 2" xfId="1602" xr:uid="{00000000-0005-0000-0000-000017060000}"/>
    <cellStyle name="보통" xfId="3231" builtinId="28" customBuiltin="1"/>
    <cellStyle name="뷭?" xfId="1603" xr:uid="{00000000-0005-0000-0000-000018060000}"/>
    <cellStyle name="常规 3" xfId="1604" xr:uid="{00000000-0005-0000-0000-000019060000}"/>
    <cellStyle name="설명 텍스트" xfId="3239" builtinId="53" customBuiltin="1"/>
    <cellStyle name="説明文" xfId="1605" xr:uid="{00000000-0005-0000-0000-00001A060000}"/>
    <cellStyle name="셀 확인" xfId="3236" builtinId="23" customBuiltin="1"/>
    <cellStyle name="셈迷?XLS!check_filesche|_x0005_" xfId="1606" xr:uid="{00000000-0005-0000-0000-00001B060000}"/>
    <cellStyle name="输入" xfId="1607" xr:uid="{00000000-0005-0000-0000-00001C060000}"/>
    <cellStyle name="输入 2" xfId="1608" xr:uid="{00000000-0005-0000-0000-00001D060000}"/>
    <cellStyle name="输出" xfId="1609" xr:uid="{00000000-0005-0000-0000-00001E060000}"/>
    <cellStyle name="输出 2" xfId="1610" xr:uid="{00000000-0005-0000-0000-00001F060000}"/>
    <cellStyle name="숫자" xfId="1611" xr:uid="{00000000-0005-0000-0000-000020060000}"/>
    <cellStyle name="숫자(R)" xfId="1612" xr:uid="{00000000-0005-0000-0000-000021060000}"/>
    <cellStyle name="숫자_BOE B4 PJT 모델별 사양서-100902(1)" xfId="1613" xr:uid="{00000000-0005-0000-0000-000022060000}"/>
    <cellStyle name="쉼표 [0]" xfId="1" builtinId="6"/>
    <cellStyle name="쉼표 [0] 10" xfId="1615" xr:uid="{00000000-0005-0000-0000-000024060000}"/>
    <cellStyle name="쉼표 [0] 10 2" xfId="2281" xr:uid="{00000000-0005-0000-0000-000025060000}"/>
    <cellStyle name="쉼표 [0] 10 2 2" xfId="2938" xr:uid="{00000000-0005-0000-0000-000026060000}"/>
    <cellStyle name="쉼표 [0] 10 3" xfId="2611" xr:uid="{00000000-0005-0000-0000-000027060000}"/>
    <cellStyle name="쉼표 [0] 11" xfId="1614" xr:uid="{00000000-0005-0000-0000-000028060000}"/>
    <cellStyle name="쉼표 [0] 11 2" xfId="2137" xr:uid="{00000000-0005-0000-0000-000029060000}"/>
    <cellStyle name="쉼표 [0] 11 2 2" xfId="2474" xr:uid="{00000000-0005-0000-0000-00002A060000}"/>
    <cellStyle name="쉼표 [0] 11 2 2 2" xfId="3131" xr:uid="{00000000-0005-0000-0000-00002B060000}"/>
    <cellStyle name="쉼표 [0] 11 2 3" xfId="2804" xr:uid="{00000000-0005-0000-0000-00002C060000}"/>
    <cellStyle name="쉼표 [0] 11 3" xfId="2280" xr:uid="{00000000-0005-0000-0000-00002D060000}"/>
    <cellStyle name="쉼표 [0] 11 3 2" xfId="2937" xr:uid="{00000000-0005-0000-0000-00002E060000}"/>
    <cellStyle name="쉼표 [0] 11 4" xfId="2610" xr:uid="{00000000-0005-0000-0000-00002F060000}"/>
    <cellStyle name="쉼표 [0] 12" xfId="2023" xr:uid="{00000000-0005-0000-0000-000030060000}"/>
    <cellStyle name="쉼표 [0] 12 2" xfId="2368" xr:uid="{00000000-0005-0000-0000-000031060000}"/>
    <cellStyle name="쉼표 [0] 12 2 2" xfId="3025" xr:uid="{00000000-0005-0000-0000-000032060000}"/>
    <cellStyle name="쉼표 [0] 12 3" xfId="2698" xr:uid="{00000000-0005-0000-0000-000033060000}"/>
    <cellStyle name="쉼표 [0] 13" xfId="2028" xr:uid="{00000000-0005-0000-0000-000034060000}"/>
    <cellStyle name="쉼표 [0] 13 2" xfId="2371" xr:uid="{00000000-0005-0000-0000-000035060000}"/>
    <cellStyle name="쉼표 [0] 13 2 2" xfId="3028" xr:uid="{00000000-0005-0000-0000-000036060000}"/>
    <cellStyle name="쉼표 [0] 13 3" xfId="2701" xr:uid="{00000000-0005-0000-0000-000037060000}"/>
    <cellStyle name="쉼표 [0] 14" xfId="2035" xr:uid="{00000000-0005-0000-0000-000038060000}"/>
    <cellStyle name="쉼표 [0] 14 2" xfId="2378" xr:uid="{00000000-0005-0000-0000-000039060000}"/>
    <cellStyle name="쉼표 [0] 14 2 2" xfId="3035" xr:uid="{00000000-0005-0000-0000-00003A060000}"/>
    <cellStyle name="쉼표 [0] 14 3" xfId="2708" xr:uid="{00000000-0005-0000-0000-00003B060000}"/>
    <cellStyle name="쉼표 [0] 15" xfId="2042" xr:uid="{00000000-0005-0000-0000-00003C060000}"/>
    <cellStyle name="쉼표 [0] 15 2" xfId="2385" xr:uid="{00000000-0005-0000-0000-00003D060000}"/>
    <cellStyle name="쉼표 [0] 15 2 2" xfId="3042" xr:uid="{00000000-0005-0000-0000-00003E060000}"/>
    <cellStyle name="쉼표 [0] 15 3" xfId="2715" xr:uid="{00000000-0005-0000-0000-00003F060000}"/>
    <cellStyle name="쉼표 [0] 16" xfId="2049" xr:uid="{00000000-0005-0000-0000-000040060000}"/>
    <cellStyle name="쉼표 [0] 16 2" xfId="2392" xr:uid="{00000000-0005-0000-0000-000041060000}"/>
    <cellStyle name="쉼표 [0] 16 2 2" xfId="3049" xr:uid="{00000000-0005-0000-0000-000042060000}"/>
    <cellStyle name="쉼표 [0] 16 3" xfId="2722" xr:uid="{00000000-0005-0000-0000-000043060000}"/>
    <cellStyle name="쉼표 [0] 17" xfId="2058" xr:uid="{00000000-0005-0000-0000-000044060000}"/>
    <cellStyle name="쉼표 [0] 17 2" xfId="2401" xr:uid="{00000000-0005-0000-0000-000045060000}"/>
    <cellStyle name="쉼표 [0] 17 2 2" xfId="3058" xr:uid="{00000000-0005-0000-0000-000046060000}"/>
    <cellStyle name="쉼표 [0] 17 3" xfId="2731" xr:uid="{00000000-0005-0000-0000-000047060000}"/>
    <cellStyle name="쉼표 [0] 18" xfId="2079" xr:uid="{00000000-0005-0000-0000-000048060000}"/>
    <cellStyle name="쉼표 [0] 18 2" xfId="2416" xr:uid="{00000000-0005-0000-0000-000049060000}"/>
    <cellStyle name="쉼표 [0] 18 2 2" xfId="3073" xr:uid="{00000000-0005-0000-0000-00004A060000}"/>
    <cellStyle name="쉼표 [0] 18 3" xfId="2746" xr:uid="{00000000-0005-0000-0000-00004B060000}"/>
    <cellStyle name="쉼표 [0] 19" xfId="2090" xr:uid="{00000000-0005-0000-0000-00004C060000}"/>
    <cellStyle name="쉼표 [0] 19 2" xfId="2427" xr:uid="{00000000-0005-0000-0000-00004D060000}"/>
    <cellStyle name="쉼표 [0] 19 2 2" xfId="3084" xr:uid="{00000000-0005-0000-0000-00004E060000}"/>
    <cellStyle name="쉼표 [0] 19 3" xfId="2757" xr:uid="{00000000-0005-0000-0000-00004F060000}"/>
    <cellStyle name="쉼표 [0] 2" xfId="3" xr:uid="{00000000-0005-0000-0000-000050060000}"/>
    <cellStyle name="쉼표 [0] 2 10" xfId="2057" xr:uid="{00000000-0005-0000-0000-000051060000}"/>
    <cellStyle name="쉼표 [0] 2 10 2" xfId="2400" xr:uid="{00000000-0005-0000-0000-000052060000}"/>
    <cellStyle name="쉼표 [0] 2 10 2 2" xfId="3057" xr:uid="{00000000-0005-0000-0000-000053060000}"/>
    <cellStyle name="쉼표 [0] 2 10 3" xfId="2730" xr:uid="{00000000-0005-0000-0000-000054060000}"/>
    <cellStyle name="쉼표 [0] 2 11" xfId="2078" xr:uid="{00000000-0005-0000-0000-000055060000}"/>
    <cellStyle name="쉼표 [0] 2 11 2" xfId="2415" xr:uid="{00000000-0005-0000-0000-000056060000}"/>
    <cellStyle name="쉼표 [0] 2 11 2 2" xfId="3072" xr:uid="{00000000-0005-0000-0000-000057060000}"/>
    <cellStyle name="쉼표 [0] 2 11 3" xfId="2745" xr:uid="{00000000-0005-0000-0000-000058060000}"/>
    <cellStyle name="쉼표 [0] 2 12" xfId="2089" xr:uid="{00000000-0005-0000-0000-000059060000}"/>
    <cellStyle name="쉼표 [0] 2 12 2" xfId="2426" xr:uid="{00000000-0005-0000-0000-00005A060000}"/>
    <cellStyle name="쉼표 [0] 2 12 2 2" xfId="3083" xr:uid="{00000000-0005-0000-0000-00005B060000}"/>
    <cellStyle name="쉼표 [0] 2 12 3" xfId="2756" xr:uid="{00000000-0005-0000-0000-00005C060000}"/>
    <cellStyle name="쉼표 [0] 2 13" xfId="2104" xr:uid="{00000000-0005-0000-0000-00005D060000}"/>
    <cellStyle name="쉼표 [0] 2 13 2" xfId="2441" xr:uid="{00000000-0005-0000-0000-00005E060000}"/>
    <cellStyle name="쉼표 [0] 2 13 2 2" xfId="3098" xr:uid="{00000000-0005-0000-0000-00005F060000}"/>
    <cellStyle name="쉼표 [0] 2 13 3" xfId="2771" xr:uid="{00000000-0005-0000-0000-000060060000}"/>
    <cellStyle name="쉼표 [0] 2 14" xfId="2120" xr:uid="{00000000-0005-0000-0000-000061060000}"/>
    <cellStyle name="쉼표 [0] 2 14 2" xfId="2457" xr:uid="{00000000-0005-0000-0000-000062060000}"/>
    <cellStyle name="쉼표 [0] 2 14 2 2" xfId="3114" xr:uid="{00000000-0005-0000-0000-000063060000}"/>
    <cellStyle name="쉼표 [0] 2 14 3" xfId="2787" xr:uid="{00000000-0005-0000-0000-000064060000}"/>
    <cellStyle name="쉼표 [0] 2 15" xfId="2127" xr:uid="{00000000-0005-0000-0000-000065060000}"/>
    <cellStyle name="쉼표 [0] 2 15 2" xfId="2464" xr:uid="{00000000-0005-0000-0000-000066060000}"/>
    <cellStyle name="쉼표 [0] 2 15 2 2" xfId="3121" xr:uid="{00000000-0005-0000-0000-000067060000}"/>
    <cellStyle name="쉼표 [0] 2 15 3" xfId="2794" xr:uid="{00000000-0005-0000-0000-000068060000}"/>
    <cellStyle name="쉼표 [0] 2 16" xfId="68" xr:uid="{00000000-0005-0000-0000-000069060000}"/>
    <cellStyle name="쉼표 [0] 2 16 2" xfId="2267" xr:uid="{00000000-0005-0000-0000-00006A060000}"/>
    <cellStyle name="쉼표 [0] 2 16 2 2" xfId="2924" xr:uid="{00000000-0005-0000-0000-00006B060000}"/>
    <cellStyle name="쉼표 [0] 2 16 3" xfId="2594" xr:uid="{00000000-0005-0000-0000-00006C060000}"/>
    <cellStyle name="쉼표 [0] 2 17" xfId="2240" xr:uid="{00000000-0005-0000-0000-00006D060000}"/>
    <cellStyle name="쉼표 [0] 2 17 2" xfId="2897" xr:uid="{00000000-0005-0000-0000-00006E060000}"/>
    <cellStyle name="쉼표 [0] 2 18" xfId="2567" xr:uid="{00000000-0005-0000-0000-00006F060000}"/>
    <cellStyle name="쉼표 [0] 2 19" xfId="39" xr:uid="{00000000-0005-0000-0000-000070060000}"/>
    <cellStyle name="쉼표 [0] 2 2" xfId="17" xr:uid="{00000000-0005-0000-0000-000071060000}"/>
    <cellStyle name="쉼표 [0] 2 2 10" xfId="2080" xr:uid="{00000000-0005-0000-0000-000072060000}"/>
    <cellStyle name="쉼표 [0] 2 2 10 2" xfId="2417" xr:uid="{00000000-0005-0000-0000-000073060000}"/>
    <cellStyle name="쉼표 [0] 2 2 10 2 2" xfId="3074" xr:uid="{00000000-0005-0000-0000-000074060000}"/>
    <cellStyle name="쉼표 [0] 2 2 10 3" xfId="2747" xr:uid="{00000000-0005-0000-0000-000075060000}"/>
    <cellStyle name="쉼표 [0] 2 2 11" xfId="2091" xr:uid="{00000000-0005-0000-0000-000076060000}"/>
    <cellStyle name="쉼표 [0] 2 2 11 2" xfId="2428" xr:uid="{00000000-0005-0000-0000-000077060000}"/>
    <cellStyle name="쉼표 [0] 2 2 11 2 2" xfId="3085" xr:uid="{00000000-0005-0000-0000-000078060000}"/>
    <cellStyle name="쉼표 [0] 2 2 11 3" xfId="2758" xr:uid="{00000000-0005-0000-0000-000079060000}"/>
    <cellStyle name="쉼표 [0] 2 2 12" xfId="2106" xr:uid="{00000000-0005-0000-0000-00007A060000}"/>
    <cellStyle name="쉼표 [0] 2 2 12 2" xfId="2443" xr:uid="{00000000-0005-0000-0000-00007B060000}"/>
    <cellStyle name="쉼표 [0] 2 2 12 2 2" xfId="3100" xr:uid="{00000000-0005-0000-0000-00007C060000}"/>
    <cellStyle name="쉼표 [0] 2 2 12 3" xfId="2773" xr:uid="{00000000-0005-0000-0000-00007D060000}"/>
    <cellStyle name="쉼표 [0] 2 2 13" xfId="2123" xr:uid="{00000000-0005-0000-0000-00007E060000}"/>
    <cellStyle name="쉼표 [0] 2 2 13 2" xfId="2460" xr:uid="{00000000-0005-0000-0000-00007F060000}"/>
    <cellStyle name="쉼표 [0] 2 2 13 2 2" xfId="3117" xr:uid="{00000000-0005-0000-0000-000080060000}"/>
    <cellStyle name="쉼표 [0] 2 2 13 3" xfId="2790" xr:uid="{00000000-0005-0000-0000-000081060000}"/>
    <cellStyle name="쉼표 [0] 2 2 14" xfId="2130" xr:uid="{00000000-0005-0000-0000-000082060000}"/>
    <cellStyle name="쉼표 [0] 2 2 14 2" xfId="2467" xr:uid="{00000000-0005-0000-0000-000083060000}"/>
    <cellStyle name="쉼표 [0] 2 2 14 2 2" xfId="3124" xr:uid="{00000000-0005-0000-0000-000084060000}"/>
    <cellStyle name="쉼표 [0] 2 2 14 3" xfId="2797" xr:uid="{00000000-0005-0000-0000-000085060000}"/>
    <cellStyle name="쉼표 [0] 2 2 15" xfId="2138" xr:uid="{00000000-0005-0000-0000-000086060000}"/>
    <cellStyle name="쉼표 [0] 2 2 15 2" xfId="2475" xr:uid="{00000000-0005-0000-0000-000087060000}"/>
    <cellStyle name="쉼표 [0] 2 2 15 2 2" xfId="3132" xr:uid="{00000000-0005-0000-0000-000088060000}"/>
    <cellStyle name="쉼표 [0] 2 2 15 3" xfId="2805" xr:uid="{00000000-0005-0000-0000-000089060000}"/>
    <cellStyle name="쉼표 [0] 2 2 16" xfId="77" xr:uid="{00000000-0005-0000-0000-00008A060000}"/>
    <cellStyle name="쉼표 [0] 2 2 16 2" xfId="2274" xr:uid="{00000000-0005-0000-0000-00008B060000}"/>
    <cellStyle name="쉼표 [0] 2 2 16 2 2" xfId="2931" xr:uid="{00000000-0005-0000-0000-00008C060000}"/>
    <cellStyle name="쉼표 [0] 2 2 16 3" xfId="2601" xr:uid="{00000000-0005-0000-0000-00008D060000}"/>
    <cellStyle name="쉼표 [0] 2 2 17" xfId="2242" xr:uid="{00000000-0005-0000-0000-00008E060000}"/>
    <cellStyle name="쉼표 [0] 2 2 17 2" xfId="2899" xr:uid="{00000000-0005-0000-0000-00008F060000}"/>
    <cellStyle name="쉼표 [0] 2 2 18" xfId="2569" xr:uid="{00000000-0005-0000-0000-000090060000}"/>
    <cellStyle name="쉼표 [0] 2 2 19" xfId="42" xr:uid="{00000000-0005-0000-0000-000091060000}"/>
    <cellStyle name="쉼표 [0] 2 2 2" xfId="26" xr:uid="{00000000-0005-0000-0000-000092060000}"/>
    <cellStyle name="쉼표 [0] 2 2 2 10" xfId="49" xr:uid="{00000000-0005-0000-0000-000093060000}"/>
    <cellStyle name="쉼표 [0] 2 2 2 2" xfId="64" xr:uid="{00000000-0005-0000-0000-000094060000}"/>
    <cellStyle name="쉼표 [0] 2 2 2 2 2" xfId="2067" xr:uid="{00000000-0005-0000-0000-000095060000}"/>
    <cellStyle name="쉼표 [0] 2 2 2 2 2 2" xfId="2409" xr:uid="{00000000-0005-0000-0000-000096060000}"/>
    <cellStyle name="쉼표 [0] 2 2 2 2 2 2 2" xfId="3066" xr:uid="{00000000-0005-0000-0000-000097060000}"/>
    <cellStyle name="쉼표 [0] 2 2 2 2 2 3" xfId="2739" xr:uid="{00000000-0005-0000-0000-000098060000}"/>
    <cellStyle name="쉼표 [0] 2 2 2 2 3" xfId="2263" xr:uid="{00000000-0005-0000-0000-000099060000}"/>
    <cellStyle name="쉼표 [0] 2 2 2 2 3 2" xfId="2920" xr:uid="{00000000-0005-0000-0000-00009A060000}"/>
    <cellStyle name="쉼표 [0] 2 2 2 2 4" xfId="2590" xr:uid="{00000000-0005-0000-0000-00009B060000}"/>
    <cellStyle name="쉼표 [0] 2 2 2 3" xfId="2087" xr:uid="{00000000-0005-0000-0000-00009C060000}"/>
    <cellStyle name="쉼표 [0] 2 2 2 3 2" xfId="2424" xr:uid="{00000000-0005-0000-0000-00009D060000}"/>
    <cellStyle name="쉼표 [0] 2 2 2 3 2 2" xfId="3081" xr:uid="{00000000-0005-0000-0000-00009E060000}"/>
    <cellStyle name="쉼표 [0] 2 2 2 3 3" xfId="2754" xr:uid="{00000000-0005-0000-0000-00009F060000}"/>
    <cellStyle name="쉼표 [0] 2 2 2 4" xfId="2098" xr:uid="{00000000-0005-0000-0000-0000A0060000}"/>
    <cellStyle name="쉼표 [0] 2 2 2 4 2" xfId="2435" xr:uid="{00000000-0005-0000-0000-0000A1060000}"/>
    <cellStyle name="쉼표 [0] 2 2 2 4 2 2" xfId="3092" xr:uid="{00000000-0005-0000-0000-0000A2060000}"/>
    <cellStyle name="쉼표 [0] 2 2 2 4 3" xfId="2765" xr:uid="{00000000-0005-0000-0000-0000A3060000}"/>
    <cellStyle name="쉼표 [0] 2 2 2 5" xfId="2113" xr:uid="{00000000-0005-0000-0000-0000A4060000}"/>
    <cellStyle name="쉼표 [0] 2 2 2 5 2" xfId="2450" xr:uid="{00000000-0005-0000-0000-0000A5060000}"/>
    <cellStyle name="쉼표 [0] 2 2 2 5 2 2" xfId="3107" xr:uid="{00000000-0005-0000-0000-0000A6060000}"/>
    <cellStyle name="쉼표 [0] 2 2 2 5 3" xfId="2780" xr:uid="{00000000-0005-0000-0000-0000A7060000}"/>
    <cellStyle name="쉼표 [0] 2 2 2 6" xfId="2139" xr:uid="{00000000-0005-0000-0000-0000A8060000}"/>
    <cellStyle name="쉼표 [0] 2 2 2 6 2" xfId="2476" xr:uid="{00000000-0005-0000-0000-0000A9060000}"/>
    <cellStyle name="쉼표 [0] 2 2 2 6 2 2" xfId="3133" xr:uid="{00000000-0005-0000-0000-0000AA060000}"/>
    <cellStyle name="쉼표 [0] 2 2 2 6 3" xfId="2806" xr:uid="{00000000-0005-0000-0000-0000AB060000}"/>
    <cellStyle name="쉼표 [0] 2 2 2 7" xfId="1618" xr:uid="{00000000-0005-0000-0000-0000AC060000}"/>
    <cellStyle name="쉼표 [0] 2 2 2 7 2" xfId="2284" xr:uid="{00000000-0005-0000-0000-0000AD060000}"/>
    <cellStyle name="쉼표 [0] 2 2 2 7 2 2" xfId="2941" xr:uid="{00000000-0005-0000-0000-0000AE060000}"/>
    <cellStyle name="쉼표 [0] 2 2 2 7 3" xfId="2614" xr:uid="{00000000-0005-0000-0000-0000AF060000}"/>
    <cellStyle name="쉼표 [0] 2 2 2 8" xfId="2249" xr:uid="{00000000-0005-0000-0000-0000B0060000}"/>
    <cellStyle name="쉼표 [0] 2 2 2 8 2" xfId="2906" xr:uid="{00000000-0005-0000-0000-0000B1060000}"/>
    <cellStyle name="쉼표 [0] 2 2 2 9" xfId="2576" xr:uid="{00000000-0005-0000-0000-0000B2060000}"/>
    <cellStyle name="쉼표 [0] 2 2 3" xfId="56" xr:uid="{00000000-0005-0000-0000-0000B3060000}"/>
    <cellStyle name="쉼표 [0] 2 2 3 2" xfId="2140" xr:uid="{00000000-0005-0000-0000-0000B4060000}"/>
    <cellStyle name="쉼표 [0] 2 2 3 2 2" xfId="2477" xr:uid="{00000000-0005-0000-0000-0000B5060000}"/>
    <cellStyle name="쉼표 [0] 2 2 3 2 2 2" xfId="3134" xr:uid="{00000000-0005-0000-0000-0000B6060000}"/>
    <cellStyle name="쉼표 [0] 2 2 3 2 3" xfId="2807" xr:uid="{00000000-0005-0000-0000-0000B7060000}"/>
    <cellStyle name="쉼표 [0] 2 2 3 3" xfId="1619" xr:uid="{00000000-0005-0000-0000-0000B8060000}"/>
    <cellStyle name="쉼표 [0] 2 2 3 3 2" xfId="2285" xr:uid="{00000000-0005-0000-0000-0000B9060000}"/>
    <cellStyle name="쉼표 [0] 2 2 3 3 2 2" xfId="2942" xr:uid="{00000000-0005-0000-0000-0000BA060000}"/>
    <cellStyle name="쉼표 [0] 2 2 3 3 3" xfId="2615" xr:uid="{00000000-0005-0000-0000-0000BB060000}"/>
    <cellStyle name="쉼표 [0] 2 2 3 4" xfId="2255" xr:uid="{00000000-0005-0000-0000-0000BC060000}"/>
    <cellStyle name="쉼표 [0] 2 2 3 4 2" xfId="2912" xr:uid="{00000000-0005-0000-0000-0000BD060000}"/>
    <cellStyle name="쉼표 [0] 2 2 3 5" xfId="2582" xr:uid="{00000000-0005-0000-0000-0000BE060000}"/>
    <cellStyle name="쉼표 [0] 2 2 4" xfId="1617" xr:uid="{00000000-0005-0000-0000-0000BF060000}"/>
    <cellStyle name="쉼표 [0] 2 2 4 2" xfId="2141" xr:uid="{00000000-0005-0000-0000-0000C0060000}"/>
    <cellStyle name="쉼표 [0] 2 2 4 2 2" xfId="2478" xr:uid="{00000000-0005-0000-0000-0000C1060000}"/>
    <cellStyle name="쉼표 [0] 2 2 4 2 2 2" xfId="3135" xr:uid="{00000000-0005-0000-0000-0000C2060000}"/>
    <cellStyle name="쉼표 [0] 2 2 4 2 3" xfId="2808" xr:uid="{00000000-0005-0000-0000-0000C3060000}"/>
    <cellStyle name="쉼표 [0] 2 2 4 3" xfId="2283" xr:uid="{00000000-0005-0000-0000-0000C4060000}"/>
    <cellStyle name="쉼표 [0] 2 2 4 3 2" xfId="2940" xr:uid="{00000000-0005-0000-0000-0000C5060000}"/>
    <cellStyle name="쉼표 [0] 2 2 4 4" xfId="2613" xr:uid="{00000000-0005-0000-0000-0000C6060000}"/>
    <cellStyle name="쉼표 [0] 2 2 5" xfId="2032" xr:uid="{00000000-0005-0000-0000-0000C7060000}"/>
    <cellStyle name="쉼표 [0] 2 2 5 2" xfId="2375" xr:uid="{00000000-0005-0000-0000-0000C8060000}"/>
    <cellStyle name="쉼표 [0] 2 2 5 2 2" xfId="3032" xr:uid="{00000000-0005-0000-0000-0000C9060000}"/>
    <cellStyle name="쉼표 [0] 2 2 5 3" xfId="2705" xr:uid="{00000000-0005-0000-0000-0000CA060000}"/>
    <cellStyle name="쉼표 [0] 2 2 6" xfId="2039" xr:uid="{00000000-0005-0000-0000-0000CB060000}"/>
    <cellStyle name="쉼표 [0] 2 2 6 2" xfId="2382" xr:uid="{00000000-0005-0000-0000-0000CC060000}"/>
    <cellStyle name="쉼표 [0] 2 2 6 2 2" xfId="3039" xr:uid="{00000000-0005-0000-0000-0000CD060000}"/>
    <cellStyle name="쉼표 [0] 2 2 6 3" xfId="2712" xr:uid="{00000000-0005-0000-0000-0000CE060000}"/>
    <cellStyle name="쉼표 [0] 2 2 7" xfId="2046" xr:uid="{00000000-0005-0000-0000-0000CF060000}"/>
    <cellStyle name="쉼표 [0] 2 2 7 2" xfId="2389" xr:uid="{00000000-0005-0000-0000-0000D0060000}"/>
    <cellStyle name="쉼표 [0] 2 2 7 2 2" xfId="3046" xr:uid="{00000000-0005-0000-0000-0000D1060000}"/>
    <cellStyle name="쉼표 [0] 2 2 7 3" xfId="2719" xr:uid="{00000000-0005-0000-0000-0000D2060000}"/>
    <cellStyle name="쉼표 [0] 2 2 8" xfId="2053" xr:uid="{00000000-0005-0000-0000-0000D3060000}"/>
    <cellStyle name="쉼표 [0] 2 2 8 2" xfId="2396" xr:uid="{00000000-0005-0000-0000-0000D4060000}"/>
    <cellStyle name="쉼표 [0] 2 2 8 2 2" xfId="3053" xr:uid="{00000000-0005-0000-0000-0000D5060000}"/>
    <cellStyle name="쉼표 [0] 2 2 8 3" xfId="2726" xr:uid="{00000000-0005-0000-0000-0000D6060000}"/>
    <cellStyle name="쉼표 [0] 2 2 9" xfId="2060" xr:uid="{00000000-0005-0000-0000-0000D7060000}"/>
    <cellStyle name="쉼표 [0] 2 2 9 2" xfId="2402" xr:uid="{00000000-0005-0000-0000-0000D8060000}"/>
    <cellStyle name="쉼표 [0] 2 2 9 2 2" xfId="3059" xr:uid="{00000000-0005-0000-0000-0000D9060000}"/>
    <cellStyle name="쉼표 [0] 2 2 9 3" xfId="2732" xr:uid="{00000000-0005-0000-0000-0000DA060000}"/>
    <cellStyle name="쉼표 [0] 2 3" xfId="25" xr:uid="{00000000-0005-0000-0000-0000DB060000}"/>
    <cellStyle name="쉼표 [0] 2 3 10" xfId="2570" xr:uid="{00000000-0005-0000-0000-0000DC060000}"/>
    <cellStyle name="쉼표 [0] 2 3 11" xfId="43" xr:uid="{00000000-0005-0000-0000-0000DD060000}"/>
    <cellStyle name="쉼표 [0] 2 3 2" xfId="44" xr:uid="{00000000-0005-0000-0000-0000DE060000}"/>
    <cellStyle name="쉼표 [0] 2 3 2 2" xfId="59" xr:uid="{00000000-0005-0000-0000-0000DF060000}"/>
    <cellStyle name="쉼표 [0] 2 3 2 2 2" xfId="2062" xr:uid="{00000000-0005-0000-0000-0000E0060000}"/>
    <cellStyle name="쉼표 [0] 2 3 2 2 2 2" xfId="2404" xr:uid="{00000000-0005-0000-0000-0000E1060000}"/>
    <cellStyle name="쉼표 [0] 2 3 2 2 2 2 2" xfId="3061" xr:uid="{00000000-0005-0000-0000-0000E2060000}"/>
    <cellStyle name="쉼표 [0] 2 3 2 2 2 3" xfId="2734" xr:uid="{00000000-0005-0000-0000-0000E3060000}"/>
    <cellStyle name="쉼표 [0] 2 3 2 2 3" xfId="2258" xr:uid="{00000000-0005-0000-0000-0000E4060000}"/>
    <cellStyle name="쉼표 [0] 2 3 2 2 3 2" xfId="2915" xr:uid="{00000000-0005-0000-0000-0000E5060000}"/>
    <cellStyle name="쉼표 [0] 2 3 2 2 4" xfId="2585" xr:uid="{00000000-0005-0000-0000-0000E6060000}"/>
    <cellStyle name="쉼표 [0] 2 3 2 3" xfId="2082" xr:uid="{00000000-0005-0000-0000-0000E7060000}"/>
    <cellStyle name="쉼표 [0] 2 3 2 3 2" xfId="2419" xr:uid="{00000000-0005-0000-0000-0000E8060000}"/>
    <cellStyle name="쉼표 [0] 2 3 2 3 2 2" xfId="3076" xr:uid="{00000000-0005-0000-0000-0000E9060000}"/>
    <cellStyle name="쉼표 [0] 2 3 2 3 3" xfId="2749" xr:uid="{00000000-0005-0000-0000-0000EA060000}"/>
    <cellStyle name="쉼표 [0] 2 3 2 4" xfId="2093" xr:uid="{00000000-0005-0000-0000-0000EB060000}"/>
    <cellStyle name="쉼표 [0] 2 3 2 4 2" xfId="2430" xr:uid="{00000000-0005-0000-0000-0000EC060000}"/>
    <cellStyle name="쉼표 [0] 2 3 2 4 2 2" xfId="3087" xr:uid="{00000000-0005-0000-0000-0000ED060000}"/>
    <cellStyle name="쉼표 [0] 2 3 2 4 3" xfId="2760" xr:uid="{00000000-0005-0000-0000-0000EE060000}"/>
    <cellStyle name="쉼표 [0] 2 3 2 5" xfId="2108" xr:uid="{00000000-0005-0000-0000-0000EF060000}"/>
    <cellStyle name="쉼표 [0] 2 3 2 5 2" xfId="2445" xr:uid="{00000000-0005-0000-0000-0000F0060000}"/>
    <cellStyle name="쉼표 [0] 2 3 2 5 2 2" xfId="3102" xr:uid="{00000000-0005-0000-0000-0000F1060000}"/>
    <cellStyle name="쉼표 [0] 2 3 2 5 3" xfId="2775" xr:uid="{00000000-0005-0000-0000-0000F2060000}"/>
    <cellStyle name="쉼표 [0] 2 3 2 6" xfId="2142" xr:uid="{00000000-0005-0000-0000-0000F3060000}"/>
    <cellStyle name="쉼표 [0] 2 3 2 6 2" xfId="2479" xr:uid="{00000000-0005-0000-0000-0000F4060000}"/>
    <cellStyle name="쉼표 [0] 2 3 2 6 2 2" xfId="3136" xr:uid="{00000000-0005-0000-0000-0000F5060000}"/>
    <cellStyle name="쉼표 [0] 2 3 2 6 3" xfId="2809" xr:uid="{00000000-0005-0000-0000-0000F6060000}"/>
    <cellStyle name="쉼표 [0] 2 3 2 7" xfId="1621" xr:uid="{00000000-0005-0000-0000-0000F7060000}"/>
    <cellStyle name="쉼표 [0] 2 3 2 7 2" xfId="2287" xr:uid="{00000000-0005-0000-0000-0000F8060000}"/>
    <cellStyle name="쉼표 [0] 2 3 2 7 2 2" xfId="2944" xr:uid="{00000000-0005-0000-0000-0000F9060000}"/>
    <cellStyle name="쉼표 [0] 2 3 2 7 3" xfId="2617" xr:uid="{00000000-0005-0000-0000-0000FA060000}"/>
    <cellStyle name="쉼표 [0] 2 3 2 8" xfId="2244" xr:uid="{00000000-0005-0000-0000-0000FB060000}"/>
    <cellStyle name="쉼표 [0] 2 3 2 8 2" xfId="2901" xr:uid="{00000000-0005-0000-0000-0000FC060000}"/>
    <cellStyle name="쉼표 [0] 2 3 2 9" xfId="2571" xr:uid="{00000000-0005-0000-0000-0000FD060000}"/>
    <cellStyle name="쉼표 [0] 2 3 3" xfId="58" xr:uid="{00000000-0005-0000-0000-0000FE060000}"/>
    <cellStyle name="쉼표 [0] 2 3 3 2" xfId="1620" xr:uid="{00000000-0005-0000-0000-0000FF060000}"/>
    <cellStyle name="쉼표 [0] 2 3 3 2 2" xfId="2286" xr:uid="{00000000-0005-0000-0000-000000070000}"/>
    <cellStyle name="쉼표 [0] 2 3 3 2 2 2" xfId="2943" xr:uid="{00000000-0005-0000-0000-000001070000}"/>
    <cellStyle name="쉼표 [0] 2 3 3 2 3" xfId="2616" xr:uid="{00000000-0005-0000-0000-000002070000}"/>
    <cellStyle name="쉼표 [0] 2 3 3 3" xfId="2257" xr:uid="{00000000-0005-0000-0000-000003070000}"/>
    <cellStyle name="쉼표 [0] 2 3 3 3 2" xfId="2914" xr:uid="{00000000-0005-0000-0000-000004070000}"/>
    <cellStyle name="쉼표 [0] 2 3 3 4" xfId="2584" xr:uid="{00000000-0005-0000-0000-000005070000}"/>
    <cellStyle name="쉼표 [0] 2 3 4" xfId="2061" xr:uid="{00000000-0005-0000-0000-000006070000}"/>
    <cellStyle name="쉼표 [0] 2 3 4 2" xfId="2403" xr:uid="{00000000-0005-0000-0000-000007070000}"/>
    <cellStyle name="쉼표 [0] 2 3 4 2 2" xfId="3060" xr:uid="{00000000-0005-0000-0000-000008070000}"/>
    <cellStyle name="쉼표 [0] 2 3 4 3" xfId="2733" xr:uid="{00000000-0005-0000-0000-000009070000}"/>
    <cellStyle name="쉼표 [0] 2 3 5" xfId="2081" xr:uid="{00000000-0005-0000-0000-00000A070000}"/>
    <cellStyle name="쉼표 [0] 2 3 5 2" xfId="2418" xr:uid="{00000000-0005-0000-0000-00000B070000}"/>
    <cellStyle name="쉼표 [0] 2 3 5 2 2" xfId="3075" xr:uid="{00000000-0005-0000-0000-00000C070000}"/>
    <cellStyle name="쉼표 [0] 2 3 5 3" xfId="2748" xr:uid="{00000000-0005-0000-0000-00000D070000}"/>
    <cellStyle name="쉼표 [0] 2 3 6" xfId="2092" xr:uid="{00000000-0005-0000-0000-00000E070000}"/>
    <cellStyle name="쉼표 [0] 2 3 6 2" xfId="2429" xr:uid="{00000000-0005-0000-0000-00000F070000}"/>
    <cellStyle name="쉼표 [0] 2 3 6 2 2" xfId="3086" xr:uid="{00000000-0005-0000-0000-000010070000}"/>
    <cellStyle name="쉼표 [0] 2 3 6 3" xfId="2759" xr:uid="{00000000-0005-0000-0000-000011070000}"/>
    <cellStyle name="쉼표 [0] 2 3 7" xfId="2107" xr:uid="{00000000-0005-0000-0000-000012070000}"/>
    <cellStyle name="쉼표 [0] 2 3 7 2" xfId="2444" xr:uid="{00000000-0005-0000-0000-000013070000}"/>
    <cellStyle name="쉼표 [0] 2 3 7 2 2" xfId="3101" xr:uid="{00000000-0005-0000-0000-000014070000}"/>
    <cellStyle name="쉼표 [0] 2 3 7 3" xfId="2774" xr:uid="{00000000-0005-0000-0000-000015070000}"/>
    <cellStyle name="쉼표 [0] 2 3 8" xfId="73" xr:uid="{00000000-0005-0000-0000-000016070000}"/>
    <cellStyle name="쉼표 [0] 2 3 8 2" xfId="2270" xr:uid="{00000000-0005-0000-0000-000017070000}"/>
    <cellStyle name="쉼표 [0] 2 3 8 2 2" xfId="2927" xr:uid="{00000000-0005-0000-0000-000018070000}"/>
    <cellStyle name="쉼표 [0] 2 3 8 3" xfId="2597" xr:uid="{00000000-0005-0000-0000-000019070000}"/>
    <cellStyle name="쉼표 [0] 2 3 9" xfId="2243" xr:uid="{00000000-0005-0000-0000-00001A070000}"/>
    <cellStyle name="쉼표 [0] 2 3 9 2" xfId="2900" xr:uid="{00000000-0005-0000-0000-00001B070000}"/>
    <cellStyle name="쉼표 [0] 2 4" xfId="54" xr:uid="{00000000-0005-0000-0000-00001C070000}"/>
    <cellStyle name="쉼표 [0] 2 4 2" xfId="2070" xr:uid="{00000000-0005-0000-0000-00001D070000}"/>
    <cellStyle name="쉼표 [0] 2 4 2 2" xfId="2411" xr:uid="{00000000-0005-0000-0000-00001E070000}"/>
    <cellStyle name="쉼표 [0] 2 4 2 2 2" xfId="3068" xr:uid="{00000000-0005-0000-0000-00001F070000}"/>
    <cellStyle name="쉼표 [0] 2 4 2 3" xfId="2741" xr:uid="{00000000-0005-0000-0000-000020070000}"/>
    <cellStyle name="쉼표 [0] 2 4 3" xfId="2100" xr:uid="{00000000-0005-0000-0000-000021070000}"/>
    <cellStyle name="쉼표 [0] 2 4 3 2" xfId="2437" xr:uid="{00000000-0005-0000-0000-000022070000}"/>
    <cellStyle name="쉼표 [0] 2 4 3 2 2" xfId="3094" xr:uid="{00000000-0005-0000-0000-000023070000}"/>
    <cellStyle name="쉼표 [0] 2 4 3 3" xfId="2767" xr:uid="{00000000-0005-0000-0000-000024070000}"/>
    <cellStyle name="쉼표 [0] 2 4 4" xfId="2115" xr:uid="{00000000-0005-0000-0000-000025070000}"/>
    <cellStyle name="쉼표 [0] 2 4 4 2" xfId="2452" xr:uid="{00000000-0005-0000-0000-000026070000}"/>
    <cellStyle name="쉼표 [0] 2 4 4 2 2" xfId="3109" xr:uid="{00000000-0005-0000-0000-000027070000}"/>
    <cellStyle name="쉼표 [0] 2 4 4 3" xfId="2782" xr:uid="{00000000-0005-0000-0000-000028070000}"/>
    <cellStyle name="쉼표 [0] 2 4 5" xfId="2143" xr:uid="{00000000-0005-0000-0000-000029070000}"/>
    <cellStyle name="쉼표 [0] 2 4 5 2" xfId="2480" xr:uid="{00000000-0005-0000-0000-00002A070000}"/>
    <cellStyle name="쉼표 [0] 2 4 5 2 2" xfId="3137" xr:uid="{00000000-0005-0000-0000-00002B070000}"/>
    <cellStyle name="쉼표 [0] 2 4 5 3" xfId="2810" xr:uid="{00000000-0005-0000-0000-00002C070000}"/>
    <cellStyle name="쉼표 [0] 2 4 6" xfId="1622" xr:uid="{00000000-0005-0000-0000-00002D070000}"/>
    <cellStyle name="쉼표 [0] 2 4 6 2" xfId="2288" xr:uid="{00000000-0005-0000-0000-00002E070000}"/>
    <cellStyle name="쉼표 [0] 2 4 6 2 2" xfId="2945" xr:uid="{00000000-0005-0000-0000-00002F070000}"/>
    <cellStyle name="쉼표 [0] 2 4 6 3" xfId="2618" xr:uid="{00000000-0005-0000-0000-000030070000}"/>
    <cellStyle name="쉼표 [0] 2 4 7" xfId="2253" xr:uid="{00000000-0005-0000-0000-000031070000}"/>
    <cellStyle name="쉼표 [0] 2 4 7 2" xfId="2910" xr:uid="{00000000-0005-0000-0000-000032070000}"/>
    <cellStyle name="쉼표 [0] 2 4 8" xfId="2580" xr:uid="{00000000-0005-0000-0000-000033070000}"/>
    <cellStyle name="쉼표 [0] 2 5" xfId="1616" xr:uid="{00000000-0005-0000-0000-000034070000}"/>
    <cellStyle name="쉼표 [0] 2 5 2" xfId="2144" xr:uid="{00000000-0005-0000-0000-000035070000}"/>
    <cellStyle name="쉼표 [0] 2 5 2 2" xfId="2481" xr:uid="{00000000-0005-0000-0000-000036070000}"/>
    <cellStyle name="쉼표 [0] 2 5 2 2 2" xfId="3138" xr:uid="{00000000-0005-0000-0000-000037070000}"/>
    <cellStyle name="쉼표 [0] 2 5 2 3" xfId="2811" xr:uid="{00000000-0005-0000-0000-000038070000}"/>
    <cellStyle name="쉼표 [0] 2 5 3" xfId="2282" xr:uid="{00000000-0005-0000-0000-000039070000}"/>
    <cellStyle name="쉼표 [0] 2 5 3 2" xfId="2939" xr:uid="{00000000-0005-0000-0000-00003A070000}"/>
    <cellStyle name="쉼표 [0] 2 5 4" xfId="2612" xr:uid="{00000000-0005-0000-0000-00003B070000}"/>
    <cellStyle name="쉼표 [0] 2 6" xfId="2029" xr:uid="{00000000-0005-0000-0000-00003C070000}"/>
    <cellStyle name="쉼표 [0] 2 6 2" xfId="2372" xr:uid="{00000000-0005-0000-0000-00003D070000}"/>
    <cellStyle name="쉼표 [0] 2 6 2 2" xfId="3029" xr:uid="{00000000-0005-0000-0000-00003E070000}"/>
    <cellStyle name="쉼표 [0] 2 6 3" xfId="2702" xr:uid="{00000000-0005-0000-0000-00003F070000}"/>
    <cellStyle name="쉼표 [0] 2 7" xfId="2036" xr:uid="{00000000-0005-0000-0000-000040070000}"/>
    <cellStyle name="쉼표 [0] 2 7 2" xfId="2379" xr:uid="{00000000-0005-0000-0000-000041070000}"/>
    <cellStyle name="쉼표 [0] 2 7 2 2" xfId="3036" xr:uid="{00000000-0005-0000-0000-000042070000}"/>
    <cellStyle name="쉼표 [0] 2 7 3" xfId="2709" xr:uid="{00000000-0005-0000-0000-000043070000}"/>
    <cellStyle name="쉼표 [0] 2 8" xfId="2043" xr:uid="{00000000-0005-0000-0000-000044070000}"/>
    <cellStyle name="쉼표 [0] 2 8 2" xfId="2386" xr:uid="{00000000-0005-0000-0000-000045070000}"/>
    <cellStyle name="쉼표 [0] 2 8 2 2" xfId="3043" xr:uid="{00000000-0005-0000-0000-000046070000}"/>
    <cellStyle name="쉼표 [0] 2 8 3" xfId="2716" xr:uid="{00000000-0005-0000-0000-000047070000}"/>
    <cellStyle name="쉼표 [0] 2 9" xfId="2050" xr:uid="{00000000-0005-0000-0000-000048070000}"/>
    <cellStyle name="쉼표 [0] 2 9 2" xfId="2393" xr:uid="{00000000-0005-0000-0000-000049070000}"/>
    <cellStyle name="쉼표 [0] 2 9 2 2" xfId="3050" xr:uid="{00000000-0005-0000-0000-00004A070000}"/>
    <cellStyle name="쉼표 [0] 2 9 3" xfId="2723" xr:uid="{00000000-0005-0000-0000-00004B070000}"/>
    <cellStyle name="쉼표 [0] 20" xfId="2105" xr:uid="{00000000-0005-0000-0000-00004C070000}"/>
    <cellStyle name="쉼표 [0] 20 2" xfId="2442" xr:uid="{00000000-0005-0000-0000-00004D070000}"/>
    <cellStyle name="쉼표 [0] 20 2 2" xfId="3099" xr:uid="{00000000-0005-0000-0000-00004E070000}"/>
    <cellStyle name="쉼표 [0] 20 3" xfId="2772" xr:uid="{00000000-0005-0000-0000-00004F070000}"/>
    <cellStyle name="쉼표 [0] 21" xfId="2118" xr:uid="{00000000-0005-0000-0000-000050070000}"/>
    <cellStyle name="쉼표 [0] 21 2" xfId="2455" xr:uid="{00000000-0005-0000-0000-000051070000}"/>
    <cellStyle name="쉼표 [0] 21 2 2" xfId="3112" xr:uid="{00000000-0005-0000-0000-000052070000}"/>
    <cellStyle name="쉼표 [0] 21 3" xfId="2785" xr:uid="{00000000-0005-0000-0000-000053070000}"/>
    <cellStyle name="쉼표 [0] 22" xfId="2119" xr:uid="{00000000-0005-0000-0000-000054070000}"/>
    <cellStyle name="쉼표 [0] 22 2" xfId="2456" xr:uid="{00000000-0005-0000-0000-000055070000}"/>
    <cellStyle name="쉼표 [0] 22 2 2" xfId="3113" xr:uid="{00000000-0005-0000-0000-000056070000}"/>
    <cellStyle name="쉼표 [0] 22 3" xfId="2786" xr:uid="{00000000-0005-0000-0000-000057070000}"/>
    <cellStyle name="쉼표 [0] 23" xfId="2126" xr:uid="{00000000-0005-0000-0000-000058070000}"/>
    <cellStyle name="쉼표 [0] 23 2" xfId="2463" xr:uid="{00000000-0005-0000-0000-000059070000}"/>
    <cellStyle name="쉼표 [0] 23 2 2" xfId="3120" xr:uid="{00000000-0005-0000-0000-00005A070000}"/>
    <cellStyle name="쉼표 [0] 23 3" xfId="2793" xr:uid="{00000000-0005-0000-0000-00005B070000}"/>
    <cellStyle name="쉼표 [0] 24" xfId="2136" xr:uid="{00000000-0005-0000-0000-00005C070000}"/>
    <cellStyle name="쉼표 [0] 24 2" xfId="2473" xr:uid="{00000000-0005-0000-0000-00005D070000}"/>
    <cellStyle name="쉼표 [0] 24 2 2" xfId="3130" xr:uid="{00000000-0005-0000-0000-00005E070000}"/>
    <cellStyle name="쉼표 [0] 24 3" xfId="2803" xr:uid="{00000000-0005-0000-0000-00005F070000}"/>
    <cellStyle name="쉼표 [0] 25" xfId="71" xr:uid="{00000000-0005-0000-0000-000060070000}"/>
    <cellStyle name="쉼표 [0] 25 2" xfId="2268" xr:uid="{00000000-0005-0000-0000-000061070000}"/>
    <cellStyle name="쉼표 [0] 25 2 2" xfId="2925" xr:uid="{00000000-0005-0000-0000-000062070000}"/>
    <cellStyle name="쉼표 [0] 25 3" xfId="2595" xr:uid="{00000000-0005-0000-0000-000063070000}"/>
    <cellStyle name="쉼표 [0] 26" xfId="2241" xr:uid="{00000000-0005-0000-0000-000064070000}"/>
    <cellStyle name="쉼표 [0] 26 2" xfId="2898" xr:uid="{00000000-0005-0000-0000-000065070000}"/>
    <cellStyle name="쉼표 [0] 27" xfId="2568" xr:uid="{00000000-0005-0000-0000-000066070000}"/>
    <cellStyle name="쉼표 [0] 28" xfId="40" xr:uid="{00000000-0005-0000-0000-000067070000}"/>
    <cellStyle name="쉼표 [0] 3" xfId="7" xr:uid="{00000000-0005-0000-0000-000068070000}"/>
    <cellStyle name="쉼표 [0] 3 2" xfId="19" xr:uid="{00000000-0005-0000-0000-000069070000}"/>
    <cellStyle name="쉼표 [0] 3 2 10" xfId="2097" xr:uid="{00000000-0005-0000-0000-00006A070000}"/>
    <cellStyle name="쉼표 [0] 3 2 10 2" xfId="2434" xr:uid="{00000000-0005-0000-0000-00006B070000}"/>
    <cellStyle name="쉼표 [0] 3 2 10 2 2" xfId="3091" xr:uid="{00000000-0005-0000-0000-00006C070000}"/>
    <cellStyle name="쉼표 [0] 3 2 10 3" xfId="2764" xr:uid="{00000000-0005-0000-0000-00006D070000}"/>
    <cellStyle name="쉼표 [0] 3 2 11" xfId="2112" xr:uid="{00000000-0005-0000-0000-00006E070000}"/>
    <cellStyle name="쉼표 [0] 3 2 11 2" xfId="2449" xr:uid="{00000000-0005-0000-0000-00006F070000}"/>
    <cellStyle name="쉼표 [0] 3 2 11 2 2" xfId="3106" xr:uid="{00000000-0005-0000-0000-000070070000}"/>
    <cellStyle name="쉼표 [0] 3 2 11 3" xfId="2779" xr:uid="{00000000-0005-0000-0000-000071070000}"/>
    <cellStyle name="쉼표 [0] 3 2 12" xfId="2125" xr:uid="{00000000-0005-0000-0000-000072070000}"/>
    <cellStyle name="쉼표 [0] 3 2 12 2" xfId="2462" xr:uid="{00000000-0005-0000-0000-000073070000}"/>
    <cellStyle name="쉼표 [0] 3 2 12 2 2" xfId="3119" xr:uid="{00000000-0005-0000-0000-000074070000}"/>
    <cellStyle name="쉼표 [0] 3 2 12 3" xfId="2792" xr:uid="{00000000-0005-0000-0000-000075070000}"/>
    <cellStyle name="쉼표 [0] 3 2 13" xfId="2132" xr:uid="{00000000-0005-0000-0000-000076070000}"/>
    <cellStyle name="쉼표 [0] 3 2 13 2" xfId="2469" xr:uid="{00000000-0005-0000-0000-000077070000}"/>
    <cellStyle name="쉼표 [0] 3 2 13 2 2" xfId="3126" xr:uid="{00000000-0005-0000-0000-000078070000}"/>
    <cellStyle name="쉼표 [0] 3 2 13 3" xfId="2799" xr:uid="{00000000-0005-0000-0000-000079070000}"/>
    <cellStyle name="쉼표 [0] 3 2 14" xfId="2146" xr:uid="{00000000-0005-0000-0000-00007A070000}"/>
    <cellStyle name="쉼표 [0] 3 2 14 2" xfId="2483" xr:uid="{00000000-0005-0000-0000-00007B070000}"/>
    <cellStyle name="쉼표 [0] 3 2 14 2 2" xfId="3140" xr:uid="{00000000-0005-0000-0000-00007C070000}"/>
    <cellStyle name="쉼표 [0] 3 2 14 3" xfId="2813" xr:uid="{00000000-0005-0000-0000-00007D070000}"/>
    <cellStyle name="쉼표 [0] 3 2 15" xfId="79" xr:uid="{00000000-0005-0000-0000-00007E070000}"/>
    <cellStyle name="쉼표 [0] 3 2 15 2" xfId="2276" xr:uid="{00000000-0005-0000-0000-00007F070000}"/>
    <cellStyle name="쉼표 [0] 3 2 15 2 2" xfId="2933" xr:uid="{00000000-0005-0000-0000-000080070000}"/>
    <cellStyle name="쉼표 [0] 3 2 15 3" xfId="2603" xr:uid="{00000000-0005-0000-0000-000081070000}"/>
    <cellStyle name="쉼표 [0] 3 2 16" xfId="2248" xr:uid="{00000000-0005-0000-0000-000082070000}"/>
    <cellStyle name="쉼표 [0] 3 2 16 2" xfId="2905" xr:uid="{00000000-0005-0000-0000-000083070000}"/>
    <cellStyle name="쉼표 [0] 3 2 17" xfId="2575" xr:uid="{00000000-0005-0000-0000-000084070000}"/>
    <cellStyle name="쉼표 [0] 3 2 18" xfId="48" xr:uid="{00000000-0005-0000-0000-000085070000}"/>
    <cellStyle name="쉼표 [0] 3 2 2" xfId="28" xr:uid="{00000000-0005-0000-0000-000086070000}"/>
    <cellStyle name="쉼표 [0] 3 2 2 2" xfId="2147" xr:uid="{00000000-0005-0000-0000-000087070000}"/>
    <cellStyle name="쉼표 [0] 3 2 2 2 2" xfId="2484" xr:uid="{00000000-0005-0000-0000-000088070000}"/>
    <cellStyle name="쉼표 [0] 3 2 2 2 2 2" xfId="3141" xr:uid="{00000000-0005-0000-0000-000089070000}"/>
    <cellStyle name="쉼표 [0] 3 2 2 2 3" xfId="2814" xr:uid="{00000000-0005-0000-0000-00008A070000}"/>
    <cellStyle name="쉼표 [0] 3 2 2 3" xfId="1624" xr:uid="{00000000-0005-0000-0000-00008B070000}"/>
    <cellStyle name="쉼표 [0] 3 2 2 3 2" xfId="2290" xr:uid="{00000000-0005-0000-0000-00008C070000}"/>
    <cellStyle name="쉼표 [0] 3 2 2 3 2 2" xfId="2947" xr:uid="{00000000-0005-0000-0000-00008D070000}"/>
    <cellStyle name="쉼표 [0] 3 2 2 3 3" xfId="2620" xr:uid="{00000000-0005-0000-0000-00008E070000}"/>
    <cellStyle name="쉼표 [0] 3 2 2 4" xfId="2262" xr:uid="{00000000-0005-0000-0000-00008F070000}"/>
    <cellStyle name="쉼표 [0] 3 2 2 4 2" xfId="2919" xr:uid="{00000000-0005-0000-0000-000090070000}"/>
    <cellStyle name="쉼표 [0] 3 2 2 5" xfId="2589" xr:uid="{00000000-0005-0000-0000-000091070000}"/>
    <cellStyle name="쉼표 [0] 3 2 2 6" xfId="63" xr:uid="{00000000-0005-0000-0000-000092070000}"/>
    <cellStyle name="쉼표 [0] 3 2 3" xfId="2025" xr:uid="{00000000-0005-0000-0000-000093070000}"/>
    <cellStyle name="쉼표 [0] 3 2 3 2" xfId="2370" xr:uid="{00000000-0005-0000-0000-000094070000}"/>
    <cellStyle name="쉼표 [0] 3 2 3 2 2" xfId="3027" xr:uid="{00000000-0005-0000-0000-000095070000}"/>
    <cellStyle name="쉼표 [0] 3 2 3 3" xfId="2700" xr:uid="{00000000-0005-0000-0000-000096070000}"/>
    <cellStyle name="쉼표 [0] 3 2 4" xfId="2034" xr:uid="{00000000-0005-0000-0000-000097070000}"/>
    <cellStyle name="쉼표 [0] 3 2 4 2" xfId="2377" xr:uid="{00000000-0005-0000-0000-000098070000}"/>
    <cellStyle name="쉼표 [0] 3 2 4 2 2" xfId="3034" xr:uid="{00000000-0005-0000-0000-000099070000}"/>
    <cellStyle name="쉼표 [0] 3 2 4 3" xfId="2707" xr:uid="{00000000-0005-0000-0000-00009A070000}"/>
    <cellStyle name="쉼표 [0] 3 2 5" xfId="2041" xr:uid="{00000000-0005-0000-0000-00009B070000}"/>
    <cellStyle name="쉼표 [0] 3 2 5 2" xfId="2384" xr:uid="{00000000-0005-0000-0000-00009C070000}"/>
    <cellStyle name="쉼표 [0] 3 2 5 2 2" xfId="3041" xr:uid="{00000000-0005-0000-0000-00009D070000}"/>
    <cellStyle name="쉼표 [0] 3 2 5 3" xfId="2714" xr:uid="{00000000-0005-0000-0000-00009E070000}"/>
    <cellStyle name="쉼표 [0] 3 2 6" xfId="2048" xr:uid="{00000000-0005-0000-0000-00009F070000}"/>
    <cellStyle name="쉼표 [0] 3 2 6 2" xfId="2391" xr:uid="{00000000-0005-0000-0000-0000A0070000}"/>
    <cellStyle name="쉼표 [0] 3 2 6 2 2" xfId="3048" xr:uid="{00000000-0005-0000-0000-0000A1070000}"/>
    <cellStyle name="쉼표 [0] 3 2 6 3" xfId="2721" xr:uid="{00000000-0005-0000-0000-0000A2070000}"/>
    <cellStyle name="쉼표 [0] 3 2 7" xfId="2055" xr:uid="{00000000-0005-0000-0000-0000A3070000}"/>
    <cellStyle name="쉼표 [0] 3 2 7 2" xfId="2398" xr:uid="{00000000-0005-0000-0000-0000A4070000}"/>
    <cellStyle name="쉼표 [0] 3 2 7 2 2" xfId="3055" xr:uid="{00000000-0005-0000-0000-0000A5070000}"/>
    <cellStyle name="쉼표 [0] 3 2 7 3" xfId="2728" xr:uid="{00000000-0005-0000-0000-0000A6070000}"/>
    <cellStyle name="쉼표 [0] 3 2 8" xfId="2066" xr:uid="{00000000-0005-0000-0000-0000A7070000}"/>
    <cellStyle name="쉼표 [0] 3 2 8 2" xfId="2408" xr:uid="{00000000-0005-0000-0000-0000A8070000}"/>
    <cellStyle name="쉼표 [0] 3 2 8 2 2" xfId="3065" xr:uid="{00000000-0005-0000-0000-0000A9070000}"/>
    <cellStyle name="쉼표 [0] 3 2 8 3" xfId="2738" xr:uid="{00000000-0005-0000-0000-0000AA070000}"/>
    <cellStyle name="쉼표 [0] 3 2 9" xfId="2086" xr:uid="{00000000-0005-0000-0000-0000AB070000}"/>
    <cellStyle name="쉼표 [0] 3 2 9 2" xfId="2423" xr:uid="{00000000-0005-0000-0000-0000AC070000}"/>
    <cellStyle name="쉼표 [0] 3 2 9 2 2" xfId="3080" xr:uid="{00000000-0005-0000-0000-0000AD070000}"/>
    <cellStyle name="쉼표 [0] 3 2 9 3" xfId="2753" xr:uid="{00000000-0005-0000-0000-0000AE070000}"/>
    <cellStyle name="쉼표 [0] 3 3" xfId="27" xr:uid="{00000000-0005-0000-0000-0000AF070000}"/>
    <cellStyle name="쉼표 [0] 3 3 10" xfId="57" xr:uid="{00000000-0005-0000-0000-0000B0070000}"/>
    <cellStyle name="쉼표 [0] 3 3 2" xfId="1625" xr:uid="{00000000-0005-0000-0000-0000B1070000}"/>
    <cellStyle name="쉼표 [0] 3 3 2 2" xfId="2291" xr:uid="{00000000-0005-0000-0000-0000B2070000}"/>
    <cellStyle name="쉼표 [0] 3 3 2 2 2" xfId="2948" xr:uid="{00000000-0005-0000-0000-0000B3070000}"/>
    <cellStyle name="쉼표 [0] 3 3 2 3" xfId="2621" xr:uid="{00000000-0005-0000-0000-0000B4070000}"/>
    <cellStyle name="쉼표 [0] 3 3 3" xfId="2071" xr:uid="{00000000-0005-0000-0000-0000B5070000}"/>
    <cellStyle name="쉼표 [0] 3 3 3 2" xfId="2412" xr:uid="{00000000-0005-0000-0000-0000B6070000}"/>
    <cellStyle name="쉼표 [0] 3 3 3 2 2" xfId="3069" xr:uid="{00000000-0005-0000-0000-0000B7070000}"/>
    <cellStyle name="쉼표 [0] 3 3 3 3" xfId="2742" xr:uid="{00000000-0005-0000-0000-0000B8070000}"/>
    <cellStyle name="쉼표 [0] 3 3 4" xfId="2101" xr:uid="{00000000-0005-0000-0000-0000B9070000}"/>
    <cellStyle name="쉼표 [0] 3 3 4 2" xfId="2438" xr:uid="{00000000-0005-0000-0000-0000BA070000}"/>
    <cellStyle name="쉼표 [0] 3 3 4 2 2" xfId="3095" xr:uid="{00000000-0005-0000-0000-0000BB070000}"/>
    <cellStyle name="쉼표 [0] 3 3 4 3" xfId="2768" xr:uid="{00000000-0005-0000-0000-0000BC070000}"/>
    <cellStyle name="쉼표 [0] 3 3 5" xfId="2116" xr:uid="{00000000-0005-0000-0000-0000BD070000}"/>
    <cellStyle name="쉼표 [0] 3 3 5 2" xfId="2453" xr:uid="{00000000-0005-0000-0000-0000BE070000}"/>
    <cellStyle name="쉼표 [0] 3 3 5 2 2" xfId="3110" xr:uid="{00000000-0005-0000-0000-0000BF070000}"/>
    <cellStyle name="쉼표 [0] 3 3 5 3" xfId="2783" xr:uid="{00000000-0005-0000-0000-0000C0070000}"/>
    <cellStyle name="쉼표 [0] 3 3 6" xfId="2148" xr:uid="{00000000-0005-0000-0000-0000C1070000}"/>
    <cellStyle name="쉼표 [0] 3 3 6 2" xfId="2485" xr:uid="{00000000-0005-0000-0000-0000C2070000}"/>
    <cellStyle name="쉼표 [0] 3 3 6 2 2" xfId="3142" xr:uid="{00000000-0005-0000-0000-0000C3070000}"/>
    <cellStyle name="쉼표 [0] 3 3 6 3" xfId="2815" xr:uid="{00000000-0005-0000-0000-0000C4070000}"/>
    <cellStyle name="쉼표 [0] 3 3 7" xfId="75" xr:uid="{00000000-0005-0000-0000-0000C5070000}"/>
    <cellStyle name="쉼표 [0] 3 3 7 2" xfId="2272" xr:uid="{00000000-0005-0000-0000-0000C6070000}"/>
    <cellStyle name="쉼표 [0] 3 3 7 2 2" xfId="2929" xr:uid="{00000000-0005-0000-0000-0000C7070000}"/>
    <cellStyle name="쉼표 [0] 3 3 7 3" xfId="2599" xr:uid="{00000000-0005-0000-0000-0000C8070000}"/>
    <cellStyle name="쉼표 [0] 3 3 8" xfId="2256" xr:uid="{00000000-0005-0000-0000-0000C9070000}"/>
    <cellStyle name="쉼표 [0] 3 3 8 2" xfId="2913" xr:uid="{00000000-0005-0000-0000-0000CA070000}"/>
    <cellStyle name="쉼표 [0] 3 3 9" xfId="2583" xr:uid="{00000000-0005-0000-0000-0000CB070000}"/>
    <cellStyle name="쉼표 [0] 3 4" xfId="1626" xr:uid="{00000000-0005-0000-0000-0000CC070000}"/>
    <cellStyle name="쉼표 [0] 3 4 2" xfId="2149" xr:uid="{00000000-0005-0000-0000-0000CD070000}"/>
    <cellStyle name="쉼표 [0] 3 4 2 2" xfId="2486" xr:uid="{00000000-0005-0000-0000-0000CE070000}"/>
    <cellStyle name="쉼표 [0] 3 4 2 2 2" xfId="3143" xr:uid="{00000000-0005-0000-0000-0000CF070000}"/>
    <cellStyle name="쉼표 [0] 3 4 2 3" xfId="2816" xr:uid="{00000000-0005-0000-0000-0000D0070000}"/>
    <cellStyle name="쉼표 [0] 3 4 3" xfId="2292" xr:uid="{00000000-0005-0000-0000-0000D1070000}"/>
    <cellStyle name="쉼표 [0] 3 4 3 2" xfId="2949" xr:uid="{00000000-0005-0000-0000-0000D2070000}"/>
    <cellStyle name="쉼표 [0] 3 4 4" xfId="2622" xr:uid="{00000000-0005-0000-0000-0000D3070000}"/>
    <cellStyle name="쉼표 [0] 3 5" xfId="1627" xr:uid="{00000000-0005-0000-0000-0000D4070000}"/>
    <cellStyle name="쉼표 [0] 3 6" xfId="1623" xr:uid="{00000000-0005-0000-0000-0000D5070000}"/>
    <cellStyle name="쉼표 [0] 3 6 2" xfId="2150" xr:uid="{00000000-0005-0000-0000-0000D6070000}"/>
    <cellStyle name="쉼표 [0] 3 6 2 2" xfId="2487" xr:uid="{00000000-0005-0000-0000-0000D7070000}"/>
    <cellStyle name="쉼표 [0] 3 6 2 2 2" xfId="3144" xr:uid="{00000000-0005-0000-0000-0000D8070000}"/>
    <cellStyle name="쉼표 [0] 3 6 2 3" xfId="2817" xr:uid="{00000000-0005-0000-0000-0000D9070000}"/>
    <cellStyle name="쉼표 [0] 3 6 3" xfId="2289" xr:uid="{00000000-0005-0000-0000-0000DA070000}"/>
    <cellStyle name="쉼표 [0] 3 6 3 2" xfId="2946" xr:uid="{00000000-0005-0000-0000-0000DB070000}"/>
    <cellStyle name="쉼표 [0] 3 6 4" xfId="2619" xr:uid="{00000000-0005-0000-0000-0000DC070000}"/>
    <cellStyle name="쉼표 [0] 3 7" xfId="2145" xr:uid="{00000000-0005-0000-0000-0000DD070000}"/>
    <cellStyle name="쉼표 [0] 3 7 2" xfId="2482" xr:uid="{00000000-0005-0000-0000-0000DE070000}"/>
    <cellStyle name="쉼표 [0] 3 7 2 2" xfId="3139" xr:uid="{00000000-0005-0000-0000-0000DF070000}"/>
    <cellStyle name="쉼표 [0] 3 7 3" xfId="2812" xr:uid="{00000000-0005-0000-0000-0000E0070000}"/>
    <cellStyle name="쉼표 [0] 4" xfId="11" xr:uid="{00000000-0005-0000-0000-0000E1070000}"/>
    <cellStyle name="쉼표 [0] 4 10" xfId="70" xr:uid="{00000000-0005-0000-0000-0000E2070000}"/>
    <cellStyle name="쉼표 [0] 4 11" xfId="2245" xr:uid="{00000000-0005-0000-0000-0000E3070000}"/>
    <cellStyle name="쉼표 [0] 4 11 2" xfId="2902" xr:uid="{00000000-0005-0000-0000-0000E4070000}"/>
    <cellStyle name="쉼표 [0] 4 12" xfId="2572" xr:uid="{00000000-0005-0000-0000-0000E5070000}"/>
    <cellStyle name="쉼표 [0] 4 13" xfId="45" xr:uid="{00000000-0005-0000-0000-0000E6070000}"/>
    <cellStyle name="쉼표 [0] 4 2" xfId="60" xr:uid="{00000000-0005-0000-0000-0000E7070000}"/>
    <cellStyle name="쉼표 [0] 4 2 2" xfId="2073" xr:uid="{00000000-0005-0000-0000-0000E8070000}"/>
    <cellStyle name="쉼표 [0] 4 2 3" xfId="2152" xr:uid="{00000000-0005-0000-0000-0000E9070000}"/>
    <cellStyle name="쉼표 [0] 4 2 3 2" xfId="2489" xr:uid="{00000000-0005-0000-0000-0000EA070000}"/>
    <cellStyle name="쉼표 [0] 4 2 3 2 2" xfId="3146" xr:uid="{00000000-0005-0000-0000-0000EB070000}"/>
    <cellStyle name="쉼표 [0] 4 2 3 3" xfId="2819" xr:uid="{00000000-0005-0000-0000-0000EC070000}"/>
    <cellStyle name="쉼표 [0] 4 2 4" xfId="1629" xr:uid="{00000000-0005-0000-0000-0000ED070000}"/>
    <cellStyle name="쉼표 [0] 4 2 4 2" xfId="2294" xr:uid="{00000000-0005-0000-0000-0000EE070000}"/>
    <cellStyle name="쉼표 [0] 4 2 4 2 2" xfId="2951" xr:uid="{00000000-0005-0000-0000-0000EF070000}"/>
    <cellStyle name="쉼표 [0] 4 2 4 3" xfId="2624" xr:uid="{00000000-0005-0000-0000-0000F0070000}"/>
    <cellStyle name="쉼표 [0] 4 2 5" xfId="2259" xr:uid="{00000000-0005-0000-0000-0000F1070000}"/>
    <cellStyle name="쉼표 [0] 4 2 5 2" xfId="2916" xr:uid="{00000000-0005-0000-0000-0000F2070000}"/>
    <cellStyle name="쉼표 [0] 4 2 6" xfId="2586" xr:uid="{00000000-0005-0000-0000-0000F3070000}"/>
    <cellStyle name="쉼표 [0] 4 3" xfId="1630" xr:uid="{00000000-0005-0000-0000-0000F4070000}"/>
    <cellStyle name="쉼표 [0] 4 4" xfId="1628" xr:uid="{00000000-0005-0000-0000-0000F5070000}"/>
    <cellStyle name="쉼표 [0] 4 4 2" xfId="2293" xr:uid="{00000000-0005-0000-0000-0000F6070000}"/>
    <cellStyle name="쉼표 [0] 4 4 2 2" xfId="2950" xr:uid="{00000000-0005-0000-0000-0000F7070000}"/>
    <cellStyle name="쉼표 [0] 4 4 3" xfId="2623" xr:uid="{00000000-0005-0000-0000-0000F8070000}"/>
    <cellStyle name="쉼표 [0] 4 5" xfId="2063" xr:uid="{00000000-0005-0000-0000-0000F9070000}"/>
    <cellStyle name="쉼표 [0] 4 5 2" xfId="2405" xr:uid="{00000000-0005-0000-0000-0000FA070000}"/>
    <cellStyle name="쉼표 [0] 4 5 2 2" xfId="3062" xr:uid="{00000000-0005-0000-0000-0000FB070000}"/>
    <cellStyle name="쉼표 [0] 4 5 3" xfId="2735" xr:uid="{00000000-0005-0000-0000-0000FC070000}"/>
    <cellStyle name="쉼표 [0] 4 6" xfId="2083" xr:uid="{00000000-0005-0000-0000-0000FD070000}"/>
    <cellStyle name="쉼표 [0] 4 6 2" xfId="2420" xr:uid="{00000000-0005-0000-0000-0000FE070000}"/>
    <cellStyle name="쉼표 [0] 4 6 2 2" xfId="3077" xr:uid="{00000000-0005-0000-0000-0000FF070000}"/>
    <cellStyle name="쉼표 [0] 4 6 3" xfId="2750" xr:uid="{00000000-0005-0000-0000-000000080000}"/>
    <cellStyle name="쉼표 [0] 4 7" xfId="2094" xr:uid="{00000000-0005-0000-0000-000001080000}"/>
    <cellStyle name="쉼표 [0] 4 7 2" xfId="2431" xr:uid="{00000000-0005-0000-0000-000002080000}"/>
    <cellStyle name="쉼표 [0] 4 7 2 2" xfId="3088" xr:uid="{00000000-0005-0000-0000-000003080000}"/>
    <cellStyle name="쉼표 [0] 4 7 3" xfId="2761" xr:uid="{00000000-0005-0000-0000-000004080000}"/>
    <cellStyle name="쉼표 [0] 4 8" xfId="2109" xr:uid="{00000000-0005-0000-0000-000005080000}"/>
    <cellStyle name="쉼표 [0] 4 8 2" xfId="2446" xr:uid="{00000000-0005-0000-0000-000006080000}"/>
    <cellStyle name="쉼표 [0] 4 8 2 2" xfId="3103" xr:uid="{00000000-0005-0000-0000-000007080000}"/>
    <cellStyle name="쉼표 [0] 4 8 3" xfId="2776" xr:uid="{00000000-0005-0000-0000-000008080000}"/>
    <cellStyle name="쉼표 [0] 4 9" xfId="2151" xr:uid="{00000000-0005-0000-0000-000009080000}"/>
    <cellStyle name="쉼표 [0] 4 9 2" xfId="2488" xr:uid="{00000000-0005-0000-0000-00000A080000}"/>
    <cellStyle name="쉼표 [0] 4 9 2 2" xfId="3145" xr:uid="{00000000-0005-0000-0000-00000B080000}"/>
    <cellStyle name="쉼표 [0] 4 9 3" xfId="2818" xr:uid="{00000000-0005-0000-0000-00000C080000}"/>
    <cellStyle name="쉼표 [0] 5" xfId="16" xr:uid="{00000000-0005-0000-0000-00000D080000}"/>
    <cellStyle name="쉼표 [0] 5 10" xfId="2064" xr:uid="{00000000-0005-0000-0000-00000E080000}"/>
    <cellStyle name="쉼표 [0] 5 10 2" xfId="2406" xr:uid="{00000000-0005-0000-0000-00000F080000}"/>
    <cellStyle name="쉼표 [0] 5 10 2 2" xfId="3063" xr:uid="{00000000-0005-0000-0000-000010080000}"/>
    <cellStyle name="쉼표 [0] 5 10 3" xfId="2736" xr:uid="{00000000-0005-0000-0000-000011080000}"/>
    <cellStyle name="쉼표 [0] 5 11" xfId="2084" xr:uid="{00000000-0005-0000-0000-000012080000}"/>
    <cellStyle name="쉼표 [0] 5 11 2" xfId="2421" xr:uid="{00000000-0005-0000-0000-000013080000}"/>
    <cellStyle name="쉼표 [0] 5 11 2 2" xfId="3078" xr:uid="{00000000-0005-0000-0000-000014080000}"/>
    <cellStyle name="쉼표 [0] 5 11 3" xfId="2751" xr:uid="{00000000-0005-0000-0000-000015080000}"/>
    <cellStyle name="쉼표 [0] 5 12" xfId="2095" xr:uid="{00000000-0005-0000-0000-000016080000}"/>
    <cellStyle name="쉼표 [0] 5 12 2" xfId="2432" xr:uid="{00000000-0005-0000-0000-000017080000}"/>
    <cellStyle name="쉼표 [0] 5 12 2 2" xfId="3089" xr:uid="{00000000-0005-0000-0000-000018080000}"/>
    <cellStyle name="쉼표 [0] 5 12 3" xfId="2762" xr:uid="{00000000-0005-0000-0000-000019080000}"/>
    <cellStyle name="쉼표 [0] 5 13" xfId="2110" xr:uid="{00000000-0005-0000-0000-00001A080000}"/>
    <cellStyle name="쉼표 [0] 5 13 2" xfId="2447" xr:uid="{00000000-0005-0000-0000-00001B080000}"/>
    <cellStyle name="쉼표 [0] 5 13 2 2" xfId="3104" xr:uid="{00000000-0005-0000-0000-00001C080000}"/>
    <cellStyle name="쉼표 [0] 5 13 3" xfId="2777" xr:uid="{00000000-0005-0000-0000-00001D080000}"/>
    <cellStyle name="쉼표 [0] 5 14" xfId="2122" xr:uid="{00000000-0005-0000-0000-00001E080000}"/>
    <cellStyle name="쉼표 [0] 5 14 2" xfId="2459" xr:uid="{00000000-0005-0000-0000-00001F080000}"/>
    <cellStyle name="쉼표 [0] 5 14 2 2" xfId="3116" xr:uid="{00000000-0005-0000-0000-000020080000}"/>
    <cellStyle name="쉼표 [0] 5 14 3" xfId="2789" xr:uid="{00000000-0005-0000-0000-000021080000}"/>
    <cellStyle name="쉼표 [0] 5 15" xfId="2129" xr:uid="{00000000-0005-0000-0000-000022080000}"/>
    <cellStyle name="쉼표 [0] 5 15 2" xfId="2466" xr:uid="{00000000-0005-0000-0000-000023080000}"/>
    <cellStyle name="쉼표 [0] 5 15 2 2" xfId="3123" xr:uid="{00000000-0005-0000-0000-000024080000}"/>
    <cellStyle name="쉼표 [0] 5 15 3" xfId="2796" xr:uid="{00000000-0005-0000-0000-000025080000}"/>
    <cellStyle name="쉼표 [0] 5 16" xfId="2153" xr:uid="{00000000-0005-0000-0000-000026080000}"/>
    <cellStyle name="쉼표 [0] 5 16 2" xfId="2490" xr:uid="{00000000-0005-0000-0000-000027080000}"/>
    <cellStyle name="쉼표 [0] 5 16 2 2" xfId="3147" xr:uid="{00000000-0005-0000-0000-000028080000}"/>
    <cellStyle name="쉼표 [0] 5 16 3" xfId="2820" xr:uid="{00000000-0005-0000-0000-000029080000}"/>
    <cellStyle name="쉼표 [0] 5 17" xfId="76" xr:uid="{00000000-0005-0000-0000-00002A080000}"/>
    <cellStyle name="쉼표 [0] 5 17 2" xfId="2273" xr:uid="{00000000-0005-0000-0000-00002B080000}"/>
    <cellStyle name="쉼표 [0] 5 17 2 2" xfId="2930" xr:uid="{00000000-0005-0000-0000-00002C080000}"/>
    <cellStyle name="쉼표 [0] 5 17 3" xfId="2600" xr:uid="{00000000-0005-0000-0000-00002D080000}"/>
    <cellStyle name="쉼표 [0] 5 18" xfId="2246" xr:uid="{00000000-0005-0000-0000-00002E080000}"/>
    <cellStyle name="쉼표 [0] 5 18 2" xfId="2903" xr:uid="{00000000-0005-0000-0000-00002F080000}"/>
    <cellStyle name="쉼표 [0] 5 19" xfId="2573" xr:uid="{00000000-0005-0000-0000-000030080000}"/>
    <cellStyle name="쉼표 [0] 5 2" xfId="29" xr:uid="{00000000-0005-0000-0000-000031080000}"/>
    <cellStyle name="쉼표 [0] 5 2 2" xfId="2154" xr:uid="{00000000-0005-0000-0000-000032080000}"/>
    <cellStyle name="쉼표 [0] 5 2 2 2" xfId="2491" xr:uid="{00000000-0005-0000-0000-000033080000}"/>
    <cellStyle name="쉼표 [0] 5 2 2 2 2" xfId="3148" xr:uid="{00000000-0005-0000-0000-000034080000}"/>
    <cellStyle name="쉼표 [0] 5 2 2 3" xfId="2821" xr:uid="{00000000-0005-0000-0000-000035080000}"/>
    <cellStyle name="쉼표 [0] 5 2 3" xfId="1632" xr:uid="{00000000-0005-0000-0000-000036080000}"/>
    <cellStyle name="쉼표 [0] 5 2 3 2" xfId="2296" xr:uid="{00000000-0005-0000-0000-000037080000}"/>
    <cellStyle name="쉼표 [0] 5 2 3 2 2" xfId="2953" xr:uid="{00000000-0005-0000-0000-000038080000}"/>
    <cellStyle name="쉼표 [0] 5 2 3 3" xfId="2626" xr:uid="{00000000-0005-0000-0000-000039080000}"/>
    <cellStyle name="쉼표 [0] 5 2 4" xfId="2260" xr:uid="{00000000-0005-0000-0000-00003A080000}"/>
    <cellStyle name="쉼표 [0] 5 2 4 2" xfId="2917" xr:uid="{00000000-0005-0000-0000-00003B080000}"/>
    <cellStyle name="쉼표 [0] 5 2 5" xfId="2587" xr:uid="{00000000-0005-0000-0000-00003C080000}"/>
    <cellStyle name="쉼표 [0] 5 2 6" xfId="61" xr:uid="{00000000-0005-0000-0000-00003D080000}"/>
    <cellStyle name="쉼표 [0] 5 20" xfId="46" xr:uid="{00000000-0005-0000-0000-00003E080000}"/>
    <cellStyle name="쉼표 [0] 5 3" xfId="1633" xr:uid="{00000000-0005-0000-0000-00003F080000}"/>
    <cellStyle name="쉼표 [0] 5 3 2" xfId="2297" xr:uid="{00000000-0005-0000-0000-000040080000}"/>
    <cellStyle name="쉼표 [0] 5 3 2 2" xfId="2954" xr:uid="{00000000-0005-0000-0000-000041080000}"/>
    <cellStyle name="쉼표 [0] 5 3 3" xfId="2627" xr:uid="{00000000-0005-0000-0000-000042080000}"/>
    <cellStyle name="쉼표 [0] 5 4" xfId="1631" xr:uid="{00000000-0005-0000-0000-000043080000}"/>
    <cellStyle name="쉼표 [0] 5 4 2" xfId="2155" xr:uid="{00000000-0005-0000-0000-000044080000}"/>
    <cellStyle name="쉼표 [0] 5 4 2 2" xfId="2492" xr:uid="{00000000-0005-0000-0000-000045080000}"/>
    <cellStyle name="쉼표 [0] 5 4 2 2 2" xfId="3149" xr:uid="{00000000-0005-0000-0000-000046080000}"/>
    <cellStyle name="쉼표 [0] 5 4 2 3" xfId="2822" xr:uid="{00000000-0005-0000-0000-000047080000}"/>
    <cellStyle name="쉼표 [0] 5 4 3" xfId="2295" xr:uid="{00000000-0005-0000-0000-000048080000}"/>
    <cellStyle name="쉼표 [0] 5 4 3 2" xfId="2952" xr:uid="{00000000-0005-0000-0000-000049080000}"/>
    <cellStyle name="쉼표 [0] 5 4 4" xfId="2625" xr:uid="{00000000-0005-0000-0000-00004A080000}"/>
    <cellStyle name="쉼표 [0] 5 5" xfId="2024" xr:uid="{00000000-0005-0000-0000-00004B080000}"/>
    <cellStyle name="쉼표 [0] 5 5 2" xfId="2369" xr:uid="{00000000-0005-0000-0000-00004C080000}"/>
    <cellStyle name="쉼표 [0] 5 5 2 2" xfId="3026" xr:uid="{00000000-0005-0000-0000-00004D080000}"/>
    <cellStyle name="쉼표 [0] 5 5 3" xfId="2699" xr:uid="{00000000-0005-0000-0000-00004E080000}"/>
    <cellStyle name="쉼표 [0] 5 6" xfId="2031" xr:uid="{00000000-0005-0000-0000-00004F080000}"/>
    <cellStyle name="쉼표 [0] 5 6 2" xfId="2374" xr:uid="{00000000-0005-0000-0000-000050080000}"/>
    <cellStyle name="쉼표 [0] 5 6 2 2" xfId="3031" xr:uid="{00000000-0005-0000-0000-000051080000}"/>
    <cellStyle name="쉼표 [0] 5 6 3" xfId="2704" xr:uid="{00000000-0005-0000-0000-000052080000}"/>
    <cellStyle name="쉼표 [0] 5 7" xfId="2038" xr:uid="{00000000-0005-0000-0000-000053080000}"/>
    <cellStyle name="쉼표 [0] 5 7 2" xfId="2381" xr:uid="{00000000-0005-0000-0000-000054080000}"/>
    <cellStyle name="쉼표 [0] 5 7 2 2" xfId="3038" xr:uid="{00000000-0005-0000-0000-000055080000}"/>
    <cellStyle name="쉼표 [0] 5 7 3" xfId="2711" xr:uid="{00000000-0005-0000-0000-000056080000}"/>
    <cellStyle name="쉼표 [0] 5 8" xfId="2045" xr:uid="{00000000-0005-0000-0000-000057080000}"/>
    <cellStyle name="쉼표 [0] 5 8 2" xfId="2388" xr:uid="{00000000-0005-0000-0000-000058080000}"/>
    <cellStyle name="쉼표 [0] 5 8 2 2" xfId="3045" xr:uid="{00000000-0005-0000-0000-000059080000}"/>
    <cellStyle name="쉼표 [0] 5 8 3" xfId="2718" xr:uid="{00000000-0005-0000-0000-00005A080000}"/>
    <cellStyle name="쉼표 [0] 5 9" xfId="2052" xr:uid="{00000000-0005-0000-0000-00005B080000}"/>
    <cellStyle name="쉼표 [0] 5 9 2" xfId="2395" xr:uid="{00000000-0005-0000-0000-00005C080000}"/>
    <cellStyle name="쉼표 [0] 5 9 2 2" xfId="3052" xr:uid="{00000000-0005-0000-0000-00005D080000}"/>
    <cellStyle name="쉼표 [0] 5 9 3" xfId="2725" xr:uid="{00000000-0005-0000-0000-00005E080000}"/>
    <cellStyle name="쉼표 [0] 6" xfId="30" xr:uid="{00000000-0005-0000-0000-00005F080000}"/>
    <cellStyle name="쉼표 [0] 6 10" xfId="2156" xr:uid="{00000000-0005-0000-0000-000060080000}"/>
    <cellStyle name="쉼표 [0] 6 10 2" xfId="2493" xr:uid="{00000000-0005-0000-0000-000061080000}"/>
    <cellStyle name="쉼표 [0] 6 10 2 2" xfId="3150" xr:uid="{00000000-0005-0000-0000-000062080000}"/>
    <cellStyle name="쉼표 [0] 6 10 3" xfId="2823" xr:uid="{00000000-0005-0000-0000-000063080000}"/>
    <cellStyle name="쉼표 [0] 6 11" xfId="72" xr:uid="{00000000-0005-0000-0000-000064080000}"/>
    <cellStyle name="쉼표 [0] 6 11 2" xfId="2269" xr:uid="{00000000-0005-0000-0000-000065080000}"/>
    <cellStyle name="쉼표 [0] 6 11 2 2" xfId="2926" xr:uid="{00000000-0005-0000-0000-000066080000}"/>
    <cellStyle name="쉼표 [0] 6 11 3" xfId="2596" xr:uid="{00000000-0005-0000-0000-000067080000}"/>
    <cellStyle name="쉼표 [0] 6 12" xfId="2247" xr:uid="{00000000-0005-0000-0000-000068080000}"/>
    <cellStyle name="쉼표 [0] 6 12 2" xfId="2904" xr:uid="{00000000-0005-0000-0000-000069080000}"/>
    <cellStyle name="쉼표 [0] 6 13" xfId="2574" xr:uid="{00000000-0005-0000-0000-00006A080000}"/>
    <cellStyle name="쉼표 [0] 6 14" xfId="47" xr:uid="{00000000-0005-0000-0000-00006B080000}"/>
    <cellStyle name="쉼표 [0] 6 2" xfId="62" xr:uid="{00000000-0005-0000-0000-00006C080000}"/>
    <cellStyle name="쉼표 [0] 6 2 2" xfId="2157" xr:uid="{00000000-0005-0000-0000-00006D080000}"/>
    <cellStyle name="쉼표 [0] 6 2 2 2" xfId="2494" xr:uid="{00000000-0005-0000-0000-00006E080000}"/>
    <cellStyle name="쉼표 [0] 6 2 2 2 2" xfId="3151" xr:uid="{00000000-0005-0000-0000-00006F080000}"/>
    <cellStyle name="쉼표 [0] 6 2 2 3" xfId="2824" xr:uid="{00000000-0005-0000-0000-000070080000}"/>
    <cellStyle name="쉼표 [0] 6 2 3" xfId="1635" xr:uid="{00000000-0005-0000-0000-000071080000}"/>
    <cellStyle name="쉼표 [0] 6 2 3 2" xfId="2299" xr:uid="{00000000-0005-0000-0000-000072080000}"/>
    <cellStyle name="쉼표 [0] 6 2 3 2 2" xfId="2956" xr:uid="{00000000-0005-0000-0000-000073080000}"/>
    <cellStyle name="쉼표 [0] 6 2 3 3" xfId="2629" xr:uid="{00000000-0005-0000-0000-000074080000}"/>
    <cellStyle name="쉼표 [0] 6 2 4" xfId="2261" xr:uid="{00000000-0005-0000-0000-000075080000}"/>
    <cellStyle name="쉼표 [0] 6 2 4 2" xfId="2918" xr:uid="{00000000-0005-0000-0000-000076080000}"/>
    <cellStyle name="쉼표 [0] 6 2 5" xfId="2588" xr:uid="{00000000-0005-0000-0000-000077080000}"/>
    <cellStyle name="쉼표 [0] 6 3" xfId="1636" xr:uid="{00000000-0005-0000-0000-000078080000}"/>
    <cellStyle name="쉼표 [0] 6 3 2" xfId="2158" xr:uid="{00000000-0005-0000-0000-000079080000}"/>
    <cellStyle name="쉼표 [0] 6 3 2 2" xfId="2495" xr:uid="{00000000-0005-0000-0000-00007A080000}"/>
    <cellStyle name="쉼표 [0] 6 3 2 2 2" xfId="3152" xr:uid="{00000000-0005-0000-0000-00007B080000}"/>
    <cellStyle name="쉼표 [0] 6 3 2 3" xfId="2825" xr:uid="{00000000-0005-0000-0000-00007C080000}"/>
    <cellStyle name="쉼표 [0] 6 3 3" xfId="2300" xr:uid="{00000000-0005-0000-0000-00007D080000}"/>
    <cellStyle name="쉼표 [0] 6 3 3 2" xfId="2957" xr:uid="{00000000-0005-0000-0000-00007E080000}"/>
    <cellStyle name="쉼표 [0] 6 3 4" xfId="2630" xr:uid="{00000000-0005-0000-0000-00007F080000}"/>
    <cellStyle name="쉼표 [0] 6 4" xfId="1637" xr:uid="{00000000-0005-0000-0000-000080080000}"/>
    <cellStyle name="쉼표 [0] 6 4 2" xfId="2159" xr:uid="{00000000-0005-0000-0000-000081080000}"/>
    <cellStyle name="쉼표 [0] 6 4 2 2" xfId="2496" xr:uid="{00000000-0005-0000-0000-000082080000}"/>
    <cellStyle name="쉼표 [0] 6 4 2 2 2" xfId="3153" xr:uid="{00000000-0005-0000-0000-000083080000}"/>
    <cellStyle name="쉼표 [0] 6 4 2 3" xfId="2826" xr:uid="{00000000-0005-0000-0000-000084080000}"/>
    <cellStyle name="쉼표 [0] 6 4 3" xfId="2301" xr:uid="{00000000-0005-0000-0000-000085080000}"/>
    <cellStyle name="쉼표 [0] 6 4 3 2" xfId="2958" xr:uid="{00000000-0005-0000-0000-000086080000}"/>
    <cellStyle name="쉼표 [0] 6 4 4" xfId="2631" xr:uid="{00000000-0005-0000-0000-000087080000}"/>
    <cellStyle name="쉼표 [0] 6 5" xfId="1634" xr:uid="{00000000-0005-0000-0000-000088080000}"/>
    <cellStyle name="쉼표 [0] 6 5 2" xfId="2298" xr:uid="{00000000-0005-0000-0000-000089080000}"/>
    <cellStyle name="쉼표 [0] 6 5 2 2" xfId="2955" xr:uid="{00000000-0005-0000-0000-00008A080000}"/>
    <cellStyle name="쉼표 [0] 6 5 3" xfId="2628" xr:uid="{00000000-0005-0000-0000-00008B080000}"/>
    <cellStyle name="쉼표 [0] 6 6" xfId="2065" xr:uid="{00000000-0005-0000-0000-00008C080000}"/>
    <cellStyle name="쉼표 [0] 6 6 2" xfId="2407" xr:uid="{00000000-0005-0000-0000-00008D080000}"/>
    <cellStyle name="쉼표 [0] 6 6 2 2" xfId="3064" xr:uid="{00000000-0005-0000-0000-00008E080000}"/>
    <cellStyle name="쉼표 [0] 6 6 3" xfId="2737" xr:uid="{00000000-0005-0000-0000-00008F080000}"/>
    <cellStyle name="쉼표 [0] 6 7" xfId="2085" xr:uid="{00000000-0005-0000-0000-000090080000}"/>
    <cellStyle name="쉼표 [0] 6 7 2" xfId="2422" xr:uid="{00000000-0005-0000-0000-000091080000}"/>
    <cellStyle name="쉼표 [0] 6 7 2 2" xfId="3079" xr:uid="{00000000-0005-0000-0000-000092080000}"/>
    <cellStyle name="쉼표 [0] 6 7 3" xfId="2752" xr:uid="{00000000-0005-0000-0000-000093080000}"/>
    <cellStyle name="쉼표 [0] 6 8" xfId="2096" xr:uid="{00000000-0005-0000-0000-000094080000}"/>
    <cellStyle name="쉼표 [0] 6 8 2" xfId="2433" xr:uid="{00000000-0005-0000-0000-000095080000}"/>
    <cellStyle name="쉼표 [0] 6 8 2 2" xfId="3090" xr:uid="{00000000-0005-0000-0000-000096080000}"/>
    <cellStyle name="쉼표 [0] 6 8 3" xfId="2763" xr:uid="{00000000-0005-0000-0000-000097080000}"/>
    <cellStyle name="쉼표 [0] 6 9" xfId="2111" xr:uid="{00000000-0005-0000-0000-000098080000}"/>
    <cellStyle name="쉼표 [0] 6 9 2" xfId="2448" xr:uid="{00000000-0005-0000-0000-000099080000}"/>
    <cellStyle name="쉼표 [0] 6 9 2 2" xfId="3105" xr:uid="{00000000-0005-0000-0000-00009A080000}"/>
    <cellStyle name="쉼표 [0] 6 9 3" xfId="2778" xr:uid="{00000000-0005-0000-0000-00009B080000}"/>
    <cellStyle name="쉼표 [0] 7" xfId="24" xr:uid="{00000000-0005-0000-0000-00009C080000}"/>
    <cellStyle name="쉼표 [0] 7 10" xfId="1638" xr:uid="{00000000-0005-0000-0000-00009D080000}"/>
    <cellStyle name="쉼표 [0] 7 10 2" xfId="2302" xr:uid="{00000000-0005-0000-0000-00009E080000}"/>
    <cellStyle name="쉼표 [0] 7 10 2 2" xfId="2959" xr:uid="{00000000-0005-0000-0000-00009F080000}"/>
    <cellStyle name="쉼표 [0] 7 10 3" xfId="2632" xr:uid="{00000000-0005-0000-0000-0000A0080000}"/>
    <cellStyle name="쉼표 [0] 7 11" xfId="2254" xr:uid="{00000000-0005-0000-0000-0000A1080000}"/>
    <cellStyle name="쉼표 [0] 7 11 2" xfId="2911" xr:uid="{00000000-0005-0000-0000-0000A2080000}"/>
    <cellStyle name="쉼표 [0] 7 12" xfId="2581" xr:uid="{00000000-0005-0000-0000-0000A3080000}"/>
    <cellStyle name="쉼표 [0] 7 13" xfId="55" xr:uid="{00000000-0005-0000-0000-0000A4080000}"/>
    <cellStyle name="쉼표 [0] 7 2" xfId="1639" xr:uid="{00000000-0005-0000-0000-0000A5080000}"/>
    <cellStyle name="쉼표 [0] 7 2 2" xfId="2161" xr:uid="{00000000-0005-0000-0000-0000A6080000}"/>
    <cellStyle name="쉼표 [0] 7 2 2 2" xfId="2498" xr:uid="{00000000-0005-0000-0000-0000A7080000}"/>
    <cellStyle name="쉼표 [0] 7 2 2 2 2" xfId="3155" xr:uid="{00000000-0005-0000-0000-0000A8080000}"/>
    <cellStyle name="쉼표 [0] 7 2 2 3" xfId="2828" xr:uid="{00000000-0005-0000-0000-0000A9080000}"/>
    <cellStyle name="쉼표 [0] 7 2 3" xfId="2303" xr:uid="{00000000-0005-0000-0000-0000AA080000}"/>
    <cellStyle name="쉼표 [0] 7 2 3 2" xfId="2960" xr:uid="{00000000-0005-0000-0000-0000AB080000}"/>
    <cellStyle name="쉼표 [0] 7 2 4" xfId="2633" xr:uid="{00000000-0005-0000-0000-0000AC080000}"/>
    <cellStyle name="쉼표 [0] 7 3" xfId="1640" xr:uid="{00000000-0005-0000-0000-0000AD080000}"/>
    <cellStyle name="쉼표 [0] 7 3 2" xfId="2162" xr:uid="{00000000-0005-0000-0000-0000AE080000}"/>
    <cellStyle name="쉼표 [0] 7 3 2 2" xfId="2499" xr:uid="{00000000-0005-0000-0000-0000AF080000}"/>
    <cellStyle name="쉼표 [0] 7 3 2 2 2" xfId="3156" xr:uid="{00000000-0005-0000-0000-0000B0080000}"/>
    <cellStyle name="쉼표 [0] 7 3 2 3" xfId="2829" xr:uid="{00000000-0005-0000-0000-0000B1080000}"/>
    <cellStyle name="쉼표 [0] 7 3 3" xfId="2304" xr:uid="{00000000-0005-0000-0000-0000B2080000}"/>
    <cellStyle name="쉼표 [0] 7 3 3 2" xfId="2961" xr:uid="{00000000-0005-0000-0000-0000B3080000}"/>
    <cellStyle name="쉼표 [0] 7 3 4" xfId="2634" xr:uid="{00000000-0005-0000-0000-0000B4080000}"/>
    <cellStyle name="쉼표 [0] 7 4" xfId="1641" xr:uid="{00000000-0005-0000-0000-0000B5080000}"/>
    <cellStyle name="쉼표 [0] 7 4 2" xfId="2163" xr:uid="{00000000-0005-0000-0000-0000B6080000}"/>
    <cellStyle name="쉼표 [0] 7 4 2 2" xfId="2500" xr:uid="{00000000-0005-0000-0000-0000B7080000}"/>
    <cellStyle name="쉼표 [0] 7 4 2 2 2" xfId="3157" xr:uid="{00000000-0005-0000-0000-0000B8080000}"/>
    <cellStyle name="쉼표 [0] 7 4 2 3" xfId="2830" xr:uid="{00000000-0005-0000-0000-0000B9080000}"/>
    <cellStyle name="쉼표 [0] 7 4 3" xfId="2305" xr:uid="{00000000-0005-0000-0000-0000BA080000}"/>
    <cellStyle name="쉼표 [0] 7 4 3 2" xfId="2962" xr:uid="{00000000-0005-0000-0000-0000BB080000}"/>
    <cellStyle name="쉼표 [0] 7 4 4" xfId="2635" xr:uid="{00000000-0005-0000-0000-0000BC080000}"/>
    <cellStyle name="쉼표 [0] 7 5" xfId="1642" xr:uid="{00000000-0005-0000-0000-0000BD080000}"/>
    <cellStyle name="쉼표 [0] 7 5 2" xfId="2164" xr:uid="{00000000-0005-0000-0000-0000BE080000}"/>
    <cellStyle name="쉼표 [0] 7 5 2 2" xfId="2501" xr:uid="{00000000-0005-0000-0000-0000BF080000}"/>
    <cellStyle name="쉼표 [0] 7 5 2 2 2" xfId="3158" xr:uid="{00000000-0005-0000-0000-0000C0080000}"/>
    <cellStyle name="쉼표 [0] 7 5 2 3" xfId="2831" xr:uid="{00000000-0005-0000-0000-0000C1080000}"/>
    <cellStyle name="쉼표 [0] 7 5 3" xfId="2306" xr:uid="{00000000-0005-0000-0000-0000C2080000}"/>
    <cellStyle name="쉼표 [0] 7 5 3 2" xfId="2963" xr:uid="{00000000-0005-0000-0000-0000C3080000}"/>
    <cellStyle name="쉼표 [0] 7 5 4" xfId="2636" xr:uid="{00000000-0005-0000-0000-0000C4080000}"/>
    <cellStyle name="쉼표 [0] 7 6" xfId="2074" xr:uid="{00000000-0005-0000-0000-0000C5080000}"/>
    <cellStyle name="쉼표 [0] 7 6 2" xfId="2413" xr:uid="{00000000-0005-0000-0000-0000C6080000}"/>
    <cellStyle name="쉼표 [0] 7 6 2 2" xfId="3070" xr:uid="{00000000-0005-0000-0000-0000C7080000}"/>
    <cellStyle name="쉼표 [0] 7 6 3" xfId="2743" xr:uid="{00000000-0005-0000-0000-0000C8080000}"/>
    <cellStyle name="쉼표 [0] 7 7" xfId="2102" xr:uid="{00000000-0005-0000-0000-0000C9080000}"/>
    <cellStyle name="쉼표 [0] 7 7 2" xfId="2439" xr:uid="{00000000-0005-0000-0000-0000CA080000}"/>
    <cellStyle name="쉼표 [0] 7 7 2 2" xfId="3096" xr:uid="{00000000-0005-0000-0000-0000CB080000}"/>
    <cellStyle name="쉼표 [0] 7 7 3" xfId="2769" xr:uid="{00000000-0005-0000-0000-0000CC080000}"/>
    <cellStyle name="쉼표 [0] 7 8" xfId="2117" xr:uid="{00000000-0005-0000-0000-0000CD080000}"/>
    <cellStyle name="쉼표 [0] 7 8 2" xfId="2454" xr:uid="{00000000-0005-0000-0000-0000CE080000}"/>
    <cellStyle name="쉼표 [0] 7 8 2 2" xfId="3111" xr:uid="{00000000-0005-0000-0000-0000CF080000}"/>
    <cellStyle name="쉼표 [0] 7 8 3" xfId="2784" xr:uid="{00000000-0005-0000-0000-0000D0080000}"/>
    <cellStyle name="쉼표 [0] 7 9" xfId="2160" xr:uid="{00000000-0005-0000-0000-0000D1080000}"/>
    <cellStyle name="쉼표 [0] 7 9 2" xfId="2497" xr:uid="{00000000-0005-0000-0000-0000D2080000}"/>
    <cellStyle name="쉼표 [0] 7 9 2 2" xfId="3154" xr:uid="{00000000-0005-0000-0000-0000D3080000}"/>
    <cellStyle name="쉼표 [0] 7 9 3" xfId="2827" xr:uid="{00000000-0005-0000-0000-0000D4080000}"/>
    <cellStyle name="쉼표 [0] 8" xfId="1643" xr:uid="{00000000-0005-0000-0000-0000D5080000}"/>
    <cellStyle name="쉼표 [0] 8 2" xfId="1644" xr:uid="{00000000-0005-0000-0000-0000D6080000}"/>
    <cellStyle name="쉼표 [0] 8 2 2" xfId="2165" xr:uid="{00000000-0005-0000-0000-0000D7080000}"/>
    <cellStyle name="쉼표 [0] 8 2 2 2" xfId="2502" xr:uid="{00000000-0005-0000-0000-0000D8080000}"/>
    <cellStyle name="쉼표 [0] 8 2 2 2 2" xfId="3159" xr:uid="{00000000-0005-0000-0000-0000D9080000}"/>
    <cellStyle name="쉼표 [0] 8 2 2 3" xfId="2832" xr:uid="{00000000-0005-0000-0000-0000DA080000}"/>
    <cellStyle name="쉼표 [0] 8 2 3" xfId="2308" xr:uid="{00000000-0005-0000-0000-0000DB080000}"/>
    <cellStyle name="쉼표 [0] 8 2 3 2" xfId="2965" xr:uid="{00000000-0005-0000-0000-0000DC080000}"/>
    <cellStyle name="쉼표 [0] 8 2 4" xfId="2638" xr:uid="{00000000-0005-0000-0000-0000DD080000}"/>
    <cellStyle name="쉼표 [0] 8 3" xfId="1645" xr:uid="{00000000-0005-0000-0000-0000DE080000}"/>
    <cellStyle name="쉼표 [0] 8 3 2" xfId="2166" xr:uid="{00000000-0005-0000-0000-0000DF080000}"/>
    <cellStyle name="쉼표 [0] 8 3 2 2" xfId="2503" xr:uid="{00000000-0005-0000-0000-0000E0080000}"/>
    <cellStyle name="쉼표 [0] 8 3 2 2 2" xfId="3160" xr:uid="{00000000-0005-0000-0000-0000E1080000}"/>
    <cellStyle name="쉼표 [0] 8 3 2 3" xfId="2833" xr:uid="{00000000-0005-0000-0000-0000E2080000}"/>
    <cellStyle name="쉼표 [0] 8 3 3" xfId="2309" xr:uid="{00000000-0005-0000-0000-0000E3080000}"/>
    <cellStyle name="쉼표 [0] 8 3 3 2" xfId="2966" xr:uid="{00000000-0005-0000-0000-0000E4080000}"/>
    <cellStyle name="쉼표 [0] 8 3 4" xfId="2639" xr:uid="{00000000-0005-0000-0000-0000E5080000}"/>
    <cellStyle name="쉼표 [0] 8 4" xfId="1646" xr:uid="{00000000-0005-0000-0000-0000E6080000}"/>
    <cellStyle name="쉼표 [0] 8 4 2" xfId="2167" xr:uid="{00000000-0005-0000-0000-0000E7080000}"/>
    <cellStyle name="쉼표 [0] 8 4 2 2" xfId="2504" xr:uid="{00000000-0005-0000-0000-0000E8080000}"/>
    <cellStyle name="쉼표 [0] 8 4 2 2 2" xfId="3161" xr:uid="{00000000-0005-0000-0000-0000E9080000}"/>
    <cellStyle name="쉼표 [0] 8 4 2 3" xfId="2834" xr:uid="{00000000-0005-0000-0000-0000EA080000}"/>
    <cellStyle name="쉼표 [0] 8 4 3" xfId="2310" xr:uid="{00000000-0005-0000-0000-0000EB080000}"/>
    <cellStyle name="쉼표 [0] 8 4 3 2" xfId="2967" xr:uid="{00000000-0005-0000-0000-0000EC080000}"/>
    <cellStyle name="쉼표 [0] 8 4 4" xfId="2640" xr:uid="{00000000-0005-0000-0000-0000ED080000}"/>
    <cellStyle name="쉼표 [0] 8 5" xfId="2307" xr:uid="{00000000-0005-0000-0000-0000EE080000}"/>
    <cellStyle name="쉼표 [0] 8 5 2" xfId="2964" xr:uid="{00000000-0005-0000-0000-0000EF080000}"/>
    <cellStyle name="쉼표 [0] 8 6" xfId="2637" xr:uid="{00000000-0005-0000-0000-0000F0080000}"/>
    <cellStyle name="쉼표 [0] 9" xfId="1647" xr:uid="{00000000-0005-0000-0000-0000F1080000}"/>
    <cellStyle name="쉼표 [0] 9 2" xfId="1648" xr:uid="{00000000-0005-0000-0000-0000F2080000}"/>
    <cellStyle name="쉼표 [0] 9 2 2" xfId="2169" xr:uid="{00000000-0005-0000-0000-0000F3080000}"/>
    <cellStyle name="쉼표 [0] 9 2 2 2" xfId="2506" xr:uid="{00000000-0005-0000-0000-0000F4080000}"/>
    <cellStyle name="쉼표 [0] 9 2 2 2 2" xfId="3163" xr:uid="{00000000-0005-0000-0000-0000F5080000}"/>
    <cellStyle name="쉼표 [0] 9 2 2 3" xfId="2836" xr:uid="{00000000-0005-0000-0000-0000F6080000}"/>
    <cellStyle name="쉼표 [0] 9 2 3" xfId="2312" xr:uid="{00000000-0005-0000-0000-0000F7080000}"/>
    <cellStyle name="쉼표 [0] 9 2 3 2" xfId="2969" xr:uid="{00000000-0005-0000-0000-0000F8080000}"/>
    <cellStyle name="쉼표 [0] 9 2 4" xfId="2642" xr:uid="{00000000-0005-0000-0000-0000F9080000}"/>
    <cellStyle name="쉼표 [0] 9 3" xfId="2168" xr:uid="{00000000-0005-0000-0000-0000FA080000}"/>
    <cellStyle name="쉼표 [0] 9 3 2" xfId="2505" xr:uid="{00000000-0005-0000-0000-0000FB080000}"/>
    <cellStyle name="쉼표 [0] 9 3 2 2" xfId="3162" xr:uid="{00000000-0005-0000-0000-0000FC080000}"/>
    <cellStyle name="쉼표 [0] 9 3 3" xfId="2835" xr:uid="{00000000-0005-0000-0000-0000FD080000}"/>
    <cellStyle name="쉼표 [0] 9 4" xfId="2311" xr:uid="{00000000-0005-0000-0000-0000FE080000}"/>
    <cellStyle name="쉼표 [0] 9 4 2" xfId="2968" xr:uid="{00000000-0005-0000-0000-0000FF080000}"/>
    <cellStyle name="쉼표 [0] 9 5" xfId="2641" xr:uid="{00000000-0005-0000-0000-000000090000}"/>
    <cellStyle name="쉼표 2" xfId="1649" xr:uid="{00000000-0005-0000-0000-000001090000}"/>
    <cellStyle name="스타일 1" xfId="1650" xr:uid="{00000000-0005-0000-0000-000002090000}"/>
    <cellStyle name="스타일 1 2" xfId="1651" xr:uid="{00000000-0005-0000-0000-000003090000}"/>
    <cellStyle name="스타일 10" xfId="1652" xr:uid="{00000000-0005-0000-0000-000004090000}"/>
    <cellStyle name="스타일 100" xfId="1653" xr:uid="{00000000-0005-0000-0000-000005090000}"/>
    <cellStyle name="스타일 101" xfId="1654" xr:uid="{00000000-0005-0000-0000-000006090000}"/>
    <cellStyle name="스타일 102" xfId="1655" xr:uid="{00000000-0005-0000-0000-000007090000}"/>
    <cellStyle name="스타일 103" xfId="1656" xr:uid="{00000000-0005-0000-0000-000008090000}"/>
    <cellStyle name="스타일 104" xfId="1657" xr:uid="{00000000-0005-0000-0000-000009090000}"/>
    <cellStyle name="스타일 105" xfId="1658" xr:uid="{00000000-0005-0000-0000-00000A090000}"/>
    <cellStyle name="스타일 106" xfId="1659" xr:uid="{00000000-0005-0000-0000-00000B090000}"/>
    <cellStyle name="스타일 107" xfId="1660" xr:uid="{00000000-0005-0000-0000-00000C090000}"/>
    <cellStyle name="스타일 108" xfId="1661" xr:uid="{00000000-0005-0000-0000-00000D090000}"/>
    <cellStyle name="스타일 109" xfId="1662" xr:uid="{00000000-0005-0000-0000-00000E090000}"/>
    <cellStyle name="스타일 11" xfId="1663" xr:uid="{00000000-0005-0000-0000-00000F090000}"/>
    <cellStyle name="스타일 110" xfId="1664" xr:uid="{00000000-0005-0000-0000-000010090000}"/>
    <cellStyle name="스타일 111" xfId="1665" xr:uid="{00000000-0005-0000-0000-000011090000}"/>
    <cellStyle name="스타일 112" xfId="1666" xr:uid="{00000000-0005-0000-0000-000012090000}"/>
    <cellStyle name="스타일 113" xfId="1667" xr:uid="{00000000-0005-0000-0000-000013090000}"/>
    <cellStyle name="스타일 114" xfId="1668" xr:uid="{00000000-0005-0000-0000-000014090000}"/>
    <cellStyle name="스타일 115" xfId="1669" xr:uid="{00000000-0005-0000-0000-000015090000}"/>
    <cellStyle name="스타일 116" xfId="1670" xr:uid="{00000000-0005-0000-0000-000016090000}"/>
    <cellStyle name="스타일 117" xfId="1671" xr:uid="{00000000-0005-0000-0000-000017090000}"/>
    <cellStyle name="스타일 118" xfId="1672" xr:uid="{00000000-0005-0000-0000-000018090000}"/>
    <cellStyle name="스타일 119" xfId="1673" xr:uid="{00000000-0005-0000-0000-000019090000}"/>
    <cellStyle name="스타일 12" xfId="1674" xr:uid="{00000000-0005-0000-0000-00001A090000}"/>
    <cellStyle name="스타일 120" xfId="1675" xr:uid="{00000000-0005-0000-0000-00001B090000}"/>
    <cellStyle name="스타일 121" xfId="1676" xr:uid="{00000000-0005-0000-0000-00001C090000}"/>
    <cellStyle name="스타일 122" xfId="1677" xr:uid="{00000000-0005-0000-0000-00001D090000}"/>
    <cellStyle name="스타일 123" xfId="1678" xr:uid="{00000000-0005-0000-0000-00001E090000}"/>
    <cellStyle name="스타일 124" xfId="1679" xr:uid="{00000000-0005-0000-0000-00001F090000}"/>
    <cellStyle name="스타일 125" xfId="1680" xr:uid="{00000000-0005-0000-0000-000020090000}"/>
    <cellStyle name="스타일 126" xfId="1681" xr:uid="{00000000-0005-0000-0000-000021090000}"/>
    <cellStyle name="스타일 127" xfId="1682" xr:uid="{00000000-0005-0000-0000-000022090000}"/>
    <cellStyle name="스타일 128" xfId="1683" xr:uid="{00000000-0005-0000-0000-000023090000}"/>
    <cellStyle name="스타일 129" xfId="1684" xr:uid="{00000000-0005-0000-0000-000024090000}"/>
    <cellStyle name="스타일 13" xfId="1685" xr:uid="{00000000-0005-0000-0000-000025090000}"/>
    <cellStyle name="스타일 130" xfId="1686" xr:uid="{00000000-0005-0000-0000-000026090000}"/>
    <cellStyle name="스타일 131" xfId="1687" xr:uid="{00000000-0005-0000-0000-000027090000}"/>
    <cellStyle name="스타일 132" xfId="1688" xr:uid="{00000000-0005-0000-0000-000028090000}"/>
    <cellStyle name="스타일 133" xfId="1689" xr:uid="{00000000-0005-0000-0000-000029090000}"/>
    <cellStyle name="스타일 134" xfId="1690" xr:uid="{00000000-0005-0000-0000-00002A090000}"/>
    <cellStyle name="스타일 135" xfId="1691" xr:uid="{00000000-0005-0000-0000-00002B090000}"/>
    <cellStyle name="스타일 136" xfId="1692" xr:uid="{00000000-0005-0000-0000-00002C090000}"/>
    <cellStyle name="스타일 137" xfId="1693" xr:uid="{00000000-0005-0000-0000-00002D090000}"/>
    <cellStyle name="스타일 138" xfId="1694" xr:uid="{00000000-0005-0000-0000-00002E090000}"/>
    <cellStyle name="스타일 139" xfId="1695" xr:uid="{00000000-0005-0000-0000-00002F090000}"/>
    <cellStyle name="스타일 14" xfId="1696" xr:uid="{00000000-0005-0000-0000-000030090000}"/>
    <cellStyle name="스타일 140" xfId="1697" xr:uid="{00000000-0005-0000-0000-000031090000}"/>
    <cellStyle name="스타일 141" xfId="1698" xr:uid="{00000000-0005-0000-0000-000032090000}"/>
    <cellStyle name="스타일 142" xfId="1699" xr:uid="{00000000-0005-0000-0000-000033090000}"/>
    <cellStyle name="스타일 143" xfId="1700" xr:uid="{00000000-0005-0000-0000-000034090000}"/>
    <cellStyle name="스타일 144" xfId="1701" xr:uid="{00000000-0005-0000-0000-000035090000}"/>
    <cellStyle name="스타일 145" xfId="1702" xr:uid="{00000000-0005-0000-0000-000036090000}"/>
    <cellStyle name="스타일 15" xfId="1703" xr:uid="{00000000-0005-0000-0000-000037090000}"/>
    <cellStyle name="스타일 16" xfId="1704" xr:uid="{00000000-0005-0000-0000-000038090000}"/>
    <cellStyle name="스타일 17" xfId="1705" xr:uid="{00000000-0005-0000-0000-000039090000}"/>
    <cellStyle name="스타일 18" xfId="1706" xr:uid="{00000000-0005-0000-0000-00003A090000}"/>
    <cellStyle name="스타일 19" xfId="1707" xr:uid="{00000000-0005-0000-0000-00003B090000}"/>
    <cellStyle name="스타일 2" xfId="1708" xr:uid="{00000000-0005-0000-0000-00003C090000}"/>
    <cellStyle name="스타일 20" xfId="1709" xr:uid="{00000000-0005-0000-0000-00003D090000}"/>
    <cellStyle name="스타일 21" xfId="1710" xr:uid="{00000000-0005-0000-0000-00003E090000}"/>
    <cellStyle name="스타일 22" xfId="1711" xr:uid="{00000000-0005-0000-0000-00003F090000}"/>
    <cellStyle name="스타일 23" xfId="1712" xr:uid="{00000000-0005-0000-0000-000040090000}"/>
    <cellStyle name="스타일 24" xfId="1713" xr:uid="{00000000-0005-0000-0000-000041090000}"/>
    <cellStyle name="스타일 25" xfId="1714" xr:uid="{00000000-0005-0000-0000-000042090000}"/>
    <cellStyle name="스타일 26" xfId="1715" xr:uid="{00000000-0005-0000-0000-000043090000}"/>
    <cellStyle name="스타일 27" xfId="1716" xr:uid="{00000000-0005-0000-0000-000044090000}"/>
    <cellStyle name="스타일 28" xfId="1717" xr:uid="{00000000-0005-0000-0000-000045090000}"/>
    <cellStyle name="스타일 29" xfId="1718" xr:uid="{00000000-0005-0000-0000-000046090000}"/>
    <cellStyle name="스타일 3" xfId="1719" xr:uid="{00000000-0005-0000-0000-000047090000}"/>
    <cellStyle name="스타일 30" xfId="1720" xr:uid="{00000000-0005-0000-0000-000048090000}"/>
    <cellStyle name="스타일 31" xfId="1721" xr:uid="{00000000-0005-0000-0000-000049090000}"/>
    <cellStyle name="스타일 32" xfId="1722" xr:uid="{00000000-0005-0000-0000-00004A090000}"/>
    <cellStyle name="스타일 33" xfId="1723" xr:uid="{00000000-0005-0000-0000-00004B090000}"/>
    <cellStyle name="스타일 34" xfId="1724" xr:uid="{00000000-0005-0000-0000-00004C090000}"/>
    <cellStyle name="스타일 35" xfId="1725" xr:uid="{00000000-0005-0000-0000-00004D090000}"/>
    <cellStyle name="스타일 36" xfId="1726" xr:uid="{00000000-0005-0000-0000-00004E090000}"/>
    <cellStyle name="스타일 37" xfId="1727" xr:uid="{00000000-0005-0000-0000-00004F090000}"/>
    <cellStyle name="스타일 38" xfId="1728" xr:uid="{00000000-0005-0000-0000-000050090000}"/>
    <cellStyle name="스타일 39" xfId="1729" xr:uid="{00000000-0005-0000-0000-000051090000}"/>
    <cellStyle name="스타일 4" xfId="1730" xr:uid="{00000000-0005-0000-0000-000052090000}"/>
    <cellStyle name="스타일 40" xfId="1731" xr:uid="{00000000-0005-0000-0000-000053090000}"/>
    <cellStyle name="스타일 41" xfId="1732" xr:uid="{00000000-0005-0000-0000-000054090000}"/>
    <cellStyle name="스타일 42" xfId="1733" xr:uid="{00000000-0005-0000-0000-000055090000}"/>
    <cellStyle name="스타일 43" xfId="1734" xr:uid="{00000000-0005-0000-0000-000056090000}"/>
    <cellStyle name="스타일 44" xfId="1735" xr:uid="{00000000-0005-0000-0000-000057090000}"/>
    <cellStyle name="스타일 45" xfId="1736" xr:uid="{00000000-0005-0000-0000-000058090000}"/>
    <cellStyle name="스타일 46" xfId="1737" xr:uid="{00000000-0005-0000-0000-000059090000}"/>
    <cellStyle name="스타일 47" xfId="1738" xr:uid="{00000000-0005-0000-0000-00005A090000}"/>
    <cellStyle name="스타일 48" xfId="1739" xr:uid="{00000000-0005-0000-0000-00005B090000}"/>
    <cellStyle name="스타일 49" xfId="1740" xr:uid="{00000000-0005-0000-0000-00005C090000}"/>
    <cellStyle name="스타일 5" xfId="1741" xr:uid="{00000000-0005-0000-0000-00005D090000}"/>
    <cellStyle name="스타일 50" xfId="1742" xr:uid="{00000000-0005-0000-0000-00005E090000}"/>
    <cellStyle name="스타일 51" xfId="1743" xr:uid="{00000000-0005-0000-0000-00005F090000}"/>
    <cellStyle name="스타일 52" xfId="1744" xr:uid="{00000000-0005-0000-0000-000060090000}"/>
    <cellStyle name="스타일 53" xfId="1745" xr:uid="{00000000-0005-0000-0000-000061090000}"/>
    <cellStyle name="스타일 54" xfId="1746" xr:uid="{00000000-0005-0000-0000-000062090000}"/>
    <cellStyle name="스타일 55" xfId="1747" xr:uid="{00000000-0005-0000-0000-000063090000}"/>
    <cellStyle name="스타일 56" xfId="1748" xr:uid="{00000000-0005-0000-0000-000064090000}"/>
    <cellStyle name="스타일 57" xfId="1749" xr:uid="{00000000-0005-0000-0000-000065090000}"/>
    <cellStyle name="스타일 58" xfId="1750" xr:uid="{00000000-0005-0000-0000-000066090000}"/>
    <cellStyle name="스타일 59" xfId="1751" xr:uid="{00000000-0005-0000-0000-000067090000}"/>
    <cellStyle name="스타일 6" xfId="1752" xr:uid="{00000000-0005-0000-0000-000068090000}"/>
    <cellStyle name="스타일 60" xfId="1753" xr:uid="{00000000-0005-0000-0000-000069090000}"/>
    <cellStyle name="스타일 61" xfId="1754" xr:uid="{00000000-0005-0000-0000-00006A090000}"/>
    <cellStyle name="스타일 62" xfId="1755" xr:uid="{00000000-0005-0000-0000-00006B090000}"/>
    <cellStyle name="스타일 63" xfId="1756" xr:uid="{00000000-0005-0000-0000-00006C090000}"/>
    <cellStyle name="스타일 64" xfId="1757" xr:uid="{00000000-0005-0000-0000-00006D090000}"/>
    <cellStyle name="스타일 65" xfId="1758" xr:uid="{00000000-0005-0000-0000-00006E090000}"/>
    <cellStyle name="스타일 66" xfId="1759" xr:uid="{00000000-0005-0000-0000-00006F090000}"/>
    <cellStyle name="스타일 67" xfId="1760" xr:uid="{00000000-0005-0000-0000-000070090000}"/>
    <cellStyle name="스타일 68" xfId="1761" xr:uid="{00000000-0005-0000-0000-000071090000}"/>
    <cellStyle name="스타일 69" xfId="1762" xr:uid="{00000000-0005-0000-0000-000072090000}"/>
    <cellStyle name="스타일 7" xfId="1763" xr:uid="{00000000-0005-0000-0000-000073090000}"/>
    <cellStyle name="스타일 70" xfId="1764" xr:uid="{00000000-0005-0000-0000-000074090000}"/>
    <cellStyle name="스타일 71" xfId="1765" xr:uid="{00000000-0005-0000-0000-000075090000}"/>
    <cellStyle name="스타일 72" xfId="1766" xr:uid="{00000000-0005-0000-0000-000076090000}"/>
    <cellStyle name="스타일 73" xfId="1767" xr:uid="{00000000-0005-0000-0000-000077090000}"/>
    <cellStyle name="스타일 74" xfId="1768" xr:uid="{00000000-0005-0000-0000-000078090000}"/>
    <cellStyle name="스타일 75" xfId="1769" xr:uid="{00000000-0005-0000-0000-000079090000}"/>
    <cellStyle name="스타일 76" xfId="1770" xr:uid="{00000000-0005-0000-0000-00007A090000}"/>
    <cellStyle name="스타일 77" xfId="1771" xr:uid="{00000000-0005-0000-0000-00007B090000}"/>
    <cellStyle name="스타일 78" xfId="1772" xr:uid="{00000000-0005-0000-0000-00007C090000}"/>
    <cellStyle name="스타일 79" xfId="1773" xr:uid="{00000000-0005-0000-0000-00007D090000}"/>
    <cellStyle name="스타일 8" xfId="1774" xr:uid="{00000000-0005-0000-0000-00007E090000}"/>
    <cellStyle name="스타일 80" xfId="1775" xr:uid="{00000000-0005-0000-0000-00007F090000}"/>
    <cellStyle name="스타일 81" xfId="1776" xr:uid="{00000000-0005-0000-0000-000080090000}"/>
    <cellStyle name="스타일 82" xfId="1777" xr:uid="{00000000-0005-0000-0000-000081090000}"/>
    <cellStyle name="스타일 83" xfId="1778" xr:uid="{00000000-0005-0000-0000-000082090000}"/>
    <cellStyle name="스타일 84" xfId="1779" xr:uid="{00000000-0005-0000-0000-000083090000}"/>
    <cellStyle name="스타일 85" xfId="1780" xr:uid="{00000000-0005-0000-0000-000084090000}"/>
    <cellStyle name="스타일 86" xfId="1781" xr:uid="{00000000-0005-0000-0000-000085090000}"/>
    <cellStyle name="스타일 87" xfId="1782" xr:uid="{00000000-0005-0000-0000-000086090000}"/>
    <cellStyle name="스타일 88" xfId="1783" xr:uid="{00000000-0005-0000-0000-000087090000}"/>
    <cellStyle name="스타일 89" xfId="1784" xr:uid="{00000000-0005-0000-0000-000088090000}"/>
    <cellStyle name="스타일 9" xfId="1785" xr:uid="{00000000-0005-0000-0000-000089090000}"/>
    <cellStyle name="스타일 90" xfId="1786" xr:uid="{00000000-0005-0000-0000-00008A090000}"/>
    <cellStyle name="스타일 91" xfId="1787" xr:uid="{00000000-0005-0000-0000-00008B090000}"/>
    <cellStyle name="스타일 92" xfId="1788" xr:uid="{00000000-0005-0000-0000-00008C090000}"/>
    <cellStyle name="스타일 93" xfId="1789" xr:uid="{00000000-0005-0000-0000-00008D090000}"/>
    <cellStyle name="스타일 94" xfId="1790" xr:uid="{00000000-0005-0000-0000-00008E090000}"/>
    <cellStyle name="스타일 95" xfId="1791" xr:uid="{00000000-0005-0000-0000-00008F090000}"/>
    <cellStyle name="스타일 96" xfId="1792" xr:uid="{00000000-0005-0000-0000-000090090000}"/>
    <cellStyle name="스타일 97" xfId="1793" xr:uid="{00000000-0005-0000-0000-000091090000}"/>
    <cellStyle name="스타일 98" xfId="1794" xr:uid="{00000000-0005-0000-0000-000092090000}"/>
    <cellStyle name="스타일 99" xfId="1795" xr:uid="{00000000-0005-0000-0000-000093090000}"/>
    <cellStyle name="悪い" xfId="1796" xr:uid="{00000000-0005-0000-0000-000094090000}"/>
    <cellStyle name="样式 1" xfId="1797" xr:uid="{00000000-0005-0000-0000-000095090000}"/>
    <cellStyle name="样式 2" xfId="1798" xr:uid="{00000000-0005-0000-0000-000096090000}"/>
    <cellStyle name="样式 3" xfId="1799" xr:uid="{00000000-0005-0000-0000-000097090000}"/>
    <cellStyle name="样式 4" xfId="1800" xr:uid="{00000000-0005-0000-0000-000098090000}"/>
    <cellStyle name="样式 5" xfId="1801" xr:uid="{00000000-0005-0000-0000-000099090000}"/>
    <cellStyle name="样式 6" xfId="1802" xr:uid="{00000000-0005-0000-0000-00009A090000}"/>
    <cellStyle name="연결된 셀" xfId="3235" builtinId="24" customBuiltin="1"/>
    <cellStyle name="요약" xfId="3240" builtinId="25" customBuiltin="1"/>
    <cellStyle name="一般_5.0G大陸月損益預估050524" xfId="1803" xr:uid="{00000000-0005-0000-0000-00009B090000}"/>
    <cellStyle name="일정_K200창정비 (2)" xfId="1804" xr:uid="{00000000-0005-0000-0000-00009C090000}"/>
    <cellStyle name="입력" xfId="3232" builtinId="20" customBuiltin="1"/>
    <cellStyle name="入力" xfId="1805" xr:uid="{00000000-0005-0000-0000-00009D090000}"/>
    <cellStyle name="入力 2" xfId="1806" xr:uid="{00000000-0005-0000-0000-00009E090000}"/>
    <cellStyle name="자리수" xfId="1807" xr:uid="{00000000-0005-0000-0000-00009F090000}"/>
    <cellStyle name="자리수0" xfId="1808" xr:uid="{00000000-0005-0000-0000-0000A0090000}"/>
    <cellStyle name="제목" xfId="3224" builtinId="15" customBuiltin="1"/>
    <cellStyle name="제목 1" xfId="3225" builtinId="16" customBuiltin="1"/>
    <cellStyle name="제목 2" xfId="3226" builtinId="17" customBuiltin="1"/>
    <cellStyle name="제목 3" xfId="3227" builtinId="18" customBuiltin="1"/>
    <cellStyle name="제목 4" xfId="3228" builtinId="19" customBuiltin="1"/>
    <cellStyle name="좋음" xfId="3229" builtinId="26" customBuiltin="1"/>
    <cellStyle name="注释" xfId="1809" xr:uid="{00000000-0005-0000-0000-0000A1090000}"/>
    <cellStyle name="注释 2" xfId="1810" xr:uid="{00000000-0005-0000-0000-0000A2090000}"/>
    <cellStyle name="集計" xfId="1811" xr:uid="{00000000-0005-0000-0000-0000A3090000}"/>
    <cellStyle name="集計 2" xfId="1812" xr:uid="{00000000-0005-0000-0000-0000A4090000}"/>
    <cellStyle name="差" xfId="1813" xr:uid="{00000000-0005-0000-0000-0000A5090000}"/>
    <cellStyle name="差_B4 Utility summary code name 091104 구동호" xfId="1814" xr:uid="{00000000-0005-0000-0000-0000A6090000}"/>
    <cellStyle name="差_B4 Utility summary DNP reply 091030 구동호" xfId="1815" xr:uid="{00000000-0005-0000-0000-0000A7090000}"/>
    <cellStyle name="差_B4 Utility summary DNP reply091016 jp confirmed구동호" xfId="1816" xr:uid="{00000000-0005-0000-0000-0000A8090000}"/>
    <cellStyle name="差_B4 Utility summary DNP reply091016구동효" xfId="1817" xr:uid="{00000000-0005-0000-0000-0000A9090000}"/>
    <cellStyle name="差_B4 Utility summary unit usage(20091130 DNP-3)BOE구동호" xfId="1818" xr:uid="{00000000-0005-0000-0000-0000AA090000}"/>
    <cellStyle name="差_B4 Utility summary unit usage(20091130 DNP-4)BOE" xfId="1819" xr:uid="{00000000-0005-0000-0000-0000AB090000}"/>
    <cellStyle name="差_B4 Utility summary unit usage(20091130 DNP-4)BOE구동호" xfId="1820" xr:uid="{00000000-0005-0000-0000-0000AC090000}"/>
    <cellStyle name="差_B4 Utility summary unit usage(20091216)_윤인수" xfId="1821" xr:uid="{00000000-0005-0000-0000-0000AD090000}"/>
    <cellStyle name="差_B4 Utility summary unit usage(20091217)_구동호" xfId="1822" xr:uid="{00000000-0005-0000-0000-0000AE090000}"/>
    <cellStyle name="差_B4 Utility Summary(120K)_Rev.2_(091104)_ks" xfId="1823" xr:uid="{00000000-0005-0000-0000-0000AF090000}"/>
    <cellStyle name="差_B4 Utility Summary(120K)_Rev.2_(091104)_ks_05-3" xfId="1824" xr:uid="{00000000-0005-0000-0000-0000B0090000}"/>
    <cellStyle name="差_B4 Utility Summary(120K)_Rev.2_(091104)_ks_BOE-DT B4 ROBOT Requirement_ 20100607_testupdate" xfId="1825" xr:uid="{00000000-0005-0000-0000-0000B1090000}"/>
    <cellStyle name="差_B4 Utility Summary(120K)_Rev.7_(100121)_Test Update" xfId="1826" xr:uid="{00000000-0005-0000-0000-0000B2090000}"/>
    <cellStyle name="差_B4 Utility Summary(120K)_Rev.7_(100121)_Test Update_05-3" xfId="1827" xr:uid="{00000000-0005-0000-0000-0000B3090000}"/>
    <cellStyle name="差_B4 Utility Summary(120K)_Rev.7_(100121)_Test Update_BOE-DT B4 ROBOT Requirement_ 20100607_testupdate" xfId="1828" xr:uid="{00000000-0005-0000-0000-0000B4090000}"/>
    <cellStyle name="差_B4 Utility Summary(90K) - Rev.9 (091013)" xfId="1829" xr:uid="{00000000-0005-0000-0000-0000B5090000}"/>
    <cellStyle name="差_B4 Utility Summary_Module(90K) - Rev.8 (091012)" xfId="1830" xr:uid="{00000000-0005-0000-0000-0000B6090000}"/>
    <cellStyle name="差_B4 Utility Summary_Module(90K) - Rev.9 (091013)" xfId="1831" xr:uid="{00000000-0005-0000-0000-0000B7090000}"/>
    <cellStyle name="千分位_5.0G大陸月損益預估050524" xfId="1832" xr:uid="{00000000-0005-0000-0000-0000B8090000}"/>
    <cellStyle name="첫제목" xfId="1833" xr:uid="{00000000-0005-0000-0000-0000B9090000}"/>
    <cellStyle name="출력" xfId="3233" builtinId="21" customBuiltin="1"/>
    <cellStyle name="出力" xfId="1834" xr:uid="{00000000-0005-0000-0000-0000BA090000}"/>
    <cellStyle name="出力 2" xfId="1835" xr:uid="{00000000-0005-0000-0000-0000BB090000}"/>
    <cellStyle name="콤" xfId="1836" xr:uid="{00000000-0005-0000-0000-0000BC090000}"/>
    <cellStyle name="콤_Daeshin Price List (122309)" xfId="1837" xr:uid="{00000000-0005-0000-0000-0000BD090000}"/>
    <cellStyle name="콤_Daeshin Price List (122309)_Daeshin Pricing and Calculations 7Jun12" xfId="1838" xr:uid="{00000000-0005-0000-0000-0000BE090000}"/>
    <cellStyle name="콤마 " xfId="1839" xr:uid="{00000000-0005-0000-0000-0000BF090000}"/>
    <cellStyle name="콤마 [" xfId="1840" xr:uid="{00000000-0005-0000-0000-0000C0090000}"/>
    <cellStyle name="콤마 [0]_   " xfId="1841" xr:uid="{00000000-0005-0000-0000-0000C1090000}"/>
    <cellStyle name="콤마,_x0005__x0014_" xfId="1842" xr:uid="{00000000-0005-0000-0000-0000C2090000}"/>
    <cellStyle name="콤마_   " xfId="1843" xr:uid="{00000000-0005-0000-0000-0000C3090000}"/>
    <cellStyle name="통" xfId="1844" xr:uid="{00000000-0005-0000-0000-0000C4090000}"/>
    <cellStyle name="통 2" xfId="1845" xr:uid="{00000000-0005-0000-0000-0000C5090000}"/>
    <cellStyle name="통 3" xfId="2170" xr:uid="{00000000-0005-0000-0000-0000C6090000}"/>
    <cellStyle name="통 3 2" xfId="2507" xr:uid="{00000000-0005-0000-0000-0000C7090000}"/>
    <cellStyle name="통 3 2 2" xfId="3164" xr:uid="{00000000-0005-0000-0000-0000C8090000}"/>
    <cellStyle name="통 3 3" xfId="2837" xr:uid="{00000000-0005-0000-0000-0000C9090000}"/>
    <cellStyle name="통 4" xfId="2313" xr:uid="{00000000-0005-0000-0000-0000CA090000}"/>
    <cellStyle name="통 4 2" xfId="2970" xr:uid="{00000000-0005-0000-0000-0000CB090000}"/>
    <cellStyle name="통 5" xfId="2643" xr:uid="{00000000-0005-0000-0000-0000CC090000}"/>
    <cellStyle name="통_Daeshin Price List (122309)" xfId="1846" xr:uid="{00000000-0005-0000-0000-0000CD090000}"/>
    <cellStyle name="통_Daeshin Price List (122309)_Daeshin Pricing and Calculations 7Jun12" xfId="1847" xr:uid="{00000000-0005-0000-0000-0000CE090000}"/>
    <cellStyle name="통Þ [0]_시스템본부 주간영업현황" xfId="1848" xr:uid="{00000000-0005-0000-0000-0000CF090000}"/>
    <cellStyle name="통Þ_표지 (2)" xfId="1849" xr:uid="{00000000-0005-0000-0000-0000D0090000}"/>
    <cellStyle name="통_전략과제별비용추가내역" xfId="1850" xr:uid="{00000000-0005-0000-0000-0000D1090000}"/>
    <cellStyle name="통階 [0]_매출" xfId="1851" xr:uid="{00000000-0005-0000-0000-0000D2090000}"/>
    <cellStyle name="통階_4월2주" xfId="1852" xr:uid="{00000000-0005-0000-0000-0000D3090000}"/>
    <cellStyle name="통뙪 [0]_영업외비용_1" xfId="1853" xr:uid="{00000000-0005-0000-0000-0000D4090000}"/>
    <cellStyle name="통뜭 [0]_주간주요업무_주간주요업무 (2)" xfId="1854" xr:uid="{00000000-0005-0000-0000-0000D5090000}"/>
    <cellStyle name="통鈺 [0]_정보시스템_TABLE" xfId="1855" xr:uid="{00000000-0005-0000-0000-0000D6090000}"/>
    <cellStyle name="통蘈Ǿ⑰ǈ_x000c__x000a_ဠ" xfId="1856" xr:uid="{00000000-0005-0000-0000-0000D7090000}"/>
    <cellStyle name="통화 [" xfId="1857" xr:uid="{00000000-0005-0000-0000-0000D8090000}"/>
    <cellStyle name="通貨 [0.00]_LC-1100G配管接続表" xfId="1858" xr:uid="{00000000-0005-0000-0000-0000D9090000}"/>
    <cellStyle name="통화 [0] 2" xfId="4" xr:uid="{00000000-0005-0000-0000-0000DA090000}"/>
    <cellStyle name="통화 [0] 2 10" xfId="2056" xr:uid="{00000000-0005-0000-0000-0000DB090000}"/>
    <cellStyle name="통화 [0] 2 10 2" xfId="2399" xr:uid="{00000000-0005-0000-0000-0000DC090000}"/>
    <cellStyle name="통화 [0] 2 10 2 2" xfId="3056" xr:uid="{00000000-0005-0000-0000-0000DD090000}"/>
    <cellStyle name="통화 [0] 2 10 3" xfId="2729" xr:uid="{00000000-0005-0000-0000-0000DE090000}"/>
    <cellStyle name="통화 [0] 2 11" xfId="2077" xr:uid="{00000000-0005-0000-0000-0000DF090000}"/>
    <cellStyle name="통화 [0] 2 11 2" xfId="2414" xr:uid="{00000000-0005-0000-0000-0000E0090000}"/>
    <cellStyle name="통화 [0] 2 11 2 2" xfId="3071" xr:uid="{00000000-0005-0000-0000-0000E1090000}"/>
    <cellStyle name="통화 [0] 2 11 3" xfId="2744" xr:uid="{00000000-0005-0000-0000-0000E2090000}"/>
    <cellStyle name="통화 [0] 2 12" xfId="2088" xr:uid="{00000000-0005-0000-0000-0000E3090000}"/>
    <cellStyle name="통화 [0] 2 12 2" xfId="2425" xr:uid="{00000000-0005-0000-0000-0000E4090000}"/>
    <cellStyle name="통화 [0] 2 12 2 2" xfId="3082" xr:uid="{00000000-0005-0000-0000-0000E5090000}"/>
    <cellStyle name="통화 [0] 2 12 3" xfId="2755" xr:uid="{00000000-0005-0000-0000-0000E6090000}"/>
    <cellStyle name="통화 [0] 2 13" xfId="2103" xr:uid="{00000000-0005-0000-0000-0000E7090000}"/>
    <cellStyle name="통화 [0] 2 13 2" xfId="2440" xr:uid="{00000000-0005-0000-0000-0000E8090000}"/>
    <cellStyle name="통화 [0] 2 13 2 2" xfId="3097" xr:uid="{00000000-0005-0000-0000-0000E9090000}"/>
    <cellStyle name="통화 [0] 2 13 3" xfId="2770" xr:uid="{00000000-0005-0000-0000-0000EA090000}"/>
    <cellStyle name="통화 [0] 2 14" xfId="2121" xr:uid="{00000000-0005-0000-0000-0000EB090000}"/>
    <cellStyle name="통화 [0] 2 14 2" xfId="2458" xr:uid="{00000000-0005-0000-0000-0000EC090000}"/>
    <cellStyle name="통화 [0] 2 14 2 2" xfId="3115" xr:uid="{00000000-0005-0000-0000-0000ED090000}"/>
    <cellStyle name="통화 [0] 2 14 3" xfId="2788" xr:uid="{00000000-0005-0000-0000-0000EE090000}"/>
    <cellStyle name="통화 [0] 2 15" xfId="51" xr:uid="{00000000-0005-0000-0000-0000EF090000}"/>
    <cellStyle name="통화 [0] 2 15 2" xfId="65" xr:uid="{00000000-0005-0000-0000-0000F0090000}"/>
    <cellStyle name="통화 [0] 2 15 2 2" xfId="2264" xr:uid="{00000000-0005-0000-0000-0000F1090000}"/>
    <cellStyle name="통화 [0] 2 15 2 2 2" xfId="2921" xr:uid="{00000000-0005-0000-0000-0000F2090000}"/>
    <cellStyle name="통화 [0] 2 15 2 3" xfId="2591" xr:uid="{00000000-0005-0000-0000-0000F3090000}"/>
    <cellStyle name="통화 [0] 2 15 3" xfId="2128" xr:uid="{00000000-0005-0000-0000-0000F4090000}"/>
    <cellStyle name="통화 [0] 2 15 3 2" xfId="2465" xr:uid="{00000000-0005-0000-0000-0000F5090000}"/>
    <cellStyle name="통화 [0] 2 15 3 2 2" xfId="3122" xr:uid="{00000000-0005-0000-0000-0000F6090000}"/>
    <cellStyle name="통화 [0] 2 15 3 3" xfId="2795" xr:uid="{00000000-0005-0000-0000-0000F7090000}"/>
    <cellStyle name="통화 [0] 2 15 4" xfId="2250" xr:uid="{00000000-0005-0000-0000-0000F8090000}"/>
    <cellStyle name="통화 [0] 2 15 4 2" xfId="2907" xr:uid="{00000000-0005-0000-0000-0000F9090000}"/>
    <cellStyle name="통화 [0] 2 15 5" xfId="2577" xr:uid="{00000000-0005-0000-0000-0000FA090000}"/>
    <cellStyle name="통화 [0] 2 16" xfId="2171" xr:uid="{00000000-0005-0000-0000-0000FB090000}"/>
    <cellStyle name="통화 [0] 2 16 2" xfId="2508" xr:uid="{00000000-0005-0000-0000-0000FC090000}"/>
    <cellStyle name="통화 [0] 2 16 2 2" xfId="3165" xr:uid="{00000000-0005-0000-0000-0000FD090000}"/>
    <cellStyle name="통화 [0] 2 16 3" xfId="2838" xr:uid="{00000000-0005-0000-0000-0000FE090000}"/>
    <cellStyle name="통화 [0] 2 17" xfId="67" xr:uid="{00000000-0005-0000-0000-0000FF090000}"/>
    <cellStyle name="통화 [0] 2 17 2" xfId="2266" xr:uid="{00000000-0005-0000-0000-0000000A0000}"/>
    <cellStyle name="통화 [0] 2 17 2 2" xfId="2923" xr:uid="{00000000-0005-0000-0000-0000010A0000}"/>
    <cellStyle name="통화 [0] 2 17 3" xfId="2593" xr:uid="{00000000-0005-0000-0000-0000020A0000}"/>
    <cellStyle name="통화 [0] 2 18" xfId="2239" xr:uid="{00000000-0005-0000-0000-0000030A0000}"/>
    <cellStyle name="통화 [0] 2 18 2" xfId="2896" xr:uid="{00000000-0005-0000-0000-0000040A0000}"/>
    <cellStyle name="통화 [0] 2 19" xfId="2566" xr:uid="{00000000-0005-0000-0000-0000050A0000}"/>
    <cellStyle name="통화 [0] 2 2" xfId="18" xr:uid="{00000000-0005-0000-0000-0000060A0000}"/>
    <cellStyle name="통화 [0] 2 2 10" xfId="2099" xr:uid="{00000000-0005-0000-0000-0000070A0000}"/>
    <cellStyle name="통화 [0] 2 2 10 2" xfId="2436" xr:uid="{00000000-0005-0000-0000-0000080A0000}"/>
    <cellStyle name="통화 [0] 2 2 10 2 2" xfId="3093" xr:uid="{00000000-0005-0000-0000-0000090A0000}"/>
    <cellStyle name="통화 [0] 2 2 10 3" xfId="2766" xr:uid="{00000000-0005-0000-0000-00000A0A0000}"/>
    <cellStyle name="통화 [0] 2 2 11" xfId="2114" xr:uid="{00000000-0005-0000-0000-00000B0A0000}"/>
    <cellStyle name="통화 [0] 2 2 11 2" xfId="2451" xr:uid="{00000000-0005-0000-0000-00000C0A0000}"/>
    <cellStyle name="통화 [0] 2 2 11 2 2" xfId="3108" xr:uid="{00000000-0005-0000-0000-00000D0A0000}"/>
    <cellStyle name="통화 [0] 2 2 11 3" xfId="2781" xr:uid="{00000000-0005-0000-0000-00000E0A0000}"/>
    <cellStyle name="통화 [0] 2 2 12" xfId="2124" xr:uid="{00000000-0005-0000-0000-00000F0A0000}"/>
    <cellStyle name="통화 [0] 2 2 12 2" xfId="2461" xr:uid="{00000000-0005-0000-0000-0000100A0000}"/>
    <cellStyle name="통화 [0] 2 2 12 2 2" xfId="3118" xr:uid="{00000000-0005-0000-0000-0000110A0000}"/>
    <cellStyle name="통화 [0] 2 2 12 3" xfId="2791" xr:uid="{00000000-0005-0000-0000-0000120A0000}"/>
    <cellStyle name="통화 [0] 2 2 13" xfId="2131" xr:uid="{00000000-0005-0000-0000-0000130A0000}"/>
    <cellStyle name="통화 [0] 2 2 13 2" xfId="2468" xr:uid="{00000000-0005-0000-0000-0000140A0000}"/>
    <cellStyle name="통화 [0] 2 2 13 2 2" xfId="3125" xr:uid="{00000000-0005-0000-0000-0000150A0000}"/>
    <cellStyle name="통화 [0] 2 2 13 3" xfId="2798" xr:uid="{00000000-0005-0000-0000-0000160A0000}"/>
    <cellStyle name="통화 [0] 2 2 14" xfId="2172" xr:uid="{00000000-0005-0000-0000-0000170A0000}"/>
    <cellStyle name="통화 [0] 2 2 14 2" xfId="2509" xr:uid="{00000000-0005-0000-0000-0000180A0000}"/>
    <cellStyle name="통화 [0] 2 2 14 2 2" xfId="3166" xr:uid="{00000000-0005-0000-0000-0000190A0000}"/>
    <cellStyle name="통화 [0] 2 2 14 3" xfId="2839" xr:uid="{00000000-0005-0000-0000-00001A0A0000}"/>
    <cellStyle name="통화 [0] 2 2 15" xfId="78" xr:uid="{00000000-0005-0000-0000-00001B0A0000}"/>
    <cellStyle name="통화 [0] 2 2 15 2" xfId="2275" xr:uid="{00000000-0005-0000-0000-00001C0A0000}"/>
    <cellStyle name="통화 [0] 2 2 15 2 2" xfId="2932" xr:uid="{00000000-0005-0000-0000-00001D0A0000}"/>
    <cellStyle name="통화 [0] 2 2 15 3" xfId="2602" xr:uid="{00000000-0005-0000-0000-00001E0A0000}"/>
    <cellStyle name="통화 [0] 2 2 16" xfId="2252" xr:uid="{00000000-0005-0000-0000-00001F0A0000}"/>
    <cellStyle name="통화 [0] 2 2 16 2" xfId="2909" xr:uid="{00000000-0005-0000-0000-0000200A0000}"/>
    <cellStyle name="통화 [0] 2 2 17" xfId="2579" xr:uid="{00000000-0005-0000-0000-0000210A0000}"/>
    <cellStyle name="통화 [0] 2 2 18" xfId="53" xr:uid="{00000000-0005-0000-0000-0000220A0000}"/>
    <cellStyle name="통화 [0] 2 2 2" xfId="33" xr:uid="{00000000-0005-0000-0000-0000230A0000}"/>
    <cellStyle name="통화 [0] 2 2 2 2" xfId="2173" xr:uid="{00000000-0005-0000-0000-0000240A0000}"/>
    <cellStyle name="통화 [0] 2 2 2 2 2" xfId="2510" xr:uid="{00000000-0005-0000-0000-0000250A0000}"/>
    <cellStyle name="통화 [0] 2 2 2 2 2 2" xfId="3167" xr:uid="{00000000-0005-0000-0000-0000260A0000}"/>
    <cellStyle name="통화 [0] 2 2 2 2 3" xfId="2840" xr:uid="{00000000-0005-0000-0000-0000270A0000}"/>
    <cellStyle name="통화 [0] 2 2 2 3" xfId="2316" xr:uid="{00000000-0005-0000-0000-0000280A0000}"/>
    <cellStyle name="통화 [0] 2 2 2 3 2" xfId="2973" xr:uid="{00000000-0005-0000-0000-0000290A0000}"/>
    <cellStyle name="통화 [0] 2 2 2 4" xfId="2646" xr:uid="{00000000-0005-0000-0000-00002A0A0000}"/>
    <cellStyle name="통화 [0] 2 2 2 5" xfId="1861" xr:uid="{00000000-0005-0000-0000-00002B0A0000}"/>
    <cellStyle name="통화 [0] 2 2 3" xfId="1862" xr:uid="{00000000-0005-0000-0000-00002C0A0000}"/>
    <cellStyle name="통화 [0] 2 2 3 2" xfId="2174" xr:uid="{00000000-0005-0000-0000-00002D0A0000}"/>
    <cellStyle name="통화 [0] 2 2 3 2 2" xfId="2511" xr:uid="{00000000-0005-0000-0000-00002E0A0000}"/>
    <cellStyle name="통화 [0] 2 2 3 2 2 2" xfId="3168" xr:uid="{00000000-0005-0000-0000-00002F0A0000}"/>
    <cellStyle name="통화 [0] 2 2 3 2 3" xfId="2841" xr:uid="{00000000-0005-0000-0000-0000300A0000}"/>
    <cellStyle name="통화 [0] 2 2 3 3" xfId="2317" xr:uid="{00000000-0005-0000-0000-0000310A0000}"/>
    <cellStyle name="통화 [0] 2 2 3 3 2" xfId="2974" xr:uid="{00000000-0005-0000-0000-0000320A0000}"/>
    <cellStyle name="통화 [0] 2 2 3 4" xfId="2647" xr:uid="{00000000-0005-0000-0000-0000330A0000}"/>
    <cellStyle name="통화 [0] 2 2 4" xfId="1860" xr:uid="{00000000-0005-0000-0000-0000340A0000}"/>
    <cellStyle name="통화 [0] 2 2 4 2" xfId="2175" xr:uid="{00000000-0005-0000-0000-0000350A0000}"/>
    <cellStyle name="통화 [0] 2 2 4 2 2" xfId="2512" xr:uid="{00000000-0005-0000-0000-0000360A0000}"/>
    <cellStyle name="통화 [0] 2 2 4 2 2 2" xfId="3169" xr:uid="{00000000-0005-0000-0000-0000370A0000}"/>
    <cellStyle name="통화 [0] 2 2 4 2 3" xfId="2842" xr:uid="{00000000-0005-0000-0000-0000380A0000}"/>
    <cellStyle name="통화 [0] 2 2 4 3" xfId="2315" xr:uid="{00000000-0005-0000-0000-0000390A0000}"/>
    <cellStyle name="통화 [0] 2 2 4 3 2" xfId="2972" xr:uid="{00000000-0005-0000-0000-00003A0A0000}"/>
    <cellStyle name="통화 [0] 2 2 4 4" xfId="2645" xr:uid="{00000000-0005-0000-0000-00003B0A0000}"/>
    <cellStyle name="통화 [0] 2 2 5" xfId="2033" xr:uid="{00000000-0005-0000-0000-00003C0A0000}"/>
    <cellStyle name="통화 [0] 2 2 5 2" xfId="2376" xr:uid="{00000000-0005-0000-0000-00003D0A0000}"/>
    <cellStyle name="통화 [0] 2 2 5 2 2" xfId="3033" xr:uid="{00000000-0005-0000-0000-00003E0A0000}"/>
    <cellStyle name="통화 [0] 2 2 5 3" xfId="2706" xr:uid="{00000000-0005-0000-0000-00003F0A0000}"/>
    <cellStyle name="통화 [0] 2 2 6" xfId="2040" xr:uid="{00000000-0005-0000-0000-0000400A0000}"/>
    <cellStyle name="통화 [0] 2 2 6 2" xfId="2383" xr:uid="{00000000-0005-0000-0000-0000410A0000}"/>
    <cellStyle name="통화 [0] 2 2 6 2 2" xfId="3040" xr:uid="{00000000-0005-0000-0000-0000420A0000}"/>
    <cellStyle name="통화 [0] 2 2 6 3" xfId="2713" xr:uid="{00000000-0005-0000-0000-0000430A0000}"/>
    <cellStyle name="통화 [0] 2 2 7" xfId="2047" xr:uid="{00000000-0005-0000-0000-0000440A0000}"/>
    <cellStyle name="통화 [0] 2 2 7 2" xfId="2390" xr:uid="{00000000-0005-0000-0000-0000450A0000}"/>
    <cellStyle name="통화 [0] 2 2 7 2 2" xfId="3047" xr:uid="{00000000-0005-0000-0000-0000460A0000}"/>
    <cellStyle name="통화 [0] 2 2 7 3" xfId="2720" xr:uid="{00000000-0005-0000-0000-0000470A0000}"/>
    <cellStyle name="통화 [0] 2 2 8" xfId="52" xr:uid="{00000000-0005-0000-0000-0000480A0000}"/>
    <cellStyle name="통화 [0] 2 2 8 2" xfId="66" xr:uid="{00000000-0005-0000-0000-0000490A0000}"/>
    <cellStyle name="통화 [0] 2 2 8 2 2" xfId="2265" xr:uid="{00000000-0005-0000-0000-00004A0A0000}"/>
    <cellStyle name="통화 [0] 2 2 8 2 2 2" xfId="2922" xr:uid="{00000000-0005-0000-0000-00004B0A0000}"/>
    <cellStyle name="통화 [0] 2 2 8 2 3" xfId="2592" xr:uid="{00000000-0005-0000-0000-00004C0A0000}"/>
    <cellStyle name="통화 [0] 2 2 8 3" xfId="2054" xr:uid="{00000000-0005-0000-0000-00004D0A0000}"/>
    <cellStyle name="통화 [0] 2 2 8 3 2" xfId="2397" xr:uid="{00000000-0005-0000-0000-00004E0A0000}"/>
    <cellStyle name="통화 [0] 2 2 8 3 2 2" xfId="3054" xr:uid="{00000000-0005-0000-0000-00004F0A0000}"/>
    <cellStyle name="통화 [0] 2 2 8 3 3" xfId="2727" xr:uid="{00000000-0005-0000-0000-0000500A0000}"/>
    <cellStyle name="통화 [0] 2 2 8 4" xfId="2251" xr:uid="{00000000-0005-0000-0000-0000510A0000}"/>
    <cellStyle name="통화 [0] 2 2 8 4 2" xfId="2908" xr:uid="{00000000-0005-0000-0000-0000520A0000}"/>
    <cellStyle name="통화 [0] 2 2 8 5" xfId="2578" xr:uid="{00000000-0005-0000-0000-0000530A0000}"/>
    <cellStyle name="통화 [0] 2 2 9" xfId="2069" xr:uid="{00000000-0005-0000-0000-0000540A0000}"/>
    <cellStyle name="통화 [0] 2 2 9 2" xfId="2410" xr:uid="{00000000-0005-0000-0000-0000550A0000}"/>
    <cellStyle name="통화 [0] 2 2 9 2 2" xfId="3067" xr:uid="{00000000-0005-0000-0000-0000560A0000}"/>
    <cellStyle name="통화 [0] 2 2 9 3" xfId="2740" xr:uid="{00000000-0005-0000-0000-0000570A0000}"/>
    <cellStyle name="통화 [0] 2 20" xfId="38" xr:uid="{00000000-0005-0000-0000-0000580A0000}"/>
    <cellStyle name="통화 [0] 2 3" xfId="32" xr:uid="{00000000-0005-0000-0000-0000590A0000}"/>
    <cellStyle name="통화 [0] 2 3 2" xfId="1864" xr:uid="{00000000-0005-0000-0000-00005A0A0000}"/>
    <cellStyle name="통화 [0] 2 3 2 2" xfId="2177" xr:uid="{00000000-0005-0000-0000-00005B0A0000}"/>
    <cellStyle name="통화 [0] 2 3 2 2 2" xfId="2514" xr:uid="{00000000-0005-0000-0000-00005C0A0000}"/>
    <cellStyle name="통화 [0] 2 3 2 2 2 2" xfId="3171" xr:uid="{00000000-0005-0000-0000-00005D0A0000}"/>
    <cellStyle name="통화 [0] 2 3 2 2 3" xfId="2844" xr:uid="{00000000-0005-0000-0000-00005E0A0000}"/>
    <cellStyle name="통화 [0] 2 3 2 3" xfId="2319" xr:uid="{00000000-0005-0000-0000-00005F0A0000}"/>
    <cellStyle name="통화 [0] 2 3 2 3 2" xfId="2976" xr:uid="{00000000-0005-0000-0000-0000600A0000}"/>
    <cellStyle name="통화 [0] 2 3 2 4" xfId="2649" xr:uid="{00000000-0005-0000-0000-0000610A0000}"/>
    <cellStyle name="통화 [0] 2 3 3" xfId="1865" xr:uid="{00000000-0005-0000-0000-0000620A0000}"/>
    <cellStyle name="통화 [0] 2 3 3 2" xfId="2178" xr:uid="{00000000-0005-0000-0000-0000630A0000}"/>
    <cellStyle name="통화 [0] 2 3 3 2 2" xfId="2515" xr:uid="{00000000-0005-0000-0000-0000640A0000}"/>
    <cellStyle name="통화 [0] 2 3 3 2 2 2" xfId="3172" xr:uid="{00000000-0005-0000-0000-0000650A0000}"/>
    <cellStyle name="통화 [0] 2 3 3 2 3" xfId="2845" xr:uid="{00000000-0005-0000-0000-0000660A0000}"/>
    <cellStyle name="통화 [0] 2 3 3 3" xfId="2320" xr:uid="{00000000-0005-0000-0000-0000670A0000}"/>
    <cellStyle name="통화 [0] 2 3 3 3 2" xfId="2977" xr:uid="{00000000-0005-0000-0000-0000680A0000}"/>
    <cellStyle name="통화 [0] 2 3 3 4" xfId="2650" xr:uid="{00000000-0005-0000-0000-0000690A0000}"/>
    <cellStyle name="통화 [0] 2 3 4" xfId="1863" xr:uid="{00000000-0005-0000-0000-00006A0A0000}"/>
    <cellStyle name="통화 [0] 2 3 4 2" xfId="2318" xr:uid="{00000000-0005-0000-0000-00006B0A0000}"/>
    <cellStyle name="통화 [0] 2 3 4 2 2" xfId="2975" xr:uid="{00000000-0005-0000-0000-00006C0A0000}"/>
    <cellStyle name="통화 [0] 2 3 4 3" xfId="2648" xr:uid="{00000000-0005-0000-0000-00006D0A0000}"/>
    <cellStyle name="통화 [0] 2 3 5" xfId="2176" xr:uid="{00000000-0005-0000-0000-00006E0A0000}"/>
    <cellStyle name="통화 [0] 2 3 5 2" xfId="2513" xr:uid="{00000000-0005-0000-0000-00006F0A0000}"/>
    <cellStyle name="통화 [0] 2 3 5 2 2" xfId="3170" xr:uid="{00000000-0005-0000-0000-0000700A0000}"/>
    <cellStyle name="통화 [0] 2 3 5 3" xfId="2843" xr:uid="{00000000-0005-0000-0000-0000710A0000}"/>
    <cellStyle name="통화 [0] 2 3 6" xfId="2271" xr:uid="{00000000-0005-0000-0000-0000720A0000}"/>
    <cellStyle name="통화 [0] 2 3 6 2" xfId="2928" xr:uid="{00000000-0005-0000-0000-0000730A0000}"/>
    <cellStyle name="통화 [0] 2 3 7" xfId="2598" xr:uid="{00000000-0005-0000-0000-0000740A0000}"/>
    <cellStyle name="통화 [0] 2 3 8" xfId="74" xr:uid="{00000000-0005-0000-0000-0000750A0000}"/>
    <cellStyle name="통화 [0] 2 4" xfId="1866" xr:uid="{00000000-0005-0000-0000-0000760A0000}"/>
    <cellStyle name="통화 [0] 2 4 2" xfId="2179" xr:uid="{00000000-0005-0000-0000-0000770A0000}"/>
    <cellStyle name="통화 [0] 2 4 2 2" xfId="2516" xr:uid="{00000000-0005-0000-0000-0000780A0000}"/>
    <cellStyle name="통화 [0] 2 4 2 2 2" xfId="3173" xr:uid="{00000000-0005-0000-0000-0000790A0000}"/>
    <cellStyle name="통화 [0] 2 4 2 3" xfId="2846" xr:uid="{00000000-0005-0000-0000-00007A0A0000}"/>
    <cellStyle name="통화 [0] 2 4 3" xfId="2321" xr:uid="{00000000-0005-0000-0000-00007B0A0000}"/>
    <cellStyle name="통화 [0] 2 4 3 2" xfId="2978" xr:uid="{00000000-0005-0000-0000-00007C0A0000}"/>
    <cellStyle name="통화 [0] 2 4 4" xfId="2651" xr:uid="{00000000-0005-0000-0000-00007D0A0000}"/>
    <cellStyle name="통화 [0] 2 5" xfId="1859" xr:uid="{00000000-0005-0000-0000-00007E0A0000}"/>
    <cellStyle name="통화 [0] 2 5 2" xfId="2180" xr:uid="{00000000-0005-0000-0000-00007F0A0000}"/>
    <cellStyle name="통화 [0] 2 5 2 2" xfId="2517" xr:uid="{00000000-0005-0000-0000-0000800A0000}"/>
    <cellStyle name="통화 [0] 2 5 2 2 2" xfId="3174" xr:uid="{00000000-0005-0000-0000-0000810A0000}"/>
    <cellStyle name="통화 [0] 2 5 2 3" xfId="2847" xr:uid="{00000000-0005-0000-0000-0000820A0000}"/>
    <cellStyle name="통화 [0] 2 5 3" xfId="2314" xr:uid="{00000000-0005-0000-0000-0000830A0000}"/>
    <cellStyle name="통화 [0] 2 5 3 2" xfId="2971" xr:uid="{00000000-0005-0000-0000-0000840A0000}"/>
    <cellStyle name="통화 [0] 2 5 4" xfId="2644" xr:uid="{00000000-0005-0000-0000-0000850A0000}"/>
    <cellStyle name="통화 [0] 2 6" xfId="2030" xr:uid="{00000000-0005-0000-0000-0000860A0000}"/>
    <cellStyle name="통화 [0] 2 6 2" xfId="2373" xr:uid="{00000000-0005-0000-0000-0000870A0000}"/>
    <cellStyle name="통화 [0] 2 6 2 2" xfId="3030" xr:uid="{00000000-0005-0000-0000-0000880A0000}"/>
    <cellStyle name="통화 [0] 2 6 3" xfId="2703" xr:uid="{00000000-0005-0000-0000-0000890A0000}"/>
    <cellStyle name="통화 [0] 2 7" xfId="2037" xr:uid="{00000000-0005-0000-0000-00008A0A0000}"/>
    <cellStyle name="통화 [0] 2 7 2" xfId="2380" xr:uid="{00000000-0005-0000-0000-00008B0A0000}"/>
    <cellStyle name="통화 [0] 2 7 2 2" xfId="3037" xr:uid="{00000000-0005-0000-0000-00008C0A0000}"/>
    <cellStyle name="통화 [0] 2 7 3" xfId="2710" xr:uid="{00000000-0005-0000-0000-00008D0A0000}"/>
    <cellStyle name="통화 [0] 2 8" xfId="2044" xr:uid="{00000000-0005-0000-0000-00008E0A0000}"/>
    <cellStyle name="통화 [0] 2 8 2" xfId="2387" xr:uid="{00000000-0005-0000-0000-00008F0A0000}"/>
    <cellStyle name="통화 [0] 2 8 2 2" xfId="3044" xr:uid="{00000000-0005-0000-0000-0000900A0000}"/>
    <cellStyle name="통화 [0] 2 8 3" xfId="2717" xr:uid="{00000000-0005-0000-0000-0000910A0000}"/>
    <cellStyle name="통화 [0] 2 9" xfId="2051" xr:uid="{00000000-0005-0000-0000-0000920A0000}"/>
    <cellStyle name="통화 [0] 2 9 2" xfId="2394" xr:uid="{00000000-0005-0000-0000-0000930A0000}"/>
    <cellStyle name="통화 [0] 2 9 2 2" xfId="3051" xr:uid="{00000000-0005-0000-0000-0000940A0000}"/>
    <cellStyle name="통화 [0] 2 9 3" xfId="2724" xr:uid="{00000000-0005-0000-0000-0000950A0000}"/>
    <cellStyle name="통화 [0] 3" xfId="31" xr:uid="{00000000-0005-0000-0000-0000960A0000}"/>
    <cellStyle name="통화 [0] 3 2" xfId="2181" xr:uid="{00000000-0005-0000-0000-0000970A0000}"/>
    <cellStyle name="통화 [0] 3 2 2" xfId="2518" xr:uid="{00000000-0005-0000-0000-0000980A0000}"/>
    <cellStyle name="통화 [0] 3 2 2 2" xfId="3175" xr:uid="{00000000-0005-0000-0000-0000990A0000}"/>
    <cellStyle name="통화 [0] 3 2 3" xfId="2848" xr:uid="{00000000-0005-0000-0000-00009A0A0000}"/>
    <cellStyle name="통화 [0] 3 3" xfId="2322" xr:uid="{00000000-0005-0000-0000-00009B0A0000}"/>
    <cellStyle name="통화 [0] 3 3 2" xfId="2979" xr:uid="{00000000-0005-0000-0000-00009C0A0000}"/>
    <cellStyle name="통화 [0] 3 4" xfId="2652" xr:uid="{00000000-0005-0000-0000-00009D0A0000}"/>
    <cellStyle name="통화 [0] 3 5" xfId="1867" xr:uid="{00000000-0005-0000-0000-00009E0A0000}"/>
    <cellStyle name="통화 [0] 4" xfId="1868" xr:uid="{00000000-0005-0000-0000-00009F0A0000}"/>
    <cellStyle name="통화 [0] 4 2" xfId="1869" xr:uid="{00000000-0005-0000-0000-0000A00A0000}"/>
    <cellStyle name="통화 [0] 4 2 2" xfId="2183" xr:uid="{00000000-0005-0000-0000-0000A10A0000}"/>
    <cellStyle name="통화 [0] 4 2 2 2" xfId="2520" xr:uid="{00000000-0005-0000-0000-0000A20A0000}"/>
    <cellStyle name="통화 [0] 4 2 2 2 2" xfId="3177" xr:uid="{00000000-0005-0000-0000-0000A30A0000}"/>
    <cellStyle name="통화 [0] 4 2 2 3" xfId="2850" xr:uid="{00000000-0005-0000-0000-0000A40A0000}"/>
    <cellStyle name="통화 [0] 4 2 3" xfId="2324" xr:uid="{00000000-0005-0000-0000-0000A50A0000}"/>
    <cellStyle name="통화 [0] 4 2 3 2" xfId="2981" xr:uid="{00000000-0005-0000-0000-0000A60A0000}"/>
    <cellStyle name="통화 [0] 4 2 4" xfId="2654" xr:uid="{00000000-0005-0000-0000-0000A70A0000}"/>
    <cellStyle name="통화 [0] 4 3" xfId="1870" xr:uid="{00000000-0005-0000-0000-0000A80A0000}"/>
    <cellStyle name="통화 [0] 4 3 2" xfId="2184" xr:uid="{00000000-0005-0000-0000-0000A90A0000}"/>
    <cellStyle name="통화 [0] 4 3 2 2" xfId="2521" xr:uid="{00000000-0005-0000-0000-0000AA0A0000}"/>
    <cellStyle name="통화 [0] 4 3 2 2 2" xfId="3178" xr:uid="{00000000-0005-0000-0000-0000AB0A0000}"/>
    <cellStyle name="통화 [0] 4 3 2 3" xfId="2851" xr:uid="{00000000-0005-0000-0000-0000AC0A0000}"/>
    <cellStyle name="통화 [0] 4 3 3" xfId="2325" xr:uid="{00000000-0005-0000-0000-0000AD0A0000}"/>
    <cellStyle name="통화 [0] 4 3 3 2" xfId="2982" xr:uid="{00000000-0005-0000-0000-0000AE0A0000}"/>
    <cellStyle name="통화 [0] 4 3 4" xfId="2655" xr:uid="{00000000-0005-0000-0000-0000AF0A0000}"/>
    <cellStyle name="통화 [0] 4 4" xfId="2182" xr:uid="{00000000-0005-0000-0000-0000B00A0000}"/>
    <cellStyle name="통화 [0] 4 4 2" xfId="2519" xr:uid="{00000000-0005-0000-0000-0000B10A0000}"/>
    <cellStyle name="통화 [0] 4 4 2 2" xfId="3176" xr:uid="{00000000-0005-0000-0000-0000B20A0000}"/>
    <cellStyle name="통화 [0] 4 4 3" xfId="2849" xr:uid="{00000000-0005-0000-0000-0000B30A0000}"/>
    <cellStyle name="통화 [0] 4 5" xfId="2323" xr:uid="{00000000-0005-0000-0000-0000B40A0000}"/>
    <cellStyle name="통화 [0] 4 5 2" xfId="2980" xr:uid="{00000000-0005-0000-0000-0000B50A0000}"/>
    <cellStyle name="통화 [0] 4 6" xfId="2653" xr:uid="{00000000-0005-0000-0000-0000B60A0000}"/>
    <cellStyle name="통화 [0] 5" xfId="1871" xr:uid="{00000000-0005-0000-0000-0000B70A0000}"/>
    <cellStyle name="통화 [0] 5 2" xfId="1872" xr:uid="{00000000-0005-0000-0000-0000B80A0000}"/>
    <cellStyle name="통화 [0] 5 2 2" xfId="2186" xr:uid="{00000000-0005-0000-0000-0000B90A0000}"/>
    <cellStyle name="통화 [0] 5 2 2 2" xfId="2523" xr:uid="{00000000-0005-0000-0000-0000BA0A0000}"/>
    <cellStyle name="통화 [0] 5 2 2 2 2" xfId="3180" xr:uid="{00000000-0005-0000-0000-0000BB0A0000}"/>
    <cellStyle name="통화 [0] 5 2 2 3" xfId="2853" xr:uid="{00000000-0005-0000-0000-0000BC0A0000}"/>
    <cellStyle name="통화 [0] 5 2 3" xfId="2327" xr:uid="{00000000-0005-0000-0000-0000BD0A0000}"/>
    <cellStyle name="통화 [0] 5 2 3 2" xfId="2984" xr:uid="{00000000-0005-0000-0000-0000BE0A0000}"/>
    <cellStyle name="통화 [0] 5 2 4" xfId="2657" xr:uid="{00000000-0005-0000-0000-0000BF0A0000}"/>
    <cellStyle name="통화 [0] 5 3" xfId="1873" xr:uid="{00000000-0005-0000-0000-0000C00A0000}"/>
    <cellStyle name="통화 [0] 5 3 2" xfId="2187" xr:uid="{00000000-0005-0000-0000-0000C10A0000}"/>
    <cellStyle name="통화 [0] 5 3 2 2" xfId="2524" xr:uid="{00000000-0005-0000-0000-0000C20A0000}"/>
    <cellStyle name="통화 [0] 5 3 2 2 2" xfId="3181" xr:uid="{00000000-0005-0000-0000-0000C30A0000}"/>
    <cellStyle name="통화 [0] 5 3 2 3" xfId="2854" xr:uid="{00000000-0005-0000-0000-0000C40A0000}"/>
    <cellStyle name="통화 [0] 5 3 3" xfId="2328" xr:uid="{00000000-0005-0000-0000-0000C50A0000}"/>
    <cellStyle name="통화 [0] 5 3 3 2" xfId="2985" xr:uid="{00000000-0005-0000-0000-0000C60A0000}"/>
    <cellStyle name="통화 [0] 5 3 4" xfId="2658" xr:uid="{00000000-0005-0000-0000-0000C70A0000}"/>
    <cellStyle name="통화 [0] 5 4" xfId="2185" xr:uid="{00000000-0005-0000-0000-0000C80A0000}"/>
    <cellStyle name="통화 [0] 5 4 2" xfId="2522" xr:uid="{00000000-0005-0000-0000-0000C90A0000}"/>
    <cellStyle name="통화 [0] 5 4 2 2" xfId="3179" xr:uid="{00000000-0005-0000-0000-0000CA0A0000}"/>
    <cellStyle name="통화 [0] 5 4 3" xfId="2852" xr:uid="{00000000-0005-0000-0000-0000CB0A0000}"/>
    <cellStyle name="통화 [0] 5 5" xfId="2326" xr:uid="{00000000-0005-0000-0000-0000CC0A0000}"/>
    <cellStyle name="통화 [0] 5 5 2" xfId="2983" xr:uid="{00000000-0005-0000-0000-0000CD0A0000}"/>
    <cellStyle name="통화 [0] 5 6" xfId="2656" xr:uid="{00000000-0005-0000-0000-0000CE0A0000}"/>
    <cellStyle name="통화 [0] 6" xfId="1874" xr:uid="{00000000-0005-0000-0000-0000CF0A0000}"/>
    <cellStyle name="통화 [0] 6 2" xfId="2188" xr:uid="{00000000-0005-0000-0000-0000D00A0000}"/>
    <cellStyle name="통화 [0] 6 2 2" xfId="2525" xr:uid="{00000000-0005-0000-0000-0000D10A0000}"/>
    <cellStyle name="통화 [0] 6 2 2 2" xfId="3182" xr:uid="{00000000-0005-0000-0000-0000D20A0000}"/>
    <cellStyle name="통화 [0] 6 2 3" xfId="2855" xr:uid="{00000000-0005-0000-0000-0000D30A0000}"/>
    <cellStyle name="통화 [0] 6 3" xfId="2329" xr:uid="{00000000-0005-0000-0000-0000D40A0000}"/>
    <cellStyle name="통화 [0] 6 3 2" xfId="2986" xr:uid="{00000000-0005-0000-0000-0000D50A0000}"/>
    <cellStyle name="통화 [0] 6 4" xfId="2659" xr:uid="{00000000-0005-0000-0000-0000D60A0000}"/>
    <cellStyle name="통화 10" xfId="1875" xr:uid="{00000000-0005-0000-0000-0000D70A0000}"/>
    <cellStyle name="통화 10 2" xfId="2189" xr:uid="{00000000-0005-0000-0000-0000D80A0000}"/>
    <cellStyle name="통화 10 2 2" xfId="2526" xr:uid="{00000000-0005-0000-0000-0000D90A0000}"/>
    <cellStyle name="통화 10 2 2 2" xfId="3183" xr:uid="{00000000-0005-0000-0000-0000DA0A0000}"/>
    <cellStyle name="통화 10 2 3" xfId="2856" xr:uid="{00000000-0005-0000-0000-0000DB0A0000}"/>
    <cellStyle name="통화 10 3" xfId="2330" xr:uid="{00000000-0005-0000-0000-0000DC0A0000}"/>
    <cellStyle name="통화 10 3 2" xfId="2987" xr:uid="{00000000-0005-0000-0000-0000DD0A0000}"/>
    <cellStyle name="통화 10 4" xfId="2660" xr:uid="{00000000-0005-0000-0000-0000DE0A0000}"/>
    <cellStyle name="통화 11" xfId="1876" xr:uid="{00000000-0005-0000-0000-0000DF0A0000}"/>
    <cellStyle name="통화 11 2" xfId="2190" xr:uid="{00000000-0005-0000-0000-0000E00A0000}"/>
    <cellStyle name="통화 11 2 2" xfId="2527" xr:uid="{00000000-0005-0000-0000-0000E10A0000}"/>
    <cellStyle name="통화 11 2 2 2" xfId="3184" xr:uid="{00000000-0005-0000-0000-0000E20A0000}"/>
    <cellStyle name="통화 11 2 3" xfId="2857" xr:uid="{00000000-0005-0000-0000-0000E30A0000}"/>
    <cellStyle name="통화 11 3" xfId="2331" xr:uid="{00000000-0005-0000-0000-0000E40A0000}"/>
    <cellStyle name="통화 11 3 2" xfId="2988" xr:uid="{00000000-0005-0000-0000-0000E50A0000}"/>
    <cellStyle name="통화 11 4" xfId="2661" xr:uid="{00000000-0005-0000-0000-0000E60A0000}"/>
    <cellStyle name="통화 12" xfId="1877" xr:uid="{00000000-0005-0000-0000-0000E70A0000}"/>
    <cellStyle name="통화 12 2" xfId="2191" xr:uid="{00000000-0005-0000-0000-0000E80A0000}"/>
    <cellStyle name="통화 12 2 2" xfId="2528" xr:uid="{00000000-0005-0000-0000-0000E90A0000}"/>
    <cellStyle name="통화 12 2 2 2" xfId="3185" xr:uid="{00000000-0005-0000-0000-0000EA0A0000}"/>
    <cellStyle name="통화 12 2 3" xfId="2858" xr:uid="{00000000-0005-0000-0000-0000EB0A0000}"/>
    <cellStyle name="통화 12 3" xfId="2332" xr:uid="{00000000-0005-0000-0000-0000EC0A0000}"/>
    <cellStyle name="통화 12 3 2" xfId="2989" xr:uid="{00000000-0005-0000-0000-0000ED0A0000}"/>
    <cellStyle name="통화 12 4" xfId="2662" xr:uid="{00000000-0005-0000-0000-0000EE0A0000}"/>
    <cellStyle name="통화 13" xfId="1878" xr:uid="{00000000-0005-0000-0000-0000EF0A0000}"/>
    <cellStyle name="통화 13 2" xfId="2192" xr:uid="{00000000-0005-0000-0000-0000F00A0000}"/>
    <cellStyle name="통화 13 2 2" xfId="2529" xr:uid="{00000000-0005-0000-0000-0000F10A0000}"/>
    <cellStyle name="통화 13 2 2 2" xfId="3186" xr:uid="{00000000-0005-0000-0000-0000F20A0000}"/>
    <cellStyle name="통화 13 2 3" xfId="2859" xr:uid="{00000000-0005-0000-0000-0000F30A0000}"/>
    <cellStyle name="통화 13 3" xfId="2333" xr:uid="{00000000-0005-0000-0000-0000F40A0000}"/>
    <cellStyle name="통화 13 3 2" xfId="2990" xr:uid="{00000000-0005-0000-0000-0000F50A0000}"/>
    <cellStyle name="통화 13 4" xfId="2663" xr:uid="{00000000-0005-0000-0000-0000F60A0000}"/>
    <cellStyle name="통화 14" xfId="1879" xr:uid="{00000000-0005-0000-0000-0000F70A0000}"/>
    <cellStyle name="통화 14 2" xfId="2193" xr:uid="{00000000-0005-0000-0000-0000F80A0000}"/>
    <cellStyle name="통화 14 2 2" xfId="2530" xr:uid="{00000000-0005-0000-0000-0000F90A0000}"/>
    <cellStyle name="통화 14 2 2 2" xfId="3187" xr:uid="{00000000-0005-0000-0000-0000FA0A0000}"/>
    <cellStyle name="통화 14 2 3" xfId="2860" xr:uid="{00000000-0005-0000-0000-0000FB0A0000}"/>
    <cellStyle name="통화 14 3" xfId="2334" xr:uid="{00000000-0005-0000-0000-0000FC0A0000}"/>
    <cellStyle name="통화 14 3 2" xfId="2991" xr:uid="{00000000-0005-0000-0000-0000FD0A0000}"/>
    <cellStyle name="통화 14 4" xfId="2664" xr:uid="{00000000-0005-0000-0000-0000FE0A0000}"/>
    <cellStyle name="통화 15" xfId="1880" xr:uid="{00000000-0005-0000-0000-0000FF0A0000}"/>
    <cellStyle name="통화 15 2" xfId="2194" xr:uid="{00000000-0005-0000-0000-0000000B0000}"/>
    <cellStyle name="통화 15 2 2" xfId="2531" xr:uid="{00000000-0005-0000-0000-0000010B0000}"/>
    <cellStyle name="통화 15 2 2 2" xfId="3188" xr:uid="{00000000-0005-0000-0000-0000020B0000}"/>
    <cellStyle name="통화 15 2 3" xfId="2861" xr:uid="{00000000-0005-0000-0000-0000030B0000}"/>
    <cellStyle name="통화 15 3" xfId="2335" xr:uid="{00000000-0005-0000-0000-0000040B0000}"/>
    <cellStyle name="통화 15 3 2" xfId="2992" xr:uid="{00000000-0005-0000-0000-0000050B0000}"/>
    <cellStyle name="통화 15 4" xfId="2665" xr:uid="{00000000-0005-0000-0000-0000060B0000}"/>
    <cellStyle name="통화 16" xfId="1881" xr:uid="{00000000-0005-0000-0000-0000070B0000}"/>
    <cellStyle name="통화 16 2" xfId="2195" xr:uid="{00000000-0005-0000-0000-0000080B0000}"/>
    <cellStyle name="통화 16 2 2" xfId="2532" xr:uid="{00000000-0005-0000-0000-0000090B0000}"/>
    <cellStyle name="통화 16 2 2 2" xfId="3189" xr:uid="{00000000-0005-0000-0000-00000A0B0000}"/>
    <cellStyle name="통화 16 2 3" xfId="2862" xr:uid="{00000000-0005-0000-0000-00000B0B0000}"/>
    <cellStyle name="통화 16 3" xfId="2336" xr:uid="{00000000-0005-0000-0000-00000C0B0000}"/>
    <cellStyle name="통화 16 3 2" xfId="2993" xr:uid="{00000000-0005-0000-0000-00000D0B0000}"/>
    <cellStyle name="통화 16 4" xfId="2666" xr:uid="{00000000-0005-0000-0000-00000E0B0000}"/>
    <cellStyle name="통화 17" xfId="1882" xr:uid="{00000000-0005-0000-0000-00000F0B0000}"/>
    <cellStyle name="통화 17 2" xfId="2196" xr:uid="{00000000-0005-0000-0000-0000100B0000}"/>
    <cellStyle name="통화 17 2 2" xfId="2533" xr:uid="{00000000-0005-0000-0000-0000110B0000}"/>
    <cellStyle name="통화 17 2 2 2" xfId="3190" xr:uid="{00000000-0005-0000-0000-0000120B0000}"/>
    <cellStyle name="통화 17 2 3" xfId="2863" xr:uid="{00000000-0005-0000-0000-0000130B0000}"/>
    <cellStyle name="통화 17 3" xfId="2337" xr:uid="{00000000-0005-0000-0000-0000140B0000}"/>
    <cellStyle name="통화 17 3 2" xfId="2994" xr:uid="{00000000-0005-0000-0000-0000150B0000}"/>
    <cellStyle name="통화 17 4" xfId="2667" xr:uid="{00000000-0005-0000-0000-0000160B0000}"/>
    <cellStyle name="통화 18" xfId="1883" xr:uid="{00000000-0005-0000-0000-0000170B0000}"/>
    <cellStyle name="통화 18 2" xfId="2197" xr:uid="{00000000-0005-0000-0000-0000180B0000}"/>
    <cellStyle name="통화 18 2 2" xfId="2534" xr:uid="{00000000-0005-0000-0000-0000190B0000}"/>
    <cellStyle name="통화 18 2 2 2" xfId="3191" xr:uid="{00000000-0005-0000-0000-00001A0B0000}"/>
    <cellStyle name="통화 18 2 3" xfId="2864" xr:uid="{00000000-0005-0000-0000-00001B0B0000}"/>
    <cellStyle name="통화 18 3" xfId="2338" xr:uid="{00000000-0005-0000-0000-00001C0B0000}"/>
    <cellStyle name="통화 18 3 2" xfId="2995" xr:uid="{00000000-0005-0000-0000-00001D0B0000}"/>
    <cellStyle name="통화 18 4" xfId="2668" xr:uid="{00000000-0005-0000-0000-00001E0B0000}"/>
    <cellStyle name="통화 19" xfId="1884" xr:uid="{00000000-0005-0000-0000-00001F0B0000}"/>
    <cellStyle name="통화 19 2" xfId="2198" xr:uid="{00000000-0005-0000-0000-0000200B0000}"/>
    <cellStyle name="통화 19 2 2" xfId="2535" xr:uid="{00000000-0005-0000-0000-0000210B0000}"/>
    <cellStyle name="통화 19 2 2 2" xfId="3192" xr:uid="{00000000-0005-0000-0000-0000220B0000}"/>
    <cellStyle name="통화 19 2 3" xfId="2865" xr:uid="{00000000-0005-0000-0000-0000230B0000}"/>
    <cellStyle name="통화 19 3" xfId="2339" xr:uid="{00000000-0005-0000-0000-0000240B0000}"/>
    <cellStyle name="통화 19 3 2" xfId="2996" xr:uid="{00000000-0005-0000-0000-0000250B0000}"/>
    <cellStyle name="통화 19 4" xfId="2669" xr:uid="{00000000-0005-0000-0000-0000260B0000}"/>
    <cellStyle name="통화 2" xfId="1885" xr:uid="{00000000-0005-0000-0000-0000270B0000}"/>
    <cellStyle name="통화 2 2" xfId="2199" xr:uid="{00000000-0005-0000-0000-0000280B0000}"/>
    <cellStyle name="통화 2 2 2" xfId="2536" xr:uid="{00000000-0005-0000-0000-0000290B0000}"/>
    <cellStyle name="통화 2 2 2 2" xfId="3193" xr:uid="{00000000-0005-0000-0000-00002A0B0000}"/>
    <cellStyle name="통화 2 2 3" xfId="2866" xr:uid="{00000000-0005-0000-0000-00002B0B0000}"/>
    <cellStyle name="통화 2 3" xfId="2340" xr:uid="{00000000-0005-0000-0000-00002C0B0000}"/>
    <cellStyle name="통화 2 3 2" xfId="2997" xr:uid="{00000000-0005-0000-0000-00002D0B0000}"/>
    <cellStyle name="통화 2 4" xfId="2670" xr:uid="{00000000-0005-0000-0000-00002E0B0000}"/>
    <cellStyle name="통화 20" xfId="1886" xr:uid="{00000000-0005-0000-0000-00002F0B0000}"/>
    <cellStyle name="통화 20 2" xfId="2200" xr:uid="{00000000-0005-0000-0000-0000300B0000}"/>
    <cellStyle name="통화 20 2 2" xfId="2537" xr:uid="{00000000-0005-0000-0000-0000310B0000}"/>
    <cellStyle name="통화 20 2 2 2" xfId="3194" xr:uid="{00000000-0005-0000-0000-0000320B0000}"/>
    <cellStyle name="통화 20 2 3" xfId="2867" xr:uid="{00000000-0005-0000-0000-0000330B0000}"/>
    <cellStyle name="통화 20 3" xfId="2341" xr:uid="{00000000-0005-0000-0000-0000340B0000}"/>
    <cellStyle name="통화 20 3 2" xfId="2998" xr:uid="{00000000-0005-0000-0000-0000350B0000}"/>
    <cellStyle name="통화 20 4" xfId="2671" xr:uid="{00000000-0005-0000-0000-0000360B0000}"/>
    <cellStyle name="통화 21" xfId="1887" xr:uid="{00000000-0005-0000-0000-0000370B0000}"/>
    <cellStyle name="통화 21 2" xfId="2201" xr:uid="{00000000-0005-0000-0000-0000380B0000}"/>
    <cellStyle name="통화 21 2 2" xfId="2538" xr:uid="{00000000-0005-0000-0000-0000390B0000}"/>
    <cellStyle name="통화 21 2 2 2" xfId="3195" xr:uid="{00000000-0005-0000-0000-00003A0B0000}"/>
    <cellStyle name="통화 21 2 3" xfId="2868" xr:uid="{00000000-0005-0000-0000-00003B0B0000}"/>
    <cellStyle name="통화 21 3" xfId="2342" xr:uid="{00000000-0005-0000-0000-00003C0B0000}"/>
    <cellStyle name="통화 21 3 2" xfId="2999" xr:uid="{00000000-0005-0000-0000-00003D0B0000}"/>
    <cellStyle name="통화 21 4" xfId="2672" xr:uid="{00000000-0005-0000-0000-00003E0B0000}"/>
    <cellStyle name="통화 22" xfId="1888" xr:uid="{00000000-0005-0000-0000-00003F0B0000}"/>
    <cellStyle name="통화 22 2" xfId="2202" xr:uid="{00000000-0005-0000-0000-0000400B0000}"/>
    <cellStyle name="통화 22 2 2" xfId="2539" xr:uid="{00000000-0005-0000-0000-0000410B0000}"/>
    <cellStyle name="통화 22 2 2 2" xfId="3196" xr:uid="{00000000-0005-0000-0000-0000420B0000}"/>
    <cellStyle name="통화 22 2 3" xfId="2869" xr:uid="{00000000-0005-0000-0000-0000430B0000}"/>
    <cellStyle name="통화 22 3" xfId="2343" xr:uid="{00000000-0005-0000-0000-0000440B0000}"/>
    <cellStyle name="통화 22 3 2" xfId="3000" xr:uid="{00000000-0005-0000-0000-0000450B0000}"/>
    <cellStyle name="통화 22 4" xfId="2673" xr:uid="{00000000-0005-0000-0000-0000460B0000}"/>
    <cellStyle name="통화 23" xfId="1889" xr:uid="{00000000-0005-0000-0000-0000470B0000}"/>
    <cellStyle name="통화 23 2" xfId="2203" xr:uid="{00000000-0005-0000-0000-0000480B0000}"/>
    <cellStyle name="통화 23 2 2" xfId="2540" xr:uid="{00000000-0005-0000-0000-0000490B0000}"/>
    <cellStyle name="통화 23 2 2 2" xfId="3197" xr:uid="{00000000-0005-0000-0000-00004A0B0000}"/>
    <cellStyle name="통화 23 2 3" xfId="2870" xr:uid="{00000000-0005-0000-0000-00004B0B0000}"/>
    <cellStyle name="통화 23 3" xfId="2344" xr:uid="{00000000-0005-0000-0000-00004C0B0000}"/>
    <cellStyle name="통화 23 3 2" xfId="3001" xr:uid="{00000000-0005-0000-0000-00004D0B0000}"/>
    <cellStyle name="통화 23 4" xfId="2674" xr:uid="{00000000-0005-0000-0000-00004E0B0000}"/>
    <cellStyle name="통화 24" xfId="1890" xr:uid="{00000000-0005-0000-0000-00004F0B0000}"/>
    <cellStyle name="통화 24 2" xfId="2204" xr:uid="{00000000-0005-0000-0000-0000500B0000}"/>
    <cellStyle name="통화 24 2 2" xfId="2541" xr:uid="{00000000-0005-0000-0000-0000510B0000}"/>
    <cellStyle name="통화 24 2 2 2" xfId="3198" xr:uid="{00000000-0005-0000-0000-0000520B0000}"/>
    <cellStyle name="통화 24 2 3" xfId="2871" xr:uid="{00000000-0005-0000-0000-0000530B0000}"/>
    <cellStyle name="통화 24 3" xfId="2345" xr:uid="{00000000-0005-0000-0000-0000540B0000}"/>
    <cellStyle name="통화 24 3 2" xfId="3002" xr:uid="{00000000-0005-0000-0000-0000550B0000}"/>
    <cellStyle name="통화 24 4" xfId="2675" xr:uid="{00000000-0005-0000-0000-0000560B0000}"/>
    <cellStyle name="통화 25" xfId="1891" xr:uid="{00000000-0005-0000-0000-0000570B0000}"/>
    <cellStyle name="통화 25 2" xfId="2205" xr:uid="{00000000-0005-0000-0000-0000580B0000}"/>
    <cellStyle name="통화 25 2 2" xfId="2542" xr:uid="{00000000-0005-0000-0000-0000590B0000}"/>
    <cellStyle name="통화 25 2 2 2" xfId="3199" xr:uid="{00000000-0005-0000-0000-00005A0B0000}"/>
    <cellStyle name="통화 25 2 3" xfId="2872" xr:uid="{00000000-0005-0000-0000-00005B0B0000}"/>
    <cellStyle name="통화 25 3" xfId="2346" xr:uid="{00000000-0005-0000-0000-00005C0B0000}"/>
    <cellStyle name="통화 25 3 2" xfId="3003" xr:uid="{00000000-0005-0000-0000-00005D0B0000}"/>
    <cellStyle name="통화 25 4" xfId="2676" xr:uid="{00000000-0005-0000-0000-00005E0B0000}"/>
    <cellStyle name="통화 26" xfId="1892" xr:uid="{00000000-0005-0000-0000-00005F0B0000}"/>
    <cellStyle name="통화 26 2" xfId="2206" xr:uid="{00000000-0005-0000-0000-0000600B0000}"/>
    <cellStyle name="통화 26 2 2" xfId="2543" xr:uid="{00000000-0005-0000-0000-0000610B0000}"/>
    <cellStyle name="통화 26 2 2 2" xfId="3200" xr:uid="{00000000-0005-0000-0000-0000620B0000}"/>
    <cellStyle name="통화 26 2 3" xfId="2873" xr:uid="{00000000-0005-0000-0000-0000630B0000}"/>
    <cellStyle name="통화 26 3" xfId="2347" xr:uid="{00000000-0005-0000-0000-0000640B0000}"/>
    <cellStyle name="통화 26 3 2" xfId="3004" xr:uid="{00000000-0005-0000-0000-0000650B0000}"/>
    <cellStyle name="통화 26 4" xfId="2677" xr:uid="{00000000-0005-0000-0000-0000660B0000}"/>
    <cellStyle name="통화 27" xfId="1893" xr:uid="{00000000-0005-0000-0000-0000670B0000}"/>
    <cellStyle name="통화 27 2" xfId="2207" xr:uid="{00000000-0005-0000-0000-0000680B0000}"/>
    <cellStyle name="통화 27 2 2" xfId="2544" xr:uid="{00000000-0005-0000-0000-0000690B0000}"/>
    <cellStyle name="통화 27 2 2 2" xfId="3201" xr:uid="{00000000-0005-0000-0000-00006A0B0000}"/>
    <cellStyle name="통화 27 2 3" xfId="2874" xr:uid="{00000000-0005-0000-0000-00006B0B0000}"/>
    <cellStyle name="통화 27 3" xfId="2348" xr:uid="{00000000-0005-0000-0000-00006C0B0000}"/>
    <cellStyle name="통화 27 3 2" xfId="3005" xr:uid="{00000000-0005-0000-0000-00006D0B0000}"/>
    <cellStyle name="통화 27 4" xfId="2678" xr:uid="{00000000-0005-0000-0000-00006E0B0000}"/>
    <cellStyle name="통화 28" xfId="1894" xr:uid="{00000000-0005-0000-0000-00006F0B0000}"/>
    <cellStyle name="통화 28 2" xfId="2208" xr:uid="{00000000-0005-0000-0000-0000700B0000}"/>
    <cellStyle name="통화 28 2 2" xfId="2545" xr:uid="{00000000-0005-0000-0000-0000710B0000}"/>
    <cellStyle name="통화 28 2 2 2" xfId="3202" xr:uid="{00000000-0005-0000-0000-0000720B0000}"/>
    <cellStyle name="통화 28 2 3" xfId="2875" xr:uid="{00000000-0005-0000-0000-0000730B0000}"/>
    <cellStyle name="통화 28 3" xfId="2349" xr:uid="{00000000-0005-0000-0000-0000740B0000}"/>
    <cellStyle name="통화 28 3 2" xfId="3006" xr:uid="{00000000-0005-0000-0000-0000750B0000}"/>
    <cellStyle name="통화 28 4" xfId="2679" xr:uid="{00000000-0005-0000-0000-0000760B0000}"/>
    <cellStyle name="통화 29" xfId="1895" xr:uid="{00000000-0005-0000-0000-0000770B0000}"/>
    <cellStyle name="통화 29 2" xfId="2209" xr:uid="{00000000-0005-0000-0000-0000780B0000}"/>
    <cellStyle name="통화 29 2 2" xfId="2546" xr:uid="{00000000-0005-0000-0000-0000790B0000}"/>
    <cellStyle name="통화 29 2 2 2" xfId="3203" xr:uid="{00000000-0005-0000-0000-00007A0B0000}"/>
    <cellStyle name="통화 29 2 3" xfId="2876" xr:uid="{00000000-0005-0000-0000-00007B0B0000}"/>
    <cellStyle name="통화 29 3" xfId="2350" xr:uid="{00000000-0005-0000-0000-00007C0B0000}"/>
    <cellStyle name="통화 29 3 2" xfId="3007" xr:uid="{00000000-0005-0000-0000-00007D0B0000}"/>
    <cellStyle name="통화 29 4" xfId="2680" xr:uid="{00000000-0005-0000-0000-00007E0B0000}"/>
    <cellStyle name="통화 3" xfId="1896" xr:uid="{00000000-0005-0000-0000-00007F0B0000}"/>
    <cellStyle name="통화 3 2" xfId="2210" xr:uid="{00000000-0005-0000-0000-0000800B0000}"/>
    <cellStyle name="통화 3 2 2" xfId="2547" xr:uid="{00000000-0005-0000-0000-0000810B0000}"/>
    <cellStyle name="통화 3 2 2 2" xfId="3204" xr:uid="{00000000-0005-0000-0000-0000820B0000}"/>
    <cellStyle name="통화 3 2 3" xfId="2877" xr:uid="{00000000-0005-0000-0000-0000830B0000}"/>
    <cellStyle name="통화 3 3" xfId="2351" xr:uid="{00000000-0005-0000-0000-0000840B0000}"/>
    <cellStyle name="통화 3 3 2" xfId="3008" xr:uid="{00000000-0005-0000-0000-0000850B0000}"/>
    <cellStyle name="통화 3 4" xfId="2681" xr:uid="{00000000-0005-0000-0000-0000860B0000}"/>
    <cellStyle name="통화 30" xfId="1897" xr:uid="{00000000-0005-0000-0000-0000870B0000}"/>
    <cellStyle name="통화 30 2" xfId="2211" xr:uid="{00000000-0005-0000-0000-0000880B0000}"/>
    <cellStyle name="통화 30 2 2" xfId="2548" xr:uid="{00000000-0005-0000-0000-0000890B0000}"/>
    <cellStyle name="통화 30 2 2 2" xfId="3205" xr:uid="{00000000-0005-0000-0000-00008A0B0000}"/>
    <cellStyle name="통화 30 2 3" xfId="2878" xr:uid="{00000000-0005-0000-0000-00008B0B0000}"/>
    <cellStyle name="통화 30 3" xfId="2352" xr:uid="{00000000-0005-0000-0000-00008C0B0000}"/>
    <cellStyle name="통화 30 3 2" xfId="3009" xr:uid="{00000000-0005-0000-0000-00008D0B0000}"/>
    <cellStyle name="통화 30 4" xfId="2682" xr:uid="{00000000-0005-0000-0000-00008E0B0000}"/>
    <cellStyle name="통화 31" xfId="1898" xr:uid="{00000000-0005-0000-0000-00008F0B0000}"/>
    <cellStyle name="통화 31 2" xfId="2212" xr:uid="{00000000-0005-0000-0000-0000900B0000}"/>
    <cellStyle name="통화 31 2 2" xfId="2549" xr:uid="{00000000-0005-0000-0000-0000910B0000}"/>
    <cellStyle name="통화 31 2 2 2" xfId="3206" xr:uid="{00000000-0005-0000-0000-0000920B0000}"/>
    <cellStyle name="통화 31 2 3" xfId="2879" xr:uid="{00000000-0005-0000-0000-0000930B0000}"/>
    <cellStyle name="통화 31 3" xfId="2353" xr:uid="{00000000-0005-0000-0000-0000940B0000}"/>
    <cellStyle name="통화 31 3 2" xfId="3010" xr:uid="{00000000-0005-0000-0000-0000950B0000}"/>
    <cellStyle name="통화 31 4" xfId="2683" xr:uid="{00000000-0005-0000-0000-0000960B0000}"/>
    <cellStyle name="통화 32" xfId="1899" xr:uid="{00000000-0005-0000-0000-0000970B0000}"/>
    <cellStyle name="통화 32 2" xfId="2213" xr:uid="{00000000-0005-0000-0000-0000980B0000}"/>
    <cellStyle name="통화 32 2 2" xfId="2550" xr:uid="{00000000-0005-0000-0000-0000990B0000}"/>
    <cellStyle name="통화 32 2 2 2" xfId="3207" xr:uid="{00000000-0005-0000-0000-00009A0B0000}"/>
    <cellStyle name="통화 32 2 3" xfId="2880" xr:uid="{00000000-0005-0000-0000-00009B0B0000}"/>
    <cellStyle name="통화 32 3" xfId="2354" xr:uid="{00000000-0005-0000-0000-00009C0B0000}"/>
    <cellStyle name="통화 32 3 2" xfId="3011" xr:uid="{00000000-0005-0000-0000-00009D0B0000}"/>
    <cellStyle name="통화 32 4" xfId="2684" xr:uid="{00000000-0005-0000-0000-00009E0B0000}"/>
    <cellStyle name="통화 33" xfId="1900" xr:uid="{00000000-0005-0000-0000-00009F0B0000}"/>
    <cellStyle name="통화 33 2" xfId="2214" xr:uid="{00000000-0005-0000-0000-0000A00B0000}"/>
    <cellStyle name="통화 33 2 2" xfId="2551" xr:uid="{00000000-0005-0000-0000-0000A10B0000}"/>
    <cellStyle name="통화 33 2 2 2" xfId="3208" xr:uid="{00000000-0005-0000-0000-0000A20B0000}"/>
    <cellStyle name="통화 33 2 3" xfId="2881" xr:uid="{00000000-0005-0000-0000-0000A30B0000}"/>
    <cellStyle name="통화 33 3" xfId="2355" xr:uid="{00000000-0005-0000-0000-0000A40B0000}"/>
    <cellStyle name="통화 33 3 2" xfId="3012" xr:uid="{00000000-0005-0000-0000-0000A50B0000}"/>
    <cellStyle name="통화 33 4" xfId="2685" xr:uid="{00000000-0005-0000-0000-0000A60B0000}"/>
    <cellStyle name="통화 34" xfId="1901" xr:uid="{00000000-0005-0000-0000-0000A70B0000}"/>
    <cellStyle name="통화 34 2" xfId="2215" xr:uid="{00000000-0005-0000-0000-0000A80B0000}"/>
    <cellStyle name="통화 34 2 2" xfId="2552" xr:uid="{00000000-0005-0000-0000-0000A90B0000}"/>
    <cellStyle name="통화 34 2 2 2" xfId="3209" xr:uid="{00000000-0005-0000-0000-0000AA0B0000}"/>
    <cellStyle name="통화 34 2 3" xfId="2882" xr:uid="{00000000-0005-0000-0000-0000AB0B0000}"/>
    <cellStyle name="통화 34 3" xfId="2356" xr:uid="{00000000-0005-0000-0000-0000AC0B0000}"/>
    <cellStyle name="통화 34 3 2" xfId="3013" xr:uid="{00000000-0005-0000-0000-0000AD0B0000}"/>
    <cellStyle name="통화 34 4" xfId="2686" xr:uid="{00000000-0005-0000-0000-0000AE0B0000}"/>
    <cellStyle name="통화 35" xfId="1902" xr:uid="{00000000-0005-0000-0000-0000AF0B0000}"/>
    <cellStyle name="통화 35 2" xfId="2216" xr:uid="{00000000-0005-0000-0000-0000B00B0000}"/>
    <cellStyle name="통화 35 2 2" xfId="2553" xr:uid="{00000000-0005-0000-0000-0000B10B0000}"/>
    <cellStyle name="통화 35 2 2 2" xfId="3210" xr:uid="{00000000-0005-0000-0000-0000B20B0000}"/>
    <cellStyle name="통화 35 2 3" xfId="2883" xr:uid="{00000000-0005-0000-0000-0000B30B0000}"/>
    <cellStyle name="통화 35 3" xfId="2357" xr:uid="{00000000-0005-0000-0000-0000B40B0000}"/>
    <cellStyle name="통화 35 3 2" xfId="3014" xr:uid="{00000000-0005-0000-0000-0000B50B0000}"/>
    <cellStyle name="통화 35 4" xfId="2687" xr:uid="{00000000-0005-0000-0000-0000B60B0000}"/>
    <cellStyle name="통화 36" xfId="1903" xr:uid="{00000000-0005-0000-0000-0000B70B0000}"/>
    <cellStyle name="통화 36 2" xfId="2217" xr:uid="{00000000-0005-0000-0000-0000B80B0000}"/>
    <cellStyle name="통화 36 2 2" xfId="2554" xr:uid="{00000000-0005-0000-0000-0000B90B0000}"/>
    <cellStyle name="통화 36 2 2 2" xfId="3211" xr:uid="{00000000-0005-0000-0000-0000BA0B0000}"/>
    <cellStyle name="통화 36 2 3" xfId="2884" xr:uid="{00000000-0005-0000-0000-0000BB0B0000}"/>
    <cellStyle name="통화 36 3" xfId="2358" xr:uid="{00000000-0005-0000-0000-0000BC0B0000}"/>
    <cellStyle name="통화 36 3 2" xfId="3015" xr:uid="{00000000-0005-0000-0000-0000BD0B0000}"/>
    <cellStyle name="통화 36 4" xfId="2688" xr:uid="{00000000-0005-0000-0000-0000BE0B0000}"/>
    <cellStyle name="통화 37" xfId="1904" xr:uid="{00000000-0005-0000-0000-0000BF0B0000}"/>
    <cellStyle name="통화 37 2" xfId="2218" xr:uid="{00000000-0005-0000-0000-0000C00B0000}"/>
    <cellStyle name="통화 37 2 2" xfId="2555" xr:uid="{00000000-0005-0000-0000-0000C10B0000}"/>
    <cellStyle name="통화 37 2 2 2" xfId="3212" xr:uid="{00000000-0005-0000-0000-0000C20B0000}"/>
    <cellStyle name="통화 37 2 3" xfId="2885" xr:uid="{00000000-0005-0000-0000-0000C30B0000}"/>
    <cellStyle name="통화 37 3" xfId="2359" xr:uid="{00000000-0005-0000-0000-0000C40B0000}"/>
    <cellStyle name="통화 37 3 2" xfId="3016" xr:uid="{00000000-0005-0000-0000-0000C50B0000}"/>
    <cellStyle name="통화 37 4" xfId="2689" xr:uid="{00000000-0005-0000-0000-0000C60B0000}"/>
    <cellStyle name="통화 38" xfId="1905" xr:uid="{00000000-0005-0000-0000-0000C70B0000}"/>
    <cellStyle name="통화 38 2" xfId="2219" xr:uid="{00000000-0005-0000-0000-0000C80B0000}"/>
    <cellStyle name="통화 38 2 2" xfId="2556" xr:uid="{00000000-0005-0000-0000-0000C90B0000}"/>
    <cellStyle name="통화 38 2 2 2" xfId="3213" xr:uid="{00000000-0005-0000-0000-0000CA0B0000}"/>
    <cellStyle name="통화 38 2 3" xfId="2886" xr:uid="{00000000-0005-0000-0000-0000CB0B0000}"/>
    <cellStyle name="통화 38 3" xfId="2360" xr:uid="{00000000-0005-0000-0000-0000CC0B0000}"/>
    <cellStyle name="통화 38 3 2" xfId="3017" xr:uid="{00000000-0005-0000-0000-0000CD0B0000}"/>
    <cellStyle name="통화 38 4" xfId="2690" xr:uid="{00000000-0005-0000-0000-0000CE0B0000}"/>
    <cellStyle name="통화 39" xfId="1906" xr:uid="{00000000-0005-0000-0000-0000CF0B0000}"/>
    <cellStyle name="통화 39 2" xfId="2220" xr:uid="{00000000-0005-0000-0000-0000D00B0000}"/>
    <cellStyle name="통화 39 2 2" xfId="2557" xr:uid="{00000000-0005-0000-0000-0000D10B0000}"/>
    <cellStyle name="통화 39 2 2 2" xfId="3214" xr:uid="{00000000-0005-0000-0000-0000D20B0000}"/>
    <cellStyle name="통화 39 2 3" xfId="2887" xr:uid="{00000000-0005-0000-0000-0000D30B0000}"/>
    <cellStyle name="통화 39 3" xfId="2361" xr:uid="{00000000-0005-0000-0000-0000D40B0000}"/>
    <cellStyle name="통화 39 3 2" xfId="3018" xr:uid="{00000000-0005-0000-0000-0000D50B0000}"/>
    <cellStyle name="통화 39 4" xfId="2691" xr:uid="{00000000-0005-0000-0000-0000D60B0000}"/>
    <cellStyle name="통화 4" xfId="1907" xr:uid="{00000000-0005-0000-0000-0000D70B0000}"/>
    <cellStyle name="통화 4 2" xfId="2221" xr:uid="{00000000-0005-0000-0000-0000D80B0000}"/>
    <cellStyle name="통화 4 2 2" xfId="2558" xr:uid="{00000000-0005-0000-0000-0000D90B0000}"/>
    <cellStyle name="통화 4 2 2 2" xfId="3215" xr:uid="{00000000-0005-0000-0000-0000DA0B0000}"/>
    <cellStyle name="통화 4 2 3" xfId="2888" xr:uid="{00000000-0005-0000-0000-0000DB0B0000}"/>
    <cellStyle name="통화 4 3" xfId="2362" xr:uid="{00000000-0005-0000-0000-0000DC0B0000}"/>
    <cellStyle name="통화 4 3 2" xfId="3019" xr:uid="{00000000-0005-0000-0000-0000DD0B0000}"/>
    <cellStyle name="통화 4 4" xfId="2692" xr:uid="{00000000-0005-0000-0000-0000DE0B0000}"/>
    <cellStyle name="통화 5" xfId="1908" xr:uid="{00000000-0005-0000-0000-0000DF0B0000}"/>
    <cellStyle name="통화 5 2" xfId="2222" xr:uid="{00000000-0005-0000-0000-0000E00B0000}"/>
    <cellStyle name="통화 5 2 2" xfId="2559" xr:uid="{00000000-0005-0000-0000-0000E10B0000}"/>
    <cellStyle name="통화 5 2 2 2" xfId="3216" xr:uid="{00000000-0005-0000-0000-0000E20B0000}"/>
    <cellStyle name="통화 5 2 3" xfId="2889" xr:uid="{00000000-0005-0000-0000-0000E30B0000}"/>
    <cellStyle name="통화 5 3" xfId="2363" xr:uid="{00000000-0005-0000-0000-0000E40B0000}"/>
    <cellStyle name="통화 5 3 2" xfId="3020" xr:uid="{00000000-0005-0000-0000-0000E50B0000}"/>
    <cellStyle name="통화 5 4" xfId="2693" xr:uid="{00000000-0005-0000-0000-0000E60B0000}"/>
    <cellStyle name="통화 6" xfId="1909" xr:uid="{00000000-0005-0000-0000-0000E70B0000}"/>
    <cellStyle name="통화 6 2" xfId="2223" xr:uid="{00000000-0005-0000-0000-0000E80B0000}"/>
    <cellStyle name="통화 6 2 2" xfId="2560" xr:uid="{00000000-0005-0000-0000-0000E90B0000}"/>
    <cellStyle name="통화 6 2 2 2" xfId="3217" xr:uid="{00000000-0005-0000-0000-0000EA0B0000}"/>
    <cellStyle name="통화 6 2 3" xfId="2890" xr:uid="{00000000-0005-0000-0000-0000EB0B0000}"/>
    <cellStyle name="통화 6 3" xfId="2364" xr:uid="{00000000-0005-0000-0000-0000EC0B0000}"/>
    <cellStyle name="통화 6 3 2" xfId="3021" xr:uid="{00000000-0005-0000-0000-0000ED0B0000}"/>
    <cellStyle name="통화 6 4" xfId="2694" xr:uid="{00000000-0005-0000-0000-0000EE0B0000}"/>
    <cellStyle name="통화 7" xfId="1910" xr:uid="{00000000-0005-0000-0000-0000EF0B0000}"/>
    <cellStyle name="통화 7 2" xfId="2224" xr:uid="{00000000-0005-0000-0000-0000F00B0000}"/>
    <cellStyle name="통화 7 2 2" xfId="2561" xr:uid="{00000000-0005-0000-0000-0000F10B0000}"/>
    <cellStyle name="통화 7 2 2 2" xfId="3218" xr:uid="{00000000-0005-0000-0000-0000F20B0000}"/>
    <cellStyle name="통화 7 2 3" xfId="2891" xr:uid="{00000000-0005-0000-0000-0000F30B0000}"/>
    <cellStyle name="통화 7 3" xfId="2365" xr:uid="{00000000-0005-0000-0000-0000F40B0000}"/>
    <cellStyle name="통화 7 3 2" xfId="3022" xr:uid="{00000000-0005-0000-0000-0000F50B0000}"/>
    <cellStyle name="통화 7 4" xfId="2695" xr:uid="{00000000-0005-0000-0000-0000F60B0000}"/>
    <cellStyle name="통화 8" xfId="1911" xr:uid="{00000000-0005-0000-0000-0000F70B0000}"/>
    <cellStyle name="통화 8 2" xfId="2225" xr:uid="{00000000-0005-0000-0000-0000F80B0000}"/>
    <cellStyle name="통화 8 2 2" xfId="2562" xr:uid="{00000000-0005-0000-0000-0000F90B0000}"/>
    <cellStyle name="통화 8 2 2 2" xfId="3219" xr:uid="{00000000-0005-0000-0000-0000FA0B0000}"/>
    <cellStyle name="통화 8 2 3" xfId="2892" xr:uid="{00000000-0005-0000-0000-0000FB0B0000}"/>
    <cellStyle name="통화 8 3" xfId="2366" xr:uid="{00000000-0005-0000-0000-0000FC0B0000}"/>
    <cellStyle name="통화 8 3 2" xfId="3023" xr:uid="{00000000-0005-0000-0000-0000FD0B0000}"/>
    <cellStyle name="통화 8 4" xfId="2696" xr:uid="{00000000-0005-0000-0000-0000FE0B0000}"/>
    <cellStyle name="통화 9" xfId="1912" xr:uid="{00000000-0005-0000-0000-0000FF0B0000}"/>
    <cellStyle name="통화 9 2" xfId="2226" xr:uid="{00000000-0005-0000-0000-0000000C0000}"/>
    <cellStyle name="통화 9 2 2" xfId="2563" xr:uid="{00000000-0005-0000-0000-0000010C0000}"/>
    <cellStyle name="통화 9 2 2 2" xfId="3220" xr:uid="{00000000-0005-0000-0000-0000020C0000}"/>
    <cellStyle name="통화 9 2 3" xfId="2893" xr:uid="{00000000-0005-0000-0000-0000030C0000}"/>
    <cellStyle name="통화 9 3" xfId="2367" xr:uid="{00000000-0005-0000-0000-0000040C0000}"/>
    <cellStyle name="통화 9 3 2" xfId="3024" xr:uid="{00000000-0005-0000-0000-0000050C0000}"/>
    <cellStyle name="통화 9 4" xfId="2697" xr:uid="{00000000-0005-0000-0000-0000060C0000}"/>
    <cellStyle name="通貨_ADH987175 現代電子 SMD750B" xfId="1913" xr:uid="{00000000-0005-0000-0000-0000070C0000}"/>
    <cellStyle name="퍼센트" xfId="1914" xr:uid="{00000000-0005-0000-0000-0000080C0000}"/>
    <cellStyle name="편집_1" xfId="1915" xr:uid="{00000000-0005-0000-0000-0000090C0000}"/>
    <cellStyle name="표" xfId="1916" xr:uid="{00000000-0005-0000-0000-00000A0C0000}"/>
    <cellStyle name="표_Daeshin Price List (122309)" xfId="1917" xr:uid="{00000000-0005-0000-0000-00000B0C0000}"/>
    <cellStyle name="표_Daeshin Price List (122309)_Daeshin Pricing and Calculations 7Jun12" xfId="1918" xr:uid="{00000000-0005-0000-0000-00000C0C0000}"/>
    <cellStyle name="표서식" xfId="1919" xr:uid="{00000000-0005-0000-0000-00000D0C0000}"/>
    <cellStyle name="标题" xfId="1920" xr:uid="{00000000-0005-0000-0000-00000E0C0000}"/>
    <cellStyle name="标题 1" xfId="1921" xr:uid="{00000000-0005-0000-0000-00000F0C0000}"/>
    <cellStyle name="标题 2" xfId="1922" xr:uid="{00000000-0005-0000-0000-0000100C0000}"/>
    <cellStyle name="标题 3" xfId="1923" xr:uid="{00000000-0005-0000-0000-0000110C0000}"/>
    <cellStyle name="标题 3 2" xfId="1924" xr:uid="{00000000-0005-0000-0000-0000120C0000}"/>
    <cellStyle name="标题 3 2 2" xfId="1925" xr:uid="{00000000-0005-0000-0000-0000130C0000}"/>
    <cellStyle name="标题 4" xfId="1926" xr:uid="{00000000-0005-0000-0000-0000140C0000}"/>
    <cellStyle name="标题_B4 Utility summary code name 091104 구동호" xfId="1927" xr:uid="{00000000-0005-0000-0000-0000150C0000}"/>
    <cellStyle name="표준" xfId="0" builtinId="0"/>
    <cellStyle name="표준 10" xfId="20" xr:uid="{00000000-0005-0000-0000-0000170C0000}"/>
    <cellStyle name="표준 10 2" xfId="1929" xr:uid="{00000000-0005-0000-0000-0000180C0000}"/>
    <cellStyle name="표준 10 3" xfId="1930" xr:uid="{00000000-0005-0000-0000-0000190C0000}"/>
    <cellStyle name="표준 10 4" xfId="1931" xr:uid="{00000000-0005-0000-0000-00001A0C0000}"/>
    <cellStyle name="표준 10 5" xfId="3223" xr:uid="{00000000-0005-0000-0000-00001B0C0000}"/>
    <cellStyle name="표준 10 6" xfId="1928" xr:uid="{00000000-0005-0000-0000-00001C0C0000}"/>
    <cellStyle name="표준 11" xfId="34" xr:uid="{00000000-0005-0000-0000-00001D0C0000}"/>
    <cellStyle name="표준 11 2" xfId="1933" xr:uid="{00000000-0005-0000-0000-00001E0C0000}"/>
    <cellStyle name="표준 11 3" xfId="1932" xr:uid="{00000000-0005-0000-0000-00001F0C0000}"/>
    <cellStyle name="표준 12" xfId="1934" xr:uid="{00000000-0005-0000-0000-0000200C0000}"/>
    <cellStyle name="표준 12 2" xfId="1935" xr:uid="{00000000-0005-0000-0000-0000210C0000}"/>
    <cellStyle name="표준 13" xfId="1936" xr:uid="{00000000-0005-0000-0000-0000220C0000}"/>
    <cellStyle name="표준 13 2" xfId="1937" xr:uid="{00000000-0005-0000-0000-0000230C0000}"/>
    <cellStyle name="표준 14" xfId="1938" xr:uid="{00000000-0005-0000-0000-0000240C0000}"/>
    <cellStyle name="표준 15" xfId="1939" xr:uid="{00000000-0005-0000-0000-0000250C0000}"/>
    <cellStyle name="표준 16" xfId="1940" xr:uid="{00000000-0005-0000-0000-0000260C0000}"/>
    <cellStyle name="표준 17" xfId="1941" xr:uid="{00000000-0005-0000-0000-0000270C0000}"/>
    <cellStyle name="표준 18" xfId="1942" xr:uid="{00000000-0005-0000-0000-0000280C0000}"/>
    <cellStyle name="표준 19" xfId="1943" xr:uid="{00000000-0005-0000-0000-0000290C0000}"/>
    <cellStyle name="표준 2" xfId="2" xr:uid="{00000000-0005-0000-0000-00002A0C0000}"/>
    <cellStyle name="표준 2 10" xfId="1944" xr:uid="{00000000-0005-0000-0000-00002B0C0000}"/>
    <cellStyle name="표준 2 11" xfId="37" xr:uid="{00000000-0005-0000-0000-00002C0C0000}"/>
    <cellStyle name="표준 2 2" xfId="12" xr:uid="{00000000-0005-0000-0000-00002D0C0000}"/>
    <cellStyle name="표준 2 2 2" xfId="1946" xr:uid="{00000000-0005-0000-0000-00002E0C0000}"/>
    <cellStyle name="표준 2 2 3" xfId="1947" xr:uid="{00000000-0005-0000-0000-00002F0C0000}"/>
    <cellStyle name="표준 2 2 3 2" xfId="1948" xr:uid="{00000000-0005-0000-0000-0000300C0000}"/>
    <cellStyle name="표준 2 2 3_05-3" xfId="1949" xr:uid="{00000000-0005-0000-0000-0000310C0000}"/>
    <cellStyle name="표준 2 2 4" xfId="1945" xr:uid="{00000000-0005-0000-0000-0000320C0000}"/>
    <cellStyle name="표준 2 2 5" xfId="2027" xr:uid="{00000000-0005-0000-0000-0000330C0000}"/>
    <cellStyle name="표준 2 2 6" xfId="2026" xr:uid="{00000000-0005-0000-0000-0000340C0000}"/>
    <cellStyle name="표준 2 2 7" xfId="2228" xr:uid="{00000000-0005-0000-0000-0000350C0000}"/>
    <cellStyle name="표준 2 2 8" xfId="2237" xr:uid="{00000000-0005-0000-0000-0000360C0000}"/>
    <cellStyle name="표준 2 2 9" xfId="2227" xr:uid="{00000000-0005-0000-0000-0000370C0000}"/>
    <cellStyle name="표준 2 2_05-3" xfId="1950" xr:uid="{00000000-0005-0000-0000-0000380C0000}"/>
    <cellStyle name="표준 2 3" xfId="50" xr:uid="{00000000-0005-0000-0000-0000390C0000}"/>
    <cellStyle name="표준 2 3 2" xfId="2068" xr:uid="{00000000-0005-0000-0000-00003A0C0000}"/>
    <cellStyle name="표준 2 3 3" xfId="1951" xr:uid="{00000000-0005-0000-0000-00003B0C0000}"/>
    <cellStyle name="표준 2 4" xfId="1952" xr:uid="{00000000-0005-0000-0000-00003C0C0000}"/>
    <cellStyle name="표준 2 5" xfId="1953" xr:uid="{00000000-0005-0000-0000-00003D0C0000}"/>
    <cellStyle name="표준 2 6" xfId="1954" xr:uid="{00000000-0005-0000-0000-00003E0C0000}"/>
    <cellStyle name="표준 2 7" xfId="1955" xr:uid="{00000000-0005-0000-0000-00003F0C0000}"/>
    <cellStyle name="표준 2 8" xfId="1956" xr:uid="{00000000-0005-0000-0000-0000400C0000}"/>
    <cellStyle name="표준 2 9" xfId="1957" xr:uid="{00000000-0005-0000-0000-0000410C0000}"/>
    <cellStyle name="표준 2_05-3" xfId="1958" xr:uid="{00000000-0005-0000-0000-0000420C0000}"/>
    <cellStyle name="표준 20" xfId="1959" xr:uid="{00000000-0005-0000-0000-0000430C0000}"/>
    <cellStyle name="표준 21" xfId="1960" xr:uid="{00000000-0005-0000-0000-0000440C0000}"/>
    <cellStyle name="표준 22" xfId="1961" xr:uid="{00000000-0005-0000-0000-0000450C0000}"/>
    <cellStyle name="표준 23" xfId="1962" xr:uid="{00000000-0005-0000-0000-0000460C0000}"/>
    <cellStyle name="표준 24" xfId="1963" xr:uid="{00000000-0005-0000-0000-0000470C0000}"/>
    <cellStyle name="표준 25" xfId="1964" xr:uid="{00000000-0005-0000-0000-0000480C0000}"/>
    <cellStyle name="표준 26" xfId="2075" xr:uid="{00000000-0005-0000-0000-0000490C0000}"/>
    <cellStyle name="표준 26 2" xfId="2229" xr:uid="{00000000-0005-0000-0000-00004A0C0000}"/>
    <cellStyle name="표준 27" xfId="2076" xr:uid="{00000000-0005-0000-0000-00004B0C0000}"/>
    <cellStyle name="표준 27 2" xfId="2230" xr:uid="{00000000-0005-0000-0000-00004C0C0000}"/>
    <cellStyle name="표준 28" xfId="2231" xr:uid="{00000000-0005-0000-0000-00004D0C0000}"/>
    <cellStyle name="표준 3" xfId="6" xr:uid="{00000000-0005-0000-0000-00004E0C0000}"/>
    <cellStyle name="표준 3 2" xfId="1966" xr:uid="{00000000-0005-0000-0000-00004F0C0000}"/>
    <cellStyle name="표준 3 3" xfId="1967" xr:uid="{00000000-0005-0000-0000-0000500C0000}"/>
    <cellStyle name="표준 3 4" xfId="1968" xr:uid="{00000000-0005-0000-0000-0000510C0000}"/>
    <cellStyle name="표준 3 5" xfId="1969" xr:uid="{00000000-0005-0000-0000-0000520C0000}"/>
    <cellStyle name="표준 3 6" xfId="1965" xr:uid="{00000000-0005-0000-0000-0000530C0000}"/>
    <cellStyle name="표준 4" xfId="9" xr:uid="{00000000-0005-0000-0000-0000540C0000}"/>
    <cellStyle name="표준 4 2" xfId="1971" xr:uid="{00000000-0005-0000-0000-0000550C0000}"/>
    <cellStyle name="표준 4 2 2" xfId="2072" xr:uid="{00000000-0005-0000-0000-0000560C0000}"/>
    <cellStyle name="표준 4 3" xfId="1972" xr:uid="{00000000-0005-0000-0000-0000570C0000}"/>
    <cellStyle name="표준 4 4" xfId="1970" xr:uid="{00000000-0005-0000-0000-0000580C0000}"/>
    <cellStyle name="표준 4 4 2" xfId="2232" xr:uid="{00000000-0005-0000-0000-0000590C0000}"/>
    <cellStyle name="표준 4 5" xfId="2059" xr:uid="{00000000-0005-0000-0000-00005A0C0000}"/>
    <cellStyle name="표준 4 6" xfId="69" xr:uid="{00000000-0005-0000-0000-00005B0C0000}"/>
    <cellStyle name="표준 4 7" xfId="41" xr:uid="{00000000-0005-0000-0000-00005C0C0000}"/>
    <cellStyle name="표준 4_05-3" xfId="1973" xr:uid="{00000000-0005-0000-0000-00005D0C0000}"/>
    <cellStyle name="표준 5" xfId="8" xr:uid="{00000000-0005-0000-0000-00005E0C0000}"/>
    <cellStyle name="표준 5 2" xfId="1975" xr:uid="{00000000-0005-0000-0000-00005F0C0000}"/>
    <cellStyle name="표준 5 3" xfId="1976" xr:uid="{00000000-0005-0000-0000-0000600C0000}"/>
    <cellStyle name="표준 5 4" xfId="1974" xr:uid="{00000000-0005-0000-0000-0000610C0000}"/>
    <cellStyle name="표준 5 4 2" xfId="2233" xr:uid="{00000000-0005-0000-0000-0000620C0000}"/>
    <cellStyle name="표준 6" xfId="10" xr:uid="{00000000-0005-0000-0000-0000630C0000}"/>
    <cellStyle name="표준 6 2" xfId="1978" xr:uid="{00000000-0005-0000-0000-0000640C0000}"/>
    <cellStyle name="표준 6 3" xfId="1979" xr:uid="{00000000-0005-0000-0000-0000650C0000}"/>
    <cellStyle name="표준 6 4" xfId="1977" xr:uid="{00000000-0005-0000-0000-0000660C0000}"/>
    <cellStyle name="표준 7" xfId="13" xr:uid="{00000000-0005-0000-0000-0000670C0000}"/>
    <cellStyle name="표준 7 2" xfId="35" xr:uid="{00000000-0005-0000-0000-0000680C0000}"/>
    <cellStyle name="표준 7 2 2" xfId="1982" xr:uid="{00000000-0005-0000-0000-0000690C0000}"/>
    <cellStyle name="표준 7 2 3" xfId="1983" xr:uid="{00000000-0005-0000-0000-00006A0C0000}"/>
    <cellStyle name="표준 7 2 4" xfId="1981" xr:uid="{00000000-0005-0000-0000-00006B0C0000}"/>
    <cellStyle name="표준 7 3" xfId="1984" xr:uid="{00000000-0005-0000-0000-00006C0C0000}"/>
    <cellStyle name="표준 7 4" xfId="1980" xr:uid="{00000000-0005-0000-0000-00006D0C0000}"/>
    <cellStyle name="표준 7 4 2" xfId="2234" xr:uid="{00000000-0005-0000-0000-00006E0C0000}"/>
    <cellStyle name="표준 73" xfId="5" xr:uid="{00000000-0005-0000-0000-00006F0C0000}"/>
    <cellStyle name="표준 8" xfId="14" xr:uid="{00000000-0005-0000-0000-0000700C0000}"/>
    <cellStyle name="표준 8 2" xfId="1986" xr:uid="{00000000-0005-0000-0000-0000710C0000}"/>
    <cellStyle name="표준 8 3" xfId="1987" xr:uid="{00000000-0005-0000-0000-0000720C0000}"/>
    <cellStyle name="표준 8 4" xfId="1988" xr:uid="{00000000-0005-0000-0000-0000730C0000}"/>
    <cellStyle name="표준 8 5" xfId="1985" xr:uid="{00000000-0005-0000-0000-0000740C0000}"/>
    <cellStyle name="표준 8 5 2" xfId="2235" xr:uid="{00000000-0005-0000-0000-0000750C0000}"/>
    <cellStyle name="표준 9" xfId="15" xr:uid="{00000000-0005-0000-0000-0000760C0000}"/>
    <cellStyle name="표준 9 2" xfId="36" xr:uid="{00000000-0005-0000-0000-0000770C0000}"/>
    <cellStyle name="표준 9 3" xfId="1990" xr:uid="{00000000-0005-0000-0000-0000780C0000}"/>
    <cellStyle name="표준 9 4" xfId="1989" xr:uid="{00000000-0005-0000-0000-0000790C0000}"/>
    <cellStyle name="標準_#4現地工程00404" xfId="1991" xr:uid="{00000000-0005-0000-0000-00007A0C0000}"/>
    <cellStyle name="하이퍼링크 2" xfId="1992" xr:uid="{00000000-0005-0000-0000-00007B0C0000}"/>
    <cellStyle name="하이퍼링크 2 2" xfId="1993" xr:uid="{00000000-0005-0000-0000-00007C0C0000}"/>
    <cellStyle name="하이퍼링크 2 3" xfId="1994" xr:uid="{00000000-0005-0000-0000-00007D0C0000}"/>
    <cellStyle name="하이퍼링크 3" xfId="1995" xr:uid="{00000000-0005-0000-0000-00007E0C0000}"/>
    <cellStyle name="합산" xfId="1996" xr:uid="{00000000-0005-0000-0000-00007F0C0000}"/>
    <cellStyle name="桁区切り [0.00]_LC-1100G配管接続表" xfId="1997" xr:uid="{00000000-0005-0000-0000-0000800C0000}"/>
    <cellStyle name="桁区切り_LC-1100G配管接続表" xfId="1998" xr:uid="{00000000-0005-0000-0000-0000810C0000}"/>
    <cellStyle name="解释性文本" xfId="1999" xr:uid="{00000000-0005-0000-0000-0000820C0000}"/>
    <cellStyle name="好" xfId="2000" xr:uid="{00000000-0005-0000-0000-0000830C0000}"/>
    <cellStyle name="好_B4 Utility summary code name 091104 구동호" xfId="2001" xr:uid="{00000000-0005-0000-0000-0000840C0000}"/>
    <cellStyle name="好_B4 Utility summary DNP reply 091030 구동호" xfId="2002" xr:uid="{00000000-0005-0000-0000-0000850C0000}"/>
    <cellStyle name="好_B4 Utility summary DNP reply091016 jp confirmed구동호" xfId="2003" xr:uid="{00000000-0005-0000-0000-0000860C0000}"/>
    <cellStyle name="好_B4 Utility summary DNP reply091016구동효" xfId="2004" xr:uid="{00000000-0005-0000-0000-0000870C0000}"/>
    <cellStyle name="好_B4 Utility summary unit usage(20091130 DNP-3)BOE구동호" xfId="2005" xr:uid="{00000000-0005-0000-0000-0000880C0000}"/>
    <cellStyle name="好_B4 Utility summary unit usage(20091130 DNP-4)BOE" xfId="2006" xr:uid="{00000000-0005-0000-0000-0000890C0000}"/>
    <cellStyle name="好_B4 Utility summary unit usage(20091130 DNP-4)BOE구동호" xfId="2007" xr:uid="{00000000-0005-0000-0000-00008A0C0000}"/>
    <cellStyle name="好_B4 Utility summary unit usage(20091216)_윤인수" xfId="2008" xr:uid="{00000000-0005-0000-0000-00008B0C0000}"/>
    <cellStyle name="好_B4 Utility summary unit usage(20091217)_구동호" xfId="2009" xr:uid="{00000000-0005-0000-0000-00008C0C0000}"/>
    <cellStyle name="好_B4 Utility Summary(120K)_Rev.2_(091104)_ks" xfId="2010" xr:uid="{00000000-0005-0000-0000-00008D0C0000}"/>
    <cellStyle name="好_B4 Utility Summary(120K)_Rev.2_(091104)_ks_05-3" xfId="2011" xr:uid="{00000000-0005-0000-0000-00008E0C0000}"/>
    <cellStyle name="好_B4 Utility Summary(120K)_Rev.2_(091104)_ks_BOE-DT B4 ROBOT Requirement_ 20100607_testupdate" xfId="2012" xr:uid="{00000000-0005-0000-0000-00008F0C0000}"/>
    <cellStyle name="好_B4 Utility Summary(120K)_Rev.7_(100121)_Test Update" xfId="2013" xr:uid="{00000000-0005-0000-0000-0000900C0000}"/>
    <cellStyle name="好_B4 Utility Summary(120K)_Rev.7_(100121)_Test Update_05-3" xfId="2014" xr:uid="{00000000-0005-0000-0000-0000910C0000}"/>
    <cellStyle name="好_B4 Utility Summary(120K)_Rev.7_(100121)_Test Update_BOE-DT B4 ROBOT Requirement_ 20100607_testupdate" xfId="2015" xr:uid="{00000000-0005-0000-0000-0000920C0000}"/>
    <cellStyle name="好_B4 Utility Summary(90K) - Rev.9 (091013)" xfId="2016" xr:uid="{00000000-0005-0000-0000-0000930C0000}"/>
    <cellStyle name="好_B4 Utility Summary_Module(90K) - Rev.8 (091012)" xfId="2017" xr:uid="{00000000-0005-0000-0000-0000940C0000}"/>
    <cellStyle name="好_B4 Utility Summary_Module(90K) - Rev.9 (091013)" xfId="2018" xr:uid="{00000000-0005-0000-0000-0000950C0000}"/>
    <cellStyle name="화폐기호" xfId="2019" xr:uid="{00000000-0005-0000-0000-0000960C0000}"/>
    <cellStyle name="화폐기호0" xfId="2020" xr:uid="{00000000-0005-0000-0000-0000970C0000}"/>
    <cellStyle name="汇总" xfId="2021" xr:uid="{00000000-0005-0000-0000-0000980C0000}"/>
    <cellStyle name="汇总 2" xfId="2022" xr:uid="{00000000-0005-0000-0000-0000990C0000}"/>
  </cellStyles>
  <dxfs count="1756"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</dxfs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D9D9D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50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2022</a:t>
            </a:r>
            <a:r>
              <a:rPr lang="ko-KR" altLang="en-US"/>
              <a:t>년 환율 변동표</a:t>
            </a:r>
            <a:endParaRPr lang="ko-KR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Lbl>
              <c:idx val="364"/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2F4-4AEC-90E0-F84C3448F86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환율!$A$1099:$A$1463</c:f>
            </c:multiLvlStrRef>
          </c:cat>
          <c:val>
            <c:numRef>
              <c:f>환율!$B$1099:$B$1463</c:f>
            </c:numRef>
          </c:val>
          <c:smooth val="0"/>
          <c:extLst>
            <c:ext xmlns:c16="http://schemas.microsoft.com/office/drawing/2014/chart" uri="{C3380CC4-5D6E-409C-BE32-E72D297353CC}">
              <c16:uniqueId val="{00000001-C2F4-4AEC-90E0-F84C3448F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3478128"/>
        <c:axId val="703478520"/>
      </c:lineChart>
      <c:catAx>
        <c:axId val="703478128"/>
        <c:scaling>
          <c:orientation val="minMax"/>
          <c:min val="-348"/>
        </c:scaling>
        <c:delete val="0"/>
        <c:axPos val="b"/>
        <c:numFmt formatCode="m/d/yyyy" sourceLinked="1"/>
        <c:majorTickMark val="none"/>
        <c:minorTickMark val="none"/>
        <c:tickLblPos val="nextTo"/>
        <c:crossAx val="703478520"/>
        <c:crosses val="autoZero"/>
        <c:auto val="1"/>
        <c:lblAlgn val="ctr"/>
        <c:lblOffset val="100"/>
        <c:noMultiLvlLbl val="1"/>
      </c:catAx>
      <c:valAx>
        <c:axId val="703478520"/>
        <c:scaling>
          <c:orientation val="minMax"/>
          <c:max val="1500"/>
          <c:min val="1100"/>
        </c:scaling>
        <c:delete val="0"/>
        <c:axPos val="l"/>
        <c:majorGridlines/>
        <c:numFmt formatCode="_-* #,##0.00_-;\-* #,##0.00_-;_-* &quot;-&quot;_-;_-@_-" sourceLinked="1"/>
        <c:majorTickMark val="none"/>
        <c:minorTickMark val="none"/>
        <c:tickLblPos val="nextTo"/>
        <c:crossAx val="7034781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emf"/><Relationship Id="rId1" Type="http://schemas.openxmlformats.org/officeDocument/2006/relationships/image" Target="../media/image7.emf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emf"/><Relationship Id="rId1" Type="http://schemas.openxmlformats.org/officeDocument/2006/relationships/image" Target="../media/image7.em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638736</xdr:colOff>
      <xdr:row>0</xdr:row>
      <xdr:rowOff>22412</xdr:rowOff>
    </xdr:from>
    <xdr:to>
      <xdr:col>8</xdr:col>
      <xdr:colOff>1308846</xdr:colOff>
      <xdr:row>5</xdr:row>
      <xdr:rowOff>224118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82D3BA5-E557-4DD3-88DA-E87706D27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59589" y="22412"/>
          <a:ext cx="5511051" cy="1434353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76200</xdr:rowOff>
    </xdr:from>
    <xdr:to>
      <xdr:col>18</xdr:col>
      <xdr:colOff>231601</xdr:colOff>
      <xdr:row>16</xdr:row>
      <xdr:rowOff>84044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EE0631E-3BFA-4BC1-B051-64174DAAA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20999" y="3448050"/>
          <a:ext cx="4340798" cy="10365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14</xdr:row>
      <xdr:rowOff>144235</xdr:rowOff>
    </xdr:from>
    <xdr:to>
      <xdr:col>19</xdr:col>
      <xdr:colOff>242808</xdr:colOff>
      <xdr:row>17</xdr:row>
      <xdr:rowOff>288151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31EA413-6468-4BDE-8C63-06233CBFC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33670" y="2484664"/>
          <a:ext cx="4321748" cy="10419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1864178</xdr:colOff>
      <xdr:row>0</xdr:row>
      <xdr:rowOff>171450</xdr:rowOff>
    </xdr:from>
    <xdr:to>
      <xdr:col>8</xdr:col>
      <xdr:colOff>1916352</xdr:colOff>
      <xdr:row>8</xdr:row>
      <xdr:rowOff>163286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EA7430F-F5E3-444E-B33B-38C670234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40785" y="171450"/>
          <a:ext cx="5944067" cy="178797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122462</xdr:colOff>
      <xdr:row>0</xdr:row>
      <xdr:rowOff>144237</xdr:rowOff>
    </xdr:from>
    <xdr:to>
      <xdr:col>9</xdr:col>
      <xdr:colOff>2134065</xdr:colOff>
      <xdr:row>8</xdr:row>
      <xdr:rowOff>136073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B928DAF-C1B6-4431-BE20-3E9BBFA99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58498" y="144237"/>
          <a:ext cx="5944067" cy="178797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95248</xdr:colOff>
      <xdr:row>4</xdr:row>
      <xdr:rowOff>185057</xdr:rowOff>
    </xdr:from>
    <xdr:to>
      <xdr:col>23</xdr:col>
      <xdr:colOff>596458</xdr:colOff>
      <xdr:row>11</xdr:row>
      <xdr:rowOff>204108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852E835-A869-47DD-9509-12ADB28D6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46784" y="1001486"/>
          <a:ext cx="5944067" cy="178797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81642</xdr:colOff>
      <xdr:row>0</xdr:row>
      <xdr:rowOff>171450</xdr:rowOff>
    </xdr:from>
    <xdr:to>
      <xdr:col>9</xdr:col>
      <xdr:colOff>2093245</xdr:colOff>
      <xdr:row>8</xdr:row>
      <xdr:rowOff>163286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2AFF4DB-39D7-4D87-ACAE-5342D39D4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17678" y="171450"/>
          <a:ext cx="5944067" cy="178797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90911</xdr:colOff>
      <xdr:row>2</xdr:row>
      <xdr:rowOff>0</xdr:rowOff>
    </xdr:from>
    <xdr:to>
      <xdr:col>9</xdr:col>
      <xdr:colOff>2174888</xdr:colOff>
      <xdr:row>9</xdr:row>
      <xdr:rowOff>176892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1245D9B-A2EF-4B66-AA99-BAF2D9AFB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6947" y="408214"/>
          <a:ext cx="6016441" cy="180974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476250</xdr:colOff>
      <xdr:row>4</xdr:row>
      <xdr:rowOff>16252</xdr:rowOff>
    </xdr:from>
    <xdr:to>
      <xdr:col>21</xdr:col>
      <xdr:colOff>480154</xdr:colOff>
      <xdr:row>11</xdr:row>
      <xdr:rowOff>36740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601E580-DA1E-4921-98E7-6AE40D4D4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76321" y="832681"/>
          <a:ext cx="8154583" cy="1789416"/>
        </a:xfrm>
        <a:prstGeom prst="rect">
          <a:avLst/>
        </a:prstGeom>
      </xdr:spPr>
    </xdr:pic>
    <xdr:clientData/>
  </xdr:twoCellAnchor>
  <xdr:twoCellAnchor editAs="oneCell">
    <xdr:from>
      <xdr:col>6</xdr:col>
      <xdr:colOff>1483178</xdr:colOff>
      <xdr:row>1</xdr:row>
      <xdr:rowOff>204104</xdr:rowOff>
    </xdr:from>
    <xdr:to>
      <xdr:col>9</xdr:col>
      <xdr:colOff>2201674</xdr:colOff>
      <xdr:row>9</xdr:row>
      <xdr:rowOff>204104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25E168C-CB62-45BB-103A-3E9678817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59785" y="408211"/>
          <a:ext cx="6610389" cy="183696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476250</xdr:colOff>
      <xdr:row>4</xdr:row>
      <xdr:rowOff>16252</xdr:rowOff>
    </xdr:from>
    <xdr:to>
      <xdr:col>21</xdr:col>
      <xdr:colOff>58333</xdr:colOff>
      <xdr:row>11</xdr:row>
      <xdr:rowOff>36740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B0BB4FC-31D1-4333-9BAE-20939372C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73600" y="854452"/>
          <a:ext cx="8204929" cy="1801663"/>
        </a:xfrm>
        <a:prstGeom prst="rect">
          <a:avLst/>
        </a:prstGeom>
      </xdr:spPr>
    </xdr:pic>
    <xdr:clientData/>
  </xdr:twoCellAnchor>
  <xdr:twoCellAnchor editAs="oneCell">
    <xdr:from>
      <xdr:col>6</xdr:col>
      <xdr:colOff>1496785</xdr:colOff>
      <xdr:row>2</xdr:row>
      <xdr:rowOff>13604</xdr:rowOff>
    </xdr:from>
    <xdr:to>
      <xdr:col>9</xdr:col>
      <xdr:colOff>2215281</xdr:colOff>
      <xdr:row>9</xdr:row>
      <xdr:rowOff>217711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F5BD8A0-8305-4320-87E5-0D4107DF3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73392" y="421818"/>
          <a:ext cx="6610389" cy="183696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476250</xdr:colOff>
      <xdr:row>4</xdr:row>
      <xdr:rowOff>16252</xdr:rowOff>
    </xdr:from>
    <xdr:to>
      <xdr:col>21</xdr:col>
      <xdr:colOff>31118</xdr:colOff>
      <xdr:row>11</xdr:row>
      <xdr:rowOff>36740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3F2CEDD-671E-4962-8088-CA03FC240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73600" y="854452"/>
          <a:ext cx="8202208" cy="1801663"/>
        </a:xfrm>
        <a:prstGeom prst="rect">
          <a:avLst/>
        </a:prstGeom>
      </xdr:spPr>
    </xdr:pic>
    <xdr:clientData/>
  </xdr:twoCellAnchor>
  <xdr:twoCellAnchor editAs="oneCell">
    <xdr:from>
      <xdr:col>6</xdr:col>
      <xdr:colOff>1455966</xdr:colOff>
      <xdr:row>1</xdr:row>
      <xdr:rowOff>176889</xdr:rowOff>
    </xdr:from>
    <xdr:to>
      <xdr:col>9</xdr:col>
      <xdr:colOff>2174462</xdr:colOff>
      <xdr:row>9</xdr:row>
      <xdr:rowOff>176889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AFD70C5-BB09-4AC6-8A9A-D37354D13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32573" y="380996"/>
          <a:ext cx="6610389" cy="183696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326572</xdr:colOff>
      <xdr:row>1</xdr:row>
      <xdr:rowOff>312962</xdr:rowOff>
    </xdr:from>
    <xdr:to>
      <xdr:col>9</xdr:col>
      <xdr:colOff>2200275</xdr:colOff>
      <xdr:row>8</xdr:row>
      <xdr:rowOff>234041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6338D5AB-14F3-91A5-D800-15671A39C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62608" y="653141"/>
          <a:ext cx="5806167" cy="17580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571500</xdr:colOff>
      <xdr:row>0</xdr:row>
      <xdr:rowOff>133350</xdr:rowOff>
    </xdr:from>
    <xdr:to>
      <xdr:col>12</xdr:col>
      <xdr:colOff>326610</xdr:colOff>
      <xdr:row>9</xdr:row>
      <xdr:rowOff>84364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1E2D432-01D0-41E8-A103-74391963D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3100" y="133350"/>
          <a:ext cx="6613110" cy="1836964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476250</xdr:colOff>
      <xdr:row>17</xdr:row>
      <xdr:rowOff>161925</xdr:rowOff>
    </xdr:from>
    <xdr:to>
      <xdr:col>12</xdr:col>
      <xdr:colOff>485775</xdr:colOff>
      <xdr:row>24</xdr:row>
      <xdr:rowOff>171450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9B3081D3-A24A-F129-8841-708C38374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9450" y="3724275"/>
          <a:ext cx="5495925" cy="1476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391940</xdr:colOff>
      <xdr:row>50</xdr:row>
      <xdr:rowOff>272141</xdr:rowOff>
    </xdr:from>
    <xdr:to>
      <xdr:col>17</xdr:col>
      <xdr:colOff>62593</xdr:colOff>
      <xdr:row>55</xdr:row>
      <xdr:rowOff>175533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81391CA-1CAF-49AA-92DE-E732AF917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10619" y="16559891"/>
          <a:ext cx="6202081" cy="16042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228655</xdr:colOff>
      <xdr:row>49</xdr:row>
      <xdr:rowOff>68034</xdr:rowOff>
    </xdr:from>
    <xdr:to>
      <xdr:col>16</xdr:col>
      <xdr:colOff>634094</xdr:colOff>
      <xdr:row>53</xdr:row>
      <xdr:rowOff>311604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AAAEBC1-5D22-4603-9535-A50818F03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5834" y="16015605"/>
          <a:ext cx="6202081" cy="16042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647700</xdr:colOff>
      <xdr:row>12</xdr:row>
      <xdr:rowOff>38100</xdr:rowOff>
    </xdr:from>
    <xdr:to>
      <xdr:col>19</xdr:col>
      <xdr:colOff>361950</xdr:colOff>
      <xdr:row>17</xdr:row>
      <xdr:rowOff>190500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BE09632-8177-EA25-23CC-45816CA30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39200" y="2295525"/>
          <a:ext cx="5886450" cy="1209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7</xdr:col>
      <xdr:colOff>9525</xdr:colOff>
      <xdr:row>20</xdr:row>
      <xdr:rowOff>161925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2E31140-D6FA-74C5-9605-99B37B7E0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5600"/>
          <a:ext cx="4772025" cy="1209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296690</xdr:colOff>
      <xdr:row>27</xdr:row>
      <xdr:rowOff>285749</xdr:rowOff>
    </xdr:from>
    <xdr:to>
      <xdr:col>16</xdr:col>
      <xdr:colOff>702129</xdr:colOff>
      <xdr:row>32</xdr:row>
      <xdr:rowOff>189141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6A12C6E-358A-436F-B4DD-3CF61AB5A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43869" y="8749392"/>
          <a:ext cx="6202081" cy="16042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258535</xdr:colOff>
      <xdr:row>2</xdr:row>
      <xdr:rowOff>176893</xdr:rowOff>
    </xdr:from>
    <xdr:to>
      <xdr:col>9</xdr:col>
      <xdr:colOff>2171676</xdr:colOff>
      <xdr:row>8</xdr:row>
      <xdr:rowOff>161927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E466AB4-AAD7-4D18-BF4E-7BA4DFF80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4571" y="857250"/>
          <a:ext cx="5845605" cy="1481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1251857</xdr:colOff>
      <xdr:row>79</xdr:row>
      <xdr:rowOff>190500</xdr:rowOff>
    </xdr:from>
    <xdr:to>
      <xdr:col>15</xdr:col>
      <xdr:colOff>1259997</xdr:colOff>
      <xdr:row>83</xdr:row>
      <xdr:rowOff>311606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BA224A8-24C0-47DD-A5F2-CB240E36A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51928" y="23281821"/>
          <a:ext cx="5845605" cy="1481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272143</xdr:colOff>
      <xdr:row>2</xdr:row>
      <xdr:rowOff>190499</xdr:rowOff>
    </xdr:from>
    <xdr:to>
      <xdr:col>9</xdr:col>
      <xdr:colOff>2185284</xdr:colOff>
      <xdr:row>8</xdr:row>
      <xdr:rowOff>175533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640A9B8-9C70-45C7-83EC-E2359F10E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08179" y="870856"/>
          <a:ext cx="5845605" cy="1481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408214</xdr:colOff>
      <xdr:row>2</xdr:row>
      <xdr:rowOff>1</xdr:rowOff>
    </xdr:from>
    <xdr:to>
      <xdr:col>11</xdr:col>
      <xdr:colOff>38099</xdr:colOff>
      <xdr:row>9</xdr:row>
      <xdr:rowOff>29937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A1C4E0A-741A-793B-DA3A-7CD644AD3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0464" y="680358"/>
          <a:ext cx="5793921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408214</xdr:colOff>
      <xdr:row>2</xdr:row>
      <xdr:rowOff>1</xdr:rowOff>
    </xdr:from>
    <xdr:to>
      <xdr:col>12</xdr:col>
      <xdr:colOff>38099</xdr:colOff>
      <xdr:row>9</xdr:row>
      <xdr:rowOff>29937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2CC2C9D-687F-43FF-BF07-7BFA880FB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0464" y="676276"/>
          <a:ext cx="5792560" cy="17920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408214</xdr:colOff>
      <xdr:row>2</xdr:row>
      <xdr:rowOff>1</xdr:rowOff>
    </xdr:from>
    <xdr:to>
      <xdr:col>12</xdr:col>
      <xdr:colOff>38099</xdr:colOff>
      <xdr:row>9</xdr:row>
      <xdr:rowOff>29937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8702292-9269-4EC6-947E-C33E606BA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0464" y="676276"/>
          <a:ext cx="5792560" cy="17920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408214</xdr:colOff>
      <xdr:row>2</xdr:row>
      <xdr:rowOff>1</xdr:rowOff>
    </xdr:from>
    <xdr:to>
      <xdr:col>12</xdr:col>
      <xdr:colOff>38099</xdr:colOff>
      <xdr:row>9</xdr:row>
      <xdr:rowOff>29937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61D2E07-4E9F-407C-BDD8-F5C78180E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33539" y="676276"/>
          <a:ext cx="5792560" cy="17920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408214</xdr:colOff>
      <xdr:row>2</xdr:row>
      <xdr:rowOff>1</xdr:rowOff>
    </xdr:from>
    <xdr:to>
      <xdr:col>12</xdr:col>
      <xdr:colOff>38099</xdr:colOff>
      <xdr:row>9</xdr:row>
      <xdr:rowOff>29937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A282E0A-159E-4D3B-A82E-842A0F7B1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33539" y="676276"/>
          <a:ext cx="5792560" cy="17920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381000</xdr:colOff>
      <xdr:row>1</xdr:row>
      <xdr:rowOff>326571</xdr:rowOff>
    </xdr:from>
    <xdr:to>
      <xdr:col>12</xdr:col>
      <xdr:colOff>0</xdr:colOff>
      <xdr:row>9</xdr:row>
      <xdr:rowOff>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B3EC4D2-558C-99A5-4CD2-DA3DCDBEE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63250" y="666750"/>
          <a:ext cx="5783036" cy="17553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381000</xdr:colOff>
      <xdr:row>1</xdr:row>
      <xdr:rowOff>326571</xdr:rowOff>
    </xdr:from>
    <xdr:to>
      <xdr:col>12</xdr:col>
      <xdr:colOff>0</xdr:colOff>
      <xdr:row>9</xdr:row>
      <xdr:rowOff>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C13242E-D53E-4D54-98A5-C4347FB7C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63250" y="659946"/>
          <a:ext cx="5781675" cy="17784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381000</xdr:colOff>
      <xdr:row>1</xdr:row>
      <xdr:rowOff>326571</xdr:rowOff>
    </xdr:from>
    <xdr:to>
      <xdr:col>12</xdr:col>
      <xdr:colOff>0</xdr:colOff>
      <xdr:row>9</xdr:row>
      <xdr:rowOff>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D4E32EA-F4C3-4BBE-B50D-9911E1E47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63250" y="659946"/>
          <a:ext cx="5781675" cy="17784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381000</xdr:colOff>
      <xdr:row>1</xdr:row>
      <xdr:rowOff>326571</xdr:rowOff>
    </xdr:from>
    <xdr:to>
      <xdr:col>12</xdr:col>
      <xdr:colOff>0</xdr:colOff>
      <xdr:row>9</xdr:row>
      <xdr:rowOff>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FC89F36-C37D-4B49-890F-E36C72BFF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63250" y="659946"/>
          <a:ext cx="5781675" cy="17784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381000</xdr:colOff>
      <xdr:row>1</xdr:row>
      <xdr:rowOff>326571</xdr:rowOff>
    </xdr:from>
    <xdr:to>
      <xdr:col>11</xdr:col>
      <xdr:colOff>0</xdr:colOff>
      <xdr:row>9</xdr:row>
      <xdr:rowOff>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071212D-51EC-4CB5-864B-03775F8DA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63250" y="659946"/>
          <a:ext cx="5781675" cy="17784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381000</xdr:colOff>
      <xdr:row>1</xdr:row>
      <xdr:rowOff>326571</xdr:rowOff>
    </xdr:from>
    <xdr:to>
      <xdr:col>11</xdr:col>
      <xdr:colOff>0</xdr:colOff>
      <xdr:row>8</xdr:row>
      <xdr:rowOff>238125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AFDF5A9-C542-4F00-B8FC-7F2BD68E1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63250" y="659946"/>
          <a:ext cx="5781675" cy="17784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381000</xdr:colOff>
      <xdr:row>1</xdr:row>
      <xdr:rowOff>326571</xdr:rowOff>
    </xdr:from>
    <xdr:to>
      <xdr:col>11</xdr:col>
      <xdr:colOff>0</xdr:colOff>
      <xdr:row>8</xdr:row>
      <xdr:rowOff>238125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629E7C6-BCBE-42F6-96D9-9BFF47CFE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63250" y="612321"/>
          <a:ext cx="5781675" cy="17784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87406</xdr:colOff>
      <xdr:row>0</xdr:row>
      <xdr:rowOff>242528</xdr:rowOff>
    </xdr:from>
    <xdr:to>
      <xdr:col>11</xdr:col>
      <xdr:colOff>11207</xdr:colOff>
      <xdr:row>7</xdr:row>
      <xdr:rowOff>10385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465557F-3BB0-4001-BDC2-129DFE1F0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9230" y="242528"/>
          <a:ext cx="5078506" cy="1560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87406</xdr:colOff>
      <xdr:row>0</xdr:row>
      <xdr:rowOff>242528</xdr:rowOff>
    </xdr:from>
    <xdr:to>
      <xdr:col>13</xdr:col>
      <xdr:colOff>11207</xdr:colOff>
      <xdr:row>7</xdr:row>
      <xdr:rowOff>10385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967D1E0-625D-4DB1-9376-CB12AD750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9656" y="242528"/>
          <a:ext cx="5067301" cy="1558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87406</xdr:colOff>
      <xdr:row>0</xdr:row>
      <xdr:rowOff>242528</xdr:rowOff>
    </xdr:from>
    <xdr:to>
      <xdr:col>13</xdr:col>
      <xdr:colOff>11207</xdr:colOff>
      <xdr:row>7</xdr:row>
      <xdr:rowOff>10385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2862F03-1EB5-4FD1-A2F4-D79594B0D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9656" y="242528"/>
          <a:ext cx="5067301" cy="1558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87406</xdr:colOff>
      <xdr:row>0</xdr:row>
      <xdr:rowOff>242528</xdr:rowOff>
    </xdr:from>
    <xdr:to>
      <xdr:col>11</xdr:col>
      <xdr:colOff>0</xdr:colOff>
      <xdr:row>7</xdr:row>
      <xdr:rowOff>10385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208A937-A449-491F-84A8-330718E95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9656" y="242528"/>
          <a:ext cx="5067301" cy="1558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87406</xdr:colOff>
      <xdr:row>0</xdr:row>
      <xdr:rowOff>242528</xdr:rowOff>
    </xdr:from>
    <xdr:to>
      <xdr:col>10</xdr:col>
      <xdr:colOff>1288677</xdr:colOff>
      <xdr:row>7</xdr:row>
      <xdr:rowOff>10385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90D92E3-9338-4AAA-A9AA-E3A5EA032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9706" y="242528"/>
          <a:ext cx="5056094" cy="1558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87406</xdr:colOff>
      <xdr:row>0</xdr:row>
      <xdr:rowOff>242528</xdr:rowOff>
    </xdr:from>
    <xdr:to>
      <xdr:col>10</xdr:col>
      <xdr:colOff>1288677</xdr:colOff>
      <xdr:row>7</xdr:row>
      <xdr:rowOff>10385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6E46BC1-7494-4D68-93F6-6FDB06C3C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9706" y="242528"/>
          <a:ext cx="5058896" cy="1558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87406</xdr:colOff>
      <xdr:row>0</xdr:row>
      <xdr:rowOff>242528</xdr:rowOff>
    </xdr:from>
    <xdr:to>
      <xdr:col>10</xdr:col>
      <xdr:colOff>1288677</xdr:colOff>
      <xdr:row>7</xdr:row>
      <xdr:rowOff>10385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A61DEFB-7E4A-4E55-810D-3A8342198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9706" y="242528"/>
          <a:ext cx="5058896" cy="1558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87406</xdr:colOff>
      <xdr:row>0</xdr:row>
      <xdr:rowOff>242528</xdr:rowOff>
    </xdr:from>
    <xdr:to>
      <xdr:col>10</xdr:col>
      <xdr:colOff>1288677</xdr:colOff>
      <xdr:row>7</xdr:row>
      <xdr:rowOff>10385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3C1A240-2F3A-4022-BBAB-D99C6BF73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0681" y="242528"/>
          <a:ext cx="5058896" cy="1558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828675</xdr:colOff>
      <xdr:row>1440</xdr:row>
      <xdr:rowOff>0</xdr:rowOff>
    </xdr:from>
    <xdr:to>
      <xdr:col>10</xdr:col>
      <xdr:colOff>352425</xdr:colOff>
      <xdr:row>1453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70.240\&#44221;&#47532;&#54016;\3.%20&#54924;&#44228;\15.%20&#50900;&#47560;&#44048;\&#47588;&#52636;\2024&#45380;\&#48373;&#49324;&#48376;%202024&#45380;%20&#49688;&#52636;%20(2024.1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.01 (갑)"/>
      <sheetName val="21.01 (을)"/>
      <sheetName val="21.02 (갑)"/>
      <sheetName val="21.02 (을)"/>
      <sheetName val="21.03 (갑)"/>
      <sheetName val="21.03 (을)"/>
      <sheetName val="21.04 (갑)"/>
      <sheetName val="21.04 (을)"/>
      <sheetName val="21.05 (갑)"/>
      <sheetName val="21.05 (을)"/>
      <sheetName val="21.06 (갑)"/>
      <sheetName val="21.06 (을)"/>
      <sheetName val="21.07 (갑)"/>
      <sheetName val="21.07 (을)"/>
      <sheetName val="21.08 (갑)"/>
      <sheetName val="21.08 (을)"/>
      <sheetName val="21.09 (갑)"/>
      <sheetName val="21.09 (을)"/>
      <sheetName val="21.10 (갑)"/>
      <sheetName val="21.10 (을)"/>
      <sheetName val="21.11 (갑)"/>
      <sheetName val="21.11 (을)"/>
      <sheetName val="21.12 (갑)"/>
      <sheetName val="21.12 (을)"/>
      <sheetName val="22.01 (갑)"/>
      <sheetName val="22.01 (을)"/>
      <sheetName val="22.02 (갑)"/>
      <sheetName val="22.02 (을)"/>
      <sheetName val="22.03 (갑)"/>
      <sheetName val="22.03 (을)"/>
      <sheetName val="22.04 (갑)"/>
      <sheetName val="22.04 (을)"/>
      <sheetName val="22.05 (갑)"/>
      <sheetName val="22.05 (을)"/>
      <sheetName val="22.06 (갑) "/>
      <sheetName val="22.06 (을) "/>
      <sheetName val="22.07 (갑)"/>
      <sheetName val="22.07 (을)"/>
      <sheetName val="22.08 (갑)"/>
      <sheetName val="22.08 (을)"/>
      <sheetName val="22.09 (갑)"/>
      <sheetName val="22.09 (을)"/>
      <sheetName val="22.10 (갑)"/>
      <sheetName val="22.10 (을)"/>
      <sheetName val="22.11 (갑) "/>
      <sheetName val="22.11 (을)"/>
      <sheetName val="22.12 (갑)"/>
      <sheetName val="22.12 (을)"/>
      <sheetName val="22.11(이월)"/>
      <sheetName val="23.01 (갑)"/>
      <sheetName val="23.01 (을)"/>
      <sheetName val="23.02 (갑)"/>
      <sheetName val="23.02 (을)"/>
      <sheetName val="23.03 (갑)"/>
      <sheetName val="23.03 (을)"/>
      <sheetName val="23.04 (갑)"/>
      <sheetName val="23.04 (을)"/>
      <sheetName val="23.05 (갑)"/>
      <sheetName val="23.05 (을)"/>
      <sheetName val="23.06 (갑)"/>
      <sheetName val="23.06 (을)"/>
      <sheetName val="23.07 (갑)"/>
      <sheetName val="23.07 (을)"/>
      <sheetName val="23.08 (갑)"/>
      <sheetName val="23.09 (갑)"/>
      <sheetName val="23.10 (갑)"/>
      <sheetName val="23.11 (갑)"/>
      <sheetName val="23.12 (갑)"/>
      <sheetName val="24.01 (갑)"/>
      <sheetName val="24.02 (갑)"/>
      <sheetName val="24.03 (갑)"/>
      <sheetName val="24.04 (갑)"/>
      <sheetName val="24.05 (갑)"/>
      <sheetName val="24.06 (갑)"/>
      <sheetName val="24.07 (갑) "/>
      <sheetName val="24.08 (갑) "/>
      <sheetName val="24.09 (갑)"/>
      <sheetName val="24.10 (갑)"/>
      <sheetName val="24.11 (갑)"/>
      <sheetName val="Sheet3"/>
      <sheetName val="24.12 (갑) "/>
      <sheetName val="Sheet4"/>
      <sheetName val="환율"/>
      <sheetName val="면장 검토 (2)"/>
      <sheetName val="Sheet1 (2)"/>
      <sheetName val="면장 검토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>
        <row r="1798">
          <cell r="A1798">
            <v>45261</v>
          </cell>
          <cell r="B1798">
            <v>1290.4000000000001</v>
          </cell>
        </row>
        <row r="1799">
          <cell r="A1799">
            <v>45262</v>
          </cell>
          <cell r="B1799">
            <v>1290.4000000000001</v>
          </cell>
        </row>
        <row r="1800">
          <cell r="A1800">
            <v>45263</v>
          </cell>
          <cell r="B1800">
            <v>1290.4000000000001</v>
          </cell>
        </row>
        <row r="1801">
          <cell r="A1801">
            <v>45264</v>
          </cell>
          <cell r="B1801">
            <v>1303.2</v>
          </cell>
        </row>
        <row r="1802">
          <cell r="A1802">
            <v>45265</v>
          </cell>
          <cell r="B1802">
            <v>1301.8</v>
          </cell>
        </row>
        <row r="1803">
          <cell r="A1803">
            <v>45266</v>
          </cell>
          <cell r="B1803">
            <v>1311.7</v>
          </cell>
        </row>
        <row r="1804">
          <cell r="A1804">
            <v>45267</v>
          </cell>
          <cell r="B1804">
            <v>1312.4</v>
          </cell>
        </row>
        <row r="1805">
          <cell r="A1805">
            <v>45268</v>
          </cell>
          <cell r="B1805">
            <v>1322.7</v>
          </cell>
        </row>
        <row r="1806">
          <cell r="A1806">
            <v>45269</v>
          </cell>
          <cell r="B1806">
            <v>1322.7</v>
          </cell>
        </row>
        <row r="1807">
          <cell r="A1807">
            <v>45270</v>
          </cell>
          <cell r="B1807">
            <v>1322.7</v>
          </cell>
        </row>
        <row r="1808">
          <cell r="A1808">
            <v>45271</v>
          </cell>
          <cell r="B1808">
            <v>1307.9000000000001</v>
          </cell>
        </row>
        <row r="1809">
          <cell r="A1809">
            <v>45272</v>
          </cell>
          <cell r="B1809">
            <v>1318.3</v>
          </cell>
        </row>
        <row r="1810">
          <cell r="A1810">
            <v>45273</v>
          </cell>
          <cell r="B1810">
            <v>1315.7</v>
          </cell>
        </row>
        <row r="1811">
          <cell r="A1811">
            <v>45274</v>
          </cell>
          <cell r="B1811">
            <v>1316.5</v>
          </cell>
        </row>
        <row r="1812">
          <cell r="A1812">
            <v>45275</v>
          </cell>
          <cell r="B1812">
            <v>1295.5999999999999</v>
          </cell>
        </row>
        <row r="1813">
          <cell r="A1813">
            <v>45276</v>
          </cell>
          <cell r="B1813">
            <v>1295.5999999999999</v>
          </cell>
        </row>
        <row r="1814">
          <cell r="A1814">
            <v>45277</v>
          </cell>
          <cell r="B1814">
            <v>1295.5999999999999</v>
          </cell>
        </row>
        <row r="1815">
          <cell r="A1815">
            <v>45278</v>
          </cell>
          <cell r="B1815">
            <v>1294.7</v>
          </cell>
        </row>
        <row r="1816">
          <cell r="A1816">
            <v>45279</v>
          </cell>
          <cell r="B1816">
            <v>1298.7</v>
          </cell>
        </row>
        <row r="1817">
          <cell r="A1817">
            <v>45280</v>
          </cell>
          <cell r="B1817">
            <v>1304.7</v>
          </cell>
        </row>
        <row r="1818">
          <cell r="A1818">
            <v>45281</v>
          </cell>
          <cell r="B1818">
            <v>1300.2</v>
          </cell>
        </row>
        <row r="1819">
          <cell r="A1819">
            <v>45282</v>
          </cell>
          <cell r="B1819">
            <v>1303.8</v>
          </cell>
        </row>
        <row r="1820">
          <cell r="A1820">
            <v>45283</v>
          </cell>
          <cell r="B1820">
            <v>1303.8</v>
          </cell>
        </row>
        <row r="1821">
          <cell r="A1821">
            <v>45284</v>
          </cell>
          <cell r="B1821">
            <v>1303.8</v>
          </cell>
        </row>
        <row r="1822">
          <cell r="A1822">
            <v>45285</v>
          </cell>
          <cell r="B1822">
            <v>1303.8</v>
          </cell>
        </row>
        <row r="1823">
          <cell r="A1823">
            <v>45286</v>
          </cell>
          <cell r="B1823">
            <v>1300.7</v>
          </cell>
        </row>
        <row r="1824">
          <cell r="A1824">
            <v>45287</v>
          </cell>
          <cell r="B1824">
            <v>1296.8</v>
          </cell>
        </row>
        <row r="1825">
          <cell r="A1825">
            <v>45288</v>
          </cell>
          <cell r="B1825">
            <v>1294.4000000000001</v>
          </cell>
        </row>
        <row r="1826">
          <cell r="A1826">
            <v>45289</v>
          </cell>
          <cell r="B1826">
            <v>1289.4000000000001</v>
          </cell>
        </row>
        <row r="1827">
          <cell r="A1827">
            <v>45290</v>
          </cell>
          <cell r="B1827">
            <v>1289.4000000000001</v>
          </cell>
        </row>
        <row r="1828">
          <cell r="A1828">
            <v>45291</v>
          </cell>
          <cell r="B1828">
            <v>1289.4000000000001</v>
          </cell>
        </row>
        <row r="1829">
          <cell r="A1829">
            <v>45292</v>
          </cell>
          <cell r="B1829">
            <v>1289.4000000000001</v>
          </cell>
        </row>
        <row r="1830">
          <cell r="A1830">
            <v>45293</v>
          </cell>
          <cell r="B1830">
            <v>1289.4000000000001</v>
          </cell>
        </row>
        <row r="1831">
          <cell r="A1831">
            <v>45294</v>
          </cell>
          <cell r="B1831">
            <v>1299.3</v>
          </cell>
        </row>
        <row r="1832">
          <cell r="A1832">
            <v>45295</v>
          </cell>
          <cell r="B1832">
            <v>1308.8</v>
          </cell>
        </row>
        <row r="1833">
          <cell r="A1833">
            <v>45296</v>
          </cell>
          <cell r="B1833">
            <v>1310.2</v>
          </cell>
        </row>
        <row r="1834">
          <cell r="A1834">
            <v>45297</v>
          </cell>
          <cell r="B1834">
            <v>1310.2</v>
          </cell>
        </row>
        <row r="1835">
          <cell r="A1835">
            <v>45298</v>
          </cell>
          <cell r="B1835">
            <v>1310.2</v>
          </cell>
        </row>
        <row r="1836">
          <cell r="A1836">
            <v>45299</v>
          </cell>
          <cell r="B1836">
            <v>1313.7</v>
          </cell>
        </row>
        <row r="1837">
          <cell r="A1837">
            <v>45300</v>
          </cell>
          <cell r="B1837">
            <v>1314.8</v>
          </cell>
        </row>
        <row r="1838">
          <cell r="A1838">
            <v>45301</v>
          </cell>
          <cell r="B1838">
            <v>1312.1</v>
          </cell>
        </row>
        <row r="1839">
          <cell r="A1839">
            <v>45302</v>
          </cell>
          <cell r="B1839">
            <v>1320.1</v>
          </cell>
        </row>
        <row r="1840">
          <cell r="A1840">
            <v>45303</v>
          </cell>
          <cell r="B1840">
            <v>1316</v>
          </cell>
        </row>
        <row r="1841">
          <cell r="A1841">
            <v>45304</v>
          </cell>
          <cell r="B1841">
            <v>1316</v>
          </cell>
        </row>
        <row r="1842">
          <cell r="A1842">
            <v>45305</v>
          </cell>
          <cell r="B1842">
            <v>1316</v>
          </cell>
        </row>
        <row r="1843">
          <cell r="A1843">
            <v>45306</v>
          </cell>
          <cell r="B1843">
            <v>1314.1</v>
          </cell>
        </row>
        <row r="1844">
          <cell r="A1844">
            <v>45307</v>
          </cell>
          <cell r="B1844">
            <v>1319.3</v>
          </cell>
        </row>
        <row r="1845">
          <cell r="A1845">
            <v>45308</v>
          </cell>
          <cell r="B1845">
            <v>1329</v>
          </cell>
        </row>
        <row r="1846">
          <cell r="A1846">
            <v>45309</v>
          </cell>
          <cell r="B1846">
            <v>1343.2</v>
          </cell>
        </row>
        <row r="1847">
          <cell r="A1847">
            <v>45310</v>
          </cell>
          <cell r="B1847">
            <v>1342.4</v>
          </cell>
        </row>
        <row r="1848">
          <cell r="A1848">
            <v>45311</v>
          </cell>
          <cell r="B1848">
            <v>1342.4</v>
          </cell>
        </row>
        <row r="1849">
          <cell r="A1849">
            <v>45312</v>
          </cell>
          <cell r="B1849">
            <v>1342.4</v>
          </cell>
        </row>
        <row r="1850">
          <cell r="A1850">
            <v>45313</v>
          </cell>
          <cell r="B1850">
            <v>1336.5</v>
          </cell>
        </row>
        <row r="1851">
          <cell r="A1851">
            <v>45314</v>
          </cell>
          <cell r="B1851">
            <v>1334.7</v>
          </cell>
        </row>
        <row r="1852">
          <cell r="A1852">
            <v>45315</v>
          </cell>
          <cell r="B1852">
            <v>1336</v>
          </cell>
        </row>
        <row r="1853">
          <cell r="A1853">
            <v>45316</v>
          </cell>
          <cell r="B1853">
            <v>1339.1</v>
          </cell>
        </row>
        <row r="1854">
          <cell r="A1854">
            <v>45317</v>
          </cell>
          <cell r="B1854">
            <v>1335.7</v>
          </cell>
        </row>
        <row r="1855">
          <cell r="A1855">
            <v>45318</v>
          </cell>
          <cell r="B1855">
            <v>1335.7</v>
          </cell>
        </row>
        <row r="1856">
          <cell r="A1856">
            <v>45319</v>
          </cell>
          <cell r="B1856">
            <v>1335.7</v>
          </cell>
        </row>
        <row r="1857">
          <cell r="A1857">
            <v>45320</v>
          </cell>
          <cell r="B1857">
            <v>1336.6</v>
          </cell>
        </row>
        <row r="1858">
          <cell r="A1858">
            <v>45321</v>
          </cell>
          <cell r="B1858">
            <v>1336.9</v>
          </cell>
        </row>
        <row r="1859">
          <cell r="A1859">
            <v>45322</v>
          </cell>
          <cell r="B1859">
            <v>1330.6</v>
          </cell>
        </row>
        <row r="1860">
          <cell r="A1860">
            <v>45323</v>
          </cell>
          <cell r="B1860">
            <v>1333.5</v>
          </cell>
        </row>
        <row r="1861">
          <cell r="A1861">
            <v>45324</v>
          </cell>
          <cell r="B1861">
            <v>1332.5</v>
          </cell>
        </row>
        <row r="1862">
          <cell r="A1862">
            <v>45325</v>
          </cell>
          <cell r="B1862">
            <v>1332.5</v>
          </cell>
        </row>
        <row r="1863">
          <cell r="A1863">
            <v>45326</v>
          </cell>
          <cell r="B1863">
            <v>1332.5</v>
          </cell>
        </row>
        <row r="1864">
          <cell r="A1864">
            <v>45327</v>
          </cell>
          <cell r="B1864">
            <v>1325.1</v>
          </cell>
        </row>
        <row r="1865">
          <cell r="A1865">
            <v>45328</v>
          </cell>
          <cell r="B1865">
            <v>1334.6</v>
          </cell>
        </row>
        <row r="1866">
          <cell r="A1866">
            <v>45329</v>
          </cell>
          <cell r="B1866">
            <v>1329.6</v>
          </cell>
        </row>
        <row r="1867">
          <cell r="A1867">
            <v>45330</v>
          </cell>
          <cell r="B1867">
            <v>1325.3</v>
          </cell>
        </row>
        <row r="1868">
          <cell r="A1868">
            <v>45331</v>
          </cell>
          <cell r="B1868">
            <v>1325.3</v>
          </cell>
        </row>
        <row r="1869">
          <cell r="A1869">
            <v>45332</v>
          </cell>
          <cell r="B1869">
            <v>1325.3</v>
          </cell>
        </row>
        <row r="1870">
          <cell r="A1870">
            <v>45333</v>
          </cell>
          <cell r="B1870">
            <v>1325.3</v>
          </cell>
        </row>
        <row r="1871">
          <cell r="A1871">
            <v>45334</v>
          </cell>
          <cell r="B1871">
            <v>1325.3</v>
          </cell>
        </row>
        <row r="1872">
          <cell r="A1872">
            <v>45335</v>
          </cell>
          <cell r="B1872">
            <v>1327.2</v>
          </cell>
        </row>
        <row r="1873">
          <cell r="A1873">
            <v>45336</v>
          </cell>
          <cell r="B1873">
            <v>1328.4</v>
          </cell>
        </row>
        <row r="1874">
          <cell r="A1874">
            <v>45337</v>
          </cell>
          <cell r="B1874">
            <v>1336.9</v>
          </cell>
        </row>
        <row r="1875">
          <cell r="A1875">
            <v>45338</v>
          </cell>
          <cell r="B1875">
            <v>1333.2</v>
          </cell>
        </row>
        <row r="1876">
          <cell r="A1876">
            <v>45339</v>
          </cell>
          <cell r="B1876">
            <v>1333.2</v>
          </cell>
        </row>
        <row r="1877">
          <cell r="A1877">
            <v>45340</v>
          </cell>
          <cell r="B1877">
            <v>1333.2</v>
          </cell>
        </row>
        <row r="1878">
          <cell r="A1878">
            <v>45341</v>
          </cell>
          <cell r="B1878">
            <v>1333</v>
          </cell>
        </row>
        <row r="1879">
          <cell r="A1879">
            <v>45342</v>
          </cell>
          <cell r="B1879">
            <v>1333.8</v>
          </cell>
        </row>
        <row r="1880">
          <cell r="A1880">
            <v>45343</v>
          </cell>
          <cell r="B1880">
            <v>1337.9</v>
          </cell>
        </row>
        <row r="1881">
          <cell r="A1881">
            <v>45344</v>
          </cell>
          <cell r="B1881">
            <v>1335</v>
          </cell>
        </row>
        <row r="1882">
          <cell r="A1882">
            <v>45345</v>
          </cell>
          <cell r="B1882">
            <v>1331</v>
          </cell>
        </row>
        <row r="1883">
          <cell r="A1883">
            <v>45346</v>
          </cell>
          <cell r="B1883">
            <v>1331</v>
          </cell>
        </row>
        <row r="1884">
          <cell r="A1884">
            <v>45347</v>
          </cell>
          <cell r="B1884">
            <v>1331</v>
          </cell>
        </row>
        <row r="1885">
          <cell r="A1885">
            <v>45348</v>
          </cell>
          <cell r="B1885">
            <v>1329.3</v>
          </cell>
        </row>
        <row r="1886">
          <cell r="A1886">
            <v>45349</v>
          </cell>
          <cell r="B1886">
            <v>1331.4</v>
          </cell>
        </row>
        <row r="1887">
          <cell r="A1887">
            <v>45350</v>
          </cell>
          <cell r="B1887">
            <v>1331.3</v>
          </cell>
        </row>
        <row r="1888">
          <cell r="A1888">
            <v>45351</v>
          </cell>
          <cell r="B1888">
            <v>1334</v>
          </cell>
        </row>
        <row r="1889">
          <cell r="A1889">
            <v>45352</v>
          </cell>
          <cell r="B1889">
            <v>1334</v>
          </cell>
        </row>
        <row r="1890">
          <cell r="A1890">
            <v>45353</v>
          </cell>
          <cell r="B1890">
            <v>1334</v>
          </cell>
        </row>
        <row r="1891">
          <cell r="A1891">
            <v>45354</v>
          </cell>
          <cell r="B1891">
            <v>1334</v>
          </cell>
        </row>
        <row r="1892">
          <cell r="A1892">
            <v>45355</v>
          </cell>
          <cell r="B1892">
            <v>1334.1</v>
          </cell>
        </row>
        <row r="1893">
          <cell r="A1893">
            <v>45356</v>
          </cell>
          <cell r="B1893">
            <v>1330.1</v>
          </cell>
        </row>
        <row r="1894">
          <cell r="A1894">
            <v>45357</v>
          </cell>
          <cell r="B1894">
            <v>1333.2</v>
          </cell>
        </row>
        <row r="1895">
          <cell r="A1895">
            <v>45358</v>
          </cell>
          <cell r="B1895">
            <v>1335.7</v>
          </cell>
        </row>
        <row r="1896">
          <cell r="A1896">
            <v>45359</v>
          </cell>
          <cell r="B1896">
            <v>1329.6</v>
          </cell>
        </row>
        <row r="1897">
          <cell r="A1897">
            <v>45360</v>
          </cell>
          <cell r="B1897">
            <v>1329.6</v>
          </cell>
        </row>
        <row r="1898">
          <cell r="A1898">
            <v>45361</v>
          </cell>
          <cell r="B1898">
            <v>1329.6</v>
          </cell>
        </row>
        <row r="1899">
          <cell r="A1899">
            <v>45362</v>
          </cell>
          <cell r="B1899">
            <v>1323.1</v>
          </cell>
        </row>
        <row r="1900">
          <cell r="A1900">
            <v>45363</v>
          </cell>
          <cell r="B1900">
            <v>1314.4</v>
          </cell>
        </row>
        <row r="1901">
          <cell r="A1901">
            <v>45364</v>
          </cell>
          <cell r="B1901">
            <v>1311.1</v>
          </cell>
        </row>
        <row r="1902">
          <cell r="A1902">
            <v>45365</v>
          </cell>
          <cell r="B1902">
            <v>1312.8</v>
          </cell>
        </row>
        <row r="1903">
          <cell r="A1903">
            <v>45366</v>
          </cell>
          <cell r="B1903">
            <v>1316.9</v>
          </cell>
        </row>
        <row r="1904">
          <cell r="A1904">
            <v>45367</v>
          </cell>
          <cell r="B1904">
            <v>1316.9</v>
          </cell>
        </row>
        <row r="1905">
          <cell r="A1905">
            <v>45368</v>
          </cell>
          <cell r="B1905">
            <v>1316.9</v>
          </cell>
        </row>
        <row r="1906">
          <cell r="A1906">
            <v>45369</v>
          </cell>
          <cell r="B1906">
            <v>1328.4</v>
          </cell>
        </row>
        <row r="1907">
          <cell r="A1907">
            <v>45370</v>
          </cell>
          <cell r="B1907">
            <v>1333</v>
          </cell>
        </row>
        <row r="1908">
          <cell r="A1908">
            <v>45371</v>
          </cell>
          <cell r="B1908">
            <v>1338.5</v>
          </cell>
        </row>
        <row r="1909">
          <cell r="A1909">
            <v>45372</v>
          </cell>
          <cell r="B1909">
            <v>1338.7</v>
          </cell>
        </row>
        <row r="1910">
          <cell r="A1910">
            <v>45373</v>
          </cell>
          <cell r="B1910">
            <v>1326.3</v>
          </cell>
        </row>
        <row r="1911">
          <cell r="A1911">
            <v>45374</v>
          </cell>
          <cell r="B1911">
            <v>1326.3</v>
          </cell>
        </row>
        <row r="1912">
          <cell r="A1912">
            <v>45375</v>
          </cell>
          <cell r="B1912">
            <v>1326.3</v>
          </cell>
        </row>
        <row r="1913">
          <cell r="A1913">
            <v>45376</v>
          </cell>
          <cell r="B1913">
            <v>1336.1</v>
          </cell>
        </row>
        <row r="1914">
          <cell r="A1914">
            <v>45377</v>
          </cell>
          <cell r="B1914">
            <v>1340.7</v>
          </cell>
        </row>
        <row r="1915">
          <cell r="A1915">
            <v>45378</v>
          </cell>
          <cell r="B1915">
            <v>1338.6</v>
          </cell>
        </row>
        <row r="1916">
          <cell r="A1916">
            <v>45379</v>
          </cell>
          <cell r="B1916">
            <v>1345.8</v>
          </cell>
        </row>
        <row r="1917">
          <cell r="A1917">
            <v>45380</v>
          </cell>
          <cell r="B1917">
            <v>1346.8</v>
          </cell>
        </row>
        <row r="1918">
          <cell r="A1918">
            <v>45381</v>
          </cell>
          <cell r="B1918">
            <v>1346.8</v>
          </cell>
        </row>
        <row r="1919">
          <cell r="A1919">
            <v>45382</v>
          </cell>
          <cell r="B1919">
            <v>1346.8</v>
          </cell>
        </row>
        <row r="1920">
          <cell r="A1920">
            <v>45383</v>
          </cell>
          <cell r="B1920">
            <v>1347.4</v>
          </cell>
        </row>
        <row r="1921">
          <cell r="A1921">
            <v>45384</v>
          </cell>
          <cell r="B1921">
            <v>1347.1</v>
          </cell>
        </row>
        <row r="1922">
          <cell r="A1922">
            <v>45385</v>
          </cell>
          <cell r="B1922">
            <v>1353</v>
          </cell>
        </row>
        <row r="1923">
          <cell r="A1923">
            <v>45386</v>
          </cell>
          <cell r="B1923">
            <v>1349.1</v>
          </cell>
        </row>
        <row r="1924">
          <cell r="A1924">
            <v>45387</v>
          </cell>
          <cell r="B1924">
            <v>1346.8</v>
          </cell>
        </row>
        <row r="1925">
          <cell r="A1925">
            <v>45388</v>
          </cell>
          <cell r="B1925">
            <v>1346.8</v>
          </cell>
        </row>
        <row r="1926">
          <cell r="A1926">
            <v>45389</v>
          </cell>
          <cell r="B1926">
            <v>1346.8</v>
          </cell>
        </row>
        <row r="1927">
          <cell r="A1927">
            <v>45390</v>
          </cell>
          <cell r="B1927">
            <v>1351.8</v>
          </cell>
        </row>
        <row r="1928">
          <cell r="A1928">
            <v>45391</v>
          </cell>
          <cell r="B1928">
            <v>1353.6</v>
          </cell>
        </row>
        <row r="1929">
          <cell r="A1929">
            <v>45392</v>
          </cell>
          <cell r="B1929">
            <v>1353.6</v>
          </cell>
        </row>
        <row r="1930">
          <cell r="A1930">
            <v>45393</v>
          </cell>
          <cell r="B1930">
            <v>1354.4</v>
          </cell>
        </row>
        <row r="1931">
          <cell r="A1931">
            <v>45394</v>
          </cell>
          <cell r="B1931">
            <v>1363.7</v>
          </cell>
        </row>
        <row r="1932">
          <cell r="A1932">
            <v>45395</v>
          </cell>
          <cell r="B1932">
            <v>1363.7</v>
          </cell>
        </row>
        <row r="1933">
          <cell r="A1933">
            <v>45396</v>
          </cell>
          <cell r="B1933">
            <v>1363.7</v>
          </cell>
        </row>
        <row r="1934">
          <cell r="A1934">
            <v>45397</v>
          </cell>
          <cell r="B1934">
            <v>1371.6</v>
          </cell>
        </row>
        <row r="1935">
          <cell r="A1935">
            <v>45398</v>
          </cell>
          <cell r="B1935">
            <v>1383.7</v>
          </cell>
        </row>
        <row r="1936">
          <cell r="A1936">
            <v>45399</v>
          </cell>
          <cell r="B1936">
            <v>1395.3</v>
          </cell>
        </row>
        <row r="1937">
          <cell r="A1937">
            <v>45400</v>
          </cell>
          <cell r="B1937">
            <v>1386.3</v>
          </cell>
        </row>
        <row r="1938">
          <cell r="A1938">
            <v>45401</v>
          </cell>
          <cell r="B1938">
            <v>1375.9</v>
          </cell>
        </row>
        <row r="1939">
          <cell r="A1939">
            <v>45402</v>
          </cell>
          <cell r="B1939">
            <v>1375.9</v>
          </cell>
        </row>
        <row r="1940">
          <cell r="A1940">
            <v>45403</v>
          </cell>
          <cell r="B1940">
            <v>1375.9</v>
          </cell>
        </row>
        <row r="1941">
          <cell r="A1941">
            <v>45404</v>
          </cell>
          <cell r="B1941">
            <v>1385</v>
          </cell>
        </row>
        <row r="1942">
          <cell r="A1942">
            <v>45405</v>
          </cell>
          <cell r="B1942">
            <v>1380.6</v>
          </cell>
        </row>
        <row r="1943">
          <cell r="A1943">
            <v>45406</v>
          </cell>
          <cell r="B1943">
            <v>1377.9</v>
          </cell>
        </row>
        <row r="1944">
          <cell r="A1944">
            <v>45407</v>
          </cell>
          <cell r="B1944">
            <v>1370</v>
          </cell>
        </row>
        <row r="1945">
          <cell r="A1945">
            <v>45408</v>
          </cell>
          <cell r="B1945">
            <v>1376.6</v>
          </cell>
        </row>
        <row r="1946">
          <cell r="A1946">
            <v>45409</v>
          </cell>
          <cell r="B1946">
            <v>1376.6</v>
          </cell>
        </row>
        <row r="1947">
          <cell r="A1947">
            <v>45410</v>
          </cell>
          <cell r="B1947">
            <v>1376.6</v>
          </cell>
        </row>
        <row r="1948">
          <cell r="A1948">
            <v>45411</v>
          </cell>
          <cell r="B1948">
            <v>1375.9</v>
          </cell>
        </row>
        <row r="1949">
          <cell r="A1949">
            <v>45412</v>
          </cell>
          <cell r="B1949">
            <v>1378.7</v>
          </cell>
        </row>
        <row r="1950">
          <cell r="A1950">
            <v>45413</v>
          </cell>
          <cell r="B1950">
            <v>1378.7</v>
          </cell>
        </row>
        <row r="1951">
          <cell r="A1951">
            <v>45414</v>
          </cell>
          <cell r="B1951">
            <v>1378</v>
          </cell>
        </row>
        <row r="1952">
          <cell r="A1952">
            <v>45415</v>
          </cell>
          <cell r="B1952">
            <v>1378.5</v>
          </cell>
        </row>
        <row r="1953">
          <cell r="A1953">
            <v>45416</v>
          </cell>
          <cell r="B1953">
            <v>1378.5</v>
          </cell>
        </row>
        <row r="1954">
          <cell r="A1954">
            <v>45417</v>
          </cell>
          <cell r="B1954">
            <v>1378.5</v>
          </cell>
        </row>
        <row r="1955">
          <cell r="A1955">
            <v>45418</v>
          </cell>
          <cell r="B1955">
            <v>1378.5</v>
          </cell>
        </row>
        <row r="1956">
          <cell r="A1956">
            <v>45419</v>
          </cell>
          <cell r="B1956">
            <v>1365.2</v>
          </cell>
        </row>
        <row r="1957">
          <cell r="A1957">
            <v>45420</v>
          </cell>
          <cell r="B1957">
            <v>1357.8</v>
          </cell>
        </row>
        <row r="1958">
          <cell r="A1958">
            <v>45421</v>
          </cell>
          <cell r="B1958">
            <v>1364.4</v>
          </cell>
        </row>
        <row r="1959">
          <cell r="A1959">
            <v>45422</v>
          </cell>
          <cell r="B1959">
            <v>1367.9</v>
          </cell>
        </row>
        <row r="1960">
          <cell r="A1960">
            <v>45423</v>
          </cell>
          <cell r="B1960">
            <v>1367.9</v>
          </cell>
        </row>
        <row r="1961">
          <cell r="A1961">
            <v>45424</v>
          </cell>
          <cell r="B1961">
            <v>1367.9</v>
          </cell>
        </row>
        <row r="1962">
          <cell r="A1962">
            <v>45425</v>
          </cell>
          <cell r="B1962">
            <v>1367.9</v>
          </cell>
        </row>
        <row r="1963">
          <cell r="A1963">
            <v>45426</v>
          </cell>
          <cell r="B1963">
            <v>1370.1</v>
          </cell>
        </row>
        <row r="1964">
          <cell r="A1964">
            <v>45427</v>
          </cell>
          <cell r="B1964">
            <v>1370.1</v>
          </cell>
        </row>
        <row r="1965">
          <cell r="A1965">
            <v>45428</v>
          </cell>
          <cell r="B1965">
            <v>1369</v>
          </cell>
        </row>
        <row r="1966">
          <cell r="A1966">
            <v>45429</v>
          </cell>
          <cell r="B1966">
            <v>1349.4</v>
          </cell>
        </row>
        <row r="1967">
          <cell r="A1967">
            <v>45430</v>
          </cell>
          <cell r="B1967">
            <v>1349.4</v>
          </cell>
        </row>
        <row r="1968">
          <cell r="A1968">
            <v>45431</v>
          </cell>
          <cell r="B1968">
            <v>1349.4</v>
          </cell>
        </row>
        <row r="1969">
          <cell r="A1969">
            <v>45432</v>
          </cell>
          <cell r="B1969">
            <v>1355.2</v>
          </cell>
        </row>
        <row r="1970">
          <cell r="A1970">
            <v>45433</v>
          </cell>
          <cell r="B1970">
            <v>1356.2</v>
          </cell>
        </row>
        <row r="1971">
          <cell r="A1971">
            <v>45434</v>
          </cell>
          <cell r="B1971">
            <v>1364.4</v>
          </cell>
        </row>
        <row r="1972">
          <cell r="A1972">
            <v>45435</v>
          </cell>
          <cell r="B1972">
            <v>1363.1</v>
          </cell>
        </row>
        <row r="1973">
          <cell r="A1973">
            <v>45436</v>
          </cell>
          <cell r="B1973">
            <v>1364.5</v>
          </cell>
        </row>
        <row r="1974">
          <cell r="A1974">
            <v>45437</v>
          </cell>
          <cell r="B1974">
            <v>1364.5</v>
          </cell>
        </row>
        <row r="1975">
          <cell r="A1975">
            <v>45438</v>
          </cell>
          <cell r="B1975">
            <v>1364.5</v>
          </cell>
        </row>
        <row r="1976">
          <cell r="A1976">
            <v>45439</v>
          </cell>
          <cell r="B1976">
            <v>1370</v>
          </cell>
        </row>
        <row r="1977">
          <cell r="A1977">
            <v>45440</v>
          </cell>
          <cell r="B1977">
            <v>1365.4</v>
          </cell>
        </row>
        <row r="1978">
          <cell r="A1978">
            <v>45441</v>
          </cell>
          <cell r="B1978">
            <v>1359.5</v>
          </cell>
        </row>
        <row r="1979">
          <cell r="A1979">
            <v>45442</v>
          </cell>
          <cell r="B1979">
            <v>1364.8</v>
          </cell>
        </row>
        <row r="1980">
          <cell r="A1980">
            <v>45443</v>
          </cell>
          <cell r="B1980">
            <v>1376.5</v>
          </cell>
        </row>
        <row r="1981">
          <cell r="A1981">
            <v>45444</v>
          </cell>
          <cell r="B1981">
            <v>1376.5</v>
          </cell>
        </row>
        <row r="1982">
          <cell r="A1982">
            <v>45445</v>
          </cell>
          <cell r="B1982">
            <v>1376.5</v>
          </cell>
        </row>
        <row r="1983">
          <cell r="A1983">
            <v>45446</v>
          </cell>
          <cell r="B1983">
            <v>1381.6</v>
          </cell>
        </row>
        <row r="1984">
          <cell r="A1984">
            <v>45447</v>
          </cell>
          <cell r="B1984">
            <v>1377.6</v>
          </cell>
        </row>
        <row r="1985">
          <cell r="A1985">
            <v>45448</v>
          </cell>
          <cell r="B1985">
            <v>1373.1</v>
          </cell>
        </row>
        <row r="1986">
          <cell r="A1986">
            <v>45449</v>
          </cell>
          <cell r="B1986">
            <v>1373.1</v>
          </cell>
        </row>
        <row r="1987">
          <cell r="A1987">
            <v>45450</v>
          </cell>
          <cell r="B1987">
            <v>1371.5</v>
          </cell>
        </row>
        <row r="1988">
          <cell r="A1988">
            <v>45451</v>
          </cell>
          <cell r="B1988">
            <v>1371.5</v>
          </cell>
        </row>
        <row r="1989">
          <cell r="A1989">
            <v>45452</v>
          </cell>
          <cell r="B1989">
            <v>1371.5</v>
          </cell>
        </row>
        <row r="1990">
          <cell r="A1990">
            <v>45453</v>
          </cell>
          <cell r="B1990">
            <v>1366.9</v>
          </cell>
        </row>
        <row r="1991">
          <cell r="A1991">
            <v>45454</v>
          </cell>
          <cell r="B1991">
            <v>1377.9</v>
          </cell>
        </row>
        <row r="1992">
          <cell r="A1992">
            <v>45455</v>
          </cell>
          <cell r="B1992">
            <v>1377.4</v>
          </cell>
        </row>
        <row r="1993">
          <cell r="A1993">
            <v>45456</v>
          </cell>
          <cell r="B1993">
            <v>1377.8</v>
          </cell>
        </row>
        <row r="1994">
          <cell r="A1994">
            <v>45457</v>
          </cell>
          <cell r="B1994">
            <v>1371</v>
          </cell>
        </row>
        <row r="1995">
          <cell r="A1995">
            <v>45458</v>
          </cell>
          <cell r="B1995">
            <v>1371</v>
          </cell>
        </row>
        <row r="1996">
          <cell r="A1996">
            <v>45459</v>
          </cell>
          <cell r="B1996">
            <v>1371</v>
          </cell>
        </row>
        <row r="1997">
          <cell r="A1997">
            <v>45460</v>
          </cell>
          <cell r="B1997">
            <v>1377.7</v>
          </cell>
        </row>
        <row r="1998">
          <cell r="A1998">
            <v>45461</v>
          </cell>
          <cell r="B1998">
            <v>1380.4</v>
          </cell>
        </row>
        <row r="1999">
          <cell r="A1999">
            <v>45462</v>
          </cell>
          <cell r="B1999">
            <v>1380.5</v>
          </cell>
        </row>
        <row r="2000">
          <cell r="A2000">
            <v>45463</v>
          </cell>
          <cell r="B2000">
            <v>1380.5</v>
          </cell>
        </row>
        <row r="2001">
          <cell r="A2001">
            <v>45464</v>
          </cell>
          <cell r="B2001">
            <v>1383.8</v>
          </cell>
        </row>
        <row r="2002">
          <cell r="A2002">
            <v>45465</v>
          </cell>
          <cell r="B2002">
            <v>1383.8</v>
          </cell>
        </row>
        <row r="2003">
          <cell r="A2003">
            <v>45466</v>
          </cell>
          <cell r="B2003">
            <v>1383.8</v>
          </cell>
        </row>
        <row r="2004">
          <cell r="A2004">
            <v>45467</v>
          </cell>
          <cell r="B2004">
            <v>1389.1</v>
          </cell>
        </row>
        <row r="2005">
          <cell r="A2005">
            <v>45468</v>
          </cell>
          <cell r="B2005">
            <v>1389.7</v>
          </cell>
        </row>
        <row r="2006">
          <cell r="A2006">
            <v>45469</v>
          </cell>
          <cell r="B2006">
            <v>1386.4</v>
          </cell>
        </row>
        <row r="2007">
          <cell r="A2007">
            <v>45470</v>
          </cell>
          <cell r="B2007">
            <v>1390.1</v>
          </cell>
        </row>
        <row r="2008">
          <cell r="A2008">
            <v>45471</v>
          </cell>
          <cell r="B2008">
            <v>1389.2</v>
          </cell>
        </row>
        <row r="2009">
          <cell r="A2009">
            <v>45472</v>
          </cell>
          <cell r="B2009">
            <v>1389.2</v>
          </cell>
        </row>
        <row r="2010">
          <cell r="A2010">
            <v>45473</v>
          </cell>
          <cell r="B2010">
            <v>1389.2</v>
          </cell>
        </row>
        <row r="2011">
          <cell r="A2011">
            <v>45474</v>
          </cell>
          <cell r="B2011">
            <v>1382.4</v>
          </cell>
        </row>
        <row r="2012">
          <cell r="A2012">
            <v>45475</v>
          </cell>
          <cell r="B2012">
            <v>1380.8</v>
          </cell>
        </row>
        <row r="2013">
          <cell r="A2013">
            <v>45476</v>
          </cell>
          <cell r="B2013">
            <v>1387.4</v>
          </cell>
        </row>
        <row r="2014">
          <cell r="A2014">
            <v>45477</v>
          </cell>
          <cell r="B2014">
            <v>1389.4</v>
          </cell>
        </row>
        <row r="2015">
          <cell r="A2015">
            <v>45478</v>
          </cell>
          <cell r="B2015">
            <v>1381.9</v>
          </cell>
        </row>
        <row r="2016">
          <cell r="A2016">
            <v>45479</v>
          </cell>
          <cell r="B2016">
            <v>1381.9</v>
          </cell>
        </row>
        <row r="2017">
          <cell r="A2017">
            <v>45480</v>
          </cell>
          <cell r="B2017">
            <v>1381.9</v>
          </cell>
        </row>
        <row r="2018">
          <cell r="A2018">
            <v>45481</v>
          </cell>
          <cell r="B2018">
            <v>1379</v>
          </cell>
        </row>
        <row r="2019">
          <cell r="A2019">
            <v>45482</v>
          </cell>
          <cell r="B2019">
            <v>1379.4</v>
          </cell>
        </row>
        <row r="2020">
          <cell r="A2020">
            <v>45483</v>
          </cell>
          <cell r="B2020">
            <v>1383.4</v>
          </cell>
        </row>
        <row r="2021">
          <cell r="A2021">
            <v>45484</v>
          </cell>
          <cell r="B2021">
            <v>1385.6</v>
          </cell>
        </row>
        <row r="2022">
          <cell r="A2022">
            <v>45485</v>
          </cell>
          <cell r="B2022">
            <v>1380.1</v>
          </cell>
        </row>
        <row r="2023">
          <cell r="A2023">
            <v>45486</v>
          </cell>
          <cell r="B2023">
            <v>1380.1</v>
          </cell>
        </row>
        <row r="2024">
          <cell r="A2024">
            <v>45487</v>
          </cell>
          <cell r="B2024">
            <v>1380.1</v>
          </cell>
        </row>
        <row r="2025">
          <cell r="A2025">
            <v>45488</v>
          </cell>
          <cell r="B2025">
            <v>1376.3</v>
          </cell>
        </row>
        <row r="2026">
          <cell r="A2026">
            <v>45489</v>
          </cell>
          <cell r="B2026">
            <v>1381.9</v>
          </cell>
        </row>
        <row r="2027">
          <cell r="A2027">
            <v>45490</v>
          </cell>
          <cell r="B2027">
            <v>1386</v>
          </cell>
        </row>
        <row r="2028">
          <cell r="A2028">
            <v>45491</v>
          </cell>
          <cell r="B2028">
            <v>1381.5</v>
          </cell>
        </row>
        <row r="2029">
          <cell r="A2029">
            <v>45492</v>
          </cell>
          <cell r="B2029">
            <v>1379.9</v>
          </cell>
        </row>
        <row r="2030">
          <cell r="A2030">
            <v>45493</v>
          </cell>
          <cell r="B2030">
            <v>1379.9</v>
          </cell>
        </row>
        <row r="2031">
          <cell r="A2031">
            <v>45494</v>
          </cell>
          <cell r="B2031">
            <v>1379.9</v>
          </cell>
        </row>
        <row r="2032">
          <cell r="A2032">
            <v>45495</v>
          </cell>
          <cell r="B2032">
            <v>1386.6</v>
          </cell>
        </row>
        <row r="2033">
          <cell r="A2033">
            <v>45496</v>
          </cell>
          <cell r="B2033">
            <v>1388.6</v>
          </cell>
        </row>
        <row r="2034">
          <cell r="A2034">
            <v>45497</v>
          </cell>
          <cell r="B2034">
            <v>1385.1</v>
          </cell>
        </row>
        <row r="2035">
          <cell r="A2035">
            <v>45498</v>
          </cell>
          <cell r="B2035">
            <v>1385.1</v>
          </cell>
        </row>
        <row r="2036">
          <cell r="A2036">
            <v>45499</v>
          </cell>
          <cell r="B2036">
            <v>1385.4</v>
          </cell>
        </row>
        <row r="2037">
          <cell r="A2037">
            <v>45500</v>
          </cell>
          <cell r="B2037">
            <v>1385.4</v>
          </cell>
        </row>
        <row r="2038">
          <cell r="A2038">
            <v>45501</v>
          </cell>
          <cell r="B2038">
            <v>1385.4</v>
          </cell>
        </row>
        <row r="2039">
          <cell r="A2039">
            <v>45502</v>
          </cell>
          <cell r="B2039">
            <v>1385.4</v>
          </cell>
        </row>
        <row r="2040">
          <cell r="A2040">
            <v>45503</v>
          </cell>
          <cell r="B2040">
            <v>1382</v>
          </cell>
        </row>
        <row r="2041">
          <cell r="A2041">
            <v>45504</v>
          </cell>
          <cell r="B2041">
            <v>1384.6</v>
          </cell>
        </row>
        <row r="2042">
          <cell r="A2042">
            <v>45505</v>
          </cell>
          <cell r="B2042">
            <v>1380.1</v>
          </cell>
        </row>
        <row r="2043">
          <cell r="A2043">
            <v>45506</v>
          </cell>
          <cell r="B2043">
            <v>1365.9</v>
          </cell>
        </row>
        <row r="2044">
          <cell r="A2044">
            <v>45507</v>
          </cell>
          <cell r="B2044">
            <v>1365.9</v>
          </cell>
        </row>
        <row r="2045">
          <cell r="A2045">
            <v>45508</v>
          </cell>
          <cell r="B2045">
            <v>1365.9</v>
          </cell>
        </row>
        <row r="2046">
          <cell r="A2046">
            <v>45509</v>
          </cell>
          <cell r="B2046">
            <v>1372.8</v>
          </cell>
        </row>
        <row r="2047">
          <cell r="A2047">
            <v>45510</v>
          </cell>
          <cell r="B2047">
            <v>1360.6</v>
          </cell>
        </row>
        <row r="2048">
          <cell r="A2048">
            <v>45511</v>
          </cell>
          <cell r="B2048">
            <v>1372.2</v>
          </cell>
        </row>
        <row r="2049">
          <cell r="A2049">
            <v>45512</v>
          </cell>
          <cell r="B2049">
            <v>1376.4</v>
          </cell>
        </row>
        <row r="2050">
          <cell r="A2050">
            <v>45513</v>
          </cell>
          <cell r="B2050">
            <v>1377.7</v>
          </cell>
        </row>
        <row r="2051">
          <cell r="A2051">
            <v>45514</v>
          </cell>
          <cell r="B2051">
            <v>1377.7</v>
          </cell>
        </row>
        <row r="2052">
          <cell r="A2052">
            <v>45515</v>
          </cell>
          <cell r="B2052">
            <v>1377.7</v>
          </cell>
        </row>
        <row r="2053">
          <cell r="A2053">
            <v>45516</v>
          </cell>
          <cell r="B2053">
            <v>1369.4</v>
          </cell>
        </row>
        <row r="2054">
          <cell r="A2054">
            <v>45517</v>
          </cell>
          <cell r="B2054">
            <v>1367.7</v>
          </cell>
        </row>
        <row r="2055">
          <cell r="A2055">
            <v>45518</v>
          </cell>
          <cell r="B2055">
            <v>1370.3</v>
          </cell>
        </row>
        <row r="2056">
          <cell r="A2056">
            <v>45519</v>
          </cell>
          <cell r="B2056">
            <v>1370.3</v>
          </cell>
        </row>
        <row r="2057">
          <cell r="A2057">
            <v>45520</v>
          </cell>
          <cell r="B2057">
            <v>1361.4</v>
          </cell>
        </row>
        <row r="2058">
          <cell r="A2058">
            <v>45521</v>
          </cell>
          <cell r="B2058">
            <v>1361.4</v>
          </cell>
        </row>
        <row r="2059">
          <cell r="A2059">
            <v>45522</v>
          </cell>
          <cell r="B2059">
            <v>1361.4</v>
          </cell>
        </row>
        <row r="2060">
          <cell r="A2060">
            <v>45523</v>
          </cell>
          <cell r="B2060">
            <v>1360.1</v>
          </cell>
        </row>
        <row r="2061">
          <cell r="A2061">
            <v>45524</v>
          </cell>
          <cell r="B2061">
            <v>1337.8</v>
          </cell>
        </row>
        <row r="2062">
          <cell r="A2062">
            <v>45525</v>
          </cell>
          <cell r="B2062">
            <v>1332</v>
          </cell>
        </row>
        <row r="2063">
          <cell r="A2063">
            <v>45526</v>
          </cell>
          <cell r="B2063">
            <v>1332.4</v>
          </cell>
        </row>
        <row r="2064">
          <cell r="A2064">
            <v>45527</v>
          </cell>
          <cell r="B2064">
            <v>1335.9</v>
          </cell>
        </row>
        <row r="2065">
          <cell r="A2065">
            <v>45528</v>
          </cell>
          <cell r="B2065">
            <v>1335.9</v>
          </cell>
        </row>
        <row r="2066">
          <cell r="A2066">
            <v>45529</v>
          </cell>
          <cell r="B2066">
            <v>1335.9</v>
          </cell>
        </row>
        <row r="2067">
          <cell r="A2067">
            <v>45530</v>
          </cell>
          <cell r="B2067">
            <v>1340.1</v>
          </cell>
        </row>
        <row r="2068">
          <cell r="A2068">
            <v>45531</v>
          </cell>
          <cell r="B2068">
            <v>1323.9</v>
          </cell>
        </row>
        <row r="2069">
          <cell r="A2069">
            <v>45532</v>
          </cell>
          <cell r="B2069">
            <v>1330.4</v>
          </cell>
        </row>
        <row r="2070">
          <cell r="A2070">
            <v>45533</v>
          </cell>
          <cell r="B2070">
            <v>1334.7</v>
          </cell>
        </row>
        <row r="2071">
          <cell r="A2071">
            <v>45534</v>
          </cell>
          <cell r="B2071">
            <v>1335.3</v>
          </cell>
        </row>
        <row r="2072">
          <cell r="A2072">
            <v>45535</v>
          </cell>
          <cell r="B2072">
            <v>1335.3</v>
          </cell>
        </row>
        <row r="2073">
          <cell r="A2073">
            <v>45536</v>
          </cell>
          <cell r="B2073">
            <v>1335.3</v>
          </cell>
        </row>
        <row r="2074">
          <cell r="A2074">
            <v>45537</v>
          </cell>
          <cell r="B2074">
            <v>1334.8</v>
          </cell>
        </row>
        <row r="2075">
          <cell r="A2075">
            <v>45538</v>
          </cell>
          <cell r="B2075">
            <v>1338.8</v>
          </cell>
        </row>
        <row r="2076">
          <cell r="A2076">
            <v>45539</v>
          </cell>
          <cell r="B2076">
            <v>1341</v>
          </cell>
        </row>
        <row r="2077">
          <cell r="A2077">
            <v>45540</v>
          </cell>
          <cell r="B2077">
            <v>1342</v>
          </cell>
        </row>
        <row r="2078">
          <cell r="A2078">
            <v>45541</v>
          </cell>
          <cell r="B2078">
            <v>1335.8</v>
          </cell>
        </row>
        <row r="2079">
          <cell r="A2079">
            <v>45542</v>
          </cell>
          <cell r="B2079">
            <v>1335.8</v>
          </cell>
        </row>
        <row r="2080">
          <cell r="A2080">
            <v>45543</v>
          </cell>
          <cell r="B2080">
            <v>1335.8</v>
          </cell>
        </row>
        <row r="2081">
          <cell r="A2081">
            <v>45544</v>
          </cell>
          <cell r="B2081">
            <v>1330.4</v>
          </cell>
        </row>
        <row r="2082">
          <cell r="A2082">
            <v>45545</v>
          </cell>
          <cell r="B2082">
            <v>1339.5</v>
          </cell>
        </row>
        <row r="2083">
          <cell r="A2083">
            <v>45546</v>
          </cell>
          <cell r="B2083">
            <v>1344.3</v>
          </cell>
        </row>
        <row r="2084">
          <cell r="A2084">
            <v>45547</v>
          </cell>
          <cell r="B2084">
            <v>1340.3</v>
          </cell>
        </row>
        <row r="2085">
          <cell r="A2085">
            <v>45548</v>
          </cell>
          <cell r="B2085">
            <v>1339.6</v>
          </cell>
        </row>
        <row r="2086">
          <cell r="A2086">
            <v>45549</v>
          </cell>
          <cell r="B2086">
            <v>1339.6</v>
          </cell>
        </row>
        <row r="2087">
          <cell r="A2087">
            <v>45550</v>
          </cell>
          <cell r="B2087">
            <v>1339.6</v>
          </cell>
        </row>
        <row r="2088">
          <cell r="A2088">
            <v>45551</v>
          </cell>
          <cell r="B2088">
            <v>1339.6</v>
          </cell>
        </row>
        <row r="2089">
          <cell r="A2089">
            <v>45552</v>
          </cell>
          <cell r="B2089">
            <v>1339.6</v>
          </cell>
        </row>
        <row r="2090">
          <cell r="A2090">
            <v>45553</v>
          </cell>
          <cell r="B2090">
            <v>1339.6</v>
          </cell>
        </row>
        <row r="2091">
          <cell r="A2091">
            <v>45554</v>
          </cell>
          <cell r="B2091">
            <v>1331</v>
          </cell>
        </row>
        <row r="2092">
          <cell r="A2092">
            <v>45555</v>
          </cell>
          <cell r="B2092">
            <v>1331.8</v>
          </cell>
        </row>
        <row r="2093">
          <cell r="A2093">
            <v>45556</v>
          </cell>
          <cell r="B2093">
            <v>1331.8</v>
          </cell>
        </row>
        <row r="2094">
          <cell r="A2094">
            <v>45557</v>
          </cell>
          <cell r="B2094">
            <v>1331.8</v>
          </cell>
        </row>
        <row r="2095">
          <cell r="A2095">
            <v>45558</v>
          </cell>
          <cell r="B2095">
            <v>1329.9</v>
          </cell>
        </row>
        <row r="2096">
          <cell r="A2096">
            <v>45559</v>
          </cell>
          <cell r="B2096">
            <v>1335.5</v>
          </cell>
        </row>
        <row r="2097">
          <cell r="A2097">
            <v>45560</v>
          </cell>
          <cell r="B2097">
            <v>1334.3</v>
          </cell>
        </row>
        <row r="2098">
          <cell r="A2098">
            <v>45561</v>
          </cell>
          <cell r="B2098">
            <v>1328.4</v>
          </cell>
        </row>
        <row r="2099">
          <cell r="A2099">
            <v>45562</v>
          </cell>
          <cell r="B2099">
            <v>1329.7</v>
          </cell>
        </row>
        <row r="2100">
          <cell r="A2100">
            <v>45563</v>
          </cell>
          <cell r="B2100">
            <v>1329.7</v>
          </cell>
        </row>
        <row r="2101">
          <cell r="A2101">
            <v>45564</v>
          </cell>
          <cell r="B2101">
            <v>1329.7</v>
          </cell>
        </row>
        <row r="2102">
          <cell r="A2102">
            <v>45565</v>
          </cell>
          <cell r="B2102">
            <v>1319.6</v>
          </cell>
        </row>
        <row r="2103">
          <cell r="A2103">
            <v>45566</v>
          </cell>
          <cell r="B2103">
            <v>1319.6</v>
          </cell>
        </row>
        <row r="2104">
          <cell r="A2104">
            <v>45567</v>
          </cell>
          <cell r="B2104">
            <v>1306.9000000000001</v>
          </cell>
        </row>
        <row r="2105">
          <cell r="A2105">
            <v>45568</v>
          </cell>
          <cell r="B2105">
            <v>1306.9000000000001</v>
          </cell>
        </row>
        <row r="2106">
          <cell r="A2106">
            <v>45569</v>
          </cell>
          <cell r="B2106">
            <v>1320.1</v>
          </cell>
        </row>
        <row r="2107">
          <cell r="A2107">
            <v>45570</v>
          </cell>
          <cell r="B2107">
            <v>1320.1</v>
          </cell>
        </row>
        <row r="2108">
          <cell r="A2108">
            <v>45571</v>
          </cell>
          <cell r="B2108">
            <v>1320.1</v>
          </cell>
        </row>
        <row r="2109">
          <cell r="A2109">
            <v>45572</v>
          </cell>
          <cell r="B2109">
            <v>1333.3</v>
          </cell>
        </row>
        <row r="2110">
          <cell r="A2110">
            <v>45573</v>
          </cell>
          <cell r="B2110">
            <v>1346.5</v>
          </cell>
        </row>
        <row r="2111">
          <cell r="A2111">
            <v>45574</v>
          </cell>
          <cell r="B2111">
            <v>1346.5</v>
          </cell>
        </row>
        <row r="2112">
          <cell r="A2112">
            <v>45575</v>
          </cell>
          <cell r="B2112">
            <v>1347.8</v>
          </cell>
        </row>
        <row r="2113">
          <cell r="A2113">
            <v>45576</v>
          </cell>
          <cell r="B2113">
            <v>1349.4</v>
          </cell>
        </row>
        <row r="2114">
          <cell r="A2114">
            <v>45577</v>
          </cell>
          <cell r="B2114">
            <v>1349.4</v>
          </cell>
        </row>
        <row r="2115">
          <cell r="A2115">
            <v>45578</v>
          </cell>
          <cell r="B2115">
            <v>1349.4</v>
          </cell>
        </row>
        <row r="2116">
          <cell r="A2116">
            <v>45579</v>
          </cell>
          <cell r="B2116">
            <v>1348.6</v>
          </cell>
        </row>
        <row r="2117">
          <cell r="A2117">
            <v>45580</v>
          </cell>
          <cell r="B2117">
            <v>1354.9</v>
          </cell>
        </row>
        <row r="2118">
          <cell r="A2118">
            <v>45581</v>
          </cell>
          <cell r="B2118">
            <v>1360.4</v>
          </cell>
        </row>
        <row r="2119">
          <cell r="A2119">
            <v>45582</v>
          </cell>
          <cell r="B2119">
            <v>1363.7</v>
          </cell>
        </row>
        <row r="2120">
          <cell r="A2120">
            <v>45583</v>
          </cell>
          <cell r="B2120">
            <v>1366.5</v>
          </cell>
        </row>
        <row r="2121">
          <cell r="A2121">
            <v>45584</v>
          </cell>
          <cell r="B2121">
            <v>1366.5</v>
          </cell>
        </row>
        <row r="2122">
          <cell r="A2122">
            <v>45585</v>
          </cell>
          <cell r="B2122">
            <v>1366.5</v>
          </cell>
        </row>
        <row r="2123">
          <cell r="A2123">
            <v>45586</v>
          </cell>
          <cell r="B2123">
            <v>1371.1</v>
          </cell>
        </row>
        <row r="2124">
          <cell r="A2124">
            <v>45587</v>
          </cell>
          <cell r="B2124">
            <v>1370.4</v>
          </cell>
        </row>
        <row r="2125">
          <cell r="A2125">
            <v>45588</v>
          </cell>
          <cell r="B2125">
            <v>1380.1</v>
          </cell>
        </row>
        <row r="2126">
          <cell r="A2126">
            <v>45589</v>
          </cell>
          <cell r="B2126">
            <v>1382</v>
          </cell>
        </row>
        <row r="2127">
          <cell r="A2127">
            <v>45590</v>
          </cell>
          <cell r="B2127">
            <v>1380.5</v>
          </cell>
        </row>
        <row r="2128">
          <cell r="A2128">
            <v>45591</v>
          </cell>
          <cell r="B2128">
            <v>1380.5</v>
          </cell>
        </row>
        <row r="2129">
          <cell r="A2129">
            <v>45592</v>
          </cell>
          <cell r="B2129">
            <v>1380.5</v>
          </cell>
        </row>
        <row r="2130">
          <cell r="A2130">
            <v>45593</v>
          </cell>
          <cell r="B2130">
            <v>1384.4</v>
          </cell>
        </row>
        <row r="2131">
          <cell r="A2131">
            <v>45594</v>
          </cell>
          <cell r="B2131">
            <v>1387</v>
          </cell>
        </row>
        <row r="2132">
          <cell r="A2132">
            <v>45595</v>
          </cell>
          <cell r="B2132">
            <v>1383.1</v>
          </cell>
        </row>
        <row r="2133">
          <cell r="A2133">
            <v>45596</v>
          </cell>
          <cell r="B2133">
            <v>1383.3</v>
          </cell>
        </row>
        <row r="2134">
          <cell r="A2134">
            <v>45597</v>
          </cell>
          <cell r="B2134">
            <v>1379.3</v>
          </cell>
        </row>
        <row r="2135">
          <cell r="A2135">
            <v>45598</v>
          </cell>
          <cell r="B2135">
            <v>1379.3</v>
          </cell>
        </row>
        <row r="2136">
          <cell r="A2136">
            <v>45599</v>
          </cell>
          <cell r="B2136">
            <v>1379.3</v>
          </cell>
        </row>
        <row r="2137">
          <cell r="A2137">
            <v>45600</v>
          </cell>
          <cell r="B2137">
            <v>1377.9</v>
          </cell>
        </row>
        <row r="2138">
          <cell r="A2138">
            <v>45601</v>
          </cell>
          <cell r="B2138">
            <v>1371.3</v>
          </cell>
        </row>
        <row r="2139">
          <cell r="A2139">
            <v>45602</v>
          </cell>
          <cell r="B2139">
            <v>1377.8</v>
          </cell>
        </row>
        <row r="2140">
          <cell r="A2140">
            <v>45603</v>
          </cell>
          <cell r="B2140">
            <v>1391.5</v>
          </cell>
        </row>
        <row r="2141">
          <cell r="A2141">
            <v>45604</v>
          </cell>
          <cell r="B2141">
            <v>1399.1</v>
          </cell>
        </row>
        <row r="2142">
          <cell r="A2142">
            <v>45605</v>
          </cell>
          <cell r="B2142">
            <v>1399.1</v>
          </cell>
        </row>
        <row r="2143">
          <cell r="A2143">
            <v>45606</v>
          </cell>
          <cell r="B2143">
            <v>1399.1</v>
          </cell>
        </row>
        <row r="2144">
          <cell r="A2144">
            <v>45607</v>
          </cell>
          <cell r="B2144">
            <v>1385.4</v>
          </cell>
        </row>
        <row r="2145">
          <cell r="A2145">
            <v>45608</v>
          </cell>
          <cell r="B2145">
            <v>1395.3</v>
          </cell>
        </row>
        <row r="2146">
          <cell r="A2146">
            <v>45609</v>
          </cell>
          <cell r="B2146">
            <v>1401.1</v>
          </cell>
        </row>
        <row r="2147">
          <cell r="A2147">
            <v>45610</v>
          </cell>
          <cell r="B2147">
            <v>1407.3</v>
          </cell>
        </row>
        <row r="2148">
          <cell r="A2148">
            <v>45611</v>
          </cell>
          <cell r="B2148">
            <v>1406.4</v>
          </cell>
        </row>
        <row r="2149">
          <cell r="A2149">
            <v>45612</v>
          </cell>
          <cell r="B2149">
            <v>1406.4</v>
          </cell>
        </row>
        <row r="2150">
          <cell r="A2150">
            <v>45613</v>
          </cell>
          <cell r="B2150">
            <v>1406.4</v>
          </cell>
        </row>
        <row r="2151">
          <cell r="A2151">
            <v>45614</v>
          </cell>
          <cell r="B2151">
            <v>1402.8</v>
          </cell>
        </row>
        <row r="2152">
          <cell r="A2152">
            <v>45615</v>
          </cell>
          <cell r="B2152">
            <v>1392.6</v>
          </cell>
        </row>
        <row r="2153">
          <cell r="A2153">
            <v>45616</v>
          </cell>
          <cell r="B2153">
            <v>1392</v>
          </cell>
        </row>
        <row r="2154">
          <cell r="A2154">
            <v>45617</v>
          </cell>
          <cell r="B2154">
            <v>1391.6</v>
          </cell>
        </row>
        <row r="2155">
          <cell r="A2155">
            <v>45618</v>
          </cell>
          <cell r="B2155">
            <v>1398.1</v>
          </cell>
        </row>
        <row r="2156">
          <cell r="A2156">
            <v>45619</v>
          </cell>
          <cell r="B2156">
            <v>1398.1</v>
          </cell>
        </row>
        <row r="2157">
          <cell r="A2157">
            <v>45620</v>
          </cell>
          <cell r="B2157">
            <v>1398.1</v>
          </cell>
        </row>
        <row r="2158">
          <cell r="A2158">
            <v>45621</v>
          </cell>
          <cell r="B2158">
            <v>1400.5</v>
          </cell>
        </row>
        <row r="2159">
          <cell r="A2159">
            <v>45622</v>
          </cell>
          <cell r="B2159">
            <v>1398.2</v>
          </cell>
        </row>
        <row r="2160">
          <cell r="A2160">
            <v>45623</v>
          </cell>
          <cell r="B2160">
            <v>1401.2</v>
          </cell>
        </row>
        <row r="2161">
          <cell r="A2161">
            <v>45624</v>
          </cell>
          <cell r="B2161">
            <v>1396.8</v>
          </cell>
        </row>
        <row r="2162">
          <cell r="A2162">
            <v>45625</v>
          </cell>
          <cell r="B2162">
            <v>1394.7</v>
          </cell>
        </row>
        <row r="2163">
          <cell r="A2163">
            <v>45626</v>
          </cell>
          <cell r="B2163">
            <v>1394.7</v>
          </cell>
        </row>
        <row r="2164">
          <cell r="A2164">
            <v>45627</v>
          </cell>
          <cell r="B2164">
            <v>1394.7</v>
          </cell>
        </row>
        <row r="2165">
          <cell r="A2165">
            <v>45628</v>
          </cell>
          <cell r="B2165">
            <v>1395.1</v>
          </cell>
        </row>
        <row r="2166">
          <cell r="A2166">
            <v>45629</v>
          </cell>
          <cell r="B2166">
            <v>1402</v>
          </cell>
        </row>
        <row r="2167">
          <cell r="A2167">
            <v>45630</v>
          </cell>
          <cell r="B2167">
            <v>1403.4</v>
          </cell>
        </row>
        <row r="2168">
          <cell r="A2168">
            <v>45631</v>
          </cell>
          <cell r="B2168">
            <v>1413</v>
          </cell>
        </row>
        <row r="2169">
          <cell r="A2169">
            <v>45632</v>
          </cell>
          <cell r="B2169">
            <v>1414.9</v>
          </cell>
        </row>
        <row r="2170">
          <cell r="A2170">
            <v>45633</v>
          </cell>
          <cell r="B2170">
            <v>1414.9</v>
          </cell>
        </row>
        <row r="2171">
          <cell r="A2171">
            <v>45634</v>
          </cell>
          <cell r="B2171">
            <v>1414.9</v>
          </cell>
        </row>
        <row r="2172">
          <cell r="A2172">
            <v>45635</v>
          </cell>
          <cell r="B2172">
            <v>1419.4</v>
          </cell>
        </row>
        <row r="2173">
          <cell r="A2173">
            <v>45636</v>
          </cell>
          <cell r="B2173">
            <v>1433.2</v>
          </cell>
        </row>
        <row r="2174">
          <cell r="A2174">
            <v>45637</v>
          </cell>
          <cell r="B2174">
            <v>1428.1</v>
          </cell>
        </row>
        <row r="2175">
          <cell r="A2175">
            <v>45638</v>
          </cell>
          <cell r="B2175">
            <v>1431.4</v>
          </cell>
        </row>
        <row r="2176">
          <cell r="A2176">
            <v>45639</v>
          </cell>
          <cell r="B2176">
            <v>1431.5</v>
          </cell>
        </row>
        <row r="2177">
          <cell r="A2177">
            <v>45640</v>
          </cell>
          <cell r="B2177">
            <v>1431.5</v>
          </cell>
        </row>
        <row r="2178">
          <cell r="A2178">
            <v>45641</v>
          </cell>
          <cell r="B2178">
            <v>1431.5</v>
          </cell>
        </row>
        <row r="2179">
          <cell r="A2179">
            <v>45642</v>
          </cell>
          <cell r="B2179">
            <v>1432.7</v>
          </cell>
        </row>
        <row r="2180">
          <cell r="A2180">
            <v>45643</v>
          </cell>
          <cell r="B2180">
            <v>1434.9</v>
          </cell>
        </row>
        <row r="2181">
          <cell r="A2181">
            <v>45644</v>
          </cell>
          <cell r="B2181">
            <v>1436.6</v>
          </cell>
        </row>
        <row r="2182">
          <cell r="A2182">
            <v>45645</v>
          </cell>
          <cell r="B2182">
            <v>1436.8</v>
          </cell>
        </row>
        <row r="2183">
          <cell r="A2183">
            <v>45646</v>
          </cell>
          <cell r="B2183">
            <v>1449.7</v>
          </cell>
        </row>
        <row r="2184">
          <cell r="A2184">
            <v>45647</v>
          </cell>
          <cell r="B2184">
            <v>1449.7</v>
          </cell>
        </row>
        <row r="2185">
          <cell r="A2185">
            <v>45648</v>
          </cell>
          <cell r="B2185">
            <v>1449.7</v>
          </cell>
        </row>
        <row r="2186">
          <cell r="A2186">
            <v>45649</v>
          </cell>
          <cell r="B2186">
            <v>1450.3</v>
          </cell>
        </row>
        <row r="2187">
          <cell r="A2187">
            <v>45650</v>
          </cell>
          <cell r="B2187">
            <v>1449.3</v>
          </cell>
        </row>
        <row r="2188">
          <cell r="A2188">
            <v>45651</v>
          </cell>
          <cell r="B2188">
            <v>1449.3</v>
          </cell>
        </row>
        <row r="2189">
          <cell r="A2189">
            <v>45652</v>
          </cell>
          <cell r="B2189">
            <v>1453.6</v>
          </cell>
        </row>
        <row r="2190">
          <cell r="A2190">
            <v>45653</v>
          </cell>
          <cell r="B2190">
            <v>1462.9</v>
          </cell>
        </row>
        <row r="2191">
          <cell r="A2191">
            <v>45654</v>
          </cell>
          <cell r="B2191">
            <v>1462.9</v>
          </cell>
        </row>
        <row r="2192">
          <cell r="A2192">
            <v>45655</v>
          </cell>
          <cell r="B2192">
            <v>1462.9</v>
          </cell>
        </row>
        <row r="2193">
          <cell r="A2193">
            <v>45656</v>
          </cell>
          <cell r="B2193">
            <v>1474.1</v>
          </cell>
        </row>
        <row r="2194">
          <cell r="A2194">
            <v>45657</v>
          </cell>
          <cell r="B2194">
            <v>1470</v>
          </cell>
        </row>
        <row r="2195">
          <cell r="A2195">
            <v>45658</v>
          </cell>
          <cell r="B2195">
            <v>1470</v>
          </cell>
        </row>
        <row r="2196">
          <cell r="A2196">
            <v>45659</v>
          </cell>
          <cell r="B2196">
            <v>1470</v>
          </cell>
        </row>
        <row r="2197">
          <cell r="A2197">
            <v>45660</v>
          </cell>
          <cell r="B2197">
            <v>1468.3</v>
          </cell>
        </row>
        <row r="2198">
          <cell r="A2198">
            <v>45661</v>
          </cell>
          <cell r="B2198">
            <v>1468.3</v>
          </cell>
        </row>
        <row r="2199">
          <cell r="A2199">
            <v>45662</v>
          </cell>
          <cell r="B2199">
            <v>1468.3</v>
          </cell>
        </row>
        <row r="2200">
          <cell r="A2200">
            <v>45663</v>
          </cell>
          <cell r="B2200">
            <v>1466.8</v>
          </cell>
        </row>
        <row r="2201">
          <cell r="A2201">
            <v>45664</v>
          </cell>
          <cell r="B2201">
            <v>1470.8</v>
          </cell>
        </row>
        <row r="2202">
          <cell r="A2202">
            <v>45665</v>
          </cell>
          <cell r="B2202">
            <v>1455.4</v>
          </cell>
        </row>
        <row r="2203">
          <cell r="A2203">
            <v>45666</v>
          </cell>
          <cell r="B2203">
            <v>1453.2</v>
          </cell>
        </row>
        <row r="2204">
          <cell r="A2204">
            <v>45667</v>
          </cell>
          <cell r="B2204">
            <v>1458.2</v>
          </cell>
        </row>
        <row r="2205">
          <cell r="A2205">
            <v>45668</v>
          </cell>
          <cell r="B2205">
            <v>1458.2</v>
          </cell>
        </row>
        <row r="2206">
          <cell r="A2206">
            <v>45669</v>
          </cell>
          <cell r="B2206">
            <v>1458.2</v>
          </cell>
        </row>
        <row r="2207">
          <cell r="A2207">
            <v>45670</v>
          </cell>
          <cell r="B2207">
            <v>1460.7</v>
          </cell>
        </row>
        <row r="2208">
          <cell r="A2208">
            <v>45671</v>
          </cell>
          <cell r="B2208">
            <v>1471.3</v>
          </cell>
        </row>
        <row r="2209">
          <cell r="A2209">
            <v>45672</v>
          </cell>
          <cell r="B2209">
            <v>1463.3</v>
          </cell>
        </row>
        <row r="2210">
          <cell r="A2210">
            <v>45673</v>
          </cell>
          <cell r="B2210">
            <v>1460.2</v>
          </cell>
        </row>
        <row r="2211">
          <cell r="A2211">
            <v>45674</v>
          </cell>
          <cell r="B2211">
            <v>1454.7</v>
          </cell>
        </row>
        <row r="2212">
          <cell r="A2212">
            <v>45675</v>
          </cell>
          <cell r="B2212">
            <v>1454.7</v>
          </cell>
        </row>
        <row r="2213">
          <cell r="A2213">
            <v>45676</v>
          </cell>
          <cell r="B2213">
            <v>1454.7</v>
          </cell>
        </row>
        <row r="2214">
          <cell r="A2214">
            <v>45677</v>
          </cell>
          <cell r="B2214">
            <v>1455.8</v>
          </cell>
        </row>
        <row r="2215">
          <cell r="A2215">
            <v>45678</v>
          </cell>
          <cell r="B2215">
            <v>1453</v>
          </cell>
        </row>
        <row r="2216">
          <cell r="A2216">
            <v>45679</v>
          </cell>
          <cell r="B2216">
            <v>1437.9</v>
          </cell>
        </row>
        <row r="2217">
          <cell r="A2217">
            <v>45680</v>
          </cell>
          <cell r="B2217">
            <v>1434.3</v>
          </cell>
        </row>
        <row r="2218">
          <cell r="A2218">
            <v>45681</v>
          </cell>
          <cell r="B2218">
            <v>1437.1</v>
          </cell>
        </row>
        <row r="2219">
          <cell r="A2219">
            <v>45682</v>
          </cell>
          <cell r="B2219">
            <v>1437.1</v>
          </cell>
        </row>
        <row r="2220">
          <cell r="A2220">
            <v>45683</v>
          </cell>
          <cell r="B2220">
            <v>1437.1</v>
          </cell>
        </row>
        <row r="2221">
          <cell r="A2221">
            <v>45684</v>
          </cell>
          <cell r="B2221">
            <v>1437.1</v>
          </cell>
        </row>
        <row r="2222">
          <cell r="A2222">
            <v>45685</v>
          </cell>
          <cell r="B2222">
            <v>1437.1</v>
          </cell>
        </row>
        <row r="2223">
          <cell r="A2223">
            <v>45686</v>
          </cell>
          <cell r="B2223">
            <v>1437.1</v>
          </cell>
        </row>
        <row r="2224">
          <cell r="A2224">
            <v>45687</v>
          </cell>
          <cell r="B2224">
            <v>1437.1</v>
          </cell>
        </row>
        <row r="2225">
          <cell r="A2225">
            <v>45688</v>
          </cell>
          <cell r="B2225">
            <v>1433.3</v>
          </cell>
        </row>
        <row r="2226">
          <cell r="A2226">
            <v>45689</v>
          </cell>
          <cell r="B2226">
            <v>1433.3</v>
          </cell>
        </row>
        <row r="2227">
          <cell r="A2227">
            <v>45690</v>
          </cell>
          <cell r="B2227">
            <v>1433.3</v>
          </cell>
        </row>
        <row r="2228">
          <cell r="A2228">
            <v>45691</v>
          </cell>
          <cell r="B2228">
            <v>1453</v>
          </cell>
        </row>
        <row r="2229">
          <cell r="A2229">
            <v>45692</v>
          </cell>
        </row>
        <row r="2230">
          <cell r="A2230">
            <v>45693</v>
          </cell>
        </row>
        <row r="2231">
          <cell r="A2231">
            <v>45694</v>
          </cell>
        </row>
        <row r="2232">
          <cell r="A2232">
            <v>45695</v>
          </cell>
        </row>
        <row r="2233">
          <cell r="A2233">
            <v>45696</v>
          </cell>
        </row>
        <row r="2234">
          <cell r="A2234">
            <v>45697</v>
          </cell>
        </row>
        <row r="2235">
          <cell r="A2235">
            <v>45698</v>
          </cell>
        </row>
        <row r="2236">
          <cell r="A2236">
            <v>45699</v>
          </cell>
        </row>
        <row r="2237">
          <cell r="A2237">
            <v>45700</v>
          </cell>
        </row>
        <row r="2238">
          <cell r="A2238">
            <v>45701</v>
          </cell>
        </row>
        <row r="2239">
          <cell r="A2239">
            <v>45702</v>
          </cell>
        </row>
        <row r="2240">
          <cell r="A2240">
            <v>45703</v>
          </cell>
        </row>
        <row r="2241">
          <cell r="A2241">
            <v>45704</v>
          </cell>
        </row>
        <row r="2242">
          <cell r="A2242">
            <v>45705</v>
          </cell>
        </row>
        <row r="2243">
          <cell r="A2243">
            <v>45706</v>
          </cell>
        </row>
        <row r="2244">
          <cell r="A2244">
            <v>45707</v>
          </cell>
        </row>
        <row r="2245">
          <cell r="A2245">
            <v>45708</v>
          </cell>
        </row>
        <row r="2246">
          <cell r="A2246">
            <v>45709</v>
          </cell>
        </row>
        <row r="2247">
          <cell r="A2247">
            <v>45710</v>
          </cell>
        </row>
        <row r="2248">
          <cell r="A2248">
            <v>45711</v>
          </cell>
        </row>
        <row r="2249">
          <cell r="A2249">
            <v>45712</v>
          </cell>
        </row>
        <row r="2250">
          <cell r="A2250">
            <v>45713</v>
          </cell>
        </row>
        <row r="2251">
          <cell r="A2251">
            <v>45714</v>
          </cell>
        </row>
        <row r="2252">
          <cell r="A2252">
            <v>45715</v>
          </cell>
        </row>
        <row r="2253">
          <cell r="A2253">
            <v>45716</v>
          </cell>
        </row>
        <row r="2254">
          <cell r="A2254">
            <v>45717</v>
          </cell>
        </row>
        <row r="2255">
          <cell r="A2255">
            <v>45718</v>
          </cell>
        </row>
        <row r="2256">
          <cell r="A2256">
            <v>45719</v>
          </cell>
        </row>
        <row r="2257">
          <cell r="A2257">
            <v>45720</v>
          </cell>
        </row>
        <row r="2258">
          <cell r="A2258">
            <v>45721</v>
          </cell>
        </row>
        <row r="2259">
          <cell r="A2259">
            <v>45722</v>
          </cell>
        </row>
        <row r="2260">
          <cell r="A2260">
            <v>45723</v>
          </cell>
        </row>
        <row r="2261">
          <cell r="A2261">
            <v>45724</v>
          </cell>
        </row>
        <row r="2262">
          <cell r="A2262">
            <v>45725</v>
          </cell>
        </row>
        <row r="2263">
          <cell r="A2263">
            <v>45726</v>
          </cell>
        </row>
        <row r="2264">
          <cell r="A2264">
            <v>45727</v>
          </cell>
        </row>
        <row r="2265">
          <cell r="A2265">
            <v>45728</v>
          </cell>
        </row>
        <row r="2266">
          <cell r="A2266">
            <v>45729</v>
          </cell>
        </row>
        <row r="2267">
          <cell r="A2267">
            <v>45730</v>
          </cell>
        </row>
        <row r="2268">
          <cell r="A2268">
            <v>45731</v>
          </cell>
        </row>
        <row r="2269">
          <cell r="A2269">
            <v>45732</v>
          </cell>
        </row>
        <row r="2270">
          <cell r="A2270">
            <v>45733</v>
          </cell>
        </row>
        <row r="2271">
          <cell r="A2271">
            <v>45734</v>
          </cell>
        </row>
        <row r="2272">
          <cell r="A2272">
            <v>45735</v>
          </cell>
        </row>
        <row r="2273">
          <cell r="A2273">
            <v>45736</v>
          </cell>
        </row>
        <row r="2274">
          <cell r="A2274">
            <v>45737</v>
          </cell>
        </row>
        <row r="2275">
          <cell r="A2275">
            <v>45738</v>
          </cell>
        </row>
        <row r="2276">
          <cell r="A2276">
            <v>45739</v>
          </cell>
        </row>
        <row r="2277">
          <cell r="A2277">
            <v>45740</v>
          </cell>
        </row>
        <row r="2278">
          <cell r="A2278">
            <v>45741</v>
          </cell>
        </row>
        <row r="2279">
          <cell r="A2279">
            <v>45742</v>
          </cell>
        </row>
        <row r="2280">
          <cell r="A2280">
            <v>45743</v>
          </cell>
        </row>
        <row r="2281">
          <cell r="A2281">
            <v>45744</v>
          </cell>
        </row>
        <row r="2282">
          <cell r="A2282">
            <v>45745</v>
          </cell>
        </row>
        <row r="2283">
          <cell r="A2283">
            <v>45746</v>
          </cell>
        </row>
        <row r="2284">
          <cell r="A2284">
            <v>45747</v>
          </cell>
        </row>
        <row r="2285">
          <cell r="A2285">
            <v>45748</v>
          </cell>
        </row>
        <row r="2286">
          <cell r="A2286">
            <v>45749</v>
          </cell>
        </row>
        <row r="2287">
          <cell r="A2287">
            <v>45750</v>
          </cell>
        </row>
        <row r="2288">
          <cell r="A2288">
            <v>45751</v>
          </cell>
        </row>
        <row r="2289">
          <cell r="A2289">
            <v>45752</v>
          </cell>
        </row>
        <row r="2290">
          <cell r="A2290">
            <v>45753</v>
          </cell>
        </row>
        <row r="2291">
          <cell r="A2291">
            <v>45754</v>
          </cell>
        </row>
        <row r="2292">
          <cell r="A2292">
            <v>45755</v>
          </cell>
        </row>
        <row r="2293">
          <cell r="A2293">
            <v>45756</v>
          </cell>
        </row>
        <row r="2294">
          <cell r="A2294">
            <v>45757</v>
          </cell>
        </row>
        <row r="2295">
          <cell r="A2295">
            <v>45758</v>
          </cell>
        </row>
        <row r="2296">
          <cell r="A2296">
            <v>45759</v>
          </cell>
        </row>
        <row r="2297">
          <cell r="A2297">
            <v>45760</v>
          </cell>
        </row>
        <row r="2298">
          <cell r="A2298">
            <v>45761</v>
          </cell>
        </row>
        <row r="2299">
          <cell r="A2299">
            <v>45762</v>
          </cell>
        </row>
        <row r="2300">
          <cell r="A2300">
            <v>45763</v>
          </cell>
        </row>
        <row r="2301">
          <cell r="A2301">
            <v>45764</v>
          </cell>
        </row>
        <row r="2302">
          <cell r="A2302">
            <v>45765</v>
          </cell>
        </row>
        <row r="2303">
          <cell r="A2303">
            <v>45766</v>
          </cell>
        </row>
        <row r="2304">
          <cell r="A2304">
            <v>45767</v>
          </cell>
        </row>
        <row r="2305">
          <cell r="A2305">
            <v>45768</v>
          </cell>
        </row>
        <row r="2306">
          <cell r="A2306">
            <v>45769</v>
          </cell>
        </row>
        <row r="2307">
          <cell r="A2307">
            <v>45770</v>
          </cell>
        </row>
        <row r="2308">
          <cell r="A2308">
            <v>45771</v>
          </cell>
        </row>
        <row r="2309">
          <cell r="A2309">
            <v>45772</v>
          </cell>
        </row>
        <row r="2310">
          <cell r="A2310">
            <v>45773</v>
          </cell>
        </row>
        <row r="2311">
          <cell r="A2311">
            <v>45774</v>
          </cell>
        </row>
        <row r="2312">
          <cell r="A2312">
            <v>45775</v>
          </cell>
        </row>
        <row r="2313">
          <cell r="A2313">
            <v>45776</v>
          </cell>
        </row>
        <row r="2314">
          <cell r="A2314">
            <v>45777</v>
          </cell>
        </row>
        <row r="2315">
          <cell r="A2315">
            <v>45778</v>
          </cell>
        </row>
        <row r="2316">
          <cell r="A2316">
            <v>45779</v>
          </cell>
        </row>
        <row r="2317">
          <cell r="A2317">
            <v>45780</v>
          </cell>
        </row>
        <row r="2318">
          <cell r="A2318">
            <v>45781</v>
          </cell>
        </row>
        <row r="2319">
          <cell r="A2319">
            <v>45782</v>
          </cell>
        </row>
        <row r="2320">
          <cell r="A2320">
            <v>45783</v>
          </cell>
        </row>
        <row r="2321">
          <cell r="A2321">
            <v>45784</v>
          </cell>
        </row>
        <row r="2322">
          <cell r="A2322">
            <v>45785</v>
          </cell>
        </row>
        <row r="2323">
          <cell r="A2323">
            <v>45786</v>
          </cell>
        </row>
        <row r="2324">
          <cell r="A2324">
            <v>45787</v>
          </cell>
        </row>
        <row r="2325">
          <cell r="A2325">
            <v>45788</v>
          </cell>
        </row>
        <row r="2326">
          <cell r="A2326">
            <v>45789</v>
          </cell>
        </row>
        <row r="2327">
          <cell r="A2327">
            <v>45790</v>
          </cell>
        </row>
        <row r="2328">
          <cell r="A2328">
            <v>45791</v>
          </cell>
        </row>
        <row r="2329">
          <cell r="A2329">
            <v>45792</v>
          </cell>
        </row>
        <row r="2330">
          <cell r="A2330">
            <v>45793</v>
          </cell>
        </row>
        <row r="2331">
          <cell r="A2331">
            <v>45794</v>
          </cell>
        </row>
        <row r="2332">
          <cell r="A2332">
            <v>45795</v>
          </cell>
        </row>
        <row r="2333">
          <cell r="A2333">
            <v>45796</v>
          </cell>
        </row>
        <row r="2334">
          <cell r="A2334">
            <v>45797</v>
          </cell>
        </row>
        <row r="2335">
          <cell r="A2335">
            <v>45798</v>
          </cell>
        </row>
        <row r="2336">
          <cell r="A2336">
            <v>45799</v>
          </cell>
        </row>
        <row r="2337">
          <cell r="A2337">
            <v>45800</v>
          </cell>
        </row>
        <row r="2338">
          <cell r="A2338">
            <v>45801</v>
          </cell>
        </row>
        <row r="2339">
          <cell r="A2339">
            <v>45802</v>
          </cell>
        </row>
        <row r="2340">
          <cell r="A2340">
            <v>45803</v>
          </cell>
        </row>
        <row r="2341">
          <cell r="A2341">
            <v>45804</v>
          </cell>
        </row>
        <row r="2342">
          <cell r="A2342">
            <v>45805</v>
          </cell>
        </row>
        <row r="2343">
          <cell r="A2343">
            <v>45806</v>
          </cell>
        </row>
        <row r="2344">
          <cell r="A2344">
            <v>45807</v>
          </cell>
        </row>
        <row r="2345">
          <cell r="A2345">
            <v>45808</v>
          </cell>
        </row>
        <row r="2346">
          <cell r="A2346">
            <v>45809</v>
          </cell>
        </row>
        <row r="2347">
          <cell r="A2347">
            <v>45810</v>
          </cell>
        </row>
        <row r="2348">
          <cell r="A2348">
            <v>45811</v>
          </cell>
        </row>
        <row r="2349">
          <cell r="A2349">
            <v>45812</v>
          </cell>
        </row>
        <row r="2350">
          <cell r="A2350">
            <v>45813</v>
          </cell>
        </row>
        <row r="2351">
          <cell r="A2351">
            <v>45814</v>
          </cell>
        </row>
        <row r="2352">
          <cell r="A2352">
            <v>45815</v>
          </cell>
        </row>
        <row r="2353">
          <cell r="A2353">
            <v>45816</v>
          </cell>
        </row>
        <row r="2354">
          <cell r="A2354">
            <v>45817</v>
          </cell>
        </row>
        <row r="2355">
          <cell r="A2355">
            <v>45818</v>
          </cell>
        </row>
        <row r="2356">
          <cell r="A2356">
            <v>45819</v>
          </cell>
        </row>
        <row r="2357">
          <cell r="A2357">
            <v>45820</v>
          </cell>
        </row>
        <row r="2358">
          <cell r="A2358">
            <v>45821</v>
          </cell>
        </row>
        <row r="2359">
          <cell r="A2359">
            <v>45822</v>
          </cell>
        </row>
        <row r="2360">
          <cell r="A2360">
            <v>45823</v>
          </cell>
        </row>
        <row r="2361">
          <cell r="A2361">
            <v>45824</v>
          </cell>
        </row>
        <row r="2362">
          <cell r="A2362">
            <v>45825</v>
          </cell>
        </row>
        <row r="2363">
          <cell r="A2363">
            <v>45826</v>
          </cell>
        </row>
        <row r="2364">
          <cell r="A2364">
            <v>45827</v>
          </cell>
        </row>
        <row r="2365">
          <cell r="A2365">
            <v>45828</v>
          </cell>
        </row>
        <row r="2366">
          <cell r="A2366">
            <v>45829</v>
          </cell>
        </row>
        <row r="2367">
          <cell r="A2367">
            <v>45830</v>
          </cell>
        </row>
        <row r="2368">
          <cell r="A2368">
            <v>45831</v>
          </cell>
        </row>
        <row r="2369">
          <cell r="A2369">
            <v>45832</v>
          </cell>
        </row>
        <row r="2370">
          <cell r="A2370">
            <v>45833</v>
          </cell>
        </row>
        <row r="2371">
          <cell r="A2371">
            <v>45834</v>
          </cell>
        </row>
        <row r="2372">
          <cell r="A2372">
            <v>45835</v>
          </cell>
        </row>
        <row r="2373">
          <cell r="A2373">
            <v>45836</v>
          </cell>
        </row>
        <row r="2374">
          <cell r="A2374">
            <v>45837</v>
          </cell>
        </row>
        <row r="2375">
          <cell r="A2375">
            <v>45838</v>
          </cell>
        </row>
        <row r="2376">
          <cell r="A2376">
            <v>45839</v>
          </cell>
        </row>
        <row r="2377">
          <cell r="A2377">
            <v>45840</v>
          </cell>
        </row>
        <row r="2378">
          <cell r="A2378">
            <v>45841</v>
          </cell>
        </row>
        <row r="2379">
          <cell r="A2379">
            <v>45842</v>
          </cell>
        </row>
        <row r="2380">
          <cell r="A2380">
            <v>45843</v>
          </cell>
        </row>
        <row r="2381">
          <cell r="A2381">
            <v>45844</v>
          </cell>
        </row>
        <row r="2382">
          <cell r="A2382">
            <v>45845</v>
          </cell>
        </row>
        <row r="2383">
          <cell r="A2383">
            <v>45846</v>
          </cell>
        </row>
        <row r="2384">
          <cell r="A2384">
            <v>45847</v>
          </cell>
        </row>
        <row r="2385">
          <cell r="A2385">
            <v>45848</v>
          </cell>
        </row>
        <row r="2386">
          <cell r="A2386">
            <v>45849</v>
          </cell>
        </row>
        <row r="2387">
          <cell r="A2387">
            <v>45850</v>
          </cell>
        </row>
        <row r="2388">
          <cell r="A2388">
            <v>45851</v>
          </cell>
        </row>
        <row r="2389">
          <cell r="A2389">
            <v>45852</v>
          </cell>
        </row>
        <row r="2390">
          <cell r="A2390">
            <v>45853</v>
          </cell>
        </row>
        <row r="2391">
          <cell r="A2391">
            <v>45854</v>
          </cell>
        </row>
        <row r="2392">
          <cell r="A2392">
            <v>45855</v>
          </cell>
        </row>
        <row r="2393">
          <cell r="A2393">
            <v>45856</v>
          </cell>
        </row>
        <row r="2394">
          <cell r="A2394">
            <v>45857</v>
          </cell>
        </row>
        <row r="2395">
          <cell r="A2395">
            <v>45858</v>
          </cell>
        </row>
        <row r="2396">
          <cell r="A2396">
            <v>45859</v>
          </cell>
        </row>
        <row r="2397">
          <cell r="A2397">
            <v>45860</v>
          </cell>
        </row>
        <row r="2398">
          <cell r="A2398">
            <v>45861</v>
          </cell>
        </row>
        <row r="2399">
          <cell r="A2399">
            <v>45862</v>
          </cell>
        </row>
        <row r="2400">
          <cell r="A2400">
            <v>45863</v>
          </cell>
        </row>
        <row r="2401">
          <cell r="A2401">
            <v>45864</v>
          </cell>
        </row>
        <row r="2402">
          <cell r="A2402">
            <v>45865</v>
          </cell>
        </row>
        <row r="2403">
          <cell r="A2403">
            <v>45866</v>
          </cell>
        </row>
        <row r="2404">
          <cell r="A2404">
            <v>45867</v>
          </cell>
        </row>
        <row r="2405">
          <cell r="A2405">
            <v>45868</v>
          </cell>
        </row>
        <row r="2406">
          <cell r="A2406">
            <v>45869</v>
          </cell>
        </row>
        <row r="2407">
          <cell r="A2407">
            <v>45870</v>
          </cell>
        </row>
        <row r="2408">
          <cell r="A2408">
            <v>45871</v>
          </cell>
        </row>
        <row r="2409">
          <cell r="A2409">
            <v>45872</v>
          </cell>
        </row>
        <row r="2410">
          <cell r="A2410">
            <v>45873</v>
          </cell>
        </row>
        <row r="2411">
          <cell r="A2411">
            <v>45874</v>
          </cell>
        </row>
        <row r="2412">
          <cell r="A2412">
            <v>45875</v>
          </cell>
        </row>
        <row r="2413">
          <cell r="A2413">
            <v>45876</v>
          </cell>
        </row>
        <row r="2414">
          <cell r="A2414">
            <v>45877</v>
          </cell>
        </row>
        <row r="2415">
          <cell r="A2415">
            <v>45878</v>
          </cell>
        </row>
        <row r="2416">
          <cell r="A2416">
            <v>45879</v>
          </cell>
        </row>
        <row r="2417">
          <cell r="A2417">
            <v>45880</v>
          </cell>
        </row>
        <row r="2418">
          <cell r="A2418">
            <v>45881</v>
          </cell>
        </row>
        <row r="2419">
          <cell r="A2419">
            <v>45882</v>
          </cell>
        </row>
        <row r="2420">
          <cell r="A2420">
            <v>45883</v>
          </cell>
        </row>
        <row r="2421">
          <cell r="A2421">
            <v>45884</v>
          </cell>
        </row>
        <row r="2422">
          <cell r="A2422">
            <v>45885</v>
          </cell>
        </row>
        <row r="2423">
          <cell r="A2423">
            <v>45886</v>
          </cell>
        </row>
        <row r="2424">
          <cell r="A2424">
            <v>45887</v>
          </cell>
        </row>
        <row r="2425">
          <cell r="A2425">
            <v>45888</v>
          </cell>
        </row>
        <row r="2426">
          <cell r="A2426">
            <v>45889</v>
          </cell>
        </row>
        <row r="2427">
          <cell r="A2427">
            <v>45890</v>
          </cell>
        </row>
        <row r="2428">
          <cell r="A2428">
            <v>45891</v>
          </cell>
        </row>
        <row r="2429">
          <cell r="A2429">
            <v>45892</v>
          </cell>
        </row>
        <row r="2430">
          <cell r="A2430">
            <v>45893</v>
          </cell>
        </row>
        <row r="2431">
          <cell r="A2431">
            <v>45894</v>
          </cell>
        </row>
        <row r="2432">
          <cell r="A2432">
            <v>45895</v>
          </cell>
        </row>
        <row r="2433">
          <cell r="A2433">
            <v>45896</v>
          </cell>
        </row>
        <row r="2434">
          <cell r="A2434">
            <v>45897</v>
          </cell>
        </row>
        <row r="2435">
          <cell r="A2435">
            <v>45898</v>
          </cell>
        </row>
        <row r="2436">
          <cell r="A2436">
            <v>45899</v>
          </cell>
        </row>
        <row r="2437">
          <cell r="A2437">
            <v>45900</v>
          </cell>
        </row>
        <row r="2438">
          <cell r="A2438">
            <v>45901</v>
          </cell>
        </row>
        <row r="2439">
          <cell r="A2439">
            <v>45902</v>
          </cell>
        </row>
        <row r="2440">
          <cell r="A2440">
            <v>45903</v>
          </cell>
        </row>
        <row r="2441">
          <cell r="A2441">
            <v>45904</v>
          </cell>
        </row>
        <row r="2442">
          <cell r="A2442">
            <v>45905</v>
          </cell>
        </row>
        <row r="2443">
          <cell r="A2443">
            <v>45906</v>
          </cell>
        </row>
        <row r="2444">
          <cell r="A2444">
            <v>45907</v>
          </cell>
        </row>
        <row r="2445">
          <cell r="A2445">
            <v>45908</v>
          </cell>
        </row>
        <row r="2446">
          <cell r="A2446">
            <v>45909</v>
          </cell>
        </row>
        <row r="2447">
          <cell r="A2447">
            <v>45910</v>
          </cell>
        </row>
        <row r="2448">
          <cell r="A2448">
            <v>45911</v>
          </cell>
        </row>
        <row r="2449">
          <cell r="A2449">
            <v>45912</v>
          </cell>
        </row>
        <row r="2450">
          <cell r="A2450">
            <v>45913</v>
          </cell>
        </row>
        <row r="2451">
          <cell r="A2451">
            <v>45914</v>
          </cell>
        </row>
        <row r="2452">
          <cell r="A2452">
            <v>45915</v>
          </cell>
        </row>
        <row r="2453">
          <cell r="A2453">
            <v>45916</v>
          </cell>
        </row>
        <row r="2454">
          <cell r="A2454">
            <v>45917</v>
          </cell>
        </row>
        <row r="2455">
          <cell r="A2455">
            <v>45918</v>
          </cell>
        </row>
        <row r="2456">
          <cell r="A2456">
            <v>45919</v>
          </cell>
        </row>
        <row r="2457">
          <cell r="A2457">
            <v>45920</v>
          </cell>
        </row>
        <row r="2458">
          <cell r="A2458">
            <v>45921</v>
          </cell>
        </row>
        <row r="2459">
          <cell r="A2459">
            <v>45922</v>
          </cell>
        </row>
        <row r="2460">
          <cell r="A2460">
            <v>45923</v>
          </cell>
        </row>
        <row r="2461">
          <cell r="A2461">
            <v>45924</v>
          </cell>
        </row>
        <row r="2462">
          <cell r="A2462">
            <v>45925</v>
          </cell>
        </row>
        <row r="2463">
          <cell r="A2463">
            <v>45926</v>
          </cell>
        </row>
        <row r="2464">
          <cell r="A2464">
            <v>45927</v>
          </cell>
        </row>
        <row r="2465">
          <cell r="A2465">
            <v>45928</v>
          </cell>
        </row>
        <row r="2466">
          <cell r="A2466">
            <v>45929</v>
          </cell>
        </row>
        <row r="2467">
          <cell r="A2467">
            <v>45930</v>
          </cell>
        </row>
        <row r="2468">
          <cell r="A2468">
            <v>45931</v>
          </cell>
        </row>
        <row r="2469">
          <cell r="A2469">
            <v>45932</v>
          </cell>
        </row>
        <row r="2470">
          <cell r="A2470">
            <v>45933</v>
          </cell>
        </row>
        <row r="2471">
          <cell r="A2471">
            <v>45934</v>
          </cell>
        </row>
        <row r="2472">
          <cell r="A2472">
            <v>45935</v>
          </cell>
        </row>
        <row r="2473">
          <cell r="A2473">
            <v>45936</v>
          </cell>
        </row>
        <row r="2474">
          <cell r="A2474">
            <v>45937</v>
          </cell>
        </row>
        <row r="2475">
          <cell r="A2475">
            <v>45938</v>
          </cell>
        </row>
        <row r="2476">
          <cell r="A2476">
            <v>45939</v>
          </cell>
        </row>
        <row r="2477">
          <cell r="A2477">
            <v>45940</v>
          </cell>
        </row>
        <row r="2478">
          <cell r="A2478">
            <v>45941</v>
          </cell>
        </row>
        <row r="2479">
          <cell r="A2479">
            <v>45942</v>
          </cell>
        </row>
        <row r="2480">
          <cell r="A2480">
            <v>45943</v>
          </cell>
        </row>
        <row r="2481">
          <cell r="A2481">
            <v>45944</v>
          </cell>
        </row>
        <row r="2482">
          <cell r="A2482">
            <v>45945</v>
          </cell>
        </row>
        <row r="2483">
          <cell r="A2483">
            <v>45946</v>
          </cell>
        </row>
        <row r="2484">
          <cell r="A2484">
            <v>45947</v>
          </cell>
        </row>
        <row r="2485">
          <cell r="A2485">
            <v>45948</v>
          </cell>
        </row>
        <row r="2486">
          <cell r="A2486">
            <v>45949</v>
          </cell>
        </row>
        <row r="2487">
          <cell r="A2487">
            <v>45950</v>
          </cell>
        </row>
        <row r="2488">
          <cell r="A2488">
            <v>45951</v>
          </cell>
        </row>
        <row r="2489">
          <cell r="A2489">
            <v>45952</v>
          </cell>
        </row>
        <row r="2490">
          <cell r="A2490">
            <v>45953</v>
          </cell>
        </row>
        <row r="2491">
          <cell r="A2491">
            <v>45954</v>
          </cell>
        </row>
        <row r="2492">
          <cell r="A2492">
            <v>45955</v>
          </cell>
        </row>
        <row r="2493">
          <cell r="A2493">
            <v>45956</v>
          </cell>
        </row>
        <row r="2494">
          <cell r="A2494">
            <v>45957</v>
          </cell>
        </row>
        <row r="2495">
          <cell r="A2495">
            <v>45958</v>
          </cell>
        </row>
        <row r="2496">
          <cell r="A2496">
            <v>45959</v>
          </cell>
        </row>
        <row r="2497">
          <cell r="A2497">
            <v>45960</v>
          </cell>
        </row>
        <row r="2498">
          <cell r="A2498">
            <v>45961</v>
          </cell>
        </row>
        <row r="2499">
          <cell r="A2499">
            <v>45962</v>
          </cell>
        </row>
        <row r="2500">
          <cell r="A2500">
            <v>45963</v>
          </cell>
        </row>
        <row r="2501">
          <cell r="A2501">
            <v>45964</v>
          </cell>
        </row>
        <row r="2502">
          <cell r="A2502">
            <v>45965</v>
          </cell>
        </row>
        <row r="2503">
          <cell r="A2503">
            <v>45966</v>
          </cell>
        </row>
        <row r="2504">
          <cell r="A2504">
            <v>45967</v>
          </cell>
        </row>
        <row r="2505">
          <cell r="A2505">
            <v>45968</v>
          </cell>
        </row>
        <row r="2506">
          <cell r="A2506">
            <v>45969</v>
          </cell>
        </row>
        <row r="2507">
          <cell r="A2507">
            <v>45970</v>
          </cell>
        </row>
        <row r="2508">
          <cell r="A2508">
            <v>45971</v>
          </cell>
        </row>
        <row r="2509">
          <cell r="A2509">
            <v>45972</v>
          </cell>
        </row>
        <row r="2510">
          <cell r="A2510">
            <v>45973</v>
          </cell>
        </row>
        <row r="2511">
          <cell r="A2511">
            <v>45974</v>
          </cell>
        </row>
        <row r="2512">
          <cell r="A2512">
            <v>45975</v>
          </cell>
        </row>
        <row r="2513">
          <cell r="A2513">
            <v>45976</v>
          </cell>
        </row>
        <row r="2514">
          <cell r="A2514">
            <v>45977</v>
          </cell>
        </row>
        <row r="2515">
          <cell r="A2515">
            <v>45978</v>
          </cell>
        </row>
        <row r="2516">
          <cell r="A2516">
            <v>45979</v>
          </cell>
        </row>
        <row r="2517">
          <cell r="A2517">
            <v>45980</v>
          </cell>
        </row>
        <row r="2518">
          <cell r="A2518">
            <v>45981</v>
          </cell>
        </row>
        <row r="2519">
          <cell r="A2519">
            <v>45982</v>
          </cell>
        </row>
        <row r="2520">
          <cell r="A2520">
            <v>45983</v>
          </cell>
        </row>
        <row r="2521">
          <cell r="A2521">
            <v>45984</v>
          </cell>
        </row>
        <row r="2522">
          <cell r="A2522">
            <v>45985</v>
          </cell>
        </row>
        <row r="2523">
          <cell r="A2523">
            <v>45986</v>
          </cell>
        </row>
        <row r="2524">
          <cell r="A2524">
            <v>45987</v>
          </cell>
        </row>
        <row r="2525">
          <cell r="A2525">
            <v>45988</v>
          </cell>
        </row>
        <row r="2526">
          <cell r="A2526">
            <v>45989</v>
          </cell>
        </row>
        <row r="2527">
          <cell r="A2527">
            <v>45990</v>
          </cell>
        </row>
        <row r="2528">
          <cell r="A2528">
            <v>45991</v>
          </cell>
        </row>
        <row r="2529">
          <cell r="A2529">
            <v>45992</v>
          </cell>
        </row>
        <row r="2530">
          <cell r="A2530">
            <v>45993</v>
          </cell>
        </row>
        <row r="2531">
          <cell r="A2531">
            <v>45994</v>
          </cell>
        </row>
        <row r="2532">
          <cell r="A2532">
            <v>45995</v>
          </cell>
        </row>
        <row r="2533">
          <cell r="A2533">
            <v>45996</v>
          </cell>
        </row>
        <row r="2534">
          <cell r="A2534">
            <v>45997</v>
          </cell>
        </row>
        <row r="2535">
          <cell r="A2535">
            <v>45998</v>
          </cell>
        </row>
        <row r="2536">
          <cell r="A2536">
            <v>45999</v>
          </cell>
        </row>
        <row r="2537">
          <cell r="A2537">
            <v>46000</v>
          </cell>
        </row>
        <row r="2538">
          <cell r="A2538">
            <v>46001</v>
          </cell>
        </row>
        <row r="2539">
          <cell r="A2539">
            <v>46002</v>
          </cell>
        </row>
        <row r="2540">
          <cell r="A2540">
            <v>46003</v>
          </cell>
        </row>
        <row r="2541">
          <cell r="A2541">
            <v>46004</v>
          </cell>
        </row>
        <row r="2542">
          <cell r="A2542">
            <v>46005</v>
          </cell>
        </row>
        <row r="2543">
          <cell r="A2543">
            <v>46006</v>
          </cell>
        </row>
        <row r="2544">
          <cell r="A2544">
            <v>46007</v>
          </cell>
        </row>
        <row r="2545">
          <cell r="A2545">
            <v>46008</v>
          </cell>
        </row>
        <row r="2546">
          <cell r="A2546">
            <v>46009</v>
          </cell>
        </row>
        <row r="2547">
          <cell r="A2547">
            <v>46010</v>
          </cell>
        </row>
        <row r="2548">
          <cell r="A2548">
            <v>46011</v>
          </cell>
        </row>
        <row r="2549">
          <cell r="A2549">
            <v>46012</v>
          </cell>
        </row>
        <row r="2550">
          <cell r="A2550">
            <v>46013</v>
          </cell>
        </row>
        <row r="2551">
          <cell r="A2551">
            <v>46014</v>
          </cell>
        </row>
        <row r="2552">
          <cell r="A2552">
            <v>46015</v>
          </cell>
        </row>
        <row r="2553">
          <cell r="A2553">
            <v>46016</v>
          </cell>
        </row>
        <row r="2554">
          <cell r="A2554">
            <v>46017</v>
          </cell>
        </row>
        <row r="2555">
          <cell r="A2555">
            <v>46018</v>
          </cell>
        </row>
        <row r="2556">
          <cell r="A2556">
            <v>46019</v>
          </cell>
        </row>
        <row r="2557">
          <cell r="A2557">
            <v>46020</v>
          </cell>
        </row>
        <row r="2558">
          <cell r="A2558">
            <v>46021</v>
          </cell>
        </row>
        <row r="2559">
          <cell r="A2559">
            <v>46022</v>
          </cell>
        </row>
        <row r="2560">
          <cell r="A2560">
            <v>46023</v>
          </cell>
        </row>
        <row r="2561">
          <cell r="A2561">
            <v>46024</v>
          </cell>
        </row>
        <row r="2562">
          <cell r="A2562">
            <v>46025</v>
          </cell>
        </row>
        <row r="2563">
          <cell r="A2563">
            <v>46026</v>
          </cell>
        </row>
        <row r="2564">
          <cell r="A2564">
            <v>46027</v>
          </cell>
        </row>
        <row r="2565">
          <cell r="A2565">
            <v>46028</v>
          </cell>
        </row>
        <row r="2566">
          <cell r="A2566">
            <v>46029</v>
          </cell>
        </row>
      </sheetData>
      <sheetData sheetId="83"/>
      <sheetData sheetId="84"/>
      <sheetData sheetId="85"/>
      <sheetData sheetId="86"/>
      <sheetData sheetId="87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2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3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4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5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6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7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8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9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10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11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12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13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L130"/>
  <sheetViews>
    <sheetView view="pageBreakPreview" zoomScale="70" zoomScaleNormal="85" zoomScaleSheetLayoutView="70" workbookViewId="0">
      <pane xSplit="1" ySplit="8" topLeftCell="B83" activePane="bottomRight" state="frozen"/>
      <selection activeCell="D29" sqref="D29"/>
      <selection pane="topRight" activeCell="D29" sqref="D29"/>
      <selection pane="bottomLeft" activeCell="D29" sqref="D29"/>
      <selection pane="bottomRight" activeCell="D29" sqref="D29"/>
    </sheetView>
  </sheetViews>
  <sheetFormatPr defaultRowHeight="17.399999999999999"/>
  <cols>
    <col min="1" max="1" width="18.3984375" customWidth="1"/>
    <col min="2" max="2" width="21.69921875" customWidth="1"/>
    <col min="3" max="3" width="26.59765625" customWidth="1"/>
    <col min="4" max="4" width="18" customWidth="1"/>
    <col min="5" max="5" width="16.59765625" customWidth="1"/>
    <col min="6" max="6" width="21.09765625" style="47" customWidth="1"/>
    <col min="7" max="7" width="22.69921875" customWidth="1"/>
    <col min="8" max="8" width="19.59765625" bestFit="1" customWidth="1"/>
    <col min="9" max="9" width="18.59765625" bestFit="1" customWidth="1"/>
    <col min="10" max="10" width="5.59765625" style="19" customWidth="1"/>
    <col min="11" max="11" width="7" style="19" customWidth="1"/>
    <col min="12" max="12" width="4.09765625" style="19" bestFit="1" customWidth="1"/>
  </cols>
  <sheetData>
    <row r="1" spans="1:12" ht="19.5" customHeight="1"/>
    <row r="2" spans="1:12" ht="19.5" customHeight="1">
      <c r="A2" s="2000" t="s">
        <v>787</v>
      </c>
      <c r="B2" s="2000"/>
      <c r="C2" s="2000"/>
      <c r="D2" s="2000"/>
      <c r="E2" s="2000"/>
      <c r="F2" s="2000"/>
      <c r="G2" s="1"/>
      <c r="H2" s="1"/>
      <c r="I2" s="1"/>
    </row>
    <row r="3" spans="1:12" ht="19.5" customHeight="1">
      <c r="A3" s="2000"/>
      <c r="B3" s="2000"/>
      <c r="C3" s="2000"/>
      <c r="D3" s="2000"/>
      <c r="E3" s="2000"/>
      <c r="F3" s="2000"/>
      <c r="G3" s="1"/>
      <c r="H3" s="1"/>
      <c r="I3" s="1"/>
    </row>
    <row r="4" spans="1:12" ht="19.5" customHeight="1">
      <c r="A4" s="2000"/>
      <c r="B4" s="2000"/>
      <c r="C4" s="2000"/>
      <c r="D4" s="2000"/>
      <c r="E4" s="2000"/>
      <c r="F4" s="2000"/>
      <c r="G4" s="1"/>
      <c r="H4" s="1"/>
      <c r="I4" s="1"/>
    </row>
    <row r="5" spans="1:12" ht="19.5" customHeight="1">
      <c r="A5" s="2000"/>
      <c r="B5" s="2000"/>
      <c r="C5" s="2000"/>
      <c r="D5" s="2000"/>
      <c r="E5" s="2000"/>
      <c r="F5" s="2000"/>
      <c r="G5" s="2"/>
      <c r="H5" s="2"/>
      <c r="I5" s="2"/>
    </row>
    <row r="6" spans="1:12" ht="19.5" customHeight="1">
      <c r="A6" s="2000"/>
      <c r="B6" s="2000"/>
      <c r="C6" s="2000"/>
      <c r="D6" s="2000"/>
      <c r="E6" s="2000"/>
      <c r="F6" s="2000"/>
      <c r="G6" s="2"/>
      <c r="H6" s="2"/>
      <c r="I6" s="2"/>
    </row>
    <row r="7" spans="1:12" ht="13.5" customHeight="1">
      <c r="A7" s="2001" t="s">
        <v>0</v>
      </c>
      <c r="B7" s="2003" t="s">
        <v>1</v>
      </c>
      <c r="C7" s="2004" t="s">
        <v>2</v>
      </c>
      <c r="D7" s="2004" t="s">
        <v>3</v>
      </c>
      <c r="E7" s="2005" t="s">
        <v>4</v>
      </c>
      <c r="F7" s="2006" t="s">
        <v>5</v>
      </c>
      <c r="G7" s="2007"/>
      <c r="H7" s="2007"/>
      <c r="I7" s="2008"/>
    </row>
    <row r="8" spans="1:12" ht="13.5" customHeight="1">
      <c r="A8" s="2002"/>
      <c r="B8" s="2003"/>
      <c r="C8" s="2004"/>
      <c r="D8" s="2004"/>
      <c r="E8" s="2005"/>
      <c r="F8" s="82" t="s">
        <v>6</v>
      </c>
      <c r="G8" s="3" t="s">
        <v>7</v>
      </c>
      <c r="H8" s="3" t="s">
        <v>101</v>
      </c>
      <c r="I8" s="3" t="s">
        <v>8</v>
      </c>
      <c r="J8" s="85" t="s">
        <v>33</v>
      </c>
      <c r="K8" s="3" t="s">
        <v>43</v>
      </c>
      <c r="L8" s="3" t="s">
        <v>44</v>
      </c>
    </row>
    <row r="9" spans="1:12" s="97" customFormat="1" ht="20.25" customHeight="1">
      <c r="A9" s="1994" t="s">
        <v>9</v>
      </c>
      <c r="B9" s="88" t="s">
        <v>729</v>
      </c>
      <c r="C9" s="89" t="s">
        <v>808</v>
      </c>
      <c r="D9" s="90">
        <v>45311</v>
      </c>
      <c r="E9" s="91">
        <f>VLOOKUP(D9,환율!$A$1798:$B$2033,2,)</f>
        <v>1342.4</v>
      </c>
      <c r="F9" s="92">
        <v>385151.64</v>
      </c>
      <c r="G9" s="93">
        <f t="shared" ref="G9:G12" si="0">ROUNDDOWN(F9*E9,0)</f>
        <v>517027561</v>
      </c>
      <c r="H9" s="94" ph="1"/>
      <c r="I9" s="93"/>
      <c r="J9" s="95" t="s">
        <v>730</v>
      </c>
      <c r="K9" s="95" t="s">
        <v>730</v>
      </c>
      <c r="L9" s="95" t="s">
        <v>730</v>
      </c>
    </row>
    <row r="10" spans="1:12" s="97" customFormat="1" ht="20.25" customHeight="1">
      <c r="A10" s="1995"/>
      <c r="B10" s="88" t="s">
        <v>731</v>
      </c>
      <c r="C10" s="89" t="s">
        <v>809</v>
      </c>
      <c r="D10" s="90">
        <v>45321</v>
      </c>
      <c r="E10" s="91">
        <f>VLOOKUP(D10,환율!$A$1798:$B$2033,2,)</f>
        <v>1336.9</v>
      </c>
      <c r="F10" s="92">
        <v>402501.16</v>
      </c>
      <c r="G10" s="93">
        <f t="shared" si="0"/>
        <v>538103800</v>
      </c>
      <c r="H10" s="94" ph="1"/>
      <c r="I10" s="93"/>
      <c r="J10" s="95" t="s">
        <v>730</v>
      </c>
      <c r="K10" s="95" t="s">
        <v>730</v>
      </c>
      <c r="L10" s="95" t="s">
        <v>730</v>
      </c>
    </row>
    <row r="11" spans="1:12" s="97" customFormat="1" ht="20.25" customHeight="1">
      <c r="A11" s="1995"/>
      <c r="B11" s="88" t="s">
        <v>748</v>
      </c>
      <c r="C11" s="89" t="s">
        <v>810</v>
      </c>
      <c r="D11" s="90">
        <v>45321</v>
      </c>
      <c r="E11" s="91">
        <f>VLOOKUP(D11,환율!$A$1798:$B$2033,2,)</f>
        <v>1336.9</v>
      </c>
      <c r="F11" s="92">
        <v>406423.46</v>
      </c>
      <c r="G11" s="93">
        <f t="shared" si="0"/>
        <v>543347523</v>
      </c>
      <c r="H11" s="94" ph="1"/>
      <c r="I11" s="93"/>
      <c r="J11" s="95" t="s">
        <v>730</v>
      </c>
      <c r="K11" s="95" t="s">
        <v>730</v>
      </c>
      <c r="L11" s="95" t="s">
        <v>730</v>
      </c>
    </row>
    <row r="12" spans="1:12" s="97" customFormat="1" ht="20.25" customHeight="1">
      <c r="A12" s="1995"/>
      <c r="B12" s="99" t="s">
        <v>788</v>
      </c>
      <c r="C12" s="100" t="s">
        <v>811</v>
      </c>
      <c r="D12" s="101">
        <v>45328</v>
      </c>
      <c r="E12" s="102">
        <f>VLOOKUP(D12,환율!$A$1798:$B$2033,2,)</f>
        <v>1334.6</v>
      </c>
      <c r="F12" s="103">
        <v>199251.22</v>
      </c>
      <c r="G12" s="104">
        <f t="shared" si="0"/>
        <v>265920678</v>
      </c>
      <c r="H12" s="105" ph="1"/>
      <c r="I12" s="104"/>
      <c r="J12" s="95" t="s">
        <v>730</v>
      </c>
      <c r="K12" s="95" t="s">
        <v>730</v>
      </c>
      <c r="L12" s="95" t="s">
        <v>730</v>
      </c>
    </row>
    <row r="13" spans="1:12" s="97" customFormat="1" ht="20.25" customHeight="1">
      <c r="A13" s="112"/>
      <c r="B13" s="113"/>
      <c r="C13" s="113" t="s">
        <v>10</v>
      </c>
      <c r="D13" s="113"/>
      <c r="E13" s="114"/>
      <c r="F13" s="115">
        <f>SUM(F9:F12)</f>
        <v>1393327.48</v>
      </c>
      <c r="G13" s="116">
        <f>SUM(G9:G12)</f>
        <v>1864399562</v>
      </c>
      <c r="H13" s="116">
        <v>1660278856</v>
      </c>
      <c r="I13" s="116">
        <f>+G13-H13</f>
        <v>204120706</v>
      </c>
    </row>
    <row r="14" spans="1:12" s="120" customFormat="1" ht="20.25" customHeight="1">
      <c r="A14" s="1994" t="s">
        <v>11</v>
      </c>
      <c r="B14" s="117" t="s">
        <v>738</v>
      </c>
      <c r="C14" s="89" t="s">
        <v>812</v>
      </c>
      <c r="D14" s="90">
        <v>45312</v>
      </c>
      <c r="E14" s="91">
        <f>VLOOKUP(D14,환율!$A$1798:$B$2033,2,)</f>
        <v>1342.4</v>
      </c>
      <c r="F14" s="118">
        <v>19674.63</v>
      </c>
      <c r="G14" s="93">
        <f t="shared" ref="G14:G50" si="1">ROUNDDOWN(F14*E14,0)</f>
        <v>26411223</v>
      </c>
      <c r="H14" s="119"/>
      <c r="I14" s="93"/>
      <c r="J14" s="95" t="s">
        <v>730</v>
      </c>
      <c r="K14" s="95" t="s">
        <v>730</v>
      </c>
      <c r="L14" s="95" t="s">
        <v>730</v>
      </c>
    </row>
    <row r="15" spans="1:12" s="120" customFormat="1" ht="20.25" customHeight="1">
      <c r="A15" s="1995"/>
      <c r="B15" s="117" t="s">
        <v>739</v>
      </c>
      <c r="C15" s="89" t="s">
        <v>813</v>
      </c>
      <c r="D15" s="90">
        <v>45299</v>
      </c>
      <c r="E15" s="91">
        <f>VLOOKUP(D15,환율!$A$1798:$B$2033,2,)</f>
        <v>1313.7</v>
      </c>
      <c r="F15" s="118">
        <v>73041</v>
      </c>
      <c r="G15" s="93">
        <f t="shared" si="1"/>
        <v>95953961</v>
      </c>
      <c r="H15" s="119"/>
      <c r="I15" s="93"/>
      <c r="J15" s="95" t="s">
        <v>730</v>
      </c>
      <c r="K15" s="95" t="s">
        <v>730</v>
      </c>
      <c r="L15" s="95" t="s">
        <v>730</v>
      </c>
    </row>
    <row r="16" spans="1:12" s="120" customFormat="1" ht="20.25" customHeight="1">
      <c r="A16" s="1995"/>
      <c r="B16" s="117" t="s">
        <v>740</v>
      </c>
      <c r="C16" s="89" t="s">
        <v>814</v>
      </c>
      <c r="D16" s="90">
        <v>45302</v>
      </c>
      <c r="E16" s="91">
        <f>VLOOKUP(D16,환율!$A$1798:$B$2033,2,)</f>
        <v>1320.1</v>
      </c>
      <c r="F16" s="118">
        <v>6482.88</v>
      </c>
      <c r="G16" s="93">
        <f t="shared" si="1"/>
        <v>8558049</v>
      </c>
      <c r="H16" s="119"/>
      <c r="I16" s="93"/>
      <c r="J16" s="95" t="s">
        <v>730</v>
      </c>
      <c r="K16" s="95" t="s">
        <v>730</v>
      </c>
      <c r="L16" s="95" t="s">
        <v>730</v>
      </c>
    </row>
    <row r="17" spans="1:12" s="120" customFormat="1" ht="20.25" customHeight="1">
      <c r="A17" s="1995"/>
      <c r="B17" s="117" t="s">
        <v>741</v>
      </c>
      <c r="C17" s="89" t="s">
        <v>815</v>
      </c>
      <c r="D17" s="90">
        <v>45310</v>
      </c>
      <c r="E17" s="91">
        <f>VLOOKUP(D17,환율!$A$1798:$B$2033,2,)</f>
        <v>1342.4</v>
      </c>
      <c r="F17" s="118">
        <v>40017.78</v>
      </c>
      <c r="G17" s="93">
        <f t="shared" si="1"/>
        <v>53719867</v>
      </c>
      <c r="H17" s="119"/>
      <c r="I17" s="93"/>
      <c r="J17" s="95" t="s">
        <v>730</v>
      </c>
      <c r="K17" s="95" t="s">
        <v>730</v>
      </c>
      <c r="L17" s="95" t="s">
        <v>730</v>
      </c>
    </row>
    <row r="18" spans="1:12" s="120" customFormat="1" ht="20.25" customHeight="1">
      <c r="A18" s="1995"/>
      <c r="B18" s="117" t="s">
        <v>742</v>
      </c>
      <c r="C18" s="89" t="s">
        <v>816</v>
      </c>
      <c r="D18" s="90">
        <v>45312</v>
      </c>
      <c r="E18" s="91">
        <f>VLOOKUP(D18,환율!$A$1798:$B$2033,2,)</f>
        <v>1342.4</v>
      </c>
      <c r="F18" s="118">
        <v>43.6</v>
      </c>
      <c r="G18" s="93">
        <f t="shared" si="1"/>
        <v>58528</v>
      </c>
      <c r="H18" s="119"/>
      <c r="I18" s="93"/>
      <c r="J18" s="95" t="s">
        <v>730</v>
      </c>
      <c r="K18" s="95" t="s">
        <v>730</v>
      </c>
      <c r="L18" s="95" t="s">
        <v>730</v>
      </c>
    </row>
    <row r="19" spans="1:12" s="120" customFormat="1" ht="20.25" customHeight="1">
      <c r="A19" s="1995"/>
      <c r="B19" s="117" t="s">
        <v>743</v>
      </c>
      <c r="C19" s="89" t="s">
        <v>817</v>
      </c>
      <c r="D19" s="90">
        <v>45312</v>
      </c>
      <c r="E19" s="91">
        <f>VLOOKUP(D19,환율!$A$1798:$B$2033,2,)</f>
        <v>1342.4</v>
      </c>
      <c r="F19" s="118">
        <v>346.48</v>
      </c>
      <c r="G19" s="93">
        <f t="shared" si="1"/>
        <v>465114</v>
      </c>
      <c r="H19" s="119"/>
      <c r="I19" s="93"/>
      <c r="J19" s="95" t="s">
        <v>730</v>
      </c>
      <c r="K19" s="95" t="s">
        <v>730</v>
      </c>
      <c r="L19" s="95" t="s">
        <v>730</v>
      </c>
    </row>
    <row r="20" spans="1:12" s="120" customFormat="1" ht="20.25" customHeight="1">
      <c r="A20" s="1995"/>
      <c r="B20" s="117" t="s">
        <v>744</v>
      </c>
      <c r="C20" s="89" t="s">
        <v>818</v>
      </c>
      <c r="D20" s="90">
        <v>45312</v>
      </c>
      <c r="E20" s="91">
        <f>VLOOKUP(D20,환율!$A$1798:$B$2033,2,)</f>
        <v>1342.4</v>
      </c>
      <c r="F20" s="118">
        <v>361.16</v>
      </c>
      <c r="G20" s="93">
        <f t="shared" si="1"/>
        <v>484821</v>
      </c>
      <c r="H20" s="119"/>
      <c r="I20" s="93"/>
      <c r="J20" s="95" t="s">
        <v>730</v>
      </c>
      <c r="K20" s="95" t="s">
        <v>730</v>
      </c>
      <c r="L20" s="95" t="s">
        <v>730</v>
      </c>
    </row>
    <row r="21" spans="1:12" s="120" customFormat="1" ht="20.25" customHeight="1">
      <c r="A21" s="1995"/>
      <c r="B21" s="117" t="s">
        <v>745</v>
      </c>
      <c r="C21" s="89" t="s">
        <v>819</v>
      </c>
      <c r="D21" s="90">
        <v>45317</v>
      </c>
      <c r="E21" s="91">
        <f>VLOOKUP(D21,환율!$A$1798:$B$2033,2,)</f>
        <v>1335.7</v>
      </c>
      <c r="F21" s="118">
        <v>34925.46</v>
      </c>
      <c r="G21" s="93">
        <f t="shared" si="1"/>
        <v>46649936</v>
      </c>
      <c r="H21" s="119"/>
      <c r="I21" s="93"/>
      <c r="J21" s="95" t="s">
        <v>730</v>
      </c>
      <c r="K21" s="95" t="s">
        <v>730</v>
      </c>
      <c r="L21" s="95" t="s">
        <v>730</v>
      </c>
    </row>
    <row r="22" spans="1:12" s="120" customFormat="1" ht="20.25" customHeight="1">
      <c r="A22" s="1995"/>
      <c r="B22" s="117" t="s">
        <v>746</v>
      </c>
      <c r="C22" s="89" t="s">
        <v>820</v>
      </c>
      <c r="D22" s="90">
        <v>45321</v>
      </c>
      <c r="E22" s="91">
        <f>VLOOKUP(D22,환율!$A$1798:$B$2033,2,)</f>
        <v>1336.9</v>
      </c>
      <c r="F22" s="118">
        <v>26256.959999999999</v>
      </c>
      <c r="G22" s="93">
        <f t="shared" si="1"/>
        <v>35102929</v>
      </c>
      <c r="H22" s="119"/>
      <c r="I22" s="93"/>
      <c r="J22" s="95" t="s">
        <v>730</v>
      </c>
      <c r="K22" s="95" t="s">
        <v>730</v>
      </c>
      <c r="L22" s="95" t="s">
        <v>730</v>
      </c>
    </row>
    <row r="23" spans="1:12" s="120" customFormat="1" ht="20.25" customHeight="1">
      <c r="A23" s="1995"/>
      <c r="B23" s="117" t="s">
        <v>784</v>
      </c>
      <c r="C23" s="89" t="s">
        <v>822</v>
      </c>
      <c r="D23" s="90">
        <v>45321</v>
      </c>
      <c r="E23" s="91">
        <f>VLOOKUP(D23,환율!$A$1798:$B$2033,2,)</f>
        <v>1336.9</v>
      </c>
      <c r="F23" s="118">
        <v>24685.200000000001</v>
      </c>
      <c r="G23" s="93">
        <f t="shared" si="1"/>
        <v>33001643</v>
      </c>
      <c r="H23" s="119"/>
      <c r="I23" s="93"/>
      <c r="J23" s="95" t="s">
        <v>730</v>
      </c>
      <c r="K23" s="95" t="s">
        <v>730</v>
      </c>
      <c r="L23" s="95" t="s">
        <v>730</v>
      </c>
    </row>
    <row r="24" spans="1:12" s="97" customFormat="1" ht="20.25" customHeight="1">
      <c r="A24" s="1995"/>
      <c r="B24" s="117" t="s">
        <v>786</v>
      </c>
      <c r="C24" s="89" t="s">
        <v>823</v>
      </c>
      <c r="D24" s="90">
        <v>45321</v>
      </c>
      <c r="E24" s="91">
        <f>VLOOKUP(D24,환율!$A$1798:$B$2033,2,)</f>
        <v>1336.9</v>
      </c>
      <c r="F24" s="118">
        <v>1628.64</v>
      </c>
      <c r="G24" s="93">
        <f t="shared" ref="G24:G25" si="2">ROUNDDOWN(F24*E24,0)</f>
        <v>2177328</v>
      </c>
      <c r="H24" s="119"/>
      <c r="I24" s="93"/>
      <c r="J24" s="95" t="s">
        <v>730</v>
      </c>
      <c r="K24" s="95" t="s">
        <v>730</v>
      </c>
      <c r="L24" s="95" t="s">
        <v>730</v>
      </c>
    </row>
    <row r="25" spans="1:12" s="97" customFormat="1" ht="20.25" customHeight="1">
      <c r="A25" s="1995"/>
      <c r="B25" s="121" t="s">
        <v>783</v>
      </c>
      <c r="C25" s="100" t="s">
        <v>821</v>
      </c>
      <c r="D25" s="101">
        <v>45325</v>
      </c>
      <c r="E25" s="102">
        <f>VLOOKUP(D25,환율!$A$1798:$B$2033,2,)</f>
        <v>1332.5</v>
      </c>
      <c r="F25" s="122">
        <v>57911.040000000001</v>
      </c>
      <c r="G25" s="104">
        <f t="shared" si="2"/>
        <v>77166460</v>
      </c>
      <c r="H25" s="123"/>
      <c r="I25" s="104"/>
      <c r="J25" s="95" t="s">
        <v>730</v>
      </c>
      <c r="K25" s="95" t="s">
        <v>730</v>
      </c>
      <c r="L25" s="95" t="s">
        <v>730</v>
      </c>
    </row>
    <row r="26" spans="1:12" s="97" customFormat="1" ht="20.25" customHeight="1">
      <c r="A26" s="1995"/>
      <c r="B26" s="121" t="s">
        <v>785</v>
      </c>
      <c r="C26" s="100" t="s">
        <v>880</v>
      </c>
      <c r="D26" s="101">
        <v>45327</v>
      </c>
      <c r="E26" s="102">
        <f>VLOOKUP(D26,환율!$A$1798:$B$2033,2,)</f>
        <v>1325.1</v>
      </c>
      <c r="F26" s="122">
        <v>27779.759999999998</v>
      </c>
      <c r="G26" s="104">
        <f>IFERROR(ROUNDDOWN(F26*E26,0),"")</f>
        <v>36810959</v>
      </c>
      <c r="H26" s="123"/>
      <c r="I26" s="104"/>
      <c r="J26" s="95" t="s">
        <v>730</v>
      </c>
      <c r="K26" s="95" t="s">
        <v>730</v>
      </c>
      <c r="L26" s="96"/>
    </row>
    <row r="27" spans="1:12" s="97" customFormat="1" ht="20.25" customHeight="1">
      <c r="A27" s="112"/>
      <c r="B27" s="113"/>
      <c r="C27" s="113" t="s">
        <v>10</v>
      </c>
      <c r="D27" s="113"/>
      <c r="E27" s="114"/>
      <c r="F27" s="127">
        <f>SUM(F14:F26)</f>
        <v>313154.59000000003</v>
      </c>
      <c r="G27" s="116">
        <f>SUM(G14:G26)</f>
        <v>416560818</v>
      </c>
      <c r="H27" s="116">
        <v>331149003</v>
      </c>
      <c r="I27" s="116">
        <f>+G27-H27</f>
        <v>85411815</v>
      </c>
      <c r="J27" s="126"/>
      <c r="K27" s="126"/>
      <c r="L27" s="128"/>
    </row>
    <row r="28" spans="1:12" s="126" customFormat="1" ht="20.25" customHeight="1">
      <c r="A28" s="1994" t="s">
        <v>12</v>
      </c>
      <c r="B28" s="117" t="s">
        <v>736</v>
      </c>
      <c r="C28" s="129" t="s">
        <v>824</v>
      </c>
      <c r="D28" s="130">
        <v>45299</v>
      </c>
      <c r="E28" s="91">
        <f>VLOOKUP(D28,환율!$A$1798:$B$2033,2,)</f>
        <v>1313.7</v>
      </c>
      <c r="F28" s="131">
        <v>63667.1</v>
      </c>
      <c r="G28" s="93">
        <f t="shared" si="1"/>
        <v>83639469</v>
      </c>
      <c r="H28" s="132"/>
      <c r="I28" s="133"/>
      <c r="J28" s="95" t="s">
        <v>730</v>
      </c>
      <c r="K28" s="96" t="s">
        <v>730</v>
      </c>
      <c r="L28" s="96" t="s">
        <v>730</v>
      </c>
    </row>
    <row r="29" spans="1:12" s="126" customFormat="1" ht="20.25" customHeight="1">
      <c r="A29" s="1995"/>
      <c r="B29" s="117" t="s">
        <v>737</v>
      </c>
      <c r="C29" s="129" t="s">
        <v>825</v>
      </c>
      <c r="D29" s="130">
        <v>45304</v>
      </c>
      <c r="E29" s="91">
        <f>VLOOKUP(D29,환율!$A$1798:$B$2033,2,)</f>
        <v>1316</v>
      </c>
      <c r="F29" s="131">
        <v>97225.68</v>
      </c>
      <c r="G29" s="93">
        <f t="shared" si="1"/>
        <v>127948994</v>
      </c>
      <c r="H29" s="132"/>
      <c r="I29" s="133"/>
      <c r="J29" s="95" t="s">
        <v>730</v>
      </c>
      <c r="K29" s="96" t="s">
        <v>730</v>
      </c>
      <c r="L29" s="96" t="s">
        <v>730</v>
      </c>
    </row>
    <row r="30" spans="1:12" s="126" customFormat="1" ht="20.25" customHeight="1">
      <c r="A30" s="1995"/>
      <c r="B30" s="117" t="s">
        <v>770</v>
      </c>
      <c r="C30" s="129" t="s">
        <v>826</v>
      </c>
      <c r="D30" s="130">
        <v>45303</v>
      </c>
      <c r="E30" s="91">
        <f>VLOOKUP(D30,환율!$A$1798:$B$2033,2,)</f>
        <v>1316</v>
      </c>
      <c r="F30" s="131">
        <v>119944.3</v>
      </c>
      <c r="G30" s="93">
        <f t="shared" si="1"/>
        <v>157846698</v>
      </c>
      <c r="H30" s="132"/>
      <c r="I30" s="133"/>
      <c r="J30" s="95" t="s">
        <v>730</v>
      </c>
      <c r="K30" s="96" t="s">
        <v>730</v>
      </c>
      <c r="L30" s="96" t="s">
        <v>730</v>
      </c>
    </row>
    <row r="31" spans="1:12" s="126" customFormat="1" ht="20.25" customHeight="1">
      <c r="A31" s="1995"/>
      <c r="B31" s="117" t="s">
        <v>771</v>
      </c>
      <c r="C31" s="129" t="s">
        <v>827</v>
      </c>
      <c r="D31" s="130">
        <v>45310</v>
      </c>
      <c r="E31" s="91">
        <f>VLOOKUP(D31,환율!$A$1798:$B$2033,2,)</f>
        <v>1342.4</v>
      </c>
      <c r="F31" s="131">
        <v>26758.9</v>
      </c>
      <c r="G31" s="93">
        <f t="shared" si="1"/>
        <v>35921147</v>
      </c>
      <c r="H31" s="132"/>
      <c r="I31" s="133"/>
      <c r="J31" s="95" t="s">
        <v>730</v>
      </c>
      <c r="K31" s="95" t="s">
        <v>730</v>
      </c>
      <c r="L31" s="95" t="s">
        <v>730</v>
      </c>
    </row>
    <row r="32" spans="1:12" s="97" customFormat="1" ht="20.25" customHeight="1">
      <c r="A32" s="1995"/>
      <c r="B32" s="117" t="s">
        <v>772</v>
      </c>
      <c r="C32" s="129" t="s">
        <v>828</v>
      </c>
      <c r="D32" s="130">
        <v>45319</v>
      </c>
      <c r="E32" s="91">
        <f>VLOOKUP(D32,환율!$A$1798:$B$2033,2,)</f>
        <v>1335.7</v>
      </c>
      <c r="F32" s="131">
        <v>3409.9</v>
      </c>
      <c r="G32" s="93">
        <f t="shared" si="1"/>
        <v>4554603</v>
      </c>
      <c r="H32" s="132"/>
      <c r="I32" s="133"/>
      <c r="J32" s="95" t="s">
        <v>730</v>
      </c>
      <c r="K32" s="95" t="s">
        <v>730</v>
      </c>
      <c r="L32" s="95" t="s">
        <v>730</v>
      </c>
    </row>
    <row r="33" spans="1:12" s="97" customFormat="1" ht="20.25" customHeight="1">
      <c r="A33" s="1995"/>
      <c r="B33" s="117" t="s">
        <v>773</v>
      </c>
      <c r="C33" s="129" t="s">
        <v>829</v>
      </c>
      <c r="D33" s="130">
        <v>45309</v>
      </c>
      <c r="E33" s="91">
        <f>VLOOKUP(D33,환율!$A$1798:$B$2033,2,)</f>
        <v>1343.2</v>
      </c>
      <c r="F33" s="131">
        <v>112875.28</v>
      </c>
      <c r="G33" s="93">
        <f t="shared" si="1"/>
        <v>151614076</v>
      </c>
      <c r="H33" s="132"/>
      <c r="I33" s="133"/>
      <c r="J33" s="95" t="s">
        <v>730</v>
      </c>
      <c r="K33" s="95" t="s">
        <v>730</v>
      </c>
      <c r="L33" s="95" t="s">
        <v>730</v>
      </c>
    </row>
    <row r="34" spans="1:12" s="97" customFormat="1" ht="20.25" customHeight="1">
      <c r="A34" s="1995"/>
      <c r="B34" s="117" t="s">
        <v>774</v>
      </c>
      <c r="C34" s="129" t="s">
        <v>830</v>
      </c>
      <c r="D34" s="130">
        <v>45309</v>
      </c>
      <c r="E34" s="91">
        <f>VLOOKUP(D34,환율!$A$1798:$B$2033,2,)</f>
        <v>1343.2</v>
      </c>
      <c r="F34" s="131">
        <v>7689.17</v>
      </c>
      <c r="G34" s="93">
        <f t="shared" si="1"/>
        <v>10328093</v>
      </c>
      <c r="H34" s="132"/>
      <c r="I34" s="133"/>
      <c r="J34" s="95" t="s">
        <v>730</v>
      </c>
      <c r="K34" s="95" t="s">
        <v>730</v>
      </c>
      <c r="L34" s="95" t="s">
        <v>730</v>
      </c>
    </row>
    <row r="35" spans="1:12" s="97" customFormat="1" ht="20.25" customHeight="1">
      <c r="A35" s="1995"/>
      <c r="B35" s="117" t="s">
        <v>775</v>
      </c>
      <c r="C35" s="129" t="s">
        <v>831</v>
      </c>
      <c r="D35" s="130">
        <v>45318</v>
      </c>
      <c r="E35" s="91">
        <f>VLOOKUP(D35,환율!$A$1798:$B$2033,2,)</f>
        <v>1335.7</v>
      </c>
      <c r="F35" s="131">
        <v>79808.399999999994</v>
      </c>
      <c r="G35" s="93">
        <f t="shared" si="1"/>
        <v>106600079</v>
      </c>
      <c r="H35" s="132"/>
      <c r="I35" s="133"/>
      <c r="J35" s="95" t="s">
        <v>730</v>
      </c>
      <c r="K35" s="95" t="s">
        <v>730</v>
      </c>
      <c r="L35" s="95" t="s">
        <v>730</v>
      </c>
    </row>
    <row r="36" spans="1:12" s="97" customFormat="1" ht="20.25" customHeight="1">
      <c r="A36" s="1995"/>
      <c r="B36" s="117" t="s">
        <v>776</v>
      </c>
      <c r="C36" s="129" t="s">
        <v>832</v>
      </c>
      <c r="D36" s="130">
        <v>45318</v>
      </c>
      <c r="E36" s="91">
        <f>VLOOKUP(D36,환율!$A$1798:$B$2033,2,)</f>
        <v>1335.7</v>
      </c>
      <c r="F36" s="131">
        <v>76519.600000000006</v>
      </c>
      <c r="G36" s="93">
        <f t="shared" si="1"/>
        <v>102207229</v>
      </c>
      <c r="H36" s="132"/>
      <c r="I36" s="133"/>
      <c r="J36" s="95" t="s">
        <v>730</v>
      </c>
      <c r="K36" s="95" t="s">
        <v>730</v>
      </c>
      <c r="L36" s="95" t="s">
        <v>730</v>
      </c>
    </row>
    <row r="37" spans="1:12" s="97" customFormat="1" ht="20.25" customHeight="1">
      <c r="A37" s="1995"/>
      <c r="B37" s="117" t="s">
        <v>777</v>
      </c>
      <c r="C37" s="129" t="s">
        <v>833</v>
      </c>
      <c r="D37" s="130">
        <v>45316</v>
      </c>
      <c r="E37" s="91">
        <f>VLOOKUP(D37,환율!$A$1798:$B$2033,2,)</f>
        <v>1339.1</v>
      </c>
      <c r="F37" s="134">
        <v>121266.63</v>
      </c>
      <c r="G37" s="93">
        <f t="shared" si="1"/>
        <v>162388144</v>
      </c>
      <c r="H37" s="135"/>
      <c r="I37" s="133"/>
      <c r="J37" s="95" t="s">
        <v>730</v>
      </c>
      <c r="K37" s="95" t="s">
        <v>730</v>
      </c>
      <c r="L37" s="95" t="s">
        <v>730</v>
      </c>
    </row>
    <row r="38" spans="1:12" s="97" customFormat="1" ht="20.25" customHeight="1">
      <c r="A38" s="1995"/>
      <c r="B38" s="121" t="s">
        <v>789</v>
      </c>
      <c r="C38" s="137" t="s">
        <v>834</v>
      </c>
      <c r="D38" s="101">
        <v>45334</v>
      </c>
      <c r="E38" s="102">
        <f>VLOOKUP(D38,환율!$A$1798:$B$2033,2,)</f>
        <v>1325.3</v>
      </c>
      <c r="F38" s="138">
        <v>63786.34</v>
      </c>
      <c r="G38" s="104">
        <f t="shared" si="1"/>
        <v>84536036</v>
      </c>
      <c r="H38" s="139"/>
      <c r="I38" s="140"/>
      <c r="J38" s="95" t="s">
        <v>730</v>
      </c>
      <c r="K38" s="95" t="s">
        <v>730</v>
      </c>
      <c r="L38" s="95" t="s">
        <v>730</v>
      </c>
    </row>
    <row r="39" spans="1:12" s="97" customFormat="1" ht="20.25" customHeight="1">
      <c r="A39" s="1995"/>
      <c r="B39" s="121" t="s">
        <v>790</v>
      </c>
      <c r="C39" s="137" t="s">
        <v>835</v>
      </c>
      <c r="D39" s="101">
        <v>45323</v>
      </c>
      <c r="E39" s="102">
        <f>VLOOKUP(D39,환율!$A$1798:$B$2033,2,)</f>
        <v>1333.5</v>
      </c>
      <c r="F39" s="138">
        <v>5331.6</v>
      </c>
      <c r="G39" s="104">
        <f t="shared" si="1"/>
        <v>7109688</v>
      </c>
      <c r="H39" s="139"/>
      <c r="I39" s="140"/>
      <c r="J39" s="95" t="s">
        <v>730</v>
      </c>
      <c r="K39" s="95" t="s">
        <v>730</v>
      </c>
      <c r="L39" s="95" t="s">
        <v>730</v>
      </c>
    </row>
    <row r="40" spans="1:12" s="97" customFormat="1" ht="20.25" customHeight="1">
      <c r="A40" s="1995"/>
      <c r="B40" s="121" t="s">
        <v>791</v>
      </c>
      <c r="C40" s="137" t="s">
        <v>836</v>
      </c>
      <c r="D40" s="101">
        <v>45323</v>
      </c>
      <c r="E40" s="102">
        <f>VLOOKUP(D40,환율!$A$1798:$B$2033,2,)</f>
        <v>1333.5</v>
      </c>
      <c r="F40" s="138">
        <v>99190.44</v>
      </c>
      <c r="G40" s="104">
        <f t="shared" si="1"/>
        <v>132270451</v>
      </c>
      <c r="H40" s="139"/>
      <c r="I40" s="140"/>
      <c r="J40" s="95" t="s">
        <v>730</v>
      </c>
      <c r="K40" s="95" t="s">
        <v>730</v>
      </c>
      <c r="L40" s="95" t="s">
        <v>730</v>
      </c>
    </row>
    <row r="41" spans="1:12" s="97" customFormat="1" ht="20.25" customHeight="1">
      <c r="A41" s="1995"/>
      <c r="B41" s="121" t="s">
        <v>792</v>
      </c>
      <c r="C41" s="137" t="s">
        <v>837</v>
      </c>
      <c r="D41" s="101">
        <v>45323</v>
      </c>
      <c r="E41" s="102">
        <f>VLOOKUP(D41,환율!$A$1798:$B$2033,2,)</f>
        <v>1333.5</v>
      </c>
      <c r="F41" s="138">
        <v>13642.72</v>
      </c>
      <c r="G41" s="104">
        <f t="shared" si="1"/>
        <v>18192567</v>
      </c>
      <c r="H41" s="139"/>
      <c r="I41" s="140"/>
      <c r="J41" s="95" t="s">
        <v>730</v>
      </c>
      <c r="K41" s="95" t="s">
        <v>730</v>
      </c>
      <c r="L41" s="95" t="s">
        <v>730</v>
      </c>
    </row>
    <row r="42" spans="1:12" s="97" customFormat="1" ht="20.25" customHeight="1">
      <c r="A42" s="1995"/>
      <c r="B42" s="121" t="s">
        <v>793</v>
      </c>
      <c r="C42" s="137" t="s">
        <v>838</v>
      </c>
      <c r="D42" s="101">
        <v>45336</v>
      </c>
      <c r="E42" s="102">
        <f>VLOOKUP(D42,환율!$A$1798:$B$2033,2,)</f>
        <v>1328.4</v>
      </c>
      <c r="F42" s="138">
        <v>3653.9</v>
      </c>
      <c r="G42" s="104">
        <f t="shared" si="1"/>
        <v>4853840</v>
      </c>
      <c r="H42" s="139"/>
      <c r="I42" s="140"/>
      <c r="J42" s="95" t="s">
        <v>730</v>
      </c>
      <c r="K42" s="95" t="s">
        <v>730</v>
      </c>
      <c r="L42" s="95" t="s">
        <v>730</v>
      </c>
    </row>
    <row r="43" spans="1:12" s="97" customFormat="1" ht="20.25" customHeight="1">
      <c r="A43" s="1995"/>
      <c r="B43" s="121" t="s">
        <v>794</v>
      </c>
      <c r="C43" s="137" t="s">
        <v>947</v>
      </c>
      <c r="D43" s="101">
        <v>45331</v>
      </c>
      <c r="E43" s="102">
        <f>VLOOKUP(D43,환율!$A$1798:$B$2033,2,)</f>
        <v>1325.3</v>
      </c>
      <c r="F43" s="138">
        <v>102610.8</v>
      </c>
      <c r="G43" s="104">
        <f t="shared" si="1"/>
        <v>135990093</v>
      </c>
      <c r="H43" s="139"/>
      <c r="I43" s="140"/>
      <c r="J43" s="95" t="s">
        <v>730</v>
      </c>
      <c r="K43" s="95" t="s">
        <v>730</v>
      </c>
      <c r="L43" s="95" t="s">
        <v>730</v>
      </c>
    </row>
    <row r="44" spans="1:12" s="97" customFormat="1" ht="20.25" customHeight="1">
      <c r="A44" s="1995"/>
      <c r="B44" s="121" t="s">
        <v>795</v>
      </c>
      <c r="C44" s="137" t="s">
        <v>948</v>
      </c>
      <c r="D44" s="101">
        <v>45343</v>
      </c>
      <c r="E44" s="102">
        <f>VLOOKUP(D44,환율!$A$1798:$B$2033,2,)</f>
        <v>1337.9</v>
      </c>
      <c r="F44" s="138">
        <v>68809.3</v>
      </c>
      <c r="G44" s="104">
        <f t="shared" si="1"/>
        <v>92059962</v>
      </c>
      <c r="H44" s="139"/>
      <c r="I44" s="140"/>
      <c r="J44" s="95" t="s">
        <v>730</v>
      </c>
      <c r="K44" s="95" t="s">
        <v>730</v>
      </c>
      <c r="L44" s="95" t="s">
        <v>730</v>
      </c>
    </row>
    <row r="45" spans="1:12" s="97" customFormat="1" ht="20.25" customHeight="1">
      <c r="A45" s="1995"/>
      <c r="B45" s="121" t="s">
        <v>796</v>
      </c>
      <c r="C45" s="137" t="s">
        <v>839</v>
      </c>
      <c r="D45" s="101">
        <v>45323</v>
      </c>
      <c r="E45" s="102">
        <f>VLOOKUP(D45,환율!$A$1798:$B$2033,2,)</f>
        <v>1333.5</v>
      </c>
      <c r="F45" s="138">
        <v>81307.039999999994</v>
      </c>
      <c r="G45" s="104">
        <f t="shared" si="1"/>
        <v>108422937</v>
      </c>
      <c r="H45" s="139"/>
      <c r="I45" s="140"/>
      <c r="J45" s="95" t="s">
        <v>730</v>
      </c>
      <c r="K45" s="95" t="s">
        <v>730</v>
      </c>
      <c r="L45" s="95" t="s">
        <v>730</v>
      </c>
    </row>
    <row r="46" spans="1:12" s="97" customFormat="1" ht="20.25" customHeight="1">
      <c r="A46" s="1999"/>
      <c r="B46" s="121" t="s">
        <v>878</v>
      </c>
      <c r="C46" s="225" t="s">
        <v>879</v>
      </c>
      <c r="D46" s="101">
        <v>45343</v>
      </c>
      <c r="E46" s="102">
        <f>VLOOKUP(D46,환율!$A$1798:$B$2033,2,)</f>
        <v>1337.9</v>
      </c>
      <c r="F46" s="138">
        <v>105721.14</v>
      </c>
      <c r="G46" s="104">
        <f t="shared" si="1"/>
        <v>141444313</v>
      </c>
      <c r="H46" s="139"/>
      <c r="I46" s="140"/>
      <c r="J46" s="95" t="s">
        <v>730</v>
      </c>
      <c r="K46" s="95" t="s">
        <v>730</v>
      </c>
      <c r="L46" s="95" t="s">
        <v>730</v>
      </c>
    </row>
    <row r="47" spans="1:12" s="97" customFormat="1" ht="20.25" customHeight="1">
      <c r="A47" s="112"/>
      <c r="B47" s="113"/>
      <c r="C47" s="113" t="s">
        <v>10</v>
      </c>
      <c r="D47" s="113"/>
      <c r="E47" s="114"/>
      <c r="F47" s="127">
        <f>SUM(F28:F46)</f>
        <v>1253218.2399999998</v>
      </c>
      <c r="G47" s="116">
        <f>SUM(G28:G46)</f>
        <v>1667928419</v>
      </c>
      <c r="H47" s="116">
        <v>2445032253</v>
      </c>
      <c r="I47" s="116">
        <f>+G47-H47</f>
        <v>-777103834</v>
      </c>
    </row>
    <row r="48" spans="1:12" s="97" customFormat="1" ht="20.25" customHeight="1">
      <c r="A48" s="2009" t="s">
        <v>13</v>
      </c>
      <c r="B48" s="117" t="s">
        <v>778</v>
      </c>
      <c r="C48" s="142" t="s">
        <v>840</v>
      </c>
      <c r="D48" s="89">
        <v>45297</v>
      </c>
      <c r="E48" s="91">
        <f>VLOOKUP(D48,환율!$A$1798:$B$2033,2,)</f>
        <v>1310.2</v>
      </c>
      <c r="F48" s="143">
        <v>35599.17</v>
      </c>
      <c r="G48" s="93">
        <f t="shared" si="1"/>
        <v>46642032</v>
      </c>
      <c r="H48" s="142"/>
      <c r="I48" s="144"/>
      <c r="J48" s="95" t="s">
        <v>730</v>
      </c>
      <c r="K48" s="95" t="s">
        <v>730</v>
      </c>
      <c r="L48" s="95" t="s">
        <v>730</v>
      </c>
    </row>
    <row r="49" spans="1:12" s="97" customFormat="1" ht="20.25" customHeight="1">
      <c r="A49" s="2009"/>
      <c r="B49" s="117" t="s">
        <v>779</v>
      </c>
      <c r="C49" s="142" t="s">
        <v>841</v>
      </c>
      <c r="D49" s="89">
        <v>45304</v>
      </c>
      <c r="E49" s="91">
        <f>VLOOKUP(D49,환율!$A$1798:$B$2033,2,)</f>
        <v>1316</v>
      </c>
      <c r="F49" s="143">
        <v>41768.76</v>
      </c>
      <c r="G49" s="93">
        <f t="shared" si="1"/>
        <v>54967688</v>
      </c>
      <c r="H49" s="142"/>
      <c r="I49" s="144"/>
      <c r="J49" s="95" t="s">
        <v>730</v>
      </c>
      <c r="K49" s="95" t="s">
        <v>730</v>
      </c>
      <c r="L49" s="95" t="s">
        <v>730</v>
      </c>
    </row>
    <row r="50" spans="1:12" s="97" customFormat="1" ht="20.25" customHeight="1">
      <c r="A50" s="2009"/>
      <c r="B50" s="117" t="s">
        <v>780</v>
      </c>
      <c r="C50" s="142" t="s">
        <v>842</v>
      </c>
      <c r="D50" s="89">
        <v>45313</v>
      </c>
      <c r="E50" s="91">
        <f>VLOOKUP(D50,환율!$A$1798:$B$2033,2,)</f>
        <v>1336.5</v>
      </c>
      <c r="F50" s="143">
        <v>53517.24</v>
      </c>
      <c r="G50" s="93">
        <f t="shared" si="1"/>
        <v>71525791</v>
      </c>
      <c r="H50" s="142"/>
      <c r="I50" s="144"/>
      <c r="J50" s="95" t="s">
        <v>730</v>
      </c>
      <c r="K50" s="95" t="s">
        <v>730</v>
      </c>
      <c r="L50" s="95" t="s">
        <v>730</v>
      </c>
    </row>
    <row r="51" spans="1:12" s="97" customFormat="1" ht="20.25" customHeight="1">
      <c r="A51" s="112"/>
      <c r="B51" s="113"/>
      <c r="C51" s="113" t="s">
        <v>10</v>
      </c>
      <c r="D51" s="113"/>
      <c r="E51" s="114"/>
      <c r="F51" s="127">
        <f>SUM(F48:F50)</f>
        <v>130885.16999999998</v>
      </c>
      <c r="G51" s="116">
        <f>SUM(G48:G50)</f>
        <v>173135511</v>
      </c>
      <c r="H51" s="116">
        <v>205751871</v>
      </c>
      <c r="I51" s="116">
        <f>+G51-H51</f>
        <v>-32616360</v>
      </c>
    </row>
    <row r="52" spans="1:12" s="97" customFormat="1" ht="20.25" hidden="1" customHeight="1">
      <c r="A52" s="141" t="s">
        <v>718</v>
      </c>
      <c r="B52" s="145"/>
      <c r="C52" s="146"/>
      <c r="D52" s="136"/>
      <c r="E52" s="91"/>
      <c r="F52" s="118"/>
      <c r="G52" s="93">
        <f t="shared" ref="G52" si="3">ROUNDDOWN(F52*E52,0)</f>
        <v>0</v>
      </c>
      <c r="H52" s="147"/>
      <c r="I52" s="133"/>
      <c r="J52" s="126"/>
      <c r="K52" s="126"/>
      <c r="L52" s="126"/>
    </row>
    <row r="53" spans="1:12" s="97" customFormat="1" ht="20.25" hidden="1" customHeight="1">
      <c r="A53" s="112"/>
      <c r="B53" s="148"/>
      <c r="C53" s="148"/>
      <c r="D53" s="148"/>
      <c r="E53" s="149"/>
      <c r="F53" s="150">
        <f>SUM(F52:F52)</f>
        <v>0</v>
      </c>
      <c r="G53" s="151">
        <f>SUM(G52)</f>
        <v>0</v>
      </c>
      <c r="H53" s="151">
        <v>0</v>
      </c>
      <c r="I53" s="116">
        <f>+G53-H53</f>
        <v>0</v>
      </c>
    </row>
    <row r="54" spans="1:12" s="97" customFormat="1" ht="20.25" customHeight="1">
      <c r="A54" s="1994" t="s">
        <v>35</v>
      </c>
      <c r="B54" s="152" t="s">
        <v>806</v>
      </c>
      <c r="C54" s="153" t="s">
        <v>807</v>
      </c>
      <c r="D54" s="101">
        <v>45338</v>
      </c>
      <c r="E54" s="102">
        <f>VLOOKUP(D54,환율!$A$1798:$B$1890,2,)</f>
        <v>1333.2</v>
      </c>
      <c r="F54" s="103">
        <f>G54/E54</f>
        <v>29923.10606060606</v>
      </c>
      <c r="G54" s="140">
        <v>39893485</v>
      </c>
      <c r="H54" s="154"/>
      <c r="I54" s="140"/>
      <c r="J54" s="96">
        <v>0</v>
      </c>
      <c r="K54" s="96">
        <v>0</v>
      </c>
      <c r="L54" s="96"/>
    </row>
    <row r="55" spans="1:12" s="97" customFormat="1" ht="20.25" customHeight="1">
      <c r="A55" s="1995"/>
      <c r="B55" s="152" t="s">
        <v>797</v>
      </c>
      <c r="C55" s="152" t="s">
        <v>881</v>
      </c>
      <c r="D55" s="101">
        <v>45338</v>
      </c>
      <c r="E55" s="102">
        <f>VLOOKUP(D55,환율!$A$1798:$B$2033,2,)</f>
        <v>1333.2</v>
      </c>
      <c r="F55" s="103">
        <f>G55/E55</f>
        <v>6151.2091209120908</v>
      </c>
      <c r="G55" s="104">
        <v>8200792</v>
      </c>
      <c r="H55" s="224"/>
      <c r="I55" s="224"/>
      <c r="J55" s="95" t="s">
        <v>730</v>
      </c>
      <c r="K55" s="95" t="s">
        <v>730</v>
      </c>
      <c r="L55" s="96"/>
    </row>
    <row r="56" spans="1:12" s="97" customFormat="1" ht="20.25" customHeight="1">
      <c r="A56" s="1995"/>
      <c r="B56" s="152" t="s">
        <v>798</v>
      </c>
      <c r="C56" s="152" t="s">
        <v>843</v>
      </c>
      <c r="D56" s="101">
        <v>45325</v>
      </c>
      <c r="E56" s="102">
        <f>VLOOKUP(D56,환율!$A$1798:$B$2033,2,)</f>
        <v>1332.5</v>
      </c>
      <c r="F56" s="103">
        <f>G56/E56</f>
        <v>361.9887429643527</v>
      </c>
      <c r="G56" s="104">
        <v>482350</v>
      </c>
      <c r="H56" s="224"/>
      <c r="I56" s="224"/>
      <c r="J56" s="95" t="s">
        <v>730</v>
      </c>
      <c r="K56" s="95" t="s">
        <v>730</v>
      </c>
      <c r="L56" s="96"/>
    </row>
    <row r="57" spans="1:12" s="97" customFormat="1" ht="20.25" customHeight="1">
      <c r="A57" s="1999"/>
      <c r="B57" s="152" t="s">
        <v>799</v>
      </c>
      <c r="C57" s="152" t="s">
        <v>949</v>
      </c>
      <c r="D57" s="101">
        <v>45333</v>
      </c>
      <c r="E57" s="102">
        <f>VLOOKUP(D57,환율!$A$1798:$B$2033,2,)</f>
        <v>1325.3</v>
      </c>
      <c r="F57" s="103">
        <f>G57/E57</f>
        <v>9333.5093940994502</v>
      </c>
      <c r="G57" s="104">
        <v>12369700</v>
      </c>
      <c r="H57" s="154"/>
      <c r="I57" s="140"/>
      <c r="J57" s="95"/>
      <c r="K57" s="95" t="s">
        <v>730</v>
      </c>
      <c r="L57" s="96"/>
    </row>
    <row r="58" spans="1:12" s="97" customFormat="1" ht="20.25" customHeight="1">
      <c r="A58" s="112"/>
      <c r="B58" s="113"/>
      <c r="C58" s="113" t="s">
        <v>10</v>
      </c>
      <c r="D58" s="113"/>
      <c r="E58" s="114"/>
      <c r="F58" s="116">
        <f>SUM(F55:F57)</f>
        <v>15846.707257975893</v>
      </c>
      <c r="G58" s="116">
        <f>SUM(G54:G57)</f>
        <v>60946327</v>
      </c>
      <c r="H58" s="116">
        <v>58564174</v>
      </c>
      <c r="I58" s="116">
        <f>+G58-H58</f>
        <v>2382153</v>
      </c>
    </row>
    <row r="59" spans="1:12" s="97" customFormat="1" ht="20.25" customHeight="1">
      <c r="A59" s="141" t="s">
        <v>47</v>
      </c>
      <c r="B59" s="155" t="s">
        <v>747</v>
      </c>
      <c r="C59" s="146" t="s">
        <v>844</v>
      </c>
      <c r="D59" s="146">
        <v>45314</v>
      </c>
      <c r="E59" s="91">
        <f>VLOOKUP(D59,환율!$A$1798:$B$2033,2,)</f>
        <v>1334.7</v>
      </c>
      <c r="F59" s="118">
        <v>39476</v>
      </c>
      <c r="G59" s="93">
        <f t="shared" ref="G59" si="4">ROUNDDOWN(F59*E59,0)</f>
        <v>52688617</v>
      </c>
      <c r="H59" s="156"/>
      <c r="I59" s="156"/>
      <c r="J59" s="95" t="s">
        <v>730</v>
      </c>
      <c r="K59" s="96" t="s">
        <v>730</v>
      </c>
      <c r="L59" s="96" t="s">
        <v>730</v>
      </c>
    </row>
    <row r="60" spans="1:12" s="97" customFormat="1" ht="20.25" customHeight="1">
      <c r="A60" s="157"/>
      <c r="B60" s="158"/>
      <c r="C60" s="158" t="s">
        <v>10</v>
      </c>
      <c r="D60" s="158"/>
      <c r="E60" s="158"/>
      <c r="F60" s="159">
        <f>SUM(F59)</f>
        <v>39476</v>
      </c>
      <c r="G60" s="160">
        <f>SUM(G59:G59)</f>
        <v>52688617</v>
      </c>
      <c r="H60" s="160">
        <v>0</v>
      </c>
      <c r="I60" s="160">
        <f>+G60-H60</f>
        <v>52688617</v>
      </c>
      <c r="J60" s="126"/>
      <c r="K60" s="126"/>
      <c r="L60" s="126"/>
    </row>
    <row r="61" spans="1:12" s="97" customFormat="1" ht="20.25" customHeight="1">
      <c r="A61" s="87" t="s">
        <v>34</v>
      </c>
      <c r="B61" s="152" t="s">
        <v>800</v>
      </c>
      <c r="C61" s="153" t="s">
        <v>845</v>
      </c>
      <c r="D61" s="100">
        <v>45329</v>
      </c>
      <c r="E61" s="102">
        <f>VLOOKUP(D61,환율!$A$1798:$B$2033,2,)</f>
        <v>1329.6</v>
      </c>
      <c r="F61" s="122">
        <v>13947.3</v>
      </c>
      <c r="G61" s="104">
        <f t="shared" ref="G61" si="5">ROUNDDOWN(F61*E61,0)</f>
        <v>18544330</v>
      </c>
      <c r="H61" s="154"/>
      <c r="I61" s="140"/>
      <c r="J61" s="95" t="s">
        <v>730</v>
      </c>
      <c r="K61" s="95" t="s">
        <v>730</v>
      </c>
      <c r="L61" s="95" t="s">
        <v>730</v>
      </c>
    </row>
    <row r="62" spans="1:12" s="97" customFormat="1" ht="20.25" customHeight="1">
      <c r="A62" s="112"/>
      <c r="B62" s="161"/>
      <c r="C62" s="161" t="s">
        <v>10</v>
      </c>
      <c r="D62" s="161"/>
      <c r="E62" s="162"/>
      <c r="F62" s="127">
        <f>SUM(F61)</f>
        <v>13947.3</v>
      </c>
      <c r="G62" s="116">
        <f>SUM(G61:G61)</f>
        <v>18544330</v>
      </c>
      <c r="H62" s="116">
        <v>14850985</v>
      </c>
      <c r="I62" s="116">
        <f>+G62-H62</f>
        <v>3693345</v>
      </c>
      <c r="J62" s="126"/>
      <c r="K62" s="126"/>
      <c r="L62" s="126"/>
    </row>
    <row r="63" spans="1:12" s="97" customFormat="1" ht="20.25" hidden="1" customHeight="1">
      <c r="A63" s="98" t="s">
        <v>715</v>
      </c>
      <c r="B63" s="155"/>
      <c r="C63" s="155"/>
      <c r="D63" s="90"/>
      <c r="E63" s="163"/>
      <c r="F63" s="92"/>
      <c r="G63" s="164"/>
      <c r="H63" s="93"/>
      <c r="I63" s="93"/>
      <c r="J63" s="126"/>
      <c r="K63" s="126"/>
      <c r="L63" s="126"/>
    </row>
    <row r="64" spans="1:12" s="97" customFormat="1" ht="20.25" hidden="1" customHeight="1">
      <c r="A64" s="112"/>
      <c r="B64" s="113"/>
      <c r="C64" s="113" t="s">
        <v>10</v>
      </c>
      <c r="D64" s="113"/>
      <c r="E64" s="114"/>
      <c r="F64" s="159">
        <f>SUM(F63:F63)</f>
        <v>0</v>
      </c>
      <c r="G64" s="160">
        <f>SUM(G63:G63)</f>
        <v>0</v>
      </c>
      <c r="H64" s="160"/>
      <c r="I64" s="160">
        <f>+G64-H64</f>
        <v>0</v>
      </c>
      <c r="J64" s="126"/>
      <c r="K64" s="126"/>
      <c r="L64" s="126"/>
    </row>
    <row r="65" spans="1:12" s="97" customFormat="1" ht="20.25" customHeight="1">
      <c r="A65" s="1994" t="s">
        <v>14</v>
      </c>
      <c r="B65" s="88" t="s">
        <v>732</v>
      </c>
      <c r="C65" s="89" t="s">
        <v>846</v>
      </c>
      <c r="D65" s="89">
        <v>45295</v>
      </c>
      <c r="E65" s="91">
        <f>VLOOKUP(D65,환율!$A$1798:$B$2033,2,)</f>
        <v>1308.8</v>
      </c>
      <c r="F65" s="92">
        <v>1120.54</v>
      </c>
      <c r="G65" s="93">
        <f t="shared" ref="G65:G92" si="6">ROUNDDOWN(F65*E65,0)</f>
        <v>1466562</v>
      </c>
      <c r="H65" s="165"/>
      <c r="I65" s="93"/>
      <c r="J65" s="95" t="s">
        <v>730</v>
      </c>
      <c r="K65" s="96" t="s">
        <v>730</v>
      </c>
      <c r="L65" s="96" t="s">
        <v>730</v>
      </c>
    </row>
    <row r="66" spans="1:12" s="97" customFormat="1" ht="20.25" customHeight="1">
      <c r="A66" s="1995"/>
      <c r="B66" s="88" t="s">
        <v>733</v>
      </c>
      <c r="C66" s="129" t="s">
        <v>847</v>
      </c>
      <c r="D66" s="136">
        <v>45295</v>
      </c>
      <c r="E66" s="91">
        <f>VLOOKUP(D66,환율!$A$1798:$B$2033,2,)</f>
        <v>1308.8</v>
      </c>
      <c r="F66" s="92">
        <v>260.68</v>
      </c>
      <c r="G66" s="93">
        <f t="shared" si="6"/>
        <v>341177</v>
      </c>
      <c r="H66" s="165"/>
      <c r="I66" s="93"/>
      <c r="J66" s="95" t="s">
        <v>730</v>
      </c>
      <c r="K66" s="96" t="s">
        <v>730</v>
      </c>
      <c r="L66" s="96" t="s">
        <v>730</v>
      </c>
    </row>
    <row r="67" spans="1:12" s="97" customFormat="1" ht="20.25" customHeight="1">
      <c r="A67" s="1995"/>
      <c r="B67" s="88" t="s">
        <v>734</v>
      </c>
      <c r="C67" s="146" t="s">
        <v>848</v>
      </c>
      <c r="D67" s="136">
        <v>45295</v>
      </c>
      <c r="E67" s="91">
        <f>VLOOKUP(D67,환율!$A$1798:$B$2033,2,)</f>
        <v>1308.8</v>
      </c>
      <c r="F67" s="118">
        <v>524.46</v>
      </c>
      <c r="G67" s="93">
        <f t="shared" si="6"/>
        <v>686413</v>
      </c>
      <c r="H67" s="147"/>
      <c r="I67" s="133"/>
      <c r="J67" s="95" t="s">
        <v>730</v>
      </c>
      <c r="K67" s="95" t="s">
        <v>730</v>
      </c>
      <c r="L67" s="95" t="s">
        <v>730</v>
      </c>
    </row>
    <row r="68" spans="1:12" s="97" customFormat="1" ht="20.25" customHeight="1">
      <c r="A68" s="1995"/>
      <c r="B68" s="88" t="s">
        <v>735</v>
      </c>
      <c r="C68" s="136" t="s">
        <v>849</v>
      </c>
      <c r="D68" s="136">
        <v>45295</v>
      </c>
      <c r="E68" s="91">
        <f>VLOOKUP(D68,환율!$A$1798:$B$2033,2,)</f>
        <v>1308.8</v>
      </c>
      <c r="F68" s="92">
        <v>382.56</v>
      </c>
      <c r="G68" s="93">
        <f t="shared" si="6"/>
        <v>500694</v>
      </c>
      <c r="H68" s="167"/>
      <c r="I68" s="167"/>
      <c r="J68" s="95" t="s">
        <v>730</v>
      </c>
      <c r="K68" s="96" t="s">
        <v>730</v>
      </c>
      <c r="L68" s="96" t="s">
        <v>730</v>
      </c>
    </row>
    <row r="69" spans="1:12" s="97" customFormat="1" ht="20.25" customHeight="1">
      <c r="A69" s="1995"/>
      <c r="B69" s="88" t="s">
        <v>749</v>
      </c>
      <c r="C69" s="146" t="s">
        <v>850</v>
      </c>
      <c r="D69" s="136">
        <v>45302</v>
      </c>
      <c r="E69" s="91">
        <f>VLOOKUP(D69,환율!$A$1798:$B$2033,2,)</f>
        <v>1320.1</v>
      </c>
      <c r="F69" s="92">
        <v>1118.74</v>
      </c>
      <c r="G69" s="93">
        <f t="shared" si="6"/>
        <v>1476848</v>
      </c>
      <c r="H69" s="168"/>
      <c r="I69" s="167"/>
      <c r="J69" s="95" t="s">
        <v>730</v>
      </c>
      <c r="K69" s="96" t="s">
        <v>730</v>
      </c>
      <c r="L69" s="96" t="s">
        <v>730</v>
      </c>
    </row>
    <row r="70" spans="1:12" s="97" customFormat="1" ht="20.25" customHeight="1">
      <c r="A70" s="1995"/>
      <c r="B70" s="88" t="s">
        <v>750</v>
      </c>
      <c r="C70" s="146" t="s">
        <v>851</v>
      </c>
      <c r="D70" s="136">
        <v>45302</v>
      </c>
      <c r="E70" s="91">
        <f>VLOOKUP(D70,환율!$A$1798:$B$2033,2,)</f>
        <v>1320.1</v>
      </c>
      <c r="F70" s="118">
        <v>2968.01</v>
      </c>
      <c r="G70" s="93">
        <f t="shared" si="6"/>
        <v>3918070</v>
      </c>
      <c r="H70" s="147"/>
      <c r="I70" s="133"/>
      <c r="J70" s="95" t="s">
        <v>730</v>
      </c>
      <c r="K70" s="95" t="s">
        <v>730</v>
      </c>
      <c r="L70" s="95" t="s">
        <v>730</v>
      </c>
    </row>
    <row r="71" spans="1:12" s="97" customFormat="1" ht="20.25" customHeight="1">
      <c r="A71" s="1995"/>
      <c r="B71" s="88" t="s">
        <v>751</v>
      </c>
      <c r="C71" s="146" t="s">
        <v>852</v>
      </c>
      <c r="D71" s="136">
        <v>45303</v>
      </c>
      <c r="E71" s="91">
        <f>VLOOKUP(D71,환율!$A$1798:$B$2033,2,)</f>
        <v>1316</v>
      </c>
      <c r="F71" s="92">
        <v>1366.55</v>
      </c>
      <c r="G71" s="93">
        <f t="shared" si="6"/>
        <v>1798379</v>
      </c>
      <c r="H71" s="168"/>
      <c r="I71" s="167"/>
      <c r="J71" s="95" t="s">
        <v>730</v>
      </c>
      <c r="K71" s="95" t="s">
        <v>730</v>
      </c>
      <c r="L71" s="95" t="s">
        <v>730</v>
      </c>
    </row>
    <row r="72" spans="1:12" s="97" customFormat="1" ht="20.25" customHeight="1">
      <c r="A72" s="1995"/>
      <c r="B72" s="88" t="s">
        <v>752</v>
      </c>
      <c r="C72" s="146" t="s">
        <v>853</v>
      </c>
      <c r="D72" s="136">
        <v>45303</v>
      </c>
      <c r="E72" s="91">
        <f>VLOOKUP(D72,환율!$A$1798:$B$2033,2,)</f>
        <v>1316</v>
      </c>
      <c r="F72" s="118">
        <v>7592.34</v>
      </c>
      <c r="G72" s="93">
        <f t="shared" si="6"/>
        <v>9991519</v>
      </c>
      <c r="H72" s="168"/>
      <c r="I72" s="167"/>
      <c r="J72" s="95" t="s">
        <v>730</v>
      </c>
      <c r="K72" s="95" t="s">
        <v>730</v>
      </c>
      <c r="L72" s="95" t="s">
        <v>730</v>
      </c>
    </row>
    <row r="73" spans="1:12" s="97" customFormat="1" ht="20.25" customHeight="1">
      <c r="A73" s="1995"/>
      <c r="B73" s="88" t="s">
        <v>753</v>
      </c>
      <c r="C73" s="146" t="s">
        <v>854</v>
      </c>
      <c r="D73" s="136">
        <v>45307</v>
      </c>
      <c r="E73" s="91">
        <f>VLOOKUP(D73,환율!$A$1798:$B$2033,2,)</f>
        <v>1319.3</v>
      </c>
      <c r="F73" s="118">
        <v>3722.7</v>
      </c>
      <c r="G73" s="93">
        <f t="shared" si="6"/>
        <v>4911358</v>
      </c>
      <c r="H73" s="168"/>
      <c r="I73" s="167"/>
      <c r="J73" s="95" t="s">
        <v>730</v>
      </c>
      <c r="K73" s="95" t="s">
        <v>730</v>
      </c>
      <c r="L73" s="95" t="s">
        <v>730</v>
      </c>
    </row>
    <row r="74" spans="1:12" s="97" customFormat="1" ht="20.25" customHeight="1">
      <c r="A74" s="1995"/>
      <c r="B74" s="88" t="s">
        <v>754</v>
      </c>
      <c r="C74" s="146" t="s">
        <v>855</v>
      </c>
      <c r="D74" s="136">
        <v>45303</v>
      </c>
      <c r="E74" s="91">
        <f>VLOOKUP(D74,환율!$A$1798:$B$2033,2,)</f>
        <v>1316</v>
      </c>
      <c r="F74" s="118">
        <v>1495.95</v>
      </c>
      <c r="G74" s="93">
        <f t="shared" si="6"/>
        <v>1968670</v>
      </c>
      <c r="H74" s="168"/>
      <c r="I74" s="167"/>
      <c r="J74" s="95" t="s">
        <v>730</v>
      </c>
      <c r="K74" s="95" t="s">
        <v>730</v>
      </c>
      <c r="L74" s="95" t="s">
        <v>730</v>
      </c>
    </row>
    <row r="75" spans="1:12" s="97" customFormat="1" ht="20.25" customHeight="1">
      <c r="A75" s="1995"/>
      <c r="B75" s="88" t="s">
        <v>755</v>
      </c>
      <c r="C75" s="146" t="s">
        <v>856</v>
      </c>
      <c r="D75" s="136">
        <v>45303</v>
      </c>
      <c r="E75" s="91">
        <f>VLOOKUP(D75,환율!$A$1798:$B$2033,2,)</f>
        <v>1316</v>
      </c>
      <c r="F75" s="118">
        <v>792.96</v>
      </c>
      <c r="G75" s="93">
        <f t="shared" si="6"/>
        <v>1043535</v>
      </c>
      <c r="H75" s="168"/>
      <c r="I75" s="167"/>
      <c r="J75" s="95" t="s">
        <v>730</v>
      </c>
      <c r="K75" s="95" t="s">
        <v>730</v>
      </c>
      <c r="L75" s="95" t="s">
        <v>730</v>
      </c>
    </row>
    <row r="76" spans="1:12" s="97" customFormat="1" ht="20.25" customHeight="1">
      <c r="A76" s="1995"/>
      <c r="B76" s="88" t="s">
        <v>756</v>
      </c>
      <c r="C76" s="89" t="s">
        <v>857</v>
      </c>
      <c r="D76" s="136">
        <v>45303</v>
      </c>
      <c r="E76" s="91">
        <f>VLOOKUP(D76,환율!$A$1798:$B$2033,2,)</f>
        <v>1316</v>
      </c>
      <c r="F76" s="92">
        <v>510.08</v>
      </c>
      <c r="G76" s="93">
        <f t="shared" si="6"/>
        <v>671265</v>
      </c>
      <c r="H76" s="168"/>
      <c r="I76" s="167"/>
      <c r="J76" s="95" t="s">
        <v>730</v>
      </c>
      <c r="K76" s="95" t="s">
        <v>730</v>
      </c>
      <c r="L76" s="95" t="s">
        <v>730</v>
      </c>
    </row>
    <row r="77" spans="1:12" s="97" customFormat="1" ht="20.25" customHeight="1">
      <c r="A77" s="1995"/>
      <c r="B77" s="88" t="s">
        <v>757</v>
      </c>
      <c r="C77" s="89" t="s">
        <v>858</v>
      </c>
      <c r="D77" s="136">
        <v>45310</v>
      </c>
      <c r="E77" s="91">
        <f>VLOOKUP(D77,환율!$A$1798:$B$2033,2,)</f>
        <v>1342.4</v>
      </c>
      <c r="F77" s="92">
        <v>546.62</v>
      </c>
      <c r="G77" s="93">
        <f t="shared" si="6"/>
        <v>733782</v>
      </c>
      <c r="H77" s="168"/>
      <c r="I77" s="167"/>
      <c r="J77" s="95" t="s">
        <v>730</v>
      </c>
      <c r="K77" s="95" t="s">
        <v>730</v>
      </c>
      <c r="L77" s="95" t="s">
        <v>730</v>
      </c>
    </row>
    <row r="78" spans="1:12" s="97" customFormat="1" ht="20.25" customHeight="1">
      <c r="A78" s="1995"/>
      <c r="B78" s="88" t="s">
        <v>758</v>
      </c>
      <c r="C78" s="89" t="s">
        <v>859</v>
      </c>
      <c r="D78" s="136">
        <v>45313</v>
      </c>
      <c r="E78" s="91">
        <f>VLOOKUP(D78,환율!$A$1798:$B$2033,2,)</f>
        <v>1336.5</v>
      </c>
      <c r="F78" s="92">
        <v>1334.98</v>
      </c>
      <c r="G78" s="93">
        <f t="shared" si="6"/>
        <v>1784200</v>
      </c>
      <c r="H78" s="168"/>
      <c r="I78" s="167"/>
      <c r="J78" s="95" t="s">
        <v>730</v>
      </c>
      <c r="K78" s="95" t="s">
        <v>730</v>
      </c>
      <c r="L78" s="95" t="s">
        <v>730</v>
      </c>
    </row>
    <row r="79" spans="1:12" s="97" customFormat="1" ht="20.25" customHeight="1">
      <c r="A79" s="1995"/>
      <c r="B79" s="88" t="s">
        <v>759</v>
      </c>
      <c r="C79" s="146" t="s">
        <v>860</v>
      </c>
      <c r="D79" s="136">
        <v>45314</v>
      </c>
      <c r="E79" s="91">
        <f>VLOOKUP(D79,환율!$A$1798:$B$2033,2,)</f>
        <v>1334.7</v>
      </c>
      <c r="F79" s="92">
        <v>3436.15</v>
      </c>
      <c r="G79" s="93">
        <f t="shared" si="6"/>
        <v>4586229</v>
      </c>
      <c r="H79" s="168"/>
      <c r="I79" s="167"/>
      <c r="J79" s="95" t="s">
        <v>730</v>
      </c>
      <c r="K79" s="95" t="s">
        <v>730</v>
      </c>
      <c r="L79" s="95" t="s">
        <v>730</v>
      </c>
    </row>
    <row r="80" spans="1:12" s="97" customFormat="1" ht="20.25" customHeight="1">
      <c r="A80" s="1995"/>
      <c r="B80" s="88" t="s">
        <v>760</v>
      </c>
      <c r="C80" s="146" t="s">
        <v>861</v>
      </c>
      <c r="D80" s="136">
        <v>45310</v>
      </c>
      <c r="E80" s="91">
        <f>VLOOKUP(D80,환율!$A$1798:$B$2033,2,)</f>
        <v>1342.4</v>
      </c>
      <c r="F80" s="118">
        <v>2975.51</v>
      </c>
      <c r="G80" s="93">
        <f t="shared" si="6"/>
        <v>3994324</v>
      </c>
      <c r="H80" s="147"/>
      <c r="I80" s="133"/>
      <c r="J80" s="95" t="s">
        <v>730</v>
      </c>
      <c r="K80" s="95" t="s">
        <v>730</v>
      </c>
      <c r="L80" s="95" t="s">
        <v>730</v>
      </c>
    </row>
    <row r="81" spans="1:12" s="97" customFormat="1" ht="20.25" customHeight="1">
      <c r="A81" s="1995"/>
      <c r="B81" s="88" t="s">
        <v>761</v>
      </c>
      <c r="C81" s="146" t="s">
        <v>862</v>
      </c>
      <c r="D81" s="136">
        <v>45315</v>
      </c>
      <c r="E81" s="91">
        <f>VLOOKUP(D81,환율!$A$1798:$B$2033,2,)</f>
        <v>1336</v>
      </c>
      <c r="F81" s="118">
        <v>3729.95</v>
      </c>
      <c r="G81" s="93">
        <f t="shared" si="6"/>
        <v>4983213</v>
      </c>
      <c r="H81" s="147"/>
      <c r="I81" s="133"/>
      <c r="J81" s="95" t="s">
        <v>730</v>
      </c>
      <c r="K81" s="95" t="s">
        <v>730</v>
      </c>
      <c r="L81" s="95" t="s">
        <v>730</v>
      </c>
    </row>
    <row r="82" spans="1:12" s="97" customFormat="1" ht="20.25" customHeight="1">
      <c r="A82" s="1995"/>
      <c r="B82" s="88" t="s">
        <v>762</v>
      </c>
      <c r="C82" s="146" t="s">
        <v>863</v>
      </c>
      <c r="D82" s="136">
        <v>45309</v>
      </c>
      <c r="E82" s="91">
        <f>VLOOKUP(D82,환율!$A$1798:$B$2033,2,)</f>
        <v>1343.2</v>
      </c>
      <c r="F82" s="118">
        <v>1355.91</v>
      </c>
      <c r="G82" s="93">
        <f t="shared" si="6"/>
        <v>1821258</v>
      </c>
      <c r="H82" s="147"/>
      <c r="I82" s="133"/>
      <c r="J82" s="95" t="s">
        <v>730</v>
      </c>
      <c r="K82" s="95" t="s">
        <v>730</v>
      </c>
      <c r="L82" s="95" t="s">
        <v>730</v>
      </c>
    </row>
    <row r="83" spans="1:12" s="97" customFormat="1" ht="20.25" customHeight="1">
      <c r="A83" s="1995"/>
      <c r="B83" s="88" t="s">
        <v>763</v>
      </c>
      <c r="C83" s="146" t="s">
        <v>864</v>
      </c>
      <c r="D83" s="136">
        <v>45309</v>
      </c>
      <c r="E83" s="91">
        <f>VLOOKUP(D83,환율!$A$1798:$B$2033,2,)</f>
        <v>1343.2</v>
      </c>
      <c r="F83" s="118">
        <v>764.76</v>
      </c>
      <c r="G83" s="93">
        <f t="shared" si="6"/>
        <v>1027225</v>
      </c>
      <c r="H83" s="147"/>
      <c r="I83" s="133"/>
      <c r="J83" s="95" t="s">
        <v>730</v>
      </c>
      <c r="K83" s="95" t="s">
        <v>730</v>
      </c>
      <c r="L83" s="95" t="s">
        <v>730</v>
      </c>
    </row>
    <row r="84" spans="1:12" s="97" customFormat="1" ht="20.25" customHeight="1">
      <c r="A84" s="1995"/>
      <c r="B84" s="88" t="s">
        <v>764</v>
      </c>
      <c r="C84" s="146" t="s">
        <v>865</v>
      </c>
      <c r="D84" s="136">
        <v>45309</v>
      </c>
      <c r="E84" s="91">
        <f>VLOOKUP(D84,환율!$A$1798:$B$2033,2,)</f>
        <v>1343.2</v>
      </c>
      <c r="F84" s="92">
        <v>1618.97</v>
      </c>
      <c r="G84" s="93">
        <f t="shared" si="6"/>
        <v>2174600</v>
      </c>
      <c r="H84" s="168"/>
      <c r="I84" s="167"/>
      <c r="J84" s="95" t="s">
        <v>730</v>
      </c>
      <c r="K84" s="95" t="s">
        <v>730</v>
      </c>
      <c r="L84" s="95" t="s">
        <v>730</v>
      </c>
    </row>
    <row r="85" spans="1:12" s="97" customFormat="1" ht="20.25" customHeight="1">
      <c r="A85" s="1995"/>
      <c r="B85" s="88" t="s">
        <v>765</v>
      </c>
      <c r="C85" s="146" t="s">
        <v>866</v>
      </c>
      <c r="D85" s="136">
        <v>45313</v>
      </c>
      <c r="E85" s="91">
        <f>VLOOKUP(D85,환율!$A$1798:$B$2033,2,)</f>
        <v>1336.5</v>
      </c>
      <c r="F85" s="92">
        <v>590.01</v>
      </c>
      <c r="G85" s="93">
        <f>ROUNDDOWN(F85*E85,0)</f>
        <v>788548</v>
      </c>
      <c r="H85" s="168"/>
      <c r="I85" s="167"/>
      <c r="J85" s="95" t="s">
        <v>730</v>
      </c>
      <c r="K85" s="95" t="s">
        <v>730</v>
      </c>
      <c r="L85" s="95" t="s">
        <v>730</v>
      </c>
    </row>
    <row r="86" spans="1:12" s="97" customFormat="1" ht="20.25" customHeight="1">
      <c r="A86" s="1995"/>
      <c r="B86" s="88" t="s">
        <v>766</v>
      </c>
      <c r="C86" s="146" t="s">
        <v>867</v>
      </c>
      <c r="D86" s="136">
        <v>45322</v>
      </c>
      <c r="E86" s="91">
        <f>VLOOKUP(D86,환율!$A$1798:$B$2033,2,)</f>
        <v>1330.6</v>
      </c>
      <c r="F86" s="92">
        <v>2780.84</v>
      </c>
      <c r="G86" s="93">
        <f t="shared" si="6"/>
        <v>3700185</v>
      </c>
      <c r="H86" s="168"/>
      <c r="I86" s="167"/>
      <c r="J86" s="95" t="s">
        <v>730</v>
      </c>
      <c r="K86" s="95" t="s">
        <v>730</v>
      </c>
      <c r="L86" s="95" t="s">
        <v>730</v>
      </c>
    </row>
    <row r="87" spans="1:12" s="97" customFormat="1" ht="20.25" customHeight="1">
      <c r="A87" s="1995"/>
      <c r="B87" s="88" t="s">
        <v>767</v>
      </c>
      <c r="C87" s="146" t="s">
        <v>868</v>
      </c>
      <c r="D87" s="136">
        <v>45316</v>
      </c>
      <c r="E87" s="91">
        <f>VLOOKUP(D87,환율!$A$1798:$B$2033,2,)</f>
        <v>1339.1</v>
      </c>
      <c r="F87" s="92">
        <v>546.62</v>
      </c>
      <c r="G87" s="93">
        <f t="shared" si="6"/>
        <v>731978</v>
      </c>
      <c r="H87" s="168"/>
      <c r="I87" s="167"/>
      <c r="J87" s="95" t="s">
        <v>730</v>
      </c>
      <c r="K87" s="95" t="s">
        <v>730</v>
      </c>
      <c r="L87" s="95" t="s">
        <v>730</v>
      </c>
    </row>
    <row r="88" spans="1:12" s="97" customFormat="1" ht="20.25" customHeight="1">
      <c r="A88" s="1995"/>
      <c r="B88" s="88" t="s">
        <v>768</v>
      </c>
      <c r="C88" s="146" t="s">
        <v>869</v>
      </c>
      <c r="D88" s="136">
        <v>45321</v>
      </c>
      <c r="E88" s="91">
        <f>VLOOKUP(D88,환율!$A$1798:$B$2033,2,)</f>
        <v>1336.9</v>
      </c>
      <c r="F88" s="92">
        <v>1588.87</v>
      </c>
      <c r="G88" s="93">
        <f t="shared" si="6"/>
        <v>2124160</v>
      </c>
      <c r="H88" s="168"/>
      <c r="I88" s="167"/>
      <c r="J88" s="95" t="s">
        <v>730</v>
      </c>
      <c r="K88" s="95" t="s">
        <v>730</v>
      </c>
      <c r="L88" s="95" t="s">
        <v>730</v>
      </c>
    </row>
    <row r="89" spans="1:12" s="97" customFormat="1" ht="20.25" customHeight="1">
      <c r="A89" s="1995"/>
      <c r="B89" s="88" t="s">
        <v>769</v>
      </c>
      <c r="C89" s="146" t="s">
        <v>870</v>
      </c>
      <c r="D89" s="136">
        <v>45321</v>
      </c>
      <c r="E89" s="91">
        <f>VLOOKUP(D89,환율!$A$1798:$B$2033,2,)</f>
        <v>1336.9</v>
      </c>
      <c r="F89" s="92">
        <v>10067.52</v>
      </c>
      <c r="G89" s="93">
        <f t="shared" si="6"/>
        <v>13459267</v>
      </c>
      <c r="H89" s="168"/>
      <c r="I89" s="167"/>
      <c r="J89" s="95" t="s">
        <v>730</v>
      </c>
      <c r="K89" s="95" t="s">
        <v>730</v>
      </c>
      <c r="L89" s="95" t="s">
        <v>730</v>
      </c>
    </row>
    <row r="90" spans="1:12" s="97" customFormat="1" ht="20.25" customHeight="1">
      <c r="A90" s="112"/>
      <c r="B90" s="113"/>
      <c r="C90" s="172"/>
      <c r="D90" s="113"/>
      <c r="E90" s="114"/>
      <c r="F90" s="127">
        <f>SUM(F65:F89)</f>
        <v>53192.280000000013</v>
      </c>
      <c r="G90" s="116">
        <f>SUM(G65:G89)</f>
        <v>70683459</v>
      </c>
      <c r="H90" s="116">
        <v>95733784</v>
      </c>
      <c r="I90" s="116">
        <f>+G90-H90</f>
        <v>-25050325</v>
      </c>
      <c r="J90" s="126"/>
      <c r="K90" s="126"/>
      <c r="L90" s="126"/>
    </row>
    <row r="91" spans="1:12" s="97" customFormat="1" ht="20.25" customHeight="1">
      <c r="A91" s="1994" t="s">
        <v>15</v>
      </c>
      <c r="B91" s="173" t="s">
        <v>781</v>
      </c>
      <c r="C91" s="173" t="s">
        <v>871</v>
      </c>
      <c r="D91" s="223">
        <v>45303</v>
      </c>
      <c r="E91" s="91">
        <f>VLOOKUP(D91,환율!$A$1798:$B$2033,2,)</f>
        <v>1316</v>
      </c>
      <c r="F91" s="92">
        <v>28564.32</v>
      </c>
      <c r="G91" s="93">
        <f t="shared" si="6"/>
        <v>37590645</v>
      </c>
      <c r="H91" s="173"/>
      <c r="I91" s="173"/>
      <c r="J91" s="95" t="s">
        <v>730</v>
      </c>
      <c r="K91" s="95" t="s">
        <v>730</v>
      </c>
      <c r="L91" s="95" t="s">
        <v>730</v>
      </c>
    </row>
    <row r="92" spans="1:12" s="97" customFormat="1" ht="20.25" customHeight="1">
      <c r="A92" s="1995"/>
      <c r="B92" s="173" t="s">
        <v>782</v>
      </c>
      <c r="C92" s="174" t="s">
        <v>872</v>
      </c>
      <c r="D92" s="136">
        <v>45304</v>
      </c>
      <c r="E92" s="91">
        <f>VLOOKUP(D92,환율!$A$1798:$B$2033,2,)</f>
        <v>1316</v>
      </c>
      <c r="F92" s="92">
        <v>24489.63</v>
      </c>
      <c r="G92" s="93">
        <f t="shared" si="6"/>
        <v>32228353</v>
      </c>
      <c r="H92" s="147"/>
      <c r="I92" s="133"/>
      <c r="J92" s="95" t="s">
        <v>730</v>
      </c>
      <c r="K92" s="95" t="s">
        <v>730</v>
      </c>
      <c r="L92" s="95" t="s">
        <v>730</v>
      </c>
    </row>
    <row r="93" spans="1:12" s="97" customFormat="1" ht="20.25" customHeight="1">
      <c r="A93" s="1999"/>
      <c r="B93" s="152" t="s">
        <v>801</v>
      </c>
      <c r="C93" s="153" t="s">
        <v>873</v>
      </c>
      <c r="D93" s="101">
        <v>45328</v>
      </c>
      <c r="E93" s="102">
        <f>VLOOKUP(D93,환율!$A$1798:$B$2033,2,)</f>
        <v>1334.6</v>
      </c>
      <c r="F93" s="103">
        <v>15963.21</v>
      </c>
      <c r="G93" s="104">
        <f t="shared" ref="G93" si="7">ROUNDDOWN(F93*E93,0)</f>
        <v>21304500</v>
      </c>
      <c r="H93" s="154"/>
      <c r="I93" s="140"/>
      <c r="J93" s="95" t="s">
        <v>730</v>
      </c>
      <c r="K93" s="95" t="s">
        <v>730</v>
      </c>
      <c r="L93" s="95" t="s">
        <v>730</v>
      </c>
    </row>
    <row r="94" spans="1:12" s="97" customFormat="1" ht="20.25" customHeight="1">
      <c r="A94" s="112"/>
      <c r="B94" s="113"/>
      <c r="C94" s="172"/>
      <c r="D94" s="113"/>
      <c r="E94" s="114"/>
      <c r="F94" s="127">
        <f>SUM(F91:F93)</f>
        <v>69017.16</v>
      </c>
      <c r="G94" s="116">
        <f>SUM(G91:G93)</f>
        <v>91123498</v>
      </c>
      <c r="H94" s="116">
        <v>57260026</v>
      </c>
      <c r="I94" s="116">
        <f>+G94-H94</f>
        <v>33863472</v>
      </c>
    </row>
    <row r="95" spans="1:12" s="97" customFormat="1" ht="20.25" customHeight="1">
      <c r="A95" s="1994" t="s">
        <v>726</v>
      </c>
      <c r="B95" s="146" t="s">
        <v>802</v>
      </c>
      <c r="C95" s="146" t="s">
        <v>874</v>
      </c>
      <c r="D95" s="136">
        <v>45298</v>
      </c>
      <c r="E95" s="176">
        <v>9.0568000000000008</v>
      </c>
      <c r="F95" s="177">
        <v>10054021</v>
      </c>
      <c r="G95" s="93">
        <f t="shared" ref="G95:G109" si="8">ROUNDDOWN(F95*E95,0)</f>
        <v>91057257</v>
      </c>
      <c r="H95" s="156"/>
      <c r="I95" s="156"/>
      <c r="J95" s="95" t="s">
        <v>730</v>
      </c>
      <c r="K95" s="95" t="s">
        <v>730</v>
      </c>
      <c r="L95" s="95" t="s">
        <v>730</v>
      </c>
    </row>
    <row r="96" spans="1:12" s="97" customFormat="1" ht="20.25" customHeight="1">
      <c r="A96" s="1995"/>
      <c r="B96" s="146" t="s">
        <v>803</v>
      </c>
      <c r="C96" s="146" t="s">
        <v>875</v>
      </c>
      <c r="D96" s="136">
        <v>45305</v>
      </c>
      <c r="E96" s="176">
        <v>9.0624000000000002</v>
      </c>
      <c r="F96" s="177">
        <v>15509305</v>
      </c>
      <c r="G96" s="93">
        <f t="shared" si="8"/>
        <v>140551525</v>
      </c>
      <c r="H96" s="156"/>
      <c r="I96" s="156"/>
      <c r="J96" s="95" t="s">
        <v>730</v>
      </c>
      <c r="K96" s="95" t="s">
        <v>730</v>
      </c>
      <c r="L96" s="95" t="s">
        <v>730</v>
      </c>
    </row>
    <row r="97" spans="1:12" s="97" customFormat="1" ht="20.25" customHeight="1">
      <c r="A97" s="1995"/>
      <c r="B97" s="146" t="s">
        <v>804</v>
      </c>
      <c r="C97" s="146" t="s">
        <v>876</v>
      </c>
      <c r="D97" s="136">
        <v>45311</v>
      </c>
      <c r="E97" s="176">
        <v>9.0656999999999996</v>
      </c>
      <c r="F97" s="177">
        <v>18320605</v>
      </c>
      <c r="G97" s="93">
        <f t="shared" si="8"/>
        <v>166089108</v>
      </c>
      <c r="H97" s="156"/>
      <c r="I97" s="156"/>
      <c r="J97" s="95" t="s">
        <v>730</v>
      </c>
      <c r="K97" s="95" t="s">
        <v>730</v>
      </c>
      <c r="L97" s="95" t="s">
        <v>730</v>
      </c>
    </row>
    <row r="98" spans="1:12" s="97" customFormat="1" ht="20.25" customHeight="1">
      <c r="A98" s="1995"/>
      <c r="B98" s="146" t="s">
        <v>805</v>
      </c>
      <c r="C98" s="146" t="s">
        <v>877</v>
      </c>
      <c r="D98" s="136">
        <v>45319</v>
      </c>
      <c r="E98" s="176">
        <v>9.0503999999999998</v>
      </c>
      <c r="F98" s="177">
        <v>6569913</v>
      </c>
      <c r="G98" s="93">
        <f t="shared" si="8"/>
        <v>59460340</v>
      </c>
      <c r="H98" s="156"/>
      <c r="I98" s="156"/>
      <c r="J98" s="95" t="s">
        <v>730</v>
      </c>
      <c r="K98" s="95" t="s">
        <v>730</v>
      </c>
      <c r="L98" s="95" t="s">
        <v>730</v>
      </c>
    </row>
    <row r="99" spans="1:12" s="97" customFormat="1" ht="20.25" hidden="1" customHeight="1">
      <c r="A99" s="1995"/>
      <c r="B99" s="88"/>
      <c r="C99" s="146"/>
      <c r="D99" s="136"/>
      <c r="E99" s="176"/>
      <c r="F99" s="177"/>
      <c r="G99" s="93">
        <f t="shared" si="8"/>
        <v>0</v>
      </c>
      <c r="H99" s="156"/>
      <c r="I99" s="156"/>
      <c r="J99" s="95"/>
      <c r="K99" s="96"/>
      <c r="L99" s="96"/>
    </row>
    <row r="100" spans="1:12" s="97" customFormat="1" ht="20.25" hidden="1" customHeight="1">
      <c r="A100" s="1995"/>
      <c r="B100" s="88"/>
      <c r="C100" s="146"/>
      <c r="D100" s="136"/>
      <c r="E100" s="176"/>
      <c r="F100" s="177"/>
      <c r="G100" s="93">
        <f t="shared" si="8"/>
        <v>0</v>
      </c>
      <c r="H100" s="156"/>
      <c r="I100" s="156"/>
      <c r="J100" s="95"/>
      <c r="K100" s="96"/>
      <c r="L100" s="96"/>
    </row>
    <row r="101" spans="1:12" s="97" customFormat="1" ht="20.25" hidden="1" customHeight="1">
      <c r="A101" s="1995"/>
      <c r="B101" s="88"/>
      <c r="C101" s="146"/>
      <c r="D101" s="136"/>
      <c r="E101" s="176"/>
      <c r="F101" s="177"/>
      <c r="G101" s="93">
        <f t="shared" si="8"/>
        <v>0</v>
      </c>
      <c r="H101" s="156"/>
      <c r="I101" s="156"/>
      <c r="J101" s="95"/>
      <c r="K101" s="96"/>
      <c r="L101" s="96"/>
    </row>
    <row r="102" spans="1:12" s="97" customFormat="1" ht="20.25" hidden="1" customHeight="1">
      <c r="A102" s="1995"/>
      <c r="B102" s="88"/>
      <c r="C102" s="146"/>
      <c r="D102" s="136"/>
      <c r="E102" s="176"/>
      <c r="F102" s="177"/>
      <c r="G102" s="93">
        <f t="shared" si="8"/>
        <v>0</v>
      </c>
      <c r="H102" s="156"/>
      <c r="I102" s="156"/>
      <c r="J102" s="95"/>
      <c r="K102" s="96"/>
      <c r="L102" s="96"/>
    </row>
    <row r="103" spans="1:12" s="97" customFormat="1" ht="20.25" hidden="1" customHeight="1">
      <c r="A103" s="1995"/>
      <c r="B103" s="88"/>
      <c r="C103" s="146"/>
      <c r="D103" s="136"/>
      <c r="E103" s="176"/>
      <c r="F103" s="177"/>
      <c r="G103" s="93">
        <f t="shared" si="8"/>
        <v>0</v>
      </c>
      <c r="H103" s="156"/>
      <c r="I103" s="156"/>
      <c r="J103" s="95"/>
      <c r="K103" s="96"/>
      <c r="L103" s="96"/>
    </row>
    <row r="104" spans="1:12" s="97" customFormat="1" ht="20.25" hidden="1" customHeight="1">
      <c r="A104" s="1995"/>
      <c r="B104" s="88"/>
      <c r="C104" s="146"/>
      <c r="D104" s="136"/>
      <c r="E104" s="176"/>
      <c r="F104" s="177"/>
      <c r="G104" s="93">
        <f t="shared" si="8"/>
        <v>0</v>
      </c>
      <c r="H104" s="156"/>
      <c r="I104" s="156"/>
      <c r="J104" s="95"/>
      <c r="K104" s="96"/>
      <c r="L104" s="96"/>
    </row>
    <row r="105" spans="1:12" s="97" customFormat="1" ht="20.25" hidden="1" customHeight="1">
      <c r="A105" s="1995"/>
      <c r="B105" s="88"/>
      <c r="C105" s="146"/>
      <c r="D105" s="136"/>
      <c r="E105" s="176"/>
      <c r="F105" s="177"/>
      <c r="G105" s="93">
        <f t="shared" si="8"/>
        <v>0</v>
      </c>
      <c r="H105" s="156"/>
      <c r="I105" s="156"/>
      <c r="J105" s="95"/>
      <c r="K105" s="96"/>
      <c r="L105" s="96"/>
    </row>
    <row r="106" spans="1:12" s="97" customFormat="1" ht="20.25" hidden="1" customHeight="1">
      <c r="A106" s="1995"/>
      <c r="B106" s="88"/>
      <c r="C106" s="146"/>
      <c r="D106" s="136"/>
      <c r="E106" s="176"/>
      <c r="F106" s="177"/>
      <c r="G106" s="93">
        <f t="shared" si="8"/>
        <v>0</v>
      </c>
      <c r="H106" s="156"/>
      <c r="I106" s="156"/>
      <c r="J106" s="95"/>
      <c r="K106" s="96"/>
      <c r="L106" s="96"/>
    </row>
    <row r="107" spans="1:12" s="97" customFormat="1" ht="20.25" hidden="1" customHeight="1">
      <c r="A107" s="1995"/>
      <c r="B107" s="88"/>
      <c r="C107" s="146"/>
      <c r="D107" s="136"/>
      <c r="E107" s="176"/>
      <c r="F107" s="177"/>
      <c r="G107" s="93">
        <f t="shared" si="8"/>
        <v>0</v>
      </c>
      <c r="H107" s="156"/>
      <c r="I107" s="156"/>
      <c r="J107" s="95"/>
      <c r="K107" s="96"/>
      <c r="L107" s="96"/>
    </row>
    <row r="108" spans="1:12" s="97" customFormat="1" ht="20.25" hidden="1" customHeight="1">
      <c r="A108" s="1995"/>
      <c r="B108" s="88"/>
      <c r="C108" s="146"/>
      <c r="D108" s="222"/>
      <c r="E108" s="176"/>
      <c r="F108" s="177"/>
      <c r="G108" s="93">
        <f t="shared" si="8"/>
        <v>0</v>
      </c>
      <c r="H108" s="156"/>
      <c r="I108" s="156"/>
      <c r="J108" s="95"/>
      <c r="K108" s="96"/>
      <c r="L108" s="96"/>
    </row>
    <row r="109" spans="1:12" s="97" customFormat="1" ht="20.25" hidden="1" customHeight="1">
      <c r="A109" s="1995"/>
      <c r="B109" s="88"/>
      <c r="C109" s="146"/>
      <c r="D109" s="222"/>
      <c r="E109" s="176"/>
      <c r="F109" s="177"/>
      <c r="G109" s="93">
        <f t="shared" si="8"/>
        <v>0</v>
      </c>
      <c r="H109" s="156"/>
      <c r="I109" s="156"/>
      <c r="J109" s="95"/>
      <c r="K109" s="96"/>
      <c r="L109" s="96"/>
    </row>
    <row r="110" spans="1:12" s="97" customFormat="1" ht="20.25" customHeight="1" thickBot="1">
      <c r="A110" s="112"/>
      <c r="B110" s="113"/>
      <c r="C110" s="113" t="s">
        <v>10</v>
      </c>
      <c r="D110" s="113"/>
      <c r="E110" s="114"/>
      <c r="F110" s="186">
        <f>SUM(F95:F109)</f>
        <v>50453844</v>
      </c>
      <c r="G110" s="116">
        <f>SUM(G95:G109)</f>
        <v>457158230</v>
      </c>
      <c r="H110" s="160">
        <v>580478746</v>
      </c>
      <c r="I110" s="160">
        <f>+G110-H110</f>
        <v>-123320516</v>
      </c>
      <c r="J110" s="126"/>
      <c r="K110" s="126"/>
      <c r="L110" s="126"/>
    </row>
    <row r="111" spans="1:12" s="190" customFormat="1" ht="20.25" hidden="1" customHeight="1">
      <c r="A111" s="187" t="s">
        <v>147</v>
      </c>
      <c r="B111" s="155"/>
      <c r="C111" s="146"/>
      <c r="D111" s="136"/>
      <c r="E111" s="176"/>
      <c r="F111" s="177"/>
      <c r="G111" s="93"/>
      <c r="H111" s="156"/>
      <c r="I111" s="156"/>
      <c r="J111" s="188"/>
      <c r="K111" s="188"/>
      <c r="L111" s="188"/>
    </row>
    <row r="112" spans="1:12" s="97" customFormat="1" ht="20.25" hidden="1" customHeight="1" thickBot="1">
      <c r="A112" s="112"/>
      <c r="B112" s="113"/>
      <c r="C112" s="113" t="s">
        <v>10</v>
      </c>
      <c r="D112" s="113"/>
      <c r="E112" s="114"/>
      <c r="F112" s="186">
        <f>SUM(F111)</f>
        <v>0</v>
      </c>
      <c r="G112" s="116">
        <f>SUM(G111)</f>
        <v>0</v>
      </c>
      <c r="H112" s="116">
        <v>0</v>
      </c>
      <c r="I112" s="116">
        <f>+G112-H112</f>
        <v>0</v>
      </c>
    </row>
    <row r="113" spans="1:12" s="97" customFormat="1" ht="20.25" customHeight="1" thickBot="1">
      <c r="A113" s="191"/>
      <c r="B113" s="192"/>
      <c r="C113" s="192"/>
      <c r="E113" s="1996" t="s">
        <v>31</v>
      </c>
      <c r="F113" s="193" t="s">
        <v>17</v>
      </c>
      <c r="G113" s="194">
        <f>+G115-G114</f>
        <v>4873168771</v>
      </c>
      <c r="H113" s="194">
        <v>4599808180</v>
      </c>
      <c r="I113" s="194">
        <f>+G113-H113</f>
        <v>273360591</v>
      </c>
      <c r="J113" s="126"/>
      <c r="K113" s="126"/>
      <c r="L113" s="126"/>
    </row>
    <row r="114" spans="1:12" s="97" customFormat="1" ht="20.25" customHeight="1">
      <c r="A114" s="195" t="s">
        <v>20</v>
      </c>
      <c r="B114" s="195" t="s">
        <v>21</v>
      </c>
      <c r="C114" s="196" t="s">
        <v>20</v>
      </c>
      <c r="D114" s="197" t="s">
        <v>21</v>
      </c>
      <c r="E114" s="1997"/>
      <c r="F114" s="198" t="s">
        <v>18</v>
      </c>
      <c r="G114" s="199">
        <v>0</v>
      </c>
      <c r="H114" s="199">
        <v>849291518</v>
      </c>
      <c r="I114" s="199">
        <f>+G114-H114</f>
        <v>-849291518</v>
      </c>
      <c r="J114" s="126"/>
      <c r="K114" s="126"/>
      <c r="L114" s="126"/>
    </row>
    <row r="115" spans="1:12" s="97" customFormat="1" ht="20.25" customHeight="1" thickBot="1">
      <c r="A115" s="200" t="s">
        <v>9</v>
      </c>
      <c r="B115" s="199">
        <f>G12</f>
        <v>265920678</v>
      </c>
      <c r="C115" s="200" t="s">
        <v>721</v>
      </c>
      <c r="D115" s="201">
        <v>0</v>
      </c>
      <c r="E115" s="1998"/>
      <c r="F115" s="202" t="s">
        <v>19</v>
      </c>
      <c r="G115" s="203">
        <f>+G110+G94+G90+G62+G60+G58+G51+G47+G27+G13</f>
        <v>4873168771</v>
      </c>
      <c r="H115" s="203">
        <v>5449099698</v>
      </c>
      <c r="I115" s="204">
        <f>+G115-H115</f>
        <v>-575930927</v>
      </c>
      <c r="J115" s="126"/>
      <c r="K115" s="205"/>
      <c r="L115" s="126"/>
    </row>
    <row r="116" spans="1:12" s="97" customFormat="1" ht="20.25" customHeight="1">
      <c r="A116" s="200" t="s">
        <v>11</v>
      </c>
      <c r="B116" s="199">
        <f>SUM(G25:G26)</f>
        <v>113977419</v>
      </c>
      <c r="C116" s="200" t="s">
        <v>722</v>
      </c>
      <c r="D116" s="201">
        <f>G61</f>
        <v>18544330</v>
      </c>
      <c r="E116" s="206" t="s">
        <v>20</v>
      </c>
      <c r="F116" s="207" t="s">
        <v>111</v>
      </c>
      <c r="G116" s="195" t="s">
        <v>728</v>
      </c>
      <c r="H116" s="195" t="s">
        <v>113</v>
      </c>
      <c r="I116" s="208" t="s">
        <v>32</v>
      </c>
      <c r="J116" s="126"/>
      <c r="K116" s="126"/>
      <c r="L116" s="126"/>
    </row>
    <row r="117" spans="1:12" s="97" customFormat="1" ht="20.25" customHeight="1">
      <c r="A117" s="209" t="s">
        <v>114</v>
      </c>
      <c r="B117" s="199">
        <f>IFERROR(SUM(G38:G46),"")</f>
        <v>724879887</v>
      </c>
      <c r="C117" s="200" t="s">
        <v>14</v>
      </c>
      <c r="D117" s="210">
        <v>0</v>
      </c>
      <c r="E117" s="211" t="s">
        <v>22</v>
      </c>
      <c r="F117" s="199">
        <v>119487228</v>
      </c>
      <c r="G117" s="199">
        <f>SUM(G95:G107)</f>
        <v>457158230</v>
      </c>
      <c r="H117" s="199">
        <f>SUM(G108:G109)</f>
        <v>0</v>
      </c>
      <c r="I117" s="199">
        <f>SUM(F117:G117)</f>
        <v>576645458</v>
      </c>
      <c r="J117" s="126"/>
      <c r="K117" s="126"/>
      <c r="L117" s="126"/>
    </row>
    <row r="118" spans="1:12" s="97" customFormat="1" ht="20.25" customHeight="1">
      <c r="A118" s="209" t="s">
        <v>153</v>
      </c>
      <c r="B118" s="199">
        <v>0</v>
      </c>
      <c r="C118" s="200" t="s">
        <v>15</v>
      </c>
      <c r="D118" s="199">
        <f>G93</f>
        <v>21304500</v>
      </c>
      <c r="E118" s="211" t="s">
        <v>23</v>
      </c>
      <c r="F118" s="199">
        <v>764387691</v>
      </c>
      <c r="G118" s="199">
        <f>SUM(G48:G50,G28:G37,G14:G24)</f>
        <v>1418767442</v>
      </c>
      <c r="H118" s="199">
        <f>SUM(G38:G46,G25:G26,G54:G57,G61)</f>
        <v>918347963</v>
      </c>
      <c r="I118" s="199">
        <f>SUM(F118:G118)</f>
        <v>2183155133</v>
      </c>
      <c r="J118" s="126"/>
      <c r="K118" s="126"/>
      <c r="L118" s="126"/>
    </row>
    <row r="119" spans="1:12" s="126" customFormat="1" ht="20.25" customHeight="1">
      <c r="A119" s="209" t="s">
        <v>719</v>
      </c>
      <c r="B119" s="199">
        <v>0</v>
      </c>
      <c r="C119" s="200" t="s">
        <v>53</v>
      </c>
      <c r="D119" s="210">
        <v>0</v>
      </c>
      <c r="E119" s="211" t="s">
        <v>24</v>
      </c>
      <c r="F119" s="199">
        <v>545651845</v>
      </c>
      <c r="G119" s="199">
        <f>SUM(G9:G11)</f>
        <v>1598478884</v>
      </c>
      <c r="H119" s="199">
        <f>G12</f>
        <v>265920678</v>
      </c>
      <c r="I119" s="199">
        <f>SUM(F119:G119)</f>
        <v>2144130729</v>
      </c>
      <c r="K119" s="205"/>
    </row>
    <row r="120" spans="1:12" s="126" customFormat="1" ht="20.25" customHeight="1">
      <c r="A120" s="209" t="s">
        <v>35</v>
      </c>
      <c r="B120" s="199">
        <f>SUM(G55:G57)</f>
        <v>21052842</v>
      </c>
      <c r="C120" s="200" t="s">
        <v>252</v>
      </c>
      <c r="D120" s="210">
        <f>SUM(G108:G109)</f>
        <v>0</v>
      </c>
      <c r="E120" s="211" t="s">
        <v>723</v>
      </c>
      <c r="F120" s="199">
        <v>34060342</v>
      </c>
      <c r="G120" s="199">
        <f>SUM(G91:G92,G67:G89,G65:G66)+G59</f>
        <v>193191074</v>
      </c>
      <c r="H120" s="199">
        <f>SUM(G93)</f>
        <v>21304500</v>
      </c>
      <c r="I120" s="199">
        <f>SUM(F120:G120)</f>
        <v>227251416</v>
      </c>
      <c r="K120" s="205"/>
    </row>
    <row r="121" spans="1:12" s="126" customFormat="1" ht="20.25" customHeight="1" thickBot="1">
      <c r="A121" s="212" t="s">
        <v>724</v>
      </c>
      <c r="B121" s="213">
        <v>0</v>
      </c>
      <c r="C121" s="214"/>
      <c r="D121" s="213"/>
      <c r="E121" s="215" t="s">
        <v>725</v>
      </c>
      <c r="F121" s="213"/>
      <c r="G121" s="213"/>
      <c r="H121" s="213"/>
      <c r="I121" s="213"/>
      <c r="K121" s="205"/>
    </row>
    <row r="122" spans="1:12" s="126" customFormat="1" ht="20.25" customHeight="1" thickTop="1">
      <c r="A122" s="216"/>
      <c r="B122" s="217" t="s">
        <v>49</v>
      </c>
      <c r="C122" s="218"/>
      <c r="D122" s="219">
        <f>SUM(B115:B120,D115:D120)</f>
        <v>1165679656</v>
      </c>
      <c r="E122" s="220" t="s">
        <v>16</v>
      </c>
      <c r="F122" s="221">
        <f>SUM(F117:F120)</f>
        <v>1463587106</v>
      </c>
      <c r="G122" s="221">
        <f>SUM(G117:G121)</f>
        <v>3667595630</v>
      </c>
      <c r="H122" s="221">
        <f>SUM(H117:H121)</f>
        <v>1205573141</v>
      </c>
      <c r="I122" s="210">
        <f>+F122+G122</f>
        <v>5131182736</v>
      </c>
    </row>
    <row r="123" spans="1:12" s="19" customFormat="1">
      <c r="A123"/>
      <c r="B123"/>
      <c r="C123"/>
      <c r="D123"/>
      <c r="E123"/>
      <c r="F123" s="47"/>
      <c r="G123"/>
      <c r="H123"/>
      <c r="I123"/>
    </row>
    <row r="124" spans="1:12">
      <c r="G124" s="26"/>
    </row>
    <row r="125" spans="1:12">
      <c r="G125" s="26"/>
    </row>
    <row r="126" spans="1:12">
      <c r="F126" s="47" t="s">
        <v>720</v>
      </c>
      <c r="G126" s="26"/>
      <c r="I126" s="26"/>
    </row>
    <row r="128" spans="1:12">
      <c r="J128"/>
      <c r="K128"/>
      <c r="L128"/>
    </row>
    <row r="129" spans="10:12">
      <c r="J129"/>
      <c r="K129"/>
      <c r="L129"/>
    </row>
    <row r="130" spans="10:12">
      <c r="J130"/>
      <c r="K130"/>
      <c r="L130"/>
    </row>
  </sheetData>
  <autoFilter ref="A7:E122" xr:uid="{00000000-0009-0000-0000-000044000000}"/>
  <mergeCells count="16">
    <mergeCell ref="A95:A109"/>
    <mergeCell ref="E113:E115"/>
    <mergeCell ref="A91:A93"/>
    <mergeCell ref="A65:A89"/>
    <mergeCell ref="A2:F6"/>
    <mergeCell ref="A7:A8"/>
    <mergeCell ref="B7:B8"/>
    <mergeCell ref="C7:C8"/>
    <mergeCell ref="D7:D8"/>
    <mergeCell ref="E7:E8"/>
    <mergeCell ref="F7:I7"/>
    <mergeCell ref="A9:A12"/>
    <mergeCell ref="A14:A26"/>
    <mergeCell ref="A48:A50"/>
    <mergeCell ref="A28:A46"/>
    <mergeCell ref="A54:A57"/>
  </mergeCells>
  <phoneticPr fontId="2" type="noConversion"/>
  <conditionalFormatting sqref="A104:C104 F104 H104:I104">
    <cfRule type="expression" dxfId="1755" priority="40">
      <formula>#REF!="*01월*"</formula>
    </cfRule>
  </conditionalFormatting>
  <conditionalFormatting sqref="A99:D100 F99:F100 H99:I100">
    <cfRule type="expression" dxfId="1754" priority="43">
      <formula>$D108="*01월*"</formula>
    </cfRule>
  </conditionalFormatting>
  <conditionalFormatting sqref="A101:D101 F101 H101:I101">
    <cfRule type="expression" dxfId="1753" priority="39">
      <formula>#REF!="*01월*"</formula>
    </cfRule>
  </conditionalFormatting>
  <conditionalFormatting sqref="A102:D103 F102:F103 H102:I103 D104:D106">
    <cfRule type="expression" dxfId="1752" priority="36">
      <formula>$D110="*01월*"</formula>
    </cfRule>
  </conditionalFormatting>
  <conditionalFormatting sqref="A7:I10 A13:I13 A14:D14 F14:F17 H14:I17 E14:E20 G14:G20 B15:D15 C16:D17 B16:B20 B23:I23 B24 D24:E24 G24 A27:I27 A28:D28 F28:F36 H28:I36 E28:E43 G28:G43 B29:D29 C30:D36 B30:B43 C43 F43 H43:I43 A47:I48 A51:I51 B55:C57 E55:G57 E57:I57 A58:I64 A65:D65 F65:F81 H65:I81 E65:E87 G65:G87 B66:D66 C67:D81 B67:B87 C84 F84:F86 H84:I86 C85:D86 B92:E93 A94:I94 A95:D98 F95:F98 H95:I98 G95:G109 A110:I122">
    <cfRule type="expression" dxfId="1751" priority="28">
      <formula>$D9="*01월*"</formula>
    </cfRule>
  </conditionalFormatting>
  <conditionalFormatting sqref="A11:I12 B88:B89 E88:E89 G88:G89">
    <cfRule type="expression" dxfId="1750" priority="75">
      <formula>#REF!="*01월*"</formula>
    </cfRule>
  </conditionalFormatting>
  <conditionalFormatting sqref="A49:I49">
    <cfRule type="expression" dxfId="1749" priority="73">
      <formula>#REF!="*01월*"</formula>
    </cfRule>
  </conditionalFormatting>
  <conditionalFormatting sqref="A52:I53 F91:F92 A105:C106 F105:F106 H105:I106">
    <cfRule type="expression" dxfId="1748" priority="42">
      <formula>$D57="*01월*"</formula>
    </cfRule>
  </conditionalFormatting>
  <conditionalFormatting sqref="B21 E21 G21 B25:I26 B44:B46 E44:E46 G44:G46">
    <cfRule type="expression" dxfId="1747" priority="81">
      <formula>#REF!="*01월*"</formula>
    </cfRule>
  </conditionalFormatting>
  <conditionalFormatting sqref="B57">
    <cfRule type="expression" dxfId="1746" priority="17">
      <formula>$D61="*01월*"</formula>
    </cfRule>
  </conditionalFormatting>
  <conditionalFormatting sqref="C18 F18 H18:I18 C24:C25 F24:F26 H24:I26 G44:G46 B91:E92 H91:I92">
    <cfRule type="expression" dxfId="1745" priority="29">
      <formula>$D21="*01월*"</formula>
    </cfRule>
  </conditionalFormatting>
  <conditionalFormatting sqref="C19 F19 H19:I19 C21:D21 F21 H21:I21 B22:I22 A50:I50 C83 F83 H83:I83 C88:D88 F88 H88:I88 A109:D109 F109 H109:I109">
    <cfRule type="expression" dxfId="1744" priority="31">
      <formula>$D20="*01월*"</formula>
    </cfRule>
  </conditionalFormatting>
  <conditionalFormatting sqref="C20 F20 H20:I20">
    <cfRule type="expression" dxfId="1743" priority="108">
      <formula>#REF!="*01월*"</formula>
    </cfRule>
  </conditionalFormatting>
  <conditionalFormatting sqref="C39:C42 F39:F42 H39:I42">
    <cfRule type="expression" dxfId="1742" priority="41">
      <formula>#REF!="*01월*"</formula>
    </cfRule>
  </conditionalFormatting>
  <conditionalFormatting sqref="C44:C46 F44:F46 H44:I46">
    <cfRule type="expression" dxfId="1741" priority="35">
      <formula>$D39="*01월*"</formula>
    </cfRule>
  </conditionalFormatting>
  <conditionalFormatting sqref="C26:D26">
    <cfRule type="expression" dxfId="1740" priority="12">
      <formula>$D29="*01월*"</formula>
    </cfRule>
  </conditionalFormatting>
  <conditionalFormatting sqref="C37:D37 F37:F38 H37:I38 C38">
    <cfRule type="expression" dxfId="1739" priority="33">
      <formula>$D43="*01월*"</formula>
    </cfRule>
  </conditionalFormatting>
  <conditionalFormatting sqref="C82:D82 F82 H82:I82 C87:D87 F87 H87:I87 A108:D108 F108 H108:I108">
    <cfRule type="expression" dxfId="1738" priority="32">
      <formula>#REF!="*01월*"</formula>
    </cfRule>
  </conditionalFormatting>
  <conditionalFormatting sqref="C89:D89 F89 H89:I89">
    <cfRule type="expression" dxfId="1737" priority="80">
      <formula>#REF!="*01월*"</formula>
    </cfRule>
  </conditionalFormatting>
  <conditionalFormatting sqref="D18:D20">
    <cfRule type="expression" dxfId="1736" priority="19">
      <formula>$D20="*01월*"</formula>
    </cfRule>
  </conditionalFormatting>
  <conditionalFormatting sqref="D38:D46">
    <cfRule type="expression" dxfId="1735" priority="10">
      <formula>$D41="*01월*"</formula>
    </cfRule>
    <cfRule type="expression" dxfId="1734" priority="11">
      <formula>#REF!="*01월*"</formula>
    </cfRule>
  </conditionalFormatting>
  <conditionalFormatting sqref="D54">
    <cfRule type="expression" dxfId="1733" priority="1">
      <formula>$D56="*01월*"</formula>
    </cfRule>
  </conditionalFormatting>
  <conditionalFormatting sqref="D55:D57">
    <cfRule type="expression" dxfId="1732" priority="8">
      <formula>$D58="*01월*"</formula>
    </cfRule>
    <cfRule type="expression" dxfId="1731" priority="9">
      <formula>#REF!="*01월*"</formula>
    </cfRule>
  </conditionalFormatting>
  <conditionalFormatting sqref="D83:D84">
    <cfRule type="expression" dxfId="1730" priority="22">
      <formula>#REF!="*01월*"</formula>
    </cfRule>
  </conditionalFormatting>
  <conditionalFormatting sqref="D107">
    <cfRule type="expression" dxfId="1729" priority="34">
      <formula>$D114="*01월*"</formula>
    </cfRule>
  </conditionalFormatting>
  <conditionalFormatting sqref="E95:E109">
    <cfRule type="expression" dxfId="1728" priority="13">
      <formula>$D104="*01월*"</formula>
    </cfRule>
  </conditionalFormatting>
  <conditionalFormatting sqref="E55:F56 A90:I90 A91:A92 F92:F93 A107:C107 F107 H107:I107">
    <cfRule type="expression" dxfId="1727" priority="38">
      <formula>$D59="*01월*"</formula>
    </cfRule>
  </conditionalFormatting>
  <conditionalFormatting sqref="E54:I54 B54:C56">
    <cfRule type="expression" dxfId="1726" priority="2">
      <formula>$D58="*01월*"</formula>
    </cfRule>
  </conditionalFormatting>
  <conditionalFormatting sqref="G91:G92">
    <cfRule type="expression" dxfId="1725" priority="20">
      <formula>$D95="*01월*"</formula>
    </cfRule>
  </conditionalFormatting>
  <conditionalFormatting sqref="G55:I56">
    <cfRule type="expression" dxfId="1724" priority="14">
      <formula>$D57="*01월*"</formula>
    </cfRule>
  </conditionalFormatting>
  <conditionalFormatting sqref="G92:I93">
    <cfRule type="expression" dxfId="1723" priority="23">
      <formula>$D94="*01월*"</formula>
    </cfRule>
  </conditionalFormatting>
  <printOptions horizontalCentered="1" verticalCentered="1"/>
  <pageMargins left="0" right="0" top="0" bottom="7.8740157480314963" header="0" footer="0"/>
  <pageSetup paperSize="9" scale="44" orientation="portrait" r:id="rId1"/>
  <rowBreaks count="1" manualBreakCount="1">
    <brk id="94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pageSetUpPr fitToPage="1"/>
  </sheetPr>
  <dimension ref="A5:N111"/>
  <sheetViews>
    <sheetView view="pageBreakPreview" zoomScale="70" zoomScaleNormal="85" zoomScaleSheetLayoutView="70" workbookViewId="0">
      <pane xSplit="1" ySplit="12" topLeftCell="B82" activePane="bottomRight" state="frozen"/>
      <selection activeCell="D29" sqref="D29"/>
      <selection pane="topRight" activeCell="D29" sqref="D29"/>
      <selection pane="bottomLeft" activeCell="D29" sqref="D29"/>
      <selection pane="bottomRight" activeCell="D29" sqref="D29"/>
    </sheetView>
  </sheetViews>
  <sheetFormatPr defaultRowHeight="17.399999999999999"/>
  <cols>
    <col min="1" max="1" width="23.3984375" customWidth="1"/>
    <col min="2" max="2" width="22.8984375" customWidth="1"/>
    <col min="3" max="3" width="29.09765625" customWidth="1"/>
    <col min="4" max="4" width="21" customWidth="1"/>
    <col min="5" max="5" width="18.69921875" customWidth="1"/>
    <col min="6" max="6" width="25.69921875" style="47" customWidth="1"/>
    <col min="7" max="7" width="26.5" customWidth="1"/>
    <col min="8" max="8" width="25.09765625" customWidth="1"/>
    <col min="9" max="9" width="29.19921875" customWidth="1"/>
    <col min="10" max="10" width="5.59765625" style="19" customWidth="1"/>
    <col min="11" max="11" width="7" style="19" customWidth="1"/>
    <col min="12" max="12" width="4.09765625" style="19" bestFit="1" customWidth="1"/>
    <col min="13" max="13" width="10.8984375" bestFit="1" customWidth="1"/>
  </cols>
  <sheetData>
    <row r="5" spans="1:12" ht="19.5" customHeight="1"/>
    <row r="6" spans="1:12" ht="19.5" customHeight="1">
      <c r="A6" s="2020" t="s">
        <v>882</v>
      </c>
      <c r="B6" s="2020"/>
      <c r="C6" s="2020"/>
      <c r="D6" s="2020"/>
      <c r="E6" s="2020"/>
      <c r="F6" s="2020"/>
      <c r="G6" s="1"/>
      <c r="H6" s="1"/>
      <c r="I6" s="1"/>
    </row>
    <row r="7" spans="1:12" ht="19.5" customHeight="1">
      <c r="A7" s="2020"/>
      <c r="B7" s="2020"/>
      <c r="C7" s="2020"/>
      <c r="D7" s="2020"/>
      <c r="E7" s="2020"/>
      <c r="F7" s="2020"/>
      <c r="G7" s="1"/>
      <c r="H7" s="1"/>
      <c r="I7" s="1"/>
    </row>
    <row r="8" spans="1:12" ht="19.5" customHeight="1">
      <c r="A8" s="2020"/>
      <c r="B8" s="2020"/>
      <c r="C8" s="2020"/>
      <c r="D8" s="2020"/>
      <c r="E8" s="2020"/>
      <c r="F8" s="2020"/>
      <c r="G8" s="1"/>
      <c r="H8" s="1"/>
      <c r="I8" s="1"/>
    </row>
    <row r="9" spans="1:12" ht="19.5" customHeight="1">
      <c r="A9" s="2020"/>
      <c r="B9" s="2020"/>
      <c r="C9" s="2020"/>
      <c r="D9" s="2020"/>
      <c r="E9" s="2020"/>
      <c r="F9" s="2020"/>
      <c r="G9" s="2"/>
      <c r="H9" s="2"/>
      <c r="I9" s="2"/>
    </row>
    <row r="10" spans="1:12" ht="19.5" customHeight="1" thickBot="1">
      <c r="A10" s="2020"/>
      <c r="B10" s="2020"/>
      <c r="C10" s="2020"/>
      <c r="D10" s="2020"/>
      <c r="E10" s="2020"/>
      <c r="F10" s="2020"/>
      <c r="G10" s="2"/>
      <c r="H10" s="2"/>
      <c r="I10" s="2"/>
    </row>
    <row r="11" spans="1:12" ht="23.25" customHeight="1">
      <c r="A11" s="2021" t="s">
        <v>0</v>
      </c>
      <c r="B11" s="2023" t="s">
        <v>1</v>
      </c>
      <c r="C11" s="2024" t="s">
        <v>2</v>
      </c>
      <c r="D11" s="2024" t="s">
        <v>3</v>
      </c>
      <c r="E11" s="2025" t="s">
        <v>4</v>
      </c>
      <c r="F11" s="2026" t="s">
        <v>5</v>
      </c>
      <c r="G11" s="2027"/>
      <c r="H11" s="2027"/>
      <c r="I11" s="2028"/>
    </row>
    <row r="12" spans="1:12" ht="23.25" customHeight="1">
      <c r="A12" s="2022"/>
      <c r="B12" s="2003"/>
      <c r="C12" s="2004"/>
      <c r="D12" s="2004"/>
      <c r="E12" s="2005"/>
      <c r="F12" s="82" t="s">
        <v>6</v>
      </c>
      <c r="G12" s="3" t="s">
        <v>7</v>
      </c>
      <c r="H12" s="3" t="s">
        <v>101</v>
      </c>
      <c r="I12" s="271" t="s">
        <v>8</v>
      </c>
      <c r="J12" s="85" t="s">
        <v>33</v>
      </c>
      <c r="K12" s="3" t="s">
        <v>43</v>
      </c>
      <c r="L12" s="3" t="s">
        <v>44</v>
      </c>
    </row>
    <row r="13" spans="1:12" s="97" customFormat="1" ht="23.25" customHeight="1">
      <c r="A13" s="2010" t="s">
        <v>9</v>
      </c>
      <c r="B13" s="88" t="s">
        <v>883</v>
      </c>
      <c r="C13" s="89" t="s">
        <v>884</v>
      </c>
      <c r="D13" s="90">
        <v>45340</v>
      </c>
      <c r="E13" s="91">
        <f>VLOOKUP(D13,환율!$A$1798:$B$2033,2,)</f>
        <v>1333.2</v>
      </c>
      <c r="F13" s="92">
        <v>427795.16</v>
      </c>
      <c r="G13" s="93">
        <f t="shared" ref="G13:G16" si="0">ROUNDDOWN(F13*E13,0)</f>
        <v>570336507</v>
      </c>
      <c r="H13" s="94" ph="1"/>
      <c r="I13" s="254"/>
      <c r="J13" s="95"/>
      <c r="K13" s="95"/>
      <c r="L13" s="95"/>
    </row>
    <row r="14" spans="1:12" s="97" customFormat="1" ht="23.25" customHeight="1">
      <c r="A14" s="2011"/>
      <c r="B14" s="88" t="s">
        <v>950</v>
      </c>
      <c r="C14" s="89" t="s">
        <v>953</v>
      </c>
      <c r="D14" s="90">
        <v>45349</v>
      </c>
      <c r="E14" s="91">
        <f>VLOOKUP(D14,환율!$A$1798:$B$2033,2,)</f>
        <v>1331.4</v>
      </c>
      <c r="F14" s="92">
        <v>456352.9</v>
      </c>
      <c r="G14" s="93">
        <f t="shared" si="0"/>
        <v>607588251</v>
      </c>
      <c r="H14" s="94" ph="1"/>
      <c r="I14" s="254"/>
      <c r="J14" s="95"/>
      <c r="K14" s="95"/>
      <c r="L14" s="95"/>
    </row>
    <row r="15" spans="1:12" s="97" customFormat="1" ht="23.25" customHeight="1">
      <c r="A15" s="2011"/>
      <c r="B15" s="99" t="s">
        <v>951</v>
      </c>
      <c r="C15" s="100" t="s">
        <v>954</v>
      </c>
      <c r="D15" s="101">
        <v>45353</v>
      </c>
      <c r="E15" s="102">
        <f>VLOOKUP(D15,환율!$A$1798:$B$2033,2,)</f>
        <v>1334</v>
      </c>
      <c r="F15" s="103">
        <v>162496.4</v>
      </c>
      <c r="G15" s="104">
        <f t="shared" si="0"/>
        <v>216770197</v>
      </c>
      <c r="H15" s="105" ph="1"/>
      <c r="I15" s="272"/>
      <c r="J15" s="95"/>
      <c r="K15" s="95"/>
      <c r="L15" s="95"/>
    </row>
    <row r="16" spans="1:12" s="97" customFormat="1" ht="23.25" customHeight="1">
      <c r="A16" s="2011"/>
      <c r="B16" s="99" t="s">
        <v>952</v>
      </c>
      <c r="C16" s="100" t="s">
        <v>955</v>
      </c>
      <c r="D16" s="101">
        <v>45354</v>
      </c>
      <c r="E16" s="102">
        <f>VLOOKUP(D16,환율!$A$1798:$B$2033,2,)</f>
        <v>1334</v>
      </c>
      <c r="F16" s="103">
        <v>377546.7</v>
      </c>
      <c r="G16" s="104">
        <f t="shared" si="0"/>
        <v>503647297</v>
      </c>
      <c r="H16" s="105" ph="1"/>
      <c r="I16" s="272"/>
      <c r="J16" s="95"/>
      <c r="K16" s="95"/>
      <c r="L16" s="95"/>
    </row>
    <row r="17" spans="1:12" s="97" customFormat="1" ht="23.25" customHeight="1">
      <c r="A17" s="259"/>
      <c r="B17" s="113"/>
      <c r="C17" s="113" t="s">
        <v>10</v>
      </c>
      <c r="D17" s="113"/>
      <c r="E17" s="114"/>
      <c r="F17" s="115">
        <f>SUM(F13:F16)</f>
        <v>1424191.1600000001</v>
      </c>
      <c r="G17" s="116">
        <f>SUM(G13:G16)</f>
        <v>1898342252</v>
      </c>
      <c r="H17" s="116">
        <v>1864399562</v>
      </c>
      <c r="I17" s="260">
        <f>+G17-H17</f>
        <v>33942690</v>
      </c>
    </row>
    <row r="18" spans="1:12" s="120" customFormat="1" ht="23.25" customHeight="1">
      <c r="A18" s="2010" t="s">
        <v>11</v>
      </c>
      <c r="B18" s="117" t="s">
        <v>918</v>
      </c>
      <c r="C18" s="89" t="s">
        <v>919</v>
      </c>
      <c r="D18" s="90">
        <v>45335</v>
      </c>
      <c r="E18" s="91">
        <f>VLOOKUP(D18,환율!$A$1798:$B$2033,2,)</f>
        <v>1327.2</v>
      </c>
      <c r="F18" s="118">
        <v>65163.839999999997</v>
      </c>
      <c r="G18" s="93">
        <f t="shared" ref="G18:G52" si="1">ROUNDDOWN(F18*E18,0)</f>
        <v>86485448</v>
      </c>
      <c r="H18" s="119"/>
      <c r="I18" s="254"/>
      <c r="J18" s="95"/>
      <c r="K18" s="95"/>
      <c r="L18" s="95"/>
    </row>
    <row r="19" spans="1:12" s="120" customFormat="1" ht="23.25" customHeight="1">
      <c r="A19" s="2011"/>
      <c r="B19" s="117" t="s">
        <v>920</v>
      </c>
      <c r="C19" s="89" t="s">
        <v>921</v>
      </c>
      <c r="D19" s="90">
        <v>45342</v>
      </c>
      <c r="E19" s="91">
        <f>VLOOKUP(D19,환율!$A$1798:$B$2033,2,)</f>
        <v>1333.8</v>
      </c>
      <c r="F19" s="118">
        <v>8955.36</v>
      </c>
      <c r="G19" s="93">
        <f t="shared" si="1"/>
        <v>11944659</v>
      </c>
      <c r="H19" s="119"/>
      <c r="I19" s="254"/>
      <c r="J19" s="95"/>
      <c r="K19" s="95"/>
      <c r="L19" s="95"/>
    </row>
    <row r="20" spans="1:12" s="120" customFormat="1" ht="23.25" customHeight="1">
      <c r="A20" s="2011"/>
      <c r="B20" s="117" t="s">
        <v>922</v>
      </c>
      <c r="C20" s="89" t="s">
        <v>923</v>
      </c>
      <c r="D20" s="90">
        <v>45343</v>
      </c>
      <c r="E20" s="91">
        <f>VLOOKUP(D20,환율!$A$1798:$B$2033,2,)</f>
        <v>1337.9</v>
      </c>
      <c r="F20" s="118">
        <v>48073.59</v>
      </c>
      <c r="G20" s="93">
        <f t="shared" si="1"/>
        <v>64317656</v>
      </c>
      <c r="H20" s="119"/>
      <c r="I20" s="254"/>
      <c r="J20" s="95"/>
      <c r="K20" s="95"/>
      <c r="L20" s="95"/>
    </row>
    <row r="21" spans="1:12" s="120" customFormat="1" ht="23.25" customHeight="1">
      <c r="A21" s="2011"/>
      <c r="B21" s="117" t="s">
        <v>924</v>
      </c>
      <c r="C21" s="89" t="s">
        <v>956</v>
      </c>
      <c r="D21" s="90">
        <v>45349</v>
      </c>
      <c r="E21" s="91">
        <f>VLOOKUP(D21,환율!$A$1798:$B$2033,2,)</f>
        <v>1331.4</v>
      </c>
      <c r="F21" s="118">
        <v>55628.160000000003</v>
      </c>
      <c r="G21" s="93">
        <f t="shared" si="1"/>
        <v>74063332</v>
      </c>
      <c r="H21" s="119"/>
      <c r="I21" s="254"/>
      <c r="J21" s="95"/>
      <c r="K21" s="95"/>
      <c r="L21" s="95"/>
    </row>
    <row r="22" spans="1:12" s="120" customFormat="1" ht="23.25" customHeight="1">
      <c r="A22" s="2011"/>
      <c r="B22" s="117" t="s">
        <v>925</v>
      </c>
      <c r="C22" s="89" t="s">
        <v>926</v>
      </c>
      <c r="D22" s="90">
        <v>45343</v>
      </c>
      <c r="E22" s="91">
        <f>VLOOKUP(D22,환율!$A$1798:$B$2033,2,)</f>
        <v>1337.9</v>
      </c>
      <c r="F22" s="118">
        <v>234</v>
      </c>
      <c r="G22" s="93">
        <f t="shared" si="1"/>
        <v>313068</v>
      </c>
      <c r="H22" s="119"/>
      <c r="I22" s="254"/>
      <c r="J22" s="95"/>
      <c r="K22" s="95"/>
      <c r="L22" s="95"/>
    </row>
    <row r="23" spans="1:12" s="120" customFormat="1" ht="23.25" customHeight="1">
      <c r="A23" s="2011"/>
      <c r="B23" s="121" t="s">
        <v>927</v>
      </c>
      <c r="C23" s="100" t="s">
        <v>957</v>
      </c>
      <c r="D23" s="101">
        <v>45353</v>
      </c>
      <c r="E23" s="102">
        <f>VLOOKUP(D23,환율!$A$1798:$B$2033,2,)</f>
        <v>1334</v>
      </c>
      <c r="F23" s="122">
        <v>25847.91</v>
      </c>
      <c r="G23" s="104">
        <f t="shared" si="1"/>
        <v>34481111</v>
      </c>
      <c r="H23" s="123"/>
      <c r="I23" s="272"/>
      <c r="J23" s="95"/>
      <c r="K23" s="95"/>
      <c r="L23" s="95"/>
    </row>
    <row r="24" spans="1:12" s="120" customFormat="1" ht="23.25" customHeight="1">
      <c r="A24" s="2011"/>
      <c r="B24" s="121" t="s">
        <v>928</v>
      </c>
      <c r="C24" s="100" t="s">
        <v>958</v>
      </c>
      <c r="D24" s="101">
        <v>45353</v>
      </c>
      <c r="E24" s="102">
        <f>VLOOKUP(D24,환율!$A$1798:$B$2033,2,)</f>
        <v>1334</v>
      </c>
      <c r="F24" s="122">
        <v>622.5</v>
      </c>
      <c r="G24" s="104">
        <f t="shared" si="1"/>
        <v>830415</v>
      </c>
      <c r="H24" s="123"/>
      <c r="I24" s="272"/>
      <c r="J24" s="95"/>
      <c r="K24" s="95"/>
      <c r="L24" s="95"/>
    </row>
    <row r="25" spans="1:12" s="120" customFormat="1" ht="23.25" customHeight="1">
      <c r="A25" s="2011"/>
      <c r="B25" s="121" t="s">
        <v>929</v>
      </c>
      <c r="C25" s="100" t="s">
        <v>919</v>
      </c>
      <c r="D25" s="101">
        <v>45360</v>
      </c>
      <c r="E25" s="102">
        <f>VLOOKUP(D25,환율!$A$1798:$B$2033,2,)</f>
        <v>1329.6</v>
      </c>
      <c r="F25" s="122">
        <v>48187.92</v>
      </c>
      <c r="G25" s="104">
        <f t="shared" si="1"/>
        <v>64070658</v>
      </c>
      <c r="H25" s="123"/>
      <c r="I25" s="272"/>
      <c r="J25" s="95"/>
      <c r="K25" s="95"/>
      <c r="L25" s="95"/>
    </row>
    <row r="26" spans="1:12" s="120" customFormat="1" ht="23.25" customHeight="1">
      <c r="A26" s="2011"/>
      <c r="B26" s="121" t="s">
        <v>930</v>
      </c>
      <c r="C26" s="100" t="s">
        <v>959</v>
      </c>
      <c r="D26" s="101">
        <v>45353</v>
      </c>
      <c r="E26" s="102">
        <f>VLOOKUP(D26,환율!$A$1798:$B$2033,2,)</f>
        <v>1334</v>
      </c>
      <c r="F26" s="122">
        <v>116.78</v>
      </c>
      <c r="G26" s="104">
        <f t="shared" si="1"/>
        <v>155784</v>
      </c>
      <c r="H26" s="123"/>
      <c r="I26" s="272"/>
      <c r="J26" s="95"/>
      <c r="K26" s="95"/>
      <c r="L26" s="95"/>
    </row>
    <row r="27" spans="1:12" s="120" customFormat="1" ht="23.25" customHeight="1">
      <c r="A27" s="2011"/>
      <c r="B27" s="121" t="s">
        <v>931</v>
      </c>
      <c r="C27" s="100" t="s">
        <v>960</v>
      </c>
      <c r="D27" s="101">
        <v>45353</v>
      </c>
      <c r="E27" s="102">
        <f>VLOOKUP(D27,환율!$A$1798:$B$2033,2,)</f>
        <v>1334</v>
      </c>
      <c r="F27" s="122">
        <v>828.08</v>
      </c>
      <c r="G27" s="104">
        <f t="shared" si="1"/>
        <v>1104658</v>
      </c>
      <c r="H27" s="123"/>
      <c r="I27" s="272"/>
      <c r="J27" s="95"/>
      <c r="K27" s="95"/>
      <c r="L27" s="95"/>
    </row>
    <row r="28" spans="1:12" s="97" customFormat="1" ht="23.25" customHeight="1">
      <c r="A28" s="2011"/>
      <c r="B28" s="226" t="s">
        <v>961</v>
      </c>
      <c r="C28" s="107"/>
      <c r="D28" s="108">
        <v>45351</v>
      </c>
      <c r="E28" s="109">
        <f>VLOOKUP(D28,환율!$A$1798:$B$2033,2,)</f>
        <v>1334</v>
      </c>
      <c r="F28" s="227">
        <v>1947</v>
      </c>
      <c r="G28" s="111">
        <f t="shared" si="1"/>
        <v>2597298</v>
      </c>
      <c r="H28" s="228"/>
      <c r="I28" s="273"/>
      <c r="J28" s="95"/>
      <c r="K28" s="95"/>
      <c r="L28" s="95"/>
    </row>
    <row r="29" spans="1:12" s="97" customFormat="1" ht="23.25" customHeight="1">
      <c r="A29" s="2011"/>
      <c r="B29" s="226" t="s">
        <v>962</v>
      </c>
      <c r="C29" s="107"/>
      <c r="D29" s="108">
        <v>45351</v>
      </c>
      <c r="E29" s="109">
        <f>VLOOKUP(D29,환율!$A$1798:$B$2033,2,)</f>
        <v>1334</v>
      </c>
      <c r="F29" s="227">
        <v>10560</v>
      </c>
      <c r="G29" s="111">
        <f t="shared" si="1"/>
        <v>14087040</v>
      </c>
      <c r="H29" s="228"/>
      <c r="I29" s="273"/>
      <c r="J29" s="95"/>
      <c r="K29" s="95"/>
      <c r="L29" s="95"/>
    </row>
    <row r="30" spans="1:12" s="97" customFormat="1" ht="23.25" customHeight="1">
      <c r="A30" s="2011"/>
      <c r="B30" s="226" t="s">
        <v>963</v>
      </c>
      <c r="C30" s="107"/>
      <c r="D30" s="108">
        <v>45351</v>
      </c>
      <c r="E30" s="109">
        <f>VLOOKUP(D30,환율!$A$1798:$B$2033,2,)</f>
        <v>1334</v>
      </c>
      <c r="F30" s="227">
        <v>10560</v>
      </c>
      <c r="G30" s="111">
        <f t="shared" si="1"/>
        <v>14087040</v>
      </c>
      <c r="H30" s="228"/>
      <c r="I30" s="273"/>
      <c r="J30" s="95"/>
      <c r="K30" s="95"/>
      <c r="L30" s="96"/>
    </row>
    <row r="31" spans="1:12" s="97" customFormat="1" ht="23.25" customHeight="1">
      <c r="A31" s="259"/>
      <c r="B31" s="113"/>
      <c r="C31" s="113" t="s">
        <v>10</v>
      </c>
      <c r="D31" s="113"/>
      <c r="E31" s="114"/>
      <c r="F31" s="127">
        <f>SUM(F18:F30)</f>
        <v>276725.14</v>
      </c>
      <c r="G31" s="116">
        <f>SUM(G18:G30)</f>
        <v>368538167</v>
      </c>
      <c r="H31" s="116">
        <v>416560818</v>
      </c>
      <c r="I31" s="260">
        <f>+G31-H31</f>
        <v>-48022651</v>
      </c>
      <c r="J31" s="126"/>
      <c r="K31" s="126"/>
      <c r="L31" s="128"/>
    </row>
    <row r="32" spans="1:12" s="126" customFormat="1" ht="23.25" customHeight="1">
      <c r="A32" s="2010" t="s">
        <v>12</v>
      </c>
      <c r="B32" s="117" t="s">
        <v>904</v>
      </c>
      <c r="C32" s="129" t="s">
        <v>905</v>
      </c>
      <c r="D32" s="130">
        <v>45332</v>
      </c>
      <c r="E32" s="91">
        <f>VLOOKUP(D32,환율!$A$1798:$B$2033,2,)</f>
        <v>1325.3</v>
      </c>
      <c r="F32" s="131">
        <v>94449.600000000006</v>
      </c>
      <c r="G32" s="93">
        <f t="shared" si="1"/>
        <v>125174054</v>
      </c>
      <c r="H32" s="132"/>
      <c r="I32" s="255"/>
      <c r="J32" s="95"/>
      <c r="K32" s="96"/>
      <c r="L32" s="96"/>
    </row>
    <row r="33" spans="1:12" s="126" customFormat="1" ht="23.25" customHeight="1">
      <c r="A33" s="2011"/>
      <c r="B33" s="117" t="s">
        <v>906</v>
      </c>
      <c r="C33" s="129" t="s">
        <v>907</v>
      </c>
      <c r="D33" s="130">
        <v>45338</v>
      </c>
      <c r="E33" s="91">
        <f>VLOOKUP(D33,환율!$A$1798:$B$2033,2,)</f>
        <v>1333.2</v>
      </c>
      <c r="F33" s="131">
        <v>104611.2</v>
      </c>
      <c r="G33" s="93">
        <f t="shared" si="1"/>
        <v>139467651</v>
      </c>
      <c r="H33" s="132"/>
      <c r="I33" s="255"/>
      <c r="J33" s="95"/>
      <c r="K33" s="96"/>
      <c r="L33" s="96"/>
    </row>
    <row r="34" spans="1:12" s="126" customFormat="1" ht="23.25" customHeight="1">
      <c r="A34" s="2011"/>
      <c r="B34" s="117" t="s">
        <v>908</v>
      </c>
      <c r="C34" s="129" t="s">
        <v>910</v>
      </c>
      <c r="D34" s="130">
        <v>45343</v>
      </c>
      <c r="E34" s="91">
        <f>VLOOKUP(D34,환율!$A$1798:$B$2033,2,)</f>
        <v>1337.9</v>
      </c>
      <c r="F34" s="131">
        <v>83955.199999999997</v>
      </c>
      <c r="G34" s="93">
        <f t="shared" si="1"/>
        <v>112323662</v>
      </c>
      <c r="H34" s="132"/>
      <c r="I34" s="255"/>
      <c r="J34" s="95"/>
      <c r="K34" s="96"/>
      <c r="L34" s="96"/>
    </row>
    <row r="35" spans="1:12" s="126" customFormat="1" ht="23.25" customHeight="1">
      <c r="A35" s="2011"/>
      <c r="B35" s="117" t="s">
        <v>909</v>
      </c>
      <c r="C35" s="129" t="s">
        <v>911</v>
      </c>
      <c r="D35" s="136">
        <v>45342</v>
      </c>
      <c r="E35" s="91">
        <f>VLOOKUP(D35,환율!$A$1798:$B$2033,2,)</f>
        <v>1333.8</v>
      </c>
      <c r="F35" s="289">
        <v>84099.839999999997</v>
      </c>
      <c r="G35" s="93">
        <f t="shared" si="1"/>
        <v>112172366</v>
      </c>
      <c r="H35" s="132"/>
      <c r="I35" s="255"/>
      <c r="J35" s="95"/>
      <c r="K35" s="95"/>
      <c r="L35" s="95"/>
    </row>
    <row r="36" spans="1:12" s="97" customFormat="1" ht="23.25" customHeight="1">
      <c r="A36" s="2011"/>
      <c r="B36" s="117" t="s">
        <v>935</v>
      </c>
      <c r="C36" s="129" t="s">
        <v>965</v>
      </c>
      <c r="D36" s="130">
        <v>45344</v>
      </c>
      <c r="E36" s="91">
        <f>VLOOKUP(D36,환율!$A$1798:$B$2033,2,)</f>
        <v>1335</v>
      </c>
      <c r="F36" s="131">
        <v>20403.080000000002</v>
      </c>
      <c r="G36" s="93">
        <f t="shared" si="1"/>
        <v>27238111</v>
      </c>
      <c r="H36" s="132"/>
      <c r="I36" s="255"/>
      <c r="J36" s="95"/>
      <c r="K36" s="95"/>
      <c r="L36" s="95"/>
    </row>
    <row r="37" spans="1:12" s="97" customFormat="1" ht="23.25" customHeight="1">
      <c r="A37" s="2011"/>
      <c r="B37" s="117" t="s">
        <v>936</v>
      </c>
      <c r="C37" s="129" t="s">
        <v>966</v>
      </c>
      <c r="D37" s="130">
        <v>45349</v>
      </c>
      <c r="E37" s="91">
        <f>VLOOKUP(D37,환율!$A$1798:$B$2033,2,)</f>
        <v>1331.4</v>
      </c>
      <c r="F37" s="131">
        <v>83955.199999999997</v>
      </c>
      <c r="G37" s="93">
        <f t="shared" si="1"/>
        <v>111777953</v>
      </c>
      <c r="H37" s="132"/>
      <c r="I37" s="255"/>
      <c r="J37" s="95"/>
      <c r="K37" s="95"/>
      <c r="L37" s="95"/>
    </row>
    <row r="38" spans="1:12" s="97" customFormat="1" ht="23.25" customHeight="1">
      <c r="A38" s="2011"/>
      <c r="B38" s="117" t="s">
        <v>938</v>
      </c>
      <c r="C38" s="129" t="s">
        <v>968</v>
      </c>
      <c r="D38" s="130">
        <v>45342</v>
      </c>
      <c r="E38" s="91">
        <f>VLOOKUP(D38,환율!$A$1798:$B$2033,2,)</f>
        <v>1333.8</v>
      </c>
      <c r="F38" s="131">
        <v>5342.4</v>
      </c>
      <c r="G38" s="93">
        <f t="shared" si="1"/>
        <v>7125693</v>
      </c>
      <c r="H38" s="132"/>
      <c r="I38" s="255"/>
      <c r="J38" s="95"/>
      <c r="K38" s="95"/>
      <c r="L38" s="95"/>
    </row>
    <row r="39" spans="1:12" s="97" customFormat="1" ht="23.25" customHeight="1">
      <c r="A39" s="2011"/>
      <c r="B39" s="117" t="s">
        <v>939</v>
      </c>
      <c r="C39" s="129" t="s">
        <v>969</v>
      </c>
      <c r="D39" s="130">
        <v>45349</v>
      </c>
      <c r="E39" s="91">
        <f>VLOOKUP(D39,환율!$A$1798:$B$2033,2,)</f>
        <v>1331.4</v>
      </c>
      <c r="F39" s="131">
        <v>87022.22</v>
      </c>
      <c r="G39" s="93">
        <f t="shared" si="1"/>
        <v>115861383</v>
      </c>
      <c r="H39" s="132"/>
      <c r="I39" s="255"/>
      <c r="J39" s="95"/>
      <c r="K39" s="95"/>
      <c r="L39" s="95"/>
    </row>
    <row r="40" spans="1:12" s="97" customFormat="1" ht="23.25" customHeight="1">
      <c r="A40" s="2011"/>
      <c r="B40" s="117" t="s">
        <v>940</v>
      </c>
      <c r="C40" s="129" t="s">
        <v>970</v>
      </c>
      <c r="D40" s="130">
        <v>45342</v>
      </c>
      <c r="E40" s="91">
        <f>VLOOKUP(D40,환율!$A$1798:$B$2033,2,)</f>
        <v>1333.8</v>
      </c>
      <c r="F40" s="134">
        <v>86707.6</v>
      </c>
      <c r="G40" s="93">
        <f t="shared" si="1"/>
        <v>115650596</v>
      </c>
      <c r="H40" s="135"/>
      <c r="I40" s="255"/>
      <c r="J40" s="95"/>
      <c r="K40" s="95"/>
      <c r="L40" s="95"/>
    </row>
    <row r="41" spans="1:12" s="97" customFormat="1" ht="23.25" customHeight="1">
      <c r="A41" s="2011"/>
      <c r="B41" s="117" t="s">
        <v>941</v>
      </c>
      <c r="C41" s="129" t="s">
        <v>971</v>
      </c>
      <c r="D41" s="130">
        <v>45337</v>
      </c>
      <c r="E41" s="91">
        <f>VLOOKUP(D41,환율!$A$1798:$B$2033,2,)</f>
        <v>1336.9</v>
      </c>
      <c r="F41" s="134">
        <v>1042</v>
      </c>
      <c r="G41" s="93">
        <f>IFERROR(ROUNDDOWN(F41*E41,0),"")</f>
        <v>1393049</v>
      </c>
      <c r="H41" s="135"/>
      <c r="I41" s="255"/>
      <c r="J41" s="95"/>
      <c r="K41" s="95"/>
      <c r="L41" s="96"/>
    </row>
    <row r="42" spans="1:12" s="97" customFormat="1" ht="23.25" customHeight="1">
      <c r="A42" s="2011"/>
      <c r="B42" s="117" t="s">
        <v>946</v>
      </c>
      <c r="C42" s="129" t="s">
        <v>975</v>
      </c>
      <c r="D42" s="90">
        <v>45330</v>
      </c>
      <c r="E42" s="91">
        <f>VLOOKUP(D42,환율!$A$1798:$B$2033,2,)</f>
        <v>1325.3</v>
      </c>
      <c r="F42" s="134">
        <v>69.87</v>
      </c>
      <c r="G42" s="93">
        <f t="shared" ref="G42" si="2">IFERROR(ROUNDDOWN(F42*E42,0),"")</f>
        <v>92598</v>
      </c>
      <c r="H42" s="135"/>
      <c r="I42" s="255"/>
      <c r="J42" s="95"/>
      <c r="K42" s="95"/>
      <c r="L42" s="96"/>
    </row>
    <row r="43" spans="1:12" s="97" customFormat="1" ht="23.25" customHeight="1">
      <c r="A43" s="2011"/>
      <c r="B43" s="121" t="s">
        <v>937</v>
      </c>
      <c r="C43" s="137" t="s">
        <v>967</v>
      </c>
      <c r="D43" s="125">
        <v>45355</v>
      </c>
      <c r="E43" s="102">
        <f>VLOOKUP(D43,환율!$A$1798:$B$2033,2,)</f>
        <v>1334.1</v>
      </c>
      <c r="F43" s="138">
        <v>9516</v>
      </c>
      <c r="G43" s="104">
        <f t="shared" ref="G43" si="3">ROUNDDOWN(F43*E43,0)</f>
        <v>12695295</v>
      </c>
      <c r="H43" s="139"/>
      <c r="I43" s="258"/>
      <c r="J43" s="95"/>
      <c r="K43" s="95"/>
      <c r="L43" s="95"/>
    </row>
    <row r="44" spans="1:12" s="126" customFormat="1" ht="23.25" customHeight="1">
      <c r="A44" s="2011"/>
      <c r="B44" s="121" t="s">
        <v>964</v>
      </c>
      <c r="C44" s="137" t="s">
        <v>1021</v>
      </c>
      <c r="D44" s="125">
        <v>45357</v>
      </c>
      <c r="E44" s="102">
        <f>VLOOKUP(D44,환율!$A$1798:$B$2033,2,)</f>
        <v>1333.2</v>
      </c>
      <c r="F44" s="284">
        <v>60489.1</v>
      </c>
      <c r="G44" s="104">
        <f t="shared" ref="G44" si="4">ROUNDDOWN(F44*E44,0)</f>
        <v>80644068</v>
      </c>
      <c r="H44" s="139"/>
      <c r="I44" s="258"/>
      <c r="J44" s="95"/>
      <c r="K44" s="95" t="s">
        <v>1022</v>
      </c>
      <c r="L44" s="95"/>
    </row>
    <row r="45" spans="1:12" s="97" customFormat="1" ht="23.25" customHeight="1">
      <c r="A45" s="2011"/>
      <c r="B45" s="121" t="s">
        <v>942</v>
      </c>
      <c r="C45" s="137" t="s">
        <v>972</v>
      </c>
      <c r="D45" s="101">
        <v>45352</v>
      </c>
      <c r="E45" s="102">
        <f>VLOOKUP(D45,환율!$A$1798:$B$2033,2,)</f>
        <v>1334</v>
      </c>
      <c r="F45" s="138">
        <v>131942.84</v>
      </c>
      <c r="G45" s="104">
        <f t="shared" ref="G45:G48" si="5">IFERROR(ROUNDDOWN(F45*E45,0),"")</f>
        <v>176011748</v>
      </c>
      <c r="H45" s="139"/>
      <c r="I45" s="258"/>
      <c r="J45" s="95"/>
      <c r="K45" s="95"/>
      <c r="L45" s="96"/>
    </row>
    <row r="46" spans="1:12" s="97" customFormat="1" ht="23.25" customHeight="1">
      <c r="A46" s="2011"/>
      <c r="B46" s="121" t="s">
        <v>943</v>
      </c>
      <c r="C46" s="137" t="s">
        <v>973</v>
      </c>
      <c r="D46" s="101">
        <v>45359</v>
      </c>
      <c r="E46" s="102">
        <f>VLOOKUP(D46,환율!$A$1798:$B$2033,2,)</f>
        <v>1329.6</v>
      </c>
      <c r="F46" s="138">
        <v>72804</v>
      </c>
      <c r="G46" s="104">
        <f t="shared" si="5"/>
        <v>96800198</v>
      </c>
      <c r="H46" s="139"/>
      <c r="I46" s="258"/>
      <c r="J46" s="95"/>
      <c r="K46" s="95"/>
      <c r="L46" s="96"/>
    </row>
    <row r="47" spans="1:12" s="97" customFormat="1" ht="23.25" customHeight="1">
      <c r="A47" s="2011"/>
      <c r="B47" s="121" t="s">
        <v>944</v>
      </c>
      <c r="C47" s="137" t="s">
        <v>974</v>
      </c>
      <c r="D47" s="101">
        <v>45357</v>
      </c>
      <c r="E47" s="102">
        <f>VLOOKUP(D47,환율!$A$1798:$B$2033,2,)</f>
        <v>1333.2</v>
      </c>
      <c r="F47" s="138">
        <v>100359.8</v>
      </c>
      <c r="G47" s="104">
        <f t="shared" si="5"/>
        <v>133799685</v>
      </c>
      <c r="H47" s="139"/>
      <c r="I47" s="258"/>
      <c r="J47" s="95"/>
      <c r="K47" s="95"/>
      <c r="L47" s="96"/>
    </row>
    <row r="48" spans="1:12" s="97" customFormat="1" ht="23.25" customHeight="1">
      <c r="A48" s="2011"/>
      <c r="B48" s="121" t="s">
        <v>945</v>
      </c>
      <c r="C48" s="137" t="s">
        <v>1020</v>
      </c>
      <c r="D48" s="101">
        <v>45369</v>
      </c>
      <c r="E48" s="102">
        <f>VLOOKUP(D48,환율!$A$1798:$B$2033,2,)</f>
        <v>1328.4</v>
      </c>
      <c r="F48" s="138">
        <v>2786.4</v>
      </c>
      <c r="G48" s="104">
        <f t="shared" si="5"/>
        <v>3701453</v>
      </c>
      <c r="H48" s="139"/>
      <c r="I48" s="258"/>
      <c r="J48" s="95"/>
      <c r="K48" s="95"/>
      <c r="L48" s="96"/>
    </row>
    <row r="49" spans="1:13" s="97" customFormat="1" ht="23.25" customHeight="1">
      <c r="A49" s="259"/>
      <c r="B49" s="113"/>
      <c r="C49" s="113" t="s">
        <v>10</v>
      </c>
      <c r="D49" s="113"/>
      <c r="E49" s="114"/>
      <c r="F49" s="127">
        <f>SUM(F32:F48)</f>
        <v>1029556.35</v>
      </c>
      <c r="G49" s="116">
        <f>SUM(G32:G48)</f>
        <v>1371929563</v>
      </c>
      <c r="H49" s="116">
        <v>1667928419</v>
      </c>
      <c r="I49" s="260">
        <f>+G49-H49</f>
        <v>-295998856</v>
      </c>
    </row>
    <row r="50" spans="1:13" s="97" customFormat="1" ht="23.25" customHeight="1">
      <c r="A50" s="2017" t="s">
        <v>13</v>
      </c>
      <c r="B50" s="117" t="s">
        <v>912</v>
      </c>
      <c r="C50" s="142" t="s">
        <v>913</v>
      </c>
      <c r="D50" s="89">
        <v>45325</v>
      </c>
      <c r="E50" s="91">
        <f>VLOOKUP(D50,환율!$A$1798:$B$2033,2,)</f>
        <v>1332.5</v>
      </c>
      <c r="F50" s="143">
        <v>12315.48</v>
      </c>
      <c r="G50" s="93">
        <f t="shared" si="1"/>
        <v>16410377</v>
      </c>
      <c r="H50" s="142"/>
      <c r="I50" s="274"/>
      <c r="J50" s="95"/>
      <c r="K50" s="95"/>
      <c r="L50" s="95"/>
    </row>
    <row r="51" spans="1:13" s="97" customFormat="1" ht="23.25" customHeight="1">
      <c r="A51" s="2017"/>
      <c r="B51" s="117" t="s">
        <v>914</v>
      </c>
      <c r="C51" s="142" t="s">
        <v>915</v>
      </c>
      <c r="D51" s="89">
        <v>45338</v>
      </c>
      <c r="E51" s="91">
        <f>VLOOKUP(D51,환율!$A$1798:$B$2033,2,)</f>
        <v>1333.2</v>
      </c>
      <c r="F51" s="143">
        <v>63550.92</v>
      </c>
      <c r="G51" s="93">
        <f t="shared" si="1"/>
        <v>84726086</v>
      </c>
      <c r="H51" s="142"/>
      <c r="I51" s="274"/>
      <c r="J51" s="95"/>
      <c r="K51" s="95"/>
      <c r="L51" s="95"/>
    </row>
    <row r="52" spans="1:13" s="97" customFormat="1" ht="23.25" customHeight="1">
      <c r="A52" s="2017"/>
      <c r="B52" s="121" t="s">
        <v>976</v>
      </c>
      <c r="C52" s="224" t="s">
        <v>977</v>
      </c>
      <c r="D52" s="100">
        <v>45355</v>
      </c>
      <c r="E52" s="102">
        <f>VLOOKUP(D52,환율!$A$1798:$B$2033,2,)</f>
        <v>1334.1</v>
      </c>
      <c r="F52" s="103">
        <v>64404</v>
      </c>
      <c r="G52" s="104">
        <f t="shared" si="1"/>
        <v>85921376</v>
      </c>
      <c r="H52" s="224"/>
      <c r="I52" s="275"/>
      <c r="J52" s="95"/>
      <c r="K52" s="95"/>
      <c r="L52" s="95"/>
    </row>
    <row r="53" spans="1:13" s="97" customFormat="1" ht="23.25" customHeight="1">
      <c r="A53" s="259"/>
      <c r="B53" s="113"/>
      <c r="C53" s="113" t="s">
        <v>10</v>
      </c>
      <c r="D53" s="113"/>
      <c r="E53" s="114"/>
      <c r="F53" s="127">
        <f>SUM(F50:F52)</f>
        <v>140270.39999999999</v>
      </c>
      <c r="G53" s="116">
        <f>SUM(G50:G52)</f>
        <v>187057839</v>
      </c>
      <c r="H53" s="116">
        <v>173135511</v>
      </c>
      <c r="I53" s="260">
        <f>+G53-H53</f>
        <v>13922328</v>
      </c>
    </row>
    <row r="54" spans="1:13" s="97" customFormat="1" ht="23.25" customHeight="1">
      <c r="A54" s="261" t="s">
        <v>35</v>
      </c>
      <c r="B54" s="152" t="s">
        <v>990</v>
      </c>
      <c r="C54" s="152" t="s">
        <v>1166</v>
      </c>
      <c r="D54" s="125">
        <v>45374</v>
      </c>
      <c r="E54" s="102">
        <f>VLOOKUP(D54,환율!$A$1798:$B$2033,2,)</f>
        <v>1326.3</v>
      </c>
      <c r="F54" s="103">
        <f>G54/E54</f>
        <v>3555.7716956947902</v>
      </c>
      <c r="G54" s="104">
        <v>4716020</v>
      </c>
      <c r="H54" s="224"/>
      <c r="I54" s="276"/>
      <c r="J54" s="95"/>
      <c r="K54" s="95"/>
      <c r="L54" s="96"/>
      <c r="M54" s="126"/>
    </row>
    <row r="55" spans="1:13" s="97" customFormat="1" ht="23.25" customHeight="1">
      <c r="A55" s="259"/>
      <c r="B55" s="113"/>
      <c r="C55" s="113" t="s">
        <v>10</v>
      </c>
      <c r="D55" s="113"/>
      <c r="E55" s="114"/>
      <c r="F55" s="127">
        <f>SUM(F54:F54)</f>
        <v>3555.7716956947902</v>
      </c>
      <c r="G55" s="116">
        <f>SUM(G54:G54)</f>
        <v>4716020</v>
      </c>
      <c r="H55" s="116">
        <v>60946327</v>
      </c>
      <c r="I55" s="260">
        <f>+G55-H55</f>
        <v>-56230307</v>
      </c>
    </row>
    <row r="56" spans="1:13" s="97" customFormat="1" ht="23.25" customHeight="1">
      <c r="A56" s="2012" t="s">
        <v>47</v>
      </c>
      <c r="B56" s="155" t="s">
        <v>932</v>
      </c>
      <c r="C56" s="146" t="s">
        <v>933</v>
      </c>
      <c r="D56" s="146">
        <v>45331</v>
      </c>
      <c r="E56" s="91">
        <f>VLOOKUP(D56,환율!$A$1798:$B$2033,2,)</f>
        <v>1325.3</v>
      </c>
      <c r="F56" s="118">
        <v>39476</v>
      </c>
      <c r="G56" s="93">
        <f t="shared" ref="G56" si="6">ROUNDDOWN(F56*E56,0)</f>
        <v>52317542</v>
      </c>
      <c r="H56" s="156"/>
      <c r="I56" s="263"/>
      <c r="J56" s="95"/>
      <c r="K56" s="96"/>
      <c r="L56" s="96"/>
    </row>
    <row r="57" spans="1:13" s="97" customFormat="1" ht="23.25" customHeight="1">
      <c r="A57" s="2013"/>
      <c r="B57" s="229" t="s">
        <v>978</v>
      </c>
      <c r="C57" s="169" t="s">
        <v>979</v>
      </c>
      <c r="D57" s="169">
        <v>45364</v>
      </c>
      <c r="E57" s="102">
        <f>VLOOKUP(D57,환율!$A$1798:$B$2033,2,)</f>
        <v>1311.1</v>
      </c>
      <c r="F57" s="122">
        <v>39476</v>
      </c>
      <c r="G57" s="104">
        <f t="shared" ref="G57" si="7">ROUNDDOWN(F57*E57,0)</f>
        <v>51756983</v>
      </c>
      <c r="H57" s="185"/>
      <c r="I57" s="277"/>
      <c r="J57" s="126"/>
      <c r="K57" s="126"/>
      <c r="L57" s="126"/>
    </row>
    <row r="58" spans="1:13" s="97" customFormat="1" ht="23.25" customHeight="1">
      <c r="A58" s="278"/>
      <c r="B58" s="158"/>
      <c r="C58" s="158" t="s">
        <v>10</v>
      </c>
      <c r="D58" s="158"/>
      <c r="E58" s="158"/>
      <c r="F58" s="230">
        <f>SUM(F56:F57)</f>
        <v>78952</v>
      </c>
      <c r="G58" s="231">
        <f>SUM(G56:G57)</f>
        <v>104074525</v>
      </c>
      <c r="H58" s="231">
        <v>52688617</v>
      </c>
      <c r="I58" s="279">
        <f>+G58-H58</f>
        <v>51385908</v>
      </c>
      <c r="J58" s="126"/>
      <c r="K58" s="126"/>
      <c r="L58" s="126"/>
    </row>
    <row r="59" spans="1:13" s="97" customFormat="1" ht="23.25" customHeight="1">
      <c r="A59" s="261" t="s">
        <v>34</v>
      </c>
      <c r="B59" s="152" t="s">
        <v>885</v>
      </c>
      <c r="C59" s="153" t="s">
        <v>980</v>
      </c>
      <c r="D59" s="100">
        <v>45357</v>
      </c>
      <c r="E59" s="102">
        <f>VLOOKUP(D59,환율!$A$1798:$B$2033,2,)</f>
        <v>1333.2</v>
      </c>
      <c r="F59" s="122">
        <v>11334.9</v>
      </c>
      <c r="G59" s="104">
        <f t="shared" ref="G59" si="8">ROUNDDOWN(F59*E59,0)</f>
        <v>15111688</v>
      </c>
      <c r="H59" s="154"/>
      <c r="I59" s="258"/>
      <c r="J59" s="95"/>
      <c r="K59" s="95"/>
      <c r="L59" s="95"/>
    </row>
    <row r="60" spans="1:13" s="97" customFormat="1" ht="23.25" customHeight="1" thickBot="1">
      <c r="A60" s="265"/>
      <c r="B60" s="280"/>
      <c r="C60" s="280" t="s">
        <v>10</v>
      </c>
      <c r="D60" s="280"/>
      <c r="E60" s="281"/>
      <c r="F60" s="268">
        <f>SUM(F59)</f>
        <v>11334.9</v>
      </c>
      <c r="G60" s="269">
        <f>SUM(G59:G59)</f>
        <v>15111688</v>
      </c>
      <c r="H60" s="269">
        <v>18544330</v>
      </c>
      <c r="I60" s="270">
        <f>+G60-H60</f>
        <v>-3432642</v>
      </c>
      <c r="J60" s="126"/>
      <c r="K60" s="126"/>
      <c r="L60" s="126"/>
      <c r="M60" s="126"/>
    </row>
    <row r="61" spans="1:13" s="97" customFormat="1" ht="23.25" customHeight="1">
      <c r="A61" s="2018" t="s">
        <v>14</v>
      </c>
      <c r="B61" s="247" t="s">
        <v>886</v>
      </c>
      <c r="C61" s="248" t="s">
        <v>895</v>
      </c>
      <c r="D61" s="248">
        <v>45324</v>
      </c>
      <c r="E61" s="249">
        <f>VLOOKUP(D61,환율!$A$1798:$B$2033,2,)</f>
        <v>1332.5</v>
      </c>
      <c r="F61" s="250">
        <v>1832.06</v>
      </c>
      <c r="G61" s="251">
        <f t="shared" ref="G61:G82" si="9">ROUNDDOWN(F61*E61,0)</f>
        <v>2441219</v>
      </c>
      <c r="H61" s="252"/>
      <c r="I61" s="253"/>
      <c r="J61" s="95"/>
      <c r="K61" s="96"/>
      <c r="L61" s="96"/>
    </row>
    <row r="62" spans="1:13" s="97" customFormat="1" ht="23.25" customHeight="1">
      <c r="A62" s="2011"/>
      <c r="B62" s="88" t="s">
        <v>887</v>
      </c>
      <c r="C62" s="129" t="s">
        <v>896</v>
      </c>
      <c r="D62" s="136">
        <v>45327</v>
      </c>
      <c r="E62" s="91">
        <f>VLOOKUP(D62,환율!$A$1798:$B$2033,2,)</f>
        <v>1325.1</v>
      </c>
      <c r="F62" s="92">
        <v>1585.92</v>
      </c>
      <c r="G62" s="93">
        <f t="shared" si="9"/>
        <v>2101502</v>
      </c>
      <c r="H62" s="165"/>
      <c r="I62" s="254"/>
      <c r="J62" s="95"/>
      <c r="K62" s="96"/>
      <c r="L62" s="96"/>
    </row>
    <row r="63" spans="1:13" s="97" customFormat="1" ht="23.25" customHeight="1">
      <c r="A63" s="2011"/>
      <c r="B63" s="88" t="s">
        <v>888</v>
      </c>
      <c r="C63" s="146" t="s">
        <v>897</v>
      </c>
      <c r="D63" s="136">
        <v>45327</v>
      </c>
      <c r="E63" s="91">
        <f>VLOOKUP(D63,환율!$A$1798:$B$2033,2,)</f>
        <v>1325.1</v>
      </c>
      <c r="F63" s="118">
        <v>546.62</v>
      </c>
      <c r="G63" s="93">
        <f t="shared" si="9"/>
        <v>724326</v>
      </c>
      <c r="H63" s="147"/>
      <c r="I63" s="255"/>
      <c r="J63" s="95"/>
      <c r="K63" s="95"/>
      <c r="L63" s="95"/>
    </row>
    <row r="64" spans="1:13" s="97" customFormat="1" ht="23.25" customHeight="1">
      <c r="A64" s="2011"/>
      <c r="B64" s="88" t="s">
        <v>889</v>
      </c>
      <c r="C64" s="136" t="s">
        <v>898</v>
      </c>
      <c r="D64" s="136">
        <v>45330</v>
      </c>
      <c r="E64" s="91">
        <f>VLOOKUP(D64,환율!$A$1798:$B$2033,2,)</f>
        <v>1325.3</v>
      </c>
      <c r="F64" s="92">
        <v>165.27</v>
      </c>
      <c r="G64" s="93">
        <f t="shared" si="9"/>
        <v>219032</v>
      </c>
      <c r="H64" s="167"/>
      <c r="I64" s="256"/>
      <c r="J64" s="95"/>
      <c r="K64" s="96"/>
      <c r="L64" s="96"/>
    </row>
    <row r="65" spans="1:12" s="97" customFormat="1" ht="23.25" customHeight="1">
      <c r="A65" s="2011"/>
      <c r="B65" s="88" t="s">
        <v>890</v>
      </c>
      <c r="C65" s="146" t="s">
        <v>899</v>
      </c>
      <c r="D65" s="136">
        <v>45323</v>
      </c>
      <c r="E65" s="91">
        <f>VLOOKUP(D65,환율!$A$1798:$B$2033,2,)</f>
        <v>1333.5</v>
      </c>
      <c r="F65" s="92">
        <v>1594.68</v>
      </c>
      <c r="G65" s="93">
        <f t="shared" si="9"/>
        <v>2126505</v>
      </c>
      <c r="H65" s="168"/>
      <c r="I65" s="256"/>
      <c r="J65" s="95"/>
      <c r="K65" s="96"/>
      <c r="L65" s="96"/>
    </row>
    <row r="66" spans="1:12" s="97" customFormat="1" ht="23.25" customHeight="1">
      <c r="A66" s="2011"/>
      <c r="B66" s="88" t="s">
        <v>891</v>
      </c>
      <c r="C66" s="146" t="s">
        <v>900</v>
      </c>
      <c r="D66" s="136">
        <v>45348</v>
      </c>
      <c r="E66" s="91">
        <f>VLOOKUP(D66,환율!$A$1798:$B$2033,2,)</f>
        <v>1329.3</v>
      </c>
      <c r="F66" s="118">
        <v>6380.16</v>
      </c>
      <c r="G66" s="93">
        <f t="shared" si="9"/>
        <v>8481146</v>
      </c>
      <c r="H66" s="147"/>
      <c r="I66" s="255"/>
      <c r="J66" s="95"/>
      <c r="K66" s="95"/>
      <c r="L66" s="95"/>
    </row>
    <row r="67" spans="1:12" s="97" customFormat="1" ht="23.25" customHeight="1">
      <c r="A67" s="2011"/>
      <c r="B67" s="88" t="s">
        <v>892</v>
      </c>
      <c r="C67" s="146" t="s">
        <v>901</v>
      </c>
      <c r="D67" s="136">
        <v>45349</v>
      </c>
      <c r="E67" s="91">
        <f>VLOOKUP(D67,환율!$A$1798:$B$2033,2,)</f>
        <v>1331.4</v>
      </c>
      <c r="F67" s="92">
        <v>3471.41</v>
      </c>
      <c r="G67" s="93">
        <f t="shared" si="9"/>
        <v>4621835</v>
      </c>
      <c r="H67" s="168"/>
      <c r="I67" s="256"/>
      <c r="J67" s="95"/>
      <c r="K67" s="95"/>
      <c r="L67" s="95"/>
    </row>
    <row r="68" spans="1:12" s="97" customFormat="1" ht="23.25" customHeight="1">
      <c r="A68" s="2011"/>
      <c r="B68" s="88" t="s">
        <v>893</v>
      </c>
      <c r="C68" s="146" t="s">
        <v>902</v>
      </c>
      <c r="D68" s="136">
        <v>45335</v>
      </c>
      <c r="E68" s="91">
        <f>VLOOKUP(D68,환율!$A$1798:$B$2033,2,)</f>
        <v>1327.2</v>
      </c>
      <c r="F68" s="118">
        <v>357.36</v>
      </c>
      <c r="G68" s="93">
        <f t="shared" si="9"/>
        <v>474288</v>
      </c>
      <c r="H68" s="168"/>
      <c r="I68" s="256"/>
      <c r="J68" s="95"/>
      <c r="K68" s="95"/>
      <c r="L68" s="95"/>
    </row>
    <row r="69" spans="1:12" s="97" customFormat="1" ht="23.25" customHeight="1">
      <c r="A69" s="2011"/>
      <c r="B69" s="88" t="s">
        <v>894</v>
      </c>
      <c r="C69" s="146" t="s">
        <v>903</v>
      </c>
      <c r="D69" s="136">
        <v>45335</v>
      </c>
      <c r="E69" s="91">
        <f>VLOOKUP(D69,환율!$A$1798:$B$2033,2,)</f>
        <v>1327.2</v>
      </c>
      <c r="F69" s="118">
        <v>1571.21</v>
      </c>
      <c r="G69" s="93">
        <f t="shared" si="9"/>
        <v>2085309</v>
      </c>
      <c r="H69" s="168"/>
      <c r="I69" s="256"/>
      <c r="J69" s="95"/>
      <c r="K69" s="95"/>
      <c r="L69" s="95"/>
    </row>
    <row r="70" spans="1:12" s="97" customFormat="1" ht="23.25" customHeight="1">
      <c r="A70" s="2011"/>
      <c r="B70" s="88" t="s">
        <v>981</v>
      </c>
      <c r="C70" s="146" t="s">
        <v>993</v>
      </c>
      <c r="D70" s="136">
        <v>45338</v>
      </c>
      <c r="E70" s="91">
        <f>VLOOKUP(D70,환율!$A$1798:$B$2033,2,)</f>
        <v>1333.2</v>
      </c>
      <c r="F70" s="118">
        <v>7050.57</v>
      </c>
      <c r="G70" s="93">
        <f t="shared" si="9"/>
        <v>9399819</v>
      </c>
      <c r="H70" s="168"/>
      <c r="I70" s="256"/>
      <c r="J70" s="95"/>
      <c r="K70" s="95"/>
      <c r="L70" s="95"/>
    </row>
    <row r="71" spans="1:12" s="97" customFormat="1" ht="23.25" customHeight="1">
      <c r="A71" s="2011"/>
      <c r="B71" s="88" t="s">
        <v>982</v>
      </c>
      <c r="C71" s="146" t="s">
        <v>994</v>
      </c>
      <c r="D71" s="136">
        <v>45341</v>
      </c>
      <c r="E71" s="91">
        <f>VLOOKUP(D71,환율!$A$1798:$B$2033,2,)</f>
        <v>1333</v>
      </c>
      <c r="F71" s="118">
        <v>1802.14</v>
      </c>
      <c r="G71" s="93">
        <f t="shared" si="9"/>
        <v>2402252</v>
      </c>
      <c r="H71" s="168"/>
      <c r="I71" s="256"/>
      <c r="J71" s="95"/>
      <c r="K71" s="95"/>
      <c r="L71" s="95"/>
    </row>
    <row r="72" spans="1:12" s="97" customFormat="1" ht="23.25" customHeight="1">
      <c r="A72" s="2011"/>
      <c r="B72" s="88" t="s">
        <v>983</v>
      </c>
      <c r="C72" s="89" t="s">
        <v>1007</v>
      </c>
      <c r="D72" s="136">
        <v>45342</v>
      </c>
      <c r="E72" s="91">
        <f>VLOOKUP(D72,환율!$A$1798:$B$2033,2,)</f>
        <v>1333.8</v>
      </c>
      <c r="F72" s="92">
        <v>5307.94</v>
      </c>
      <c r="G72" s="93">
        <f t="shared" si="9"/>
        <v>7079730</v>
      </c>
      <c r="H72" s="168"/>
      <c r="I72" s="256"/>
      <c r="J72" s="95"/>
      <c r="K72" s="95"/>
      <c r="L72" s="95"/>
    </row>
    <row r="73" spans="1:12" s="97" customFormat="1" ht="23.25" customHeight="1">
      <c r="A73" s="2011"/>
      <c r="B73" s="88" t="s">
        <v>984</v>
      </c>
      <c r="C73" s="89" t="s">
        <v>1008</v>
      </c>
      <c r="D73" s="136">
        <v>45342</v>
      </c>
      <c r="E73" s="91">
        <f>VLOOKUP(D73,환율!$A$1798:$B$2033,2,)</f>
        <v>1333.8</v>
      </c>
      <c r="F73" s="92">
        <v>846.99</v>
      </c>
      <c r="G73" s="93">
        <f t="shared" si="9"/>
        <v>1129715</v>
      </c>
      <c r="H73" s="168"/>
      <c r="I73" s="256"/>
      <c r="J73" s="95"/>
      <c r="K73" s="95"/>
      <c r="L73" s="95"/>
    </row>
    <row r="74" spans="1:12" s="97" customFormat="1" ht="23.25" customHeight="1">
      <c r="A74" s="2011"/>
      <c r="B74" s="88" t="s">
        <v>985</v>
      </c>
      <c r="C74" s="89" t="s">
        <v>1009</v>
      </c>
      <c r="D74" s="136">
        <v>45342</v>
      </c>
      <c r="E74" s="91">
        <f>VLOOKUP(D74,환율!$A$1798:$B$2033,2,)</f>
        <v>1333.8</v>
      </c>
      <c r="F74" s="92">
        <v>127.52</v>
      </c>
      <c r="G74" s="93">
        <f t="shared" si="9"/>
        <v>170086</v>
      </c>
      <c r="H74" s="168"/>
      <c r="I74" s="256"/>
      <c r="J74" s="95"/>
      <c r="K74" s="95"/>
      <c r="L74" s="95"/>
    </row>
    <row r="75" spans="1:12" s="97" customFormat="1" ht="23.25" customHeight="1">
      <c r="A75" s="2011"/>
      <c r="B75" s="99" t="s">
        <v>986</v>
      </c>
      <c r="C75" s="169" t="s">
        <v>1006</v>
      </c>
      <c r="D75" s="125">
        <v>45355</v>
      </c>
      <c r="E75" s="102">
        <f>VLOOKUP(D75,환율!$A$1798:$B$2033,2,)</f>
        <v>1334.1</v>
      </c>
      <c r="F75" s="103">
        <v>1675.24</v>
      </c>
      <c r="G75" s="104">
        <f t="shared" si="9"/>
        <v>2234937</v>
      </c>
      <c r="H75" s="170"/>
      <c r="I75" s="257"/>
      <c r="J75" s="95"/>
      <c r="K75" s="95"/>
      <c r="L75" s="95"/>
    </row>
    <row r="76" spans="1:12" s="97" customFormat="1" ht="23.25" customHeight="1">
      <c r="A76" s="2011"/>
      <c r="B76" s="99" t="s">
        <v>987</v>
      </c>
      <c r="C76" s="169" t="s">
        <v>1165</v>
      </c>
      <c r="D76" s="125">
        <v>45352</v>
      </c>
      <c r="E76" s="102">
        <f>VLOOKUP(D76,환율!$A$1798:$B$2033,2,)</f>
        <v>1334</v>
      </c>
      <c r="F76" s="122">
        <v>3948.33</v>
      </c>
      <c r="G76" s="104">
        <f t="shared" si="9"/>
        <v>5267072</v>
      </c>
      <c r="H76" s="154"/>
      <c r="I76" s="258"/>
      <c r="J76" s="95"/>
      <c r="K76" s="95"/>
      <c r="L76" s="95"/>
    </row>
    <row r="77" spans="1:12" s="97" customFormat="1" ht="23.25" customHeight="1">
      <c r="A77" s="2011"/>
      <c r="B77" s="99" t="s">
        <v>988</v>
      </c>
      <c r="C77" s="169" t="s">
        <v>995</v>
      </c>
      <c r="D77" s="101">
        <v>45352</v>
      </c>
      <c r="E77" s="102">
        <f>VLOOKUP(D77,환율!$A$1798:$B$2033,2,)</f>
        <v>1334</v>
      </c>
      <c r="F77" s="122">
        <v>3727.06</v>
      </c>
      <c r="G77" s="104">
        <f t="shared" si="9"/>
        <v>4971898</v>
      </c>
      <c r="H77" s="154"/>
      <c r="I77" s="258"/>
      <c r="J77" s="95"/>
      <c r="K77" s="95"/>
      <c r="L77" s="95"/>
    </row>
    <row r="78" spans="1:12" s="97" customFormat="1" ht="23.25" customHeight="1">
      <c r="A78" s="2011"/>
      <c r="B78" s="99" t="s">
        <v>989</v>
      </c>
      <c r="C78" s="169" t="s">
        <v>996</v>
      </c>
      <c r="D78" s="101">
        <v>45356</v>
      </c>
      <c r="E78" s="102">
        <f>VLOOKUP(D78,환율!$A$1798:$B$2033,2,)</f>
        <v>1330.1</v>
      </c>
      <c r="F78" s="122">
        <v>22877.119999999999</v>
      </c>
      <c r="G78" s="104">
        <f t="shared" si="9"/>
        <v>30428857</v>
      </c>
      <c r="H78" s="154"/>
      <c r="I78" s="258"/>
      <c r="J78" s="95"/>
      <c r="K78" s="95"/>
      <c r="L78" s="95"/>
    </row>
    <row r="79" spans="1:12" s="97" customFormat="1" ht="23.25" customHeight="1">
      <c r="A79" s="259"/>
      <c r="B79" s="113"/>
      <c r="C79" s="172"/>
      <c r="D79" s="113"/>
      <c r="E79" s="114"/>
      <c r="F79" s="127">
        <f>SUM(F61:F78)</f>
        <v>64867.599999999991</v>
      </c>
      <c r="G79" s="116">
        <f>SUM(G61:G78)</f>
        <v>86359528</v>
      </c>
      <c r="H79" s="116">
        <v>70683459</v>
      </c>
      <c r="I79" s="260">
        <f>+G79-H79</f>
        <v>15676069</v>
      </c>
      <c r="J79" s="126"/>
      <c r="K79" s="126"/>
      <c r="L79" s="126"/>
    </row>
    <row r="80" spans="1:12" s="97" customFormat="1" ht="23.25" customHeight="1">
      <c r="A80" s="2010" t="s">
        <v>15</v>
      </c>
      <c r="B80" s="173" t="s">
        <v>916</v>
      </c>
      <c r="C80" s="173" t="s">
        <v>1010</v>
      </c>
      <c r="D80" s="223">
        <v>45346</v>
      </c>
      <c r="E80" s="91">
        <f>VLOOKUP(D80,환율!$A$1798:$B$2033,2,)</f>
        <v>1331</v>
      </c>
      <c r="F80" s="92">
        <v>2721.07</v>
      </c>
      <c r="G80" s="93">
        <f t="shared" si="9"/>
        <v>3621744</v>
      </c>
      <c r="H80" s="173"/>
      <c r="I80" s="262"/>
      <c r="J80" s="95"/>
      <c r="K80" s="95"/>
      <c r="L80" s="95"/>
    </row>
    <row r="81" spans="1:13" s="97" customFormat="1" ht="23.25" customHeight="1">
      <c r="A81" s="2011"/>
      <c r="B81" s="152" t="s">
        <v>917</v>
      </c>
      <c r="C81" s="153" t="s">
        <v>1011</v>
      </c>
      <c r="D81" s="125">
        <v>45352</v>
      </c>
      <c r="E81" s="102">
        <f>VLOOKUP(D81,환율!$A$1798:$B$2033,2,)</f>
        <v>1334</v>
      </c>
      <c r="F81" s="103">
        <v>27794.87</v>
      </c>
      <c r="G81" s="104">
        <f t="shared" si="9"/>
        <v>37078356</v>
      </c>
      <c r="H81" s="154"/>
      <c r="I81" s="258"/>
      <c r="J81" s="95"/>
      <c r="K81" s="95"/>
      <c r="L81" s="95"/>
    </row>
    <row r="82" spans="1:13" s="97" customFormat="1" ht="23.25" customHeight="1">
      <c r="A82" s="2019"/>
      <c r="B82" s="152" t="s">
        <v>991</v>
      </c>
      <c r="C82" s="153" t="s">
        <v>1023</v>
      </c>
      <c r="D82" s="101">
        <v>45358</v>
      </c>
      <c r="E82" s="102">
        <f>VLOOKUP(D82,환율!$A$1798:$B$2033,2,)</f>
        <v>1335.7</v>
      </c>
      <c r="F82" s="103">
        <v>16326.42</v>
      </c>
      <c r="G82" s="104">
        <f t="shared" si="9"/>
        <v>21807199</v>
      </c>
      <c r="H82" s="154"/>
      <c r="I82" s="258"/>
      <c r="J82" s="95"/>
      <c r="K82" s="95"/>
      <c r="L82" s="95"/>
      <c r="M82" s="175"/>
    </row>
    <row r="83" spans="1:13" s="97" customFormat="1" ht="23.25" customHeight="1">
      <c r="A83" s="259"/>
      <c r="B83" s="113"/>
      <c r="C83" s="172"/>
      <c r="D83" s="113"/>
      <c r="E83" s="114"/>
      <c r="F83" s="127">
        <f>SUM(F80:F82)</f>
        <v>46842.36</v>
      </c>
      <c r="G83" s="116">
        <f>SUM(G80:G82)</f>
        <v>62507299</v>
      </c>
      <c r="H83" s="116">
        <v>91123498</v>
      </c>
      <c r="I83" s="260">
        <f>+G83-H83</f>
        <v>-28616199</v>
      </c>
      <c r="M83" s="175"/>
    </row>
    <row r="84" spans="1:13" s="97" customFormat="1" ht="23.25" customHeight="1">
      <c r="A84" s="2010" t="s">
        <v>726</v>
      </c>
      <c r="B84" s="146" t="s">
        <v>997</v>
      </c>
      <c r="C84" s="146" t="s">
        <v>874</v>
      </c>
      <c r="D84" s="136">
        <v>45324</v>
      </c>
      <c r="E84" s="176">
        <v>9.1023999999999994</v>
      </c>
      <c r="F84" s="177">
        <v>5522324</v>
      </c>
      <c r="G84" s="93">
        <f t="shared" ref="G84" si="10">ROUNDDOWN(F84*E84,0)</f>
        <v>50266401</v>
      </c>
      <c r="H84" s="156"/>
      <c r="I84" s="263"/>
      <c r="J84" s="95" t="s">
        <v>730</v>
      </c>
      <c r="K84" s="95" t="s">
        <v>730</v>
      </c>
      <c r="L84" s="95" t="s">
        <v>730</v>
      </c>
    </row>
    <row r="85" spans="1:13" s="97" customFormat="1" ht="23.25" customHeight="1">
      <c r="A85" s="2011"/>
      <c r="B85" s="146" t="s">
        <v>998</v>
      </c>
      <c r="C85" s="146" t="s">
        <v>999</v>
      </c>
      <c r="D85" s="136">
        <v>45333</v>
      </c>
      <c r="E85" s="176">
        <v>8.952</v>
      </c>
      <c r="F85" s="177">
        <v>13292188</v>
      </c>
      <c r="G85" s="93">
        <f t="shared" ref="G85:G88" si="11">ROUNDDOWN(F85*E85,0)</f>
        <v>118991666</v>
      </c>
      <c r="H85" s="156"/>
      <c r="I85" s="263"/>
      <c r="J85" s="95"/>
      <c r="K85" s="95"/>
      <c r="L85" s="95"/>
      <c r="M85" s="175"/>
    </row>
    <row r="86" spans="1:13" s="97" customFormat="1" ht="23.25" customHeight="1">
      <c r="A86" s="2011"/>
      <c r="B86" s="146" t="s">
        <v>1000</v>
      </c>
      <c r="C86" s="146" t="s">
        <v>1003</v>
      </c>
      <c r="D86" s="136">
        <v>45341</v>
      </c>
      <c r="E86" s="176">
        <v>8.8804999999999996</v>
      </c>
      <c r="F86" s="177">
        <v>17294902</v>
      </c>
      <c r="G86" s="93">
        <f t="shared" si="11"/>
        <v>153587377</v>
      </c>
      <c r="H86" s="156"/>
      <c r="I86" s="263"/>
      <c r="J86" s="95"/>
      <c r="K86" s="95"/>
      <c r="L86" s="95"/>
      <c r="M86" s="175"/>
    </row>
    <row r="87" spans="1:13" s="97" customFormat="1" ht="23.25" customHeight="1">
      <c r="A87" s="2011"/>
      <c r="B87" s="146" t="s">
        <v>1001</v>
      </c>
      <c r="C87" s="146" t="s">
        <v>1004</v>
      </c>
      <c r="D87" s="136">
        <v>45348</v>
      </c>
      <c r="E87" s="176">
        <v>8.8310999999999993</v>
      </c>
      <c r="F87" s="177">
        <v>12740560</v>
      </c>
      <c r="G87" s="93">
        <f t="shared" si="11"/>
        <v>112513159</v>
      </c>
      <c r="H87" s="156"/>
      <c r="I87" s="263"/>
      <c r="J87" s="95"/>
      <c r="K87" s="95"/>
      <c r="L87" s="95"/>
      <c r="M87" s="175"/>
    </row>
    <row r="88" spans="1:13" s="97" customFormat="1" ht="23.25" customHeight="1">
      <c r="A88" s="2011"/>
      <c r="B88" s="146" t="s">
        <v>1002</v>
      </c>
      <c r="C88" s="146" t="s">
        <v>1005</v>
      </c>
      <c r="D88" s="136">
        <v>45350</v>
      </c>
      <c r="E88" s="176">
        <v>8.8473000000000006</v>
      </c>
      <c r="F88" s="177">
        <v>7217070</v>
      </c>
      <c r="G88" s="93">
        <f t="shared" si="11"/>
        <v>63851583</v>
      </c>
      <c r="H88" s="156"/>
      <c r="I88" s="263"/>
      <c r="J88" s="95"/>
      <c r="K88" s="95"/>
      <c r="L88" s="95"/>
      <c r="M88" s="175"/>
    </row>
    <row r="89" spans="1:13" s="97" customFormat="1" ht="23.25" customHeight="1">
      <c r="A89" s="259"/>
      <c r="B89" s="113"/>
      <c r="C89" s="113" t="s">
        <v>10</v>
      </c>
      <c r="D89" s="113"/>
      <c r="E89" s="114"/>
      <c r="F89" s="186">
        <f>SUM(F84:F88)</f>
        <v>56067044</v>
      </c>
      <c r="G89" s="116">
        <f>SUM(G84:G88)</f>
        <v>499210186</v>
      </c>
      <c r="H89" s="160">
        <v>457158230</v>
      </c>
      <c r="I89" s="264">
        <f>+G89-H89</f>
        <v>42051956</v>
      </c>
      <c r="J89" s="126"/>
      <c r="K89" s="126"/>
      <c r="L89" s="126"/>
    </row>
    <row r="90" spans="1:13" s="190" customFormat="1" ht="23.25" customHeight="1">
      <c r="A90" s="2014" t="s">
        <v>992</v>
      </c>
      <c r="B90" s="155" t="s">
        <v>1012</v>
      </c>
      <c r="C90" s="146"/>
      <c r="D90" s="136">
        <v>45330</v>
      </c>
      <c r="E90" s="91">
        <f>VLOOKUP(D90,환율!$A$1798:$B$2033,2,)</f>
        <v>1325.3</v>
      </c>
      <c r="F90" s="92">
        <f>G90/E90</f>
        <v>3144.540858673508</v>
      </c>
      <c r="G90" s="93">
        <v>4167460</v>
      </c>
      <c r="H90" s="156"/>
      <c r="I90" s="263"/>
      <c r="J90" s="188"/>
      <c r="K90" s="188"/>
      <c r="L90" s="188"/>
      <c r="M90" s="189"/>
    </row>
    <row r="91" spans="1:13" s="190" customFormat="1" ht="23.25" customHeight="1">
      <c r="A91" s="2015"/>
      <c r="B91" s="155" t="s">
        <v>1013</v>
      </c>
      <c r="C91" s="146"/>
      <c r="D91" s="136">
        <v>45348</v>
      </c>
      <c r="E91" s="91">
        <f>VLOOKUP(D91,환율!$A$1798:$B$2033,2,)</f>
        <v>1329.3</v>
      </c>
      <c r="F91" s="92">
        <f t="shared" ref="F91:F92" si="12">G91/E91</f>
        <v>3135.0786128037312</v>
      </c>
      <c r="G91" s="93">
        <v>4167460</v>
      </c>
      <c r="H91" s="156"/>
      <c r="I91" s="263"/>
      <c r="J91" s="188"/>
      <c r="K91" s="188"/>
      <c r="L91" s="188"/>
      <c r="M91" s="189"/>
    </row>
    <row r="92" spans="1:13" s="190" customFormat="1" ht="23.25" customHeight="1">
      <c r="A92" s="2016"/>
      <c r="B92" s="155" t="s">
        <v>1014</v>
      </c>
      <c r="C92" s="146"/>
      <c r="D92" s="136">
        <v>45348</v>
      </c>
      <c r="E92" s="91">
        <f>VLOOKUP(D92,환율!$A$1798:$B$2033,2,)</f>
        <v>1329.3</v>
      </c>
      <c r="F92" s="92">
        <f t="shared" si="12"/>
        <v>17813.164823591364</v>
      </c>
      <c r="G92" s="93">
        <v>23679040</v>
      </c>
      <c r="H92" s="156"/>
      <c r="I92" s="263"/>
      <c r="J92" s="188"/>
      <c r="K92" s="188"/>
      <c r="L92" s="188"/>
      <c r="M92" s="189"/>
    </row>
    <row r="93" spans="1:13" s="97" customFormat="1" ht="23.25" customHeight="1" thickBot="1">
      <c r="A93" s="265"/>
      <c r="B93" s="266"/>
      <c r="C93" s="266" t="s">
        <v>10</v>
      </c>
      <c r="D93" s="266"/>
      <c r="E93" s="267"/>
      <c r="F93" s="268">
        <f>SUM(F90:F92)</f>
        <v>24092.784295068603</v>
      </c>
      <c r="G93" s="269">
        <f>SUM(G90:G92)</f>
        <v>32013960</v>
      </c>
      <c r="H93" s="269">
        <v>0</v>
      </c>
      <c r="I93" s="270">
        <f>+G93-H93</f>
        <v>32013960</v>
      </c>
      <c r="M93" s="175"/>
    </row>
    <row r="94" spans="1:13" s="97" customFormat="1" ht="23.25" customHeight="1" thickBot="1">
      <c r="A94" s="191"/>
      <c r="B94" s="192"/>
      <c r="C94" s="192"/>
      <c r="E94" s="1997" t="s">
        <v>31</v>
      </c>
      <c r="F94" s="232" t="s">
        <v>17</v>
      </c>
      <c r="G94" s="210">
        <f>+G96-G95</f>
        <v>4599089649</v>
      </c>
      <c r="H94" s="210">
        <v>4873168771</v>
      </c>
      <c r="I94" s="219">
        <f>+G94-H94</f>
        <v>-274079122</v>
      </c>
      <c r="J94" s="126"/>
      <c r="K94" s="126"/>
      <c r="L94" s="126"/>
    </row>
    <row r="95" spans="1:13" s="97" customFormat="1" ht="23.25" customHeight="1">
      <c r="A95" s="239" t="s">
        <v>20</v>
      </c>
      <c r="B95" s="195" t="s">
        <v>21</v>
      </c>
      <c r="C95" s="196" t="s">
        <v>20</v>
      </c>
      <c r="D95" s="197" t="s">
        <v>21</v>
      </c>
      <c r="E95" s="1997"/>
      <c r="F95" s="198" t="s">
        <v>18</v>
      </c>
      <c r="G95" s="199">
        <f>SUM(G28:G30)</f>
        <v>30771378</v>
      </c>
      <c r="H95" s="199">
        <v>0</v>
      </c>
      <c r="I95" s="201">
        <f>+G95-H95</f>
        <v>30771378</v>
      </c>
      <c r="J95" s="126"/>
      <c r="K95" s="126"/>
      <c r="L95" s="126"/>
    </row>
    <row r="96" spans="1:13" s="97" customFormat="1" ht="23.25" customHeight="1" thickBot="1">
      <c r="A96" s="240" t="s">
        <v>9</v>
      </c>
      <c r="B96" s="199">
        <f>SUM(G15:G16)</f>
        <v>720417494</v>
      </c>
      <c r="C96" s="200" t="s">
        <v>721</v>
      </c>
      <c r="D96" s="201">
        <v>0</v>
      </c>
      <c r="E96" s="1998"/>
      <c r="F96" s="202" t="s">
        <v>19</v>
      </c>
      <c r="G96" s="203">
        <f>+G89+G83+G79+G60+G58+G55+G53+G49+G31+G17+G93</f>
        <v>4629861027</v>
      </c>
      <c r="H96" s="203">
        <v>4873168771</v>
      </c>
      <c r="I96" s="233">
        <f>+G96-H96</f>
        <v>-243307744</v>
      </c>
      <c r="J96" s="126"/>
      <c r="K96" s="205"/>
      <c r="L96" s="126"/>
    </row>
    <row r="97" spans="1:14" s="97" customFormat="1" ht="23.25" customHeight="1">
      <c r="A97" s="240" t="s">
        <v>11</v>
      </c>
      <c r="B97" s="199">
        <f>SUM(G23:G27)</f>
        <v>100642626</v>
      </c>
      <c r="C97" s="200" t="s">
        <v>722</v>
      </c>
      <c r="D97" s="201">
        <f>SUM(G59)</f>
        <v>15111688</v>
      </c>
      <c r="E97" s="206" t="s">
        <v>20</v>
      </c>
      <c r="F97" s="207" t="s">
        <v>116</v>
      </c>
      <c r="G97" s="195" t="s">
        <v>934</v>
      </c>
      <c r="H97" s="195" t="s">
        <v>118</v>
      </c>
      <c r="I97" s="234" t="s">
        <v>32</v>
      </c>
      <c r="J97" s="126"/>
      <c r="K97" s="126"/>
      <c r="L97" s="126"/>
    </row>
    <row r="98" spans="1:14" s="97" customFormat="1" ht="23.25" customHeight="1">
      <c r="A98" s="241" t="s">
        <v>114</v>
      </c>
      <c r="B98" s="199">
        <f>SUM(G43:G48)</f>
        <v>503652447</v>
      </c>
      <c r="C98" s="200" t="s">
        <v>14</v>
      </c>
      <c r="D98" s="219">
        <f>SUM(G75:G78)</f>
        <v>42902764</v>
      </c>
      <c r="E98" s="211" t="s">
        <v>22</v>
      </c>
      <c r="F98" s="199">
        <v>0</v>
      </c>
      <c r="G98" s="199">
        <f>SUM(G84:G88)</f>
        <v>499210186</v>
      </c>
      <c r="H98" s="199">
        <v>0</v>
      </c>
      <c r="I98" s="201">
        <f>SUM(F98:G98)</f>
        <v>499210186</v>
      </c>
      <c r="J98" s="126"/>
      <c r="K98" s="126"/>
      <c r="L98" s="126"/>
    </row>
    <row r="99" spans="1:14" s="97" customFormat="1" ht="23.25" customHeight="1">
      <c r="A99" s="241" t="s">
        <v>153</v>
      </c>
      <c r="B99" s="199">
        <f>SUM(G52)</f>
        <v>85921376</v>
      </c>
      <c r="C99" s="200" t="s">
        <v>15</v>
      </c>
      <c r="D99" s="201">
        <f>SUM(G81:G82)</f>
        <v>58885555</v>
      </c>
      <c r="E99" s="211" t="s">
        <v>23</v>
      </c>
      <c r="F99" s="199">
        <v>918347963</v>
      </c>
      <c r="G99" s="199">
        <f>SUM(G18:G22,G28:G30,G32:G42,G50:G51)</f>
        <v>1237309120</v>
      </c>
      <c r="H99" s="199">
        <f>SUM(G23:G27,G43:G48,G52,G54,G59)</f>
        <v>710044157</v>
      </c>
      <c r="I99" s="201">
        <f>SUM(F99:G99)</f>
        <v>2155657083</v>
      </c>
      <c r="J99" s="126"/>
      <c r="K99" s="126"/>
      <c r="L99" s="126"/>
      <c r="N99" s="126"/>
    </row>
    <row r="100" spans="1:14" s="126" customFormat="1" ht="23.25" customHeight="1">
      <c r="A100" s="241" t="s">
        <v>719</v>
      </c>
      <c r="B100" s="199">
        <v>0</v>
      </c>
      <c r="C100" s="200" t="s">
        <v>53</v>
      </c>
      <c r="D100" s="219">
        <f>SUM(G57)</f>
        <v>51756983</v>
      </c>
      <c r="E100" s="211" t="s">
        <v>24</v>
      </c>
      <c r="F100" s="199">
        <v>265920678</v>
      </c>
      <c r="G100" s="199">
        <f>SUM(G13:G14)</f>
        <v>1177924758</v>
      </c>
      <c r="H100" s="199">
        <f>SUM(G15:G16)</f>
        <v>720417494</v>
      </c>
      <c r="I100" s="201">
        <f>SUM(F100:G100)</f>
        <v>1443845436</v>
      </c>
      <c r="K100" s="205"/>
    </row>
    <row r="101" spans="1:14" s="126" customFormat="1" ht="23.25" customHeight="1">
      <c r="A101" s="241" t="s">
        <v>35</v>
      </c>
      <c r="B101" s="199">
        <f>SUM(G54)</f>
        <v>4716020</v>
      </c>
      <c r="C101" s="200" t="s">
        <v>252</v>
      </c>
      <c r="D101" s="219">
        <v>0</v>
      </c>
      <c r="E101" s="211" t="s">
        <v>723</v>
      </c>
      <c r="F101" s="199">
        <v>21304500</v>
      </c>
      <c r="G101" s="199">
        <f>SUM(G56,G61:G74,G80)</f>
        <v>99396050</v>
      </c>
      <c r="H101" s="199">
        <f>SUM(G81:G82,G75:G78,G57)</f>
        <v>153545302</v>
      </c>
      <c r="I101" s="201">
        <f>SUM(F101:G101)</f>
        <v>120700550</v>
      </c>
      <c r="K101" s="205"/>
    </row>
    <row r="102" spans="1:14" s="126" customFormat="1" ht="23.25" customHeight="1" thickBot="1">
      <c r="A102" s="215" t="s">
        <v>724</v>
      </c>
      <c r="B102" s="213">
        <v>0</v>
      </c>
      <c r="C102" s="214"/>
      <c r="D102" s="242"/>
      <c r="E102" s="215" t="s">
        <v>1015</v>
      </c>
      <c r="F102" s="213"/>
      <c r="G102" s="213">
        <f>SUM(G90:G92)</f>
        <v>32013960</v>
      </c>
      <c r="H102" s="213"/>
      <c r="I102" s="235">
        <f>SUM(F102:G102)</f>
        <v>32013960</v>
      </c>
      <c r="K102" s="205"/>
    </row>
    <row r="103" spans="1:14" s="126" customFormat="1" ht="23.25" customHeight="1" thickTop="1" thickBot="1">
      <c r="A103" s="243"/>
      <c r="B103" s="244" t="s">
        <v>49</v>
      </c>
      <c r="C103" s="245"/>
      <c r="D103" s="246">
        <f>SUM(B96:B101,D96:D101)</f>
        <v>1584006953</v>
      </c>
      <c r="E103" s="236" t="s">
        <v>16</v>
      </c>
      <c r="F103" s="237">
        <f>SUM(F98:F101)</f>
        <v>1205573141</v>
      </c>
      <c r="G103" s="237">
        <f>SUM(G98:G102)</f>
        <v>3045854074</v>
      </c>
      <c r="H103" s="237">
        <f>SUM(H98:H102)</f>
        <v>1584006953</v>
      </c>
      <c r="I103" s="238">
        <f>+F103+G103</f>
        <v>4251427215</v>
      </c>
    </row>
    <row r="104" spans="1:14" s="19" customFormat="1">
      <c r="A104"/>
      <c r="B104"/>
      <c r="C104"/>
      <c r="D104"/>
      <c r="E104"/>
      <c r="F104" s="47"/>
      <c r="G104"/>
      <c r="H104"/>
      <c r="I104"/>
    </row>
    <row r="105" spans="1:14">
      <c r="G105" s="26"/>
    </row>
    <row r="106" spans="1:14">
      <c r="G106" s="26"/>
    </row>
    <row r="107" spans="1:14">
      <c r="F107" s="47" t="s">
        <v>720</v>
      </c>
      <c r="G107" s="26"/>
      <c r="I107" s="26"/>
    </row>
    <row r="109" spans="1:14">
      <c r="J109"/>
      <c r="K109"/>
      <c r="L109"/>
    </row>
    <row r="110" spans="1:14">
      <c r="J110"/>
      <c r="K110"/>
      <c r="L110"/>
    </row>
    <row r="111" spans="1:14">
      <c r="J111"/>
      <c r="K111"/>
      <c r="L111"/>
    </row>
  </sheetData>
  <autoFilter ref="A11:E103" xr:uid="{00000000-0009-0000-0000-000045000000}"/>
  <mergeCells count="17">
    <mergeCell ref="A6:F10"/>
    <mergeCell ref="A11:A12"/>
    <mergeCell ref="B11:B12"/>
    <mergeCell ref="C11:C12"/>
    <mergeCell ref="D11:D12"/>
    <mergeCell ref="E11:E12"/>
    <mergeCell ref="F11:I11"/>
    <mergeCell ref="A13:A16"/>
    <mergeCell ref="A18:A30"/>
    <mergeCell ref="A50:A52"/>
    <mergeCell ref="A61:A78"/>
    <mergeCell ref="A80:A82"/>
    <mergeCell ref="A84:A88"/>
    <mergeCell ref="E94:E96"/>
    <mergeCell ref="A32:A48"/>
    <mergeCell ref="A56:A57"/>
    <mergeCell ref="A90:A92"/>
  </mergeCells>
  <phoneticPr fontId="2" type="noConversion"/>
  <conditionalFormatting sqref="A15:A16 C15:I16">
    <cfRule type="expression" dxfId="1722" priority="47">
      <formula>#REF!="*01월*"</formula>
    </cfRule>
  </conditionalFormatting>
  <conditionalFormatting sqref="A51 C51:I51">
    <cfRule type="expression" dxfId="1721" priority="46">
      <formula>#REF!="*01월*"</formula>
    </cfRule>
  </conditionalFormatting>
  <conditionalFormatting sqref="A84:D84">
    <cfRule type="expression" dxfId="1720" priority="11">
      <formula>$D88="*01월*"</formula>
    </cfRule>
  </conditionalFormatting>
  <conditionalFormatting sqref="A85:D88 F85:I88">
    <cfRule type="expression" dxfId="1719" priority="152">
      <formula>#REF!="*01월*"</formula>
    </cfRule>
  </conditionalFormatting>
  <conditionalFormatting sqref="A11:I13 A14 C14:I14 B14:B16 A17:I17 A18:D18 F18:F21 H18:I21 E18:E24 G18:G24 B19:D19 C20:D21 B20:B30 B27:C27 E27:I27 D28:E28 G28 A31:I31 A32:D32 E32:I33 B33:D33 B34:I35 B38:I39 D45 B45:B46 E45:E46 G45:G46 A49:I50 B51 A54:C54 E54:F54 A58:I58 A61:D61 E61:I76 B62:D76 B81:E82 A83:I83 A93:I103">
    <cfRule type="expression" dxfId="1718" priority="32">
      <formula>$D13="*01월*"</formula>
    </cfRule>
  </conditionalFormatting>
  <conditionalFormatting sqref="A79:I79 A80:A81 F81 F84:I84 A89:I89 A90:E90 G90:I91 A91 C91:E91 B91:B92">
    <cfRule type="expression" dxfId="1717" priority="40">
      <formula>$D83="*01월*"</formula>
    </cfRule>
  </conditionalFormatting>
  <conditionalFormatting sqref="B40:B41 E40:E41 G40:G41 D41 F80">
    <cfRule type="expression" dxfId="1716" priority="44">
      <formula>$D45="*01월*"</formula>
    </cfRule>
  </conditionalFormatting>
  <conditionalFormatting sqref="B42">
    <cfRule type="expression" dxfId="1715" priority="4">
      <formula>$D43="*01월*"</formula>
    </cfRule>
  </conditionalFormatting>
  <conditionalFormatting sqref="B36:I36 B47:B48 E47:E48 G47:G48 B52 A53:I53 A59:I60">
    <cfRule type="expression" dxfId="1714" priority="121">
      <formula>#REF!="*01월*"</formula>
    </cfRule>
  </conditionalFormatting>
  <conditionalFormatting sqref="B43:I43">
    <cfRule type="expression" dxfId="1713" priority="8">
      <formula>$D45="*01월*"</formula>
    </cfRule>
  </conditionalFormatting>
  <conditionalFormatting sqref="B54:I54">
    <cfRule type="expression" dxfId="1712" priority="21">
      <formula>#REF!="*01월*"</formula>
    </cfRule>
  </conditionalFormatting>
  <conditionalFormatting sqref="B77:I78">
    <cfRule type="expression" dxfId="1711" priority="35">
      <formula>#REF!="*01월*"</formula>
    </cfRule>
  </conditionalFormatting>
  <conditionalFormatting sqref="C22 F22 H22:I22 F28:F30 H28:I30 B44:I44 A55:E55 G55:I55 A56:I56 B57:I57 B80:E81 H80:I81 B82 C92:E92 G92:I92">
    <cfRule type="expression" dxfId="1710" priority="33">
      <formula>$D25="*01월*"</formula>
    </cfRule>
  </conditionalFormatting>
  <conditionalFormatting sqref="C23 F23 H23:I23 C25:D25 F25 H25:I25 C26 E26:I26 B37:I37 A52 C52:I52">
    <cfRule type="expression" dxfId="1709" priority="34">
      <formula>$D24="*01월*"</formula>
    </cfRule>
  </conditionalFormatting>
  <conditionalFormatting sqref="C24 F24 H24:I24">
    <cfRule type="expression" dxfId="1708" priority="51">
      <formula>#REF!="*01월*"</formula>
    </cfRule>
  </conditionalFormatting>
  <conditionalFormatting sqref="C28:C30">
    <cfRule type="expression" dxfId="1707" priority="24">
      <formula>$D31="*01월*"</formula>
    </cfRule>
  </conditionalFormatting>
  <conditionalFormatting sqref="C42 F42 H42:I42">
    <cfRule type="expression" dxfId="1706" priority="6">
      <formula>$D39="*01월*"</formula>
    </cfRule>
  </conditionalFormatting>
  <conditionalFormatting sqref="C45:C48 F45:F48 H45:I48">
    <cfRule type="expression" dxfId="1705" priority="43">
      <formula>#REF!="*01월*"</formula>
    </cfRule>
  </conditionalFormatting>
  <conditionalFormatting sqref="C40:D40 F40:F41 H40:I41 C41">
    <cfRule type="expression" dxfId="1704" priority="131">
      <formula>#REF!="*01월*"</formula>
    </cfRule>
  </conditionalFormatting>
  <conditionalFormatting sqref="D22:D24">
    <cfRule type="expression" dxfId="1703" priority="17">
      <formula>$D24="*01월*"</formula>
    </cfRule>
  </conditionalFormatting>
  <conditionalFormatting sqref="D26:D27">
    <cfRule type="expression" dxfId="1702" priority="15">
      <formula>$D28="*01월*"</formula>
    </cfRule>
  </conditionalFormatting>
  <conditionalFormatting sqref="D29:D30">
    <cfRule type="expression" dxfId="1701" priority="13">
      <formula>$D31="*01월*"</formula>
    </cfRule>
  </conditionalFormatting>
  <conditionalFormatting sqref="D42">
    <cfRule type="expression" dxfId="1700" priority="1">
      <formula>$D44="*01월*"</formula>
    </cfRule>
  </conditionalFormatting>
  <conditionalFormatting sqref="D46:D48">
    <cfRule type="expression" dxfId="1699" priority="135">
      <formula>#REF!="*01월*"</formula>
    </cfRule>
  </conditionalFormatting>
  <conditionalFormatting sqref="D54">
    <cfRule type="expression" dxfId="1698" priority="20">
      <formula>$D55="*01월*"</formula>
    </cfRule>
  </conditionalFormatting>
  <conditionalFormatting sqref="D42:E42">
    <cfRule type="expression" dxfId="1697" priority="2">
      <formula>#REF!="*01월*"</formula>
    </cfRule>
  </conditionalFormatting>
  <conditionalFormatting sqref="E25 G25 C29:C30 E29:I30">
    <cfRule type="expression" dxfId="1696" priority="49">
      <formula>#REF!="*01월*"</formula>
    </cfRule>
  </conditionalFormatting>
  <conditionalFormatting sqref="E84:E88">
    <cfRule type="expression" dxfId="1695" priority="169">
      <formula>#REF!="*01월*"</formula>
    </cfRule>
  </conditionalFormatting>
  <conditionalFormatting sqref="F55">
    <cfRule type="expression" dxfId="1694" priority="7">
      <formula>$D57="*01월*"</formula>
    </cfRule>
  </conditionalFormatting>
  <conditionalFormatting sqref="F81">
    <cfRule type="expression" dxfId="1693" priority="37">
      <formula>$D88="*01월*"</formula>
    </cfRule>
  </conditionalFormatting>
  <conditionalFormatting sqref="F82">
    <cfRule type="expression" dxfId="1692" priority="162">
      <formula>$D88="*01월*"</formula>
    </cfRule>
  </conditionalFormatting>
  <conditionalFormatting sqref="F90:F92">
    <cfRule type="expression" dxfId="1691" priority="9">
      <formula>$D92="*01월*"</formula>
    </cfRule>
  </conditionalFormatting>
  <conditionalFormatting sqref="G42">
    <cfRule type="expression" dxfId="1690" priority="5">
      <formula>#REF!="*01월*"</formula>
    </cfRule>
    <cfRule type="expression" dxfId="1689" priority="3">
      <formula>$D44="*01월*"</formula>
    </cfRule>
  </conditionalFormatting>
  <conditionalFormatting sqref="G80:G81">
    <cfRule type="expression" dxfId="1688" priority="29">
      <formula>$D84="*01월*"</formula>
    </cfRule>
  </conditionalFormatting>
  <conditionalFormatting sqref="G81:I82">
    <cfRule type="expression" dxfId="1687" priority="31">
      <formula>$D83="*01월*"</formula>
    </cfRule>
  </conditionalFormatting>
  <printOptions horizontalCentered="1"/>
  <pageMargins left="0" right="0" top="0.74803149606299213" bottom="0.19685039370078741" header="0" footer="0"/>
  <pageSetup paperSize="9" scale="43" fitToHeight="0" orientation="portrait" r:id="rId1"/>
  <rowBreaks count="1" manualBreakCount="1">
    <brk id="60" max="8" man="1"/>
  </rowBreaks>
  <colBreaks count="1" manualBreakCount="1">
    <brk id="8" max="102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pageSetUpPr fitToPage="1"/>
  </sheetPr>
  <dimension ref="A5:K124"/>
  <sheetViews>
    <sheetView view="pageBreakPreview" zoomScale="70" zoomScaleNormal="85" zoomScaleSheetLayoutView="70" workbookViewId="0">
      <pane xSplit="1" ySplit="12" topLeftCell="B89" activePane="bottomRight" state="frozen"/>
      <selection activeCell="D29" sqref="D29"/>
      <selection pane="topRight" activeCell="D29" sqref="D29"/>
      <selection pane="bottomLeft" activeCell="D29" sqref="D29"/>
      <selection pane="bottomRight" activeCell="D29" sqref="D29"/>
    </sheetView>
  </sheetViews>
  <sheetFormatPr defaultRowHeight="17.399999999999999"/>
  <cols>
    <col min="1" max="1" width="23.3984375" customWidth="1"/>
    <col min="2" max="2" width="22.8984375" customWidth="1"/>
    <col min="3" max="3" width="29.09765625" customWidth="1"/>
    <col min="4" max="4" width="21" customWidth="1"/>
    <col min="5" max="5" width="18.69921875" customWidth="1"/>
    <col min="6" max="6" width="25.69921875" style="47" customWidth="1"/>
    <col min="7" max="7" width="26.5" customWidth="1"/>
    <col min="8" max="8" width="25.09765625" customWidth="1"/>
    <col min="9" max="9" width="29.19921875" customWidth="1"/>
    <col min="10" max="10" width="10.8984375" bestFit="1" customWidth="1"/>
  </cols>
  <sheetData>
    <row r="5" spans="1:9" ht="19.5" customHeight="1"/>
    <row r="6" spans="1:9" ht="19.5" customHeight="1">
      <c r="A6" s="2020" t="s">
        <v>1043</v>
      </c>
      <c r="B6" s="2020"/>
      <c r="C6" s="2020"/>
      <c r="D6" s="2020"/>
      <c r="E6" s="2020"/>
      <c r="F6" s="2020"/>
      <c r="G6" s="1"/>
      <c r="H6" s="1"/>
      <c r="I6" s="1"/>
    </row>
    <row r="7" spans="1:9" ht="19.5" customHeight="1">
      <c r="A7" s="2020"/>
      <c r="B7" s="2020"/>
      <c r="C7" s="2020"/>
      <c r="D7" s="2020"/>
      <c r="E7" s="2020"/>
      <c r="F7" s="2020"/>
      <c r="G7" s="1"/>
      <c r="H7" s="1"/>
      <c r="I7" s="1"/>
    </row>
    <row r="8" spans="1:9" ht="19.5" customHeight="1">
      <c r="A8" s="2020"/>
      <c r="B8" s="2020"/>
      <c r="C8" s="2020"/>
      <c r="D8" s="2020"/>
      <c r="E8" s="2020"/>
      <c r="F8" s="2020"/>
      <c r="G8" s="1"/>
      <c r="H8" s="1"/>
      <c r="I8" s="1"/>
    </row>
    <row r="9" spans="1:9" ht="19.5" customHeight="1">
      <c r="A9" s="2020"/>
      <c r="B9" s="2020"/>
      <c r="C9" s="2020"/>
      <c r="D9" s="2020"/>
      <c r="E9" s="2020"/>
      <c r="F9" s="2020"/>
      <c r="G9" s="2"/>
      <c r="H9" s="2"/>
      <c r="I9" s="2"/>
    </row>
    <row r="10" spans="1:9" ht="19.5" customHeight="1" thickBot="1">
      <c r="A10" s="2020"/>
      <c r="B10" s="2020"/>
      <c r="C10" s="2020"/>
      <c r="D10" s="2020"/>
      <c r="E10" s="2020"/>
      <c r="F10" s="2020"/>
      <c r="G10" s="2"/>
      <c r="H10" s="2"/>
      <c r="I10" s="2"/>
    </row>
    <row r="11" spans="1:9" ht="23.25" customHeight="1">
      <c r="A11" s="2021" t="s">
        <v>0</v>
      </c>
      <c r="B11" s="2023" t="s">
        <v>1</v>
      </c>
      <c r="C11" s="2024" t="s">
        <v>2</v>
      </c>
      <c r="D11" s="2024" t="s">
        <v>3</v>
      </c>
      <c r="E11" s="2025" t="s">
        <v>4</v>
      </c>
      <c r="F11" s="2026" t="s">
        <v>5</v>
      </c>
      <c r="G11" s="2027"/>
      <c r="H11" s="2027"/>
      <c r="I11" s="2028"/>
    </row>
    <row r="12" spans="1:9" ht="23.25" customHeight="1">
      <c r="A12" s="2022"/>
      <c r="B12" s="2003"/>
      <c r="C12" s="2004"/>
      <c r="D12" s="2004"/>
      <c r="E12" s="2005"/>
      <c r="F12" s="82" t="s">
        <v>6</v>
      </c>
      <c r="G12" s="3" t="s">
        <v>7</v>
      </c>
      <c r="H12" s="3" t="s">
        <v>101</v>
      </c>
      <c r="I12" s="271" t="s">
        <v>8</v>
      </c>
    </row>
    <row r="13" spans="1:9" s="97" customFormat="1" ht="23.25" customHeight="1">
      <c r="A13" s="2010" t="s">
        <v>9</v>
      </c>
      <c r="B13" s="88" t="s">
        <v>1016</v>
      </c>
      <c r="C13" s="89" t="s">
        <v>1019</v>
      </c>
      <c r="D13" s="90">
        <v>45373</v>
      </c>
      <c r="E13" s="91">
        <f>VLOOKUP(D13,환율!$A$1798:$B$2033,2,)</f>
        <v>1326.3</v>
      </c>
      <c r="F13" s="92">
        <v>371806.66</v>
      </c>
      <c r="G13" s="93">
        <f t="shared" ref="G13:G15" si="0">ROUNDDOWN(F13*E13,0)</f>
        <v>493127173</v>
      </c>
      <c r="H13" s="94" ph="1"/>
      <c r="I13" s="254"/>
    </row>
    <row r="14" spans="1:9" s="97" customFormat="1" ht="23.25" customHeight="1">
      <c r="A14" s="2011"/>
      <c r="B14" s="88" t="s">
        <v>1017</v>
      </c>
      <c r="C14" s="89" t="s">
        <v>1025</v>
      </c>
      <c r="D14" s="90">
        <v>45381</v>
      </c>
      <c r="E14" s="91">
        <f>VLOOKUP(D14,환율!$A$1798:$B$2033,2,)</f>
        <v>1346.8</v>
      </c>
      <c r="F14" s="92">
        <v>394934.62</v>
      </c>
      <c r="G14" s="93">
        <f t="shared" si="0"/>
        <v>531897946</v>
      </c>
      <c r="H14" s="94" ph="1"/>
      <c r="I14" s="254"/>
    </row>
    <row r="15" spans="1:9" s="97" customFormat="1" ht="23.25" customHeight="1">
      <c r="A15" s="2011"/>
      <c r="B15" s="99" t="s">
        <v>1018</v>
      </c>
      <c r="C15" s="100" t="s">
        <v>1024</v>
      </c>
      <c r="D15" s="101">
        <v>45388</v>
      </c>
      <c r="E15" s="102">
        <f>VLOOKUP(D15,환율!$A$1798:$B$2033,2,)</f>
        <v>1346.8</v>
      </c>
      <c r="F15" s="103">
        <v>469459.26</v>
      </c>
      <c r="G15" s="104">
        <f t="shared" si="0"/>
        <v>632267731</v>
      </c>
      <c r="H15" s="105" ph="1"/>
      <c r="I15" s="272"/>
    </row>
    <row r="16" spans="1:9" s="97" customFormat="1" ht="23.25" customHeight="1">
      <c r="A16" s="259"/>
      <c r="B16" s="113"/>
      <c r="C16" s="113" t="s">
        <v>10</v>
      </c>
      <c r="D16" s="113"/>
      <c r="E16" s="114"/>
      <c r="F16" s="115">
        <f>SUM(F13:F15)</f>
        <v>1236200.54</v>
      </c>
      <c r="G16" s="116">
        <f>SUM(G13:G15)</f>
        <v>1657292850</v>
      </c>
      <c r="H16" s="116">
        <v>1898342252</v>
      </c>
      <c r="I16" s="260">
        <f>+G16-H16</f>
        <v>-241049402</v>
      </c>
    </row>
    <row r="17" spans="1:9" s="120" customFormat="1" ht="23.25" customHeight="1">
      <c r="A17" s="2010" t="s">
        <v>11</v>
      </c>
      <c r="B17" s="117" t="s">
        <v>1026</v>
      </c>
      <c r="C17" s="89" t="s">
        <v>1038</v>
      </c>
      <c r="D17" s="90">
        <v>45382</v>
      </c>
      <c r="E17" s="91">
        <f>VLOOKUP(D17,환율!$A$1798:$B$2033,2,)</f>
        <v>1346.8</v>
      </c>
      <c r="F17" s="118">
        <v>37413.839999999997</v>
      </c>
      <c r="G17" s="93">
        <f t="shared" ref="G17:G53" si="1">ROUNDDOWN(F17*E17,0)</f>
        <v>50388959</v>
      </c>
      <c r="H17" s="119"/>
      <c r="I17" s="254"/>
    </row>
    <row r="18" spans="1:9" s="120" customFormat="1" ht="23.25" customHeight="1">
      <c r="A18" s="2011"/>
      <c r="B18" s="117" t="s">
        <v>1027</v>
      </c>
      <c r="C18" s="89" t="s">
        <v>1039</v>
      </c>
      <c r="D18" s="90">
        <v>45359</v>
      </c>
      <c r="E18" s="91">
        <f>VLOOKUP(D18,환율!$A$1798:$B$2033,2,)</f>
        <v>1329.6</v>
      </c>
      <c r="F18" s="118">
        <v>26809.919999999998</v>
      </c>
      <c r="G18" s="93">
        <f t="shared" si="1"/>
        <v>35646469</v>
      </c>
      <c r="H18" s="119"/>
      <c r="I18" s="254"/>
    </row>
    <row r="19" spans="1:9" s="120" customFormat="1" ht="23.25" customHeight="1">
      <c r="A19" s="2011"/>
      <c r="B19" s="117" t="s">
        <v>1028</v>
      </c>
      <c r="C19" s="89" t="s">
        <v>1040</v>
      </c>
      <c r="D19" s="90">
        <v>45359</v>
      </c>
      <c r="E19" s="91">
        <f>VLOOKUP(D19,환율!$A$1798:$B$2033,2,)</f>
        <v>1329.6</v>
      </c>
      <c r="F19" s="118">
        <v>117</v>
      </c>
      <c r="G19" s="93">
        <f t="shared" si="1"/>
        <v>155563</v>
      </c>
      <c r="H19" s="119"/>
      <c r="I19" s="254"/>
    </row>
    <row r="20" spans="1:9" s="120" customFormat="1" ht="23.25" customHeight="1">
      <c r="A20" s="2011"/>
      <c r="B20" s="117" t="s">
        <v>1029</v>
      </c>
      <c r="C20" s="89" t="s">
        <v>1041</v>
      </c>
      <c r="D20" s="90">
        <v>45359</v>
      </c>
      <c r="E20" s="91">
        <f>VLOOKUP(D20,환율!$A$1798:$B$2033,2,)</f>
        <v>1329.6</v>
      </c>
      <c r="F20" s="118">
        <v>419.46</v>
      </c>
      <c r="G20" s="93">
        <f t="shared" si="1"/>
        <v>557714</v>
      </c>
      <c r="H20" s="119"/>
      <c r="I20" s="254"/>
    </row>
    <row r="21" spans="1:9" s="120" customFormat="1" ht="23.25" customHeight="1">
      <c r="A21" s="2011"/>
      <c r="B21" s="117" t="s">
        <v>1031</v>
      </c>
      <c r="C21" s="89" t="s">
        <v>1044</v>
      </c>
      <c r="D21" s="90">
        <v>45369</v>
      </c>
      <c r="E21" s="91">
        <f>VLOOKUP(D21,환율!$A$1798:$B$2033,2,)</f>
        <v>1328.4</v>
      </c>
      <c r="F21" s="118">
        <v>13014.72</v>
      </c>
      <c r="G21" s="93">
        <f t="shared" si="1"/>
        <v>17288754</v>
      </c>
      <c r="H21" s="119"/>
      <c r="I21" s="254"/>
    </row>
    <row r="22" spans="1:9" s="120" customFormat="1" ht="23.25" customHeight="1">
      <c r="A22" s="2011"/>
      <c r="B22" s="117" t="s">
        <v>1032</v>
      </c>
      <c r="C22" s="89" t="s">
        <v>1163</v>
      </c>
      <c r="D22" s="90">
        <v>45376</v>
      </c>
      <c r="E22" s="91">
        <f>VLOOKUP(D22,환율!$A$1798:$B$2033,2,)</f>
        <v>1336.1</v>
      </c>
      <c r="F22" s="118">
        <v>8877.6</v>
      </c>
      <c r="G22" s="93">
        <f t="shared" si="1"/>
        <v>11861361</v>
      </c>
      <c r="H22" s="119"/>
      <c r="I22" s="254"/>
    </row>
    <row r="23" spans="1:9" s="120" customFormat="1" ht="23.25" customHeight="1">
      <c r="A23" s="2011"/>
      <c r="B23" s="117" t="s">
        <v>1033</v>
      </c>
      <c r="C23" s="89" t="s">
        <v>1164</v>
      </c>
      <c r="D23" s="90">
        <v>45376</v>
      </c>
      <c r="E23" s="91">
        <f>VLOOKUP(D23,환율!$A$1798:$B$2033,2,)</f>
        <v>1336.1</v>
      </c>
      <c r="F23" s="118">
        <v>545.4</v>
      </c>
      <c r="G23" s="93">
        <f t="shared" si="1"/>
        <v>728708</v>
      </c>
      <c r="H23" s="119"/>
      <c r="I23" s="254"/>
    </row>
    <row r="24" spans="1:9" s="120" customFormat="1" ht="23.25" customHeight="1">
      <c r="A24" s="2011"/>
      <c r="B24" s="117" t="s">
        <v>1035</v>
      </c>
      <c r="C24" s="89" t="s">
        <v>1047</v>
      </c>
      <c r="D24" s="90">
        <v>45376</v>
      </c>
      <c r="E24" s="91">
        <f>VLOOKUP(D24,환율!$A$1798:$B$2033,2,)</f>
        <v>1336.1</v>
      </c>
      <c r="F24" s="118">
        <v>1092.3</v>
      </c>
      <c r="G24" s="93">
        <f t="shared" si="1"/>
        <v>1459422</v>
      </c>
      <c r="H24" s="119"/>
      <c r="I24" s="254"/>
    </row>
    <row r="25" spans="1:9" s="97" customFormat="1" ht="23.25" customHeight="1">
      <c r="A25" s="2011"/>
      <c r="B25" s="117" t="s">
        <v>1036</v>
      </c>
      <c r="C25" s="89" t="s">
        <v>1046</v>
      </c>
      <c r="D25" s="90">
        <v>45376</v>
      </c>
      <c r="E25" s="91">
        <f>VLOOKUP(D25,환율!$A$1798:$B$2033,2,)</f>
        <v>1336.1</v>
      </c>
      <c r="F25" s="118">
        <v>201.96</v>
      </c>
      <c r="G25" s="93">
        <f t="shared" si="1"/>
        <v>269838</v>
      </c>
      <c r="H25" s="119"/>
      <c r="I25" s="254"/>
    </row>
    <row r="26" spans="1:9" s="97" customFormat="1" ht="23.25" customHeight="1">
      <c r="A26" s="2011"/>
      <c r="B26" s="121" t="s">
        <v>1030</v>
      </c>
      <c r="C26" s="100" t="s">
        <v>1042</v>
      </c>
      <c r="D26" s="101">
        <v>45395</v>
      </c>
      <c r="E26" s="102">
        <v>1349.1</v>
      </c>
      <c r="F26" s="122">
        <v>31222.799999999999</v>
      </c>
      <c r="G26" s="104">
        <v>42122679</v>
      </c>
      <c r="H26" s="123"/>
      <c r="I26" s="272"/>
    </row>
    <row r="27" spans="1:9" s="97" customFormat="1" ht="23.25" customHeight="1">
      <c r="A27" s="2011"/>
      <c r="B27" s="121" t="s">
        <v>1034</v>
      </c>
      <c r="C27" s="100" t="s">
        <v>1048</v>
      </c>
      <c r="D27" s="101">
        <v>45395</v>
      </c>
      <c r="E27" s="102">
        <v>1349.1</v>
      </c>
      <c r="F27" s="122">
        <v>95018.16</v>
      </c>
      <c r="G27" s="104">
        <v>128188999</v>
      </c>
      <c r="H27" s="123"/>
      <c r="I27" s="272"/>
    </row>
    <row r="28" spans="1:9" s="97" customFormat="1" ht="23.25" customHeight="1">
      <c r="A28" s="2011"/>
      <c r="B28" s="121" t="s">
        <v>1037</v>
      </c>
      <c r="C28" s="100" t="s">
        <v>1045</v>
      </c>
      <c r="D28" s="101">
        <v>45383</v>
      </c>
      <c r="E28" s="102">
        <f>VLOOKUP(D28,환율!$A$1798:$B$2033,2,)</f>
        <v>1347.4</v>
      </c>
      <c r="F28" s="122">
        <v>36154.080000000002</v>
      </c>
      <c r="G28" s="104">
        <f t="shared" si="1"/>
        <v>48714007</v>
      </c>
      <c r="H28" s="123"/>
      <c r="I28" s="272"/>
    </row>
    <row r="29" spans="1:9" s="97" customFormat="1" ht="23.25" customHeight="1">
      <c r="A29" s="259"/>
      <c r="B29" s="113"/>
      <c r="C29" s="113" t="s">
        <v>10</v>
      </c>
      <c r="D29" s="113"/>
      <c r="E29" s="114"/>
      <c r="F29" s="127">
        <f>SUM(F17:F28)</f>
        <v>250887.24</v>
      </c>
      <c r="G29" s="116">
        <f>SUM(G17:G28)</f>
        <v>337382473</v>
      </c>
      <c r="H29" s="116">
        <v>368538167</v>
      </c>
      <c r="I29" s="260">
        <f>+G29-H29</f>
        <v>-31155694</v>
      </c>
    </row>
    <row r="30" spans="1:9" s="126" customFormat="1" ht="23.25" customHeight="1">
      <c r="A30" s="2010" t="s">
        <v>12</v>
      </c>
      <c r="B30" s="117" t="s">
        <v>1049</v>
      </c>
      <c r="C30" s="129" t="s">
        <v>1070</v>
      </c>
      <c r="D30" s="136">
        <v>45357</v>
      </c>
      <c r="E30" s="91">
        <f>VLOOKUP(D30,환율!$A$1798:$B$2033,2,)</f>
        <v>1333.2</v>
      </c>
      <c r="F30" s="134">
        <v>102904.2</v>
      </c>
      <c r="G30" s="93">
        <f t="shared" si="1"/>
        <v>137191879</v>
      </c>
      <c r="H30" s="135"/>
      <c r="I30" s="255"/>
    </row>
    <row r="31" spans="1:9" s="126" customFormat="1" ht="23.25" customHeight="1">
      <c r="A31" s="2011"/>
      <c r="B31" s="117" t="s">
        <v>1050</v>
      </c>
      <c r="C31" s="129" t="s">
        <v>1071</v>
      </c>
      <c r="D31" s="136">
        <v>45363</v>
      </c>
      <c r="E31" s="91">
        <f>VLOOKUP(D31,환율!$A$1798:$B$2033,2,)</f>
        <v>1314.4</v>
      </c>
      <c r="F31" s="134">
        <v>34203.599999999999</v>
      </c>
      <c r="G31" s="93">
        <f t="shared" si="1"/>
        <v>44957211</v>
      </c>
      <c r="H31" s="135"/>
      <c r="I31" s="255"/>
    </row>
    <row r="32" spans="1:9" s="126" customFormat="1" ht="23.25" customHeight="1">
      <c r="A32" s="2011"/>
      <c r="B32" s="117" t="s">
        <v>1051</v>
      </c>
      <c r="C32" s="129" t="s">
        <v>1072</v>
      </c>
      <c r="D32" s="136">
        <v>45369</v>
      </c>
      <c r="E32" s="91">
        <f>VLOOKUP(D32,환율!$A$1798:$B$2033,2,)</f>
        <v>1328.4</v>
      </c>
      <c r="F32" s="134">
        <v>83243.199999999997</v>
      </c>
      <c r="G32" s="93">
        <f t="shared" si="1"/>
        <v>110580266</v>
      </c>
      <c r="H32" s="135"/>
      <c r="I32" s="255"/>
    </row>
    <row r="33" spans="1:9" s="126" customFormat="1" ht="23.25" customHeight="1">
      <c r="A33" s="2011"/>
      <c r="B33" s="117" t="s">
        <v>1052</v>
      </c>
      <c r="C33" s="129" t="s">
        <v>1073</v>
      </c>
      <c r="D33" s="136">
        <v>45365</v>
      </c>
      <c r="E33" s="91">
        <f>VLOOKUP(D33,환율!$A$1798:$B$2033,2,)</f>
        <v>1312.8</v>
      </c>
      <c r="F33" s="134">
        <v>96886.36</v>
      </c>
      <c r="G33" s="93">
        <f t="shared" si="1"/>
        <v>127192413</v>
      </c>
      <c r="H33" s="135"/>
      <c r="I33" s="255"/>
    </row>
    <row r="34" spans="1:9" s="97" customFormat="1" ht="23.25" customHeight="1">
      <c r="A34" s="2011"/>
      <c r="B34" s="117" t="s">
        <v>1053</v>
      </c>
      <c r="C34" s="129" t="s">
        <v>1074</v>
      </c>
      <c r="D34" s="136">
        <v>45363</v>
      </c>
      <c r="E34" s="91">
        <f>VLOOKUP(D34,환율!$A$1798:$B$2033,2,)</f>
        <v>1314.4</v>
      </c>
      <c r="F34" s="134">
        <v>41102.800000000003</v>
      </c>
      <c r="G34" s="93">
        <f t="shared" si="1"/>
        <v>54025520</v>
      </c>
      <c r="H34" s="135"/>
      <c r="I34" s="255"/>
    </row>
    <row r="35" spans="1:9" s="97" customFormat="1" ht="23.25" customHeight="1">
      <c r="A35" s="2011"/>
      <c r="B35" s="117" t="s">
        <v>1054</v>
      </c>
      <c r="C35" s="129" t="s">
        <v>1075</v>
      </c>
      <c r="D35" s="136">
        <v>45369</v>
      </c>
      <c r="E35" s="91">
        <f>VLOOKUP(D35,환율!$A$1798:$B$2033,2,)</f>
        <v>1328.4</v>
      </c>
      <c r="F35" s="134">
        <v>65799.199999999997</v>
      </c>
      <c r="G35" s="93">
        <f t="shared" si="1"/>
        <v>87407657</v>
      </c>
      <c r="H35" s="135"/>
      <c r="I35" s="255"/>
    </row>
    <row r="36" spans="1:9" s="97" customFormat="1" ht="23.25" customHeight="1">
      <c r="A36" s="2011"/>
      <c r="B36" s="117" t="s">
        <v>1055</v>
      </c>
      <c r="C36" s="129" t="s">
        <v>1076</v>
      </c>
      <c r="D36" s="136">
        <v>45371</v>
      </c>
      <c r="E36" s="91">
        <f>VLOOKUP(D36,환율!$A$1798:$B$2033,2,)</f>
        <v>1338.5</v>
      </c>
      <c r="F36" s="134">
        <v>5342.4</v>
      </c>
      <c r="G36" s="93">
        <f t="shared" si="1"/>
        <v>7150802</v>
      </c>
      <c r="H36" s="135"/>
      <c r="I36" s="255"/>
    </row>
    <row r="37" spans="1:9" s="97" customFormat="1" ht="23.25" customHeight="1">
      <c r="A37" s="2011"/>
      <c r="B37" s="117" t="s">
        <v>1056</v>
      </c>
      <c r="C37" s="129" t="s">
        <v>1077</v>
      </c>
      <c r="D37" s="136">
        <v>45372</v>
      </c>
      <c r="E37" s="91">
        <f>VLOOKUP(D37,환율!$A$1798:$B$2033,2,)</f>
        <v>1338.7</v>
      </c>
      <c r="F37" s="134">
        <v>132347.6</v>
      </c>
      <c r="G37" s="93">
        <f t="shared" si="1"/>
        <v>177173732</v>
      </c>
      <c r="H37" s="135"/>
      <c r="I37" s="255"/>
    </row>
    <row r="38" spans="1:9" s="97" customFormat="1" ht="23.25" customHeight="1">
      <c r="A38" s="2011"/>
      <c r="B38" s="117" t="s">
        <v>1057</v>
      </c>
      <c r="C38" s="129" t="s">
        <v>1078</v>
      </c>
      <c r="D38" s="136">
        <v>45382</v>
      </c>
      <c r="E38" s="91">
        <f>VLOOKUP(D38,환율!$A$1798:$B$2033,2,)</f>
        <v>1346.8</v>
      </c>
      <c r="F38" s="134">
        <v>9352.7999999999993</v>
      </c>
      <c r="G38" s="93">
        <f t="shared" si="1"/>
        <v>12596351</v>
      </c>
      <c r="H38" s="135"/>
      <c r="I38" s="255"/>
    </row>
    <row r="39" spans="1:9" s="97" customFormat="1" ht="23.25" customHeight="1">
      <c r="A39" s="2011"/>
      <c r="B39" s="117" t="s">
        <v>1058</v>
      </c>
      <c r="C39" s="129" t="s">
        <v>1079</v>
      </c>
      <c r="D39" s="136">
        <v>45371</v>
      </c>
      <c r="E39" s="91">
        <f>VLOOKUP(D39,환율!$A$1798:$B$2033,2,)</f>
        <v>1338.5</v>
      </c>
      <c r="F39" s="134">
        <v>34203.599999999999</v>
      </c>
      <c r="G39" s="93">
        <f t="shared" si="1"/>
        <v>45781518</v>
      </c>
      <c r="H39" s="135"/>
      <c r="I39" s="255"/>
    </row>
    <row r="40" spans="1:9" s="97" customFormat="1" ht="23.25" customHeight="1">
      <c r="A40" s="2011"/>
      <c r="B40" s="117" t="s">
        <v>1059</v>
      </c>
      <c r="C40" s="129" t="s">
        <v>1080</v>
      </c>
      <c r="D40" s="136">
        <v>45382</v>
      </c>
      <c r="E40" s="91">
        <f>VLOOKUP(D40,환율!$A$1798:$B$2033,2,)</f>
        <v>1346.8</v>
      </c>
      <c r="F40" s="134">
        <v>28916.75</v>
      </c>
      <c r="G40" s="93">
        <f t="shared" si="1"/>
        <v>38945078</v>
      </c>
      <c r="H40" s="135"/>
      <c r="I40" s="255"/>
    </row>
    <row r="41" spans="1:9" s="97" customFormat="1" ht="23.25" customHeight="1">
      <c r="A41" s="2011"/>
      <c r="B41" s="117" t="s">
        <v>1060</v>
      </c>
      <c r="C41" s="129" t="s">
        <v>1081</v>
      </c>
      <c r="D41" s="136">
        <v>45371</v>
      </c>
      <c r="E41" s="91">
        <f>VLOOKUP(D41,환율!$A$1798:$B$2033,2,)</f>
        <v>1338.5</v>
      </c>
      <c r="F41" s="134">
        <v>43245.440000000002</v>
      </c>
      <c r="G41" s="93">
        <f t="shared" si="1"/>
        <v>57884021</v>
      </c>
      <c r="H41" s="135"/>
      <c r="I41" s="255"/>
    </row>
    <row r="42" spans="1:9" s="97" customFormat="1" ht="23.25" customHeight="1">
      <c r="A42" s="2011"/>
      <c r="B42" s="117" t="s">
        <v>1062</v>
      </c>
      <c r="C42" s="129" t="s">
        <v>1082</v>
      </c>
      <c r="D42" s="136">
        <v>45380</v>
      </c>
      <c r="E42" s="91">
        <f>VLOOKUP(D42,환율!$A$1798:$B$2033,2,)</f>
        <v>1346.8</v>
      </c>
      <c r="F42" s="134">
        <v>160274.51999999999</v>
      </c>
      <c r="G42" s="93">
        <f t="shared" si="1"/>
        <v>215857723</v>
      </c>
      <c r="H42" s="135"/>
      <c r="I42" s="255"/>
    </row>
    <row r="43" spans="1:9" s="126" customFormat="1" ht="23.25" customHeight="1">
      <c r="A43" s="2011"/>
      <c r="B43" s="117" t="s">
        <v>1065</v>
      </c>
      <c r="C43" s="129" t="s">
        <v>1085</v>
      </c>
      <c r="D43" s="90">
        <v>45382</v>
      </c>
      <c r="E43" s="91">
        <f>VLOOKUP(D43,환율!$A$1798:$B$2033,2,)</f>
        <v>1346.8</v>
      </c>
      <c r="F43" s="134">
        <v>6100</v>
      </c>
      <c r="G43" s="93">
        <f t="shared" ref="G43" si="2">ROUNDDOWN(F43*E43,0)</f>
        <v>8215480</v>
      </c>
      <c r="H43" s="135"/>
      <c r="I43" s="255"/>
    </row>
    <row r="44" spans="1:9" s="97" customFormat="1" ht="23.25" customHeight="1">
      <c r="A44" s="2011"/>
      <c r="B44" s="117" t="s">
        <v>1066</v>
      </c>
      <c r="C44" s="129" t="s">
        <v>1086</v>
      </c>
      <c r="D44" s="90">
        <v>45373</v>
      </c>
      <c r="E44" s="91">
        <f>VLOOKUP(D44,환율!$A$1798:$B$2033,2,)</f>
        <v>1326.3</v>
      </c>
      <c r="F44" s="134">
        <v>427.2</v>
      </c>
      <c r="G44" s="93">
        <f t="shared" ref="G44:G50" si="3">IFERROR(ROUNDDOWN(F44*E44,0),"")</f>
        <v>566595</v>
      </c>
      <c r="H44" s="135"/>
      <c r="I44" s="255"/>
    </row>
    <row r="45" spans="1:9" s="97" customFormat="1" ht="23.25" customHeight="1">
      <c r="A45" s="2011"/>
      <c r="B45" s="121" t="s">
        <v>1061</v>
      </c>
      <c r="C45" s="137" t="s">
        <v>1178</v>
      </c>
      <c r="D45" s="101">
        <v>45390</v>
      </c>
      <c r="E45" s="102">
        <f>VLOOKUP(D45,환율!$A$1798:$B$2033,2,)</f>
        <v>1351.8</v>
      </c>
      <c r="F45" s="138">
        <v>3096.48</v>
      </c>
      <c r="G45" s="104">
        <f t="shared" ref="G45:G47" si="4">ROUNDDOWN(F45*E45,0)</f>
        <v>4185821</v>
      </c>
      <c r="H45" s="139"/>
      <c r="I45" s="258"/>
    </row>
    <row r="46" spans="1:9" s="97" customFormat="1" ht="23.25" customHeight="1">
      <c r="A46" s="2011"/>
      <c r="B46" s="121" t="s">
        <v>1063</v>
      </c>
      <c r="C46" s="137" t="s">
        <v>1083</v>
      </c>
      <c r="D46" s="101">
        <v>45393</v>
      </c>
      <c r="E46" s="102">
        <f>VLOOKUP(D46,환율!$A$1798:$B$2033,2,)</f>
        <v>1354.4</v>
      </c>
      <c r="F46" s="138">
        <v>59556</v>
      </c>
      <c r="G46" s="104">
        <f t="shared" si="4"/>
        <v>80662646</v>
      </c>
      <c r="H46" s="139"/>
      <c r="I46" s="258"/>
    </row>
    <row r="47" spans="1:9" s="97" customFormat="1" ht="23.25" customHeight="1">
      <c r="A47" s="2011"/>
      <c r="B47" s="121" t="s">
        <v>1064</v>
      </c>
      <c r="C47" s="137" t="s">
        <v>1084</v>
      </c>
      <c r="D47" s="101">
        <v>45384</v>
      </c>
      <c r="E47" s="102">
        <f>VLOOKUP(D47,환율!$A$1798:$B$2033,2,)</f>
        <v>1347.1</v>
      </c>
      <c r="F47" s="138">
        <v>52045.2</v>
      </c>
      <c r="G47" s="104">
        <f t="shared" si="4"/>
        <v>70110088</v>
      </c>
      <c r="H47" s="139"/>
      <c r="I47" s="258"/>
    </row>
    <row r="48" spans="1:9" s="97" customFormat="1" ht="23.25" customHeight="1">
      <c r="A48" s="2011"/>
      <c r="B48" s="121" t="s">
        <v>1067</v>
      </c>
      <c r="C48" s="137" t="s">
        <v>1087</v>
      </c>
      <c r="D48" s="101">
        <v>45390</v>
      </c>
      <c r="E48" s="102">
        <f>VLOOKUP(D48,환율!$A$1798:$B$2033,2,)</f>
        <v>1351.8</v>
      </c>
      <c r="F48" s="138">
        <v>2392.3200000000002</v>
      </c>
      <c r="G48" s="104">
        <f t="shared" si="3"/>
        <v>3233938</v>
      </c>
      <c r="H48" s="139"/>
      <c r="I48" s="258"/>
    </row>
    <row r="49" spans="1:10" s="97" customFormat="1" ht="23.25" customHeight="1">
      <c r="A49" s="2011"/>
      <c r="B49" s="121" t="s">
        <v>1068</v>
      </c>
      <c r="C49" s="137" t="s">
        <v>1088</v>
      </c>
      <c r="D49" s="101">
        <v>45390</v>
      </c>
      <c r="E49" s="102">
        <f>VLOOKUP(D49,환율!$A$1798:$B$2033,2,)</f>
        <v>1351.8</v>
      </c>
      <c r="F49" s="138">
        <v>125932.8</v>
      </c>
      <c r="G49" s="104">
        <f t="shared" si="3"/>
        <v>170235959</v>
      </c>
      <c r="H49" s="139"/>
      <c r="I49" s="258"/>
    </row>
    <row r="50" spans="1:10" s="97" customFormat="1" ht="23.25" customHeight="1">
      <c r="A50" s="2011"/>
      <c r="B50" s="121" t="s">
        <v>1069</v>
      </c>
      <c r="C50" s="137" t="s">
        <v>1089</v>
      </c>
      <c r="D50" s="101">
        <v>45394</v>
      </c>
      <c r="E50" s="102">
        <f>VLOOKUP(D50,환율!$A$1798:$B$2033,2,)</f>
        <v>1363.7</v>
      </c>
      <c r="F50" s="138">
        <v>48</v>
      </c>
      <c r="G50" s="104">
        <f t="shared" si="3"/>
        <v>65457</v>
      </c>
      <c r="H50" s="139"/>
      <c r="I50" s="258"/>
    </row>
    <row r="51" spans="1:10" s="97" customFormat="1" ht="23.25" customHeight="1">
      <c r="A51" s="259"/>
      <c r="B51" s="113"/>
      <c r="C51" s="113" t="s">
        <v>10</v>
      </c>
      <c r="D51" s="113"/>
      <c r="E51" s="114"/>
      <c r="F51" s="127">
        <f>SUM(F30:F50)</f>
        <v>1087420.4699999997</v>
      </c>
      <c r="G51" s="116">
        <f>SUM(G30:G50)</f>
        <v>1454020155</v>
      </c>
      <c r="H51" s="116">
        <v>1371929563</v>
      </c>
      <c r="I51" s="260">
        <f>+G51-H51</f>
        <v>82090592</v>
      </c>
    </row>
    <row r="52" spans="1:10" s="97" customFormat="1" ht="23.25" customHeight="1">
      <c r="A52" s="2017" t="s">
        <v>13</v>
      </c>
      <c r="B52" s="117" t="s">
        <v>1090</v>
      </c>
      <c r="C52" s="142" t="s">
        <v>1092</v>
      </c>
      <c r="D52" s="89">
        <v>45366</v>
      </c>
      <c r="E52" s="91">
        <f>VLOOKUP(D52,환율!$A$1798:$B$2033,2,)</f>
        <v>1316.9</v>
      </c>
      <c r="F52" s="143">
        <v>119748.02</v>
      </c>
      <c r="G52" s="93">
        <f t="shared" si="1"/>
        <v>157696167</v>
      </c>
      <c r="H52" s="142"/>
      <c r="I52" s="274"/>
    </row>
    <row r="53" spans="1:10" s="97" customFormat="1" ht="23.25" customHeight="1">
      <c r="A53" s="2017"/>
      <c r="B53" s="121" t="s">
        <v>1091</v>
      </c>
      <c r="C53" s="224" t="s">
        <v>1093</v>
      </c>
      <c r="D53" s="100">
        <v>45385</v>
      </c>
      <c r="E53" s="102">
        <f>VLOOKUP(D53,환율!$A$1798:$B$2033,2,)</f>
        <v>1353</v>
      </c>
      <c r="F53" s="103">
        <v>99416.55</v>
      </c>
      <c r="G53" s="104">
        <f t="shared" si="1"/>
        <v>134510592</v>
      </c>
      <c r="H53" s="224"/>
      <c r="I53" s="275"/>
    </row>
    <row r="54" spans="1:10" s="97" customFormat="1" ht="23.25" customHeight="1">
      <c r="A54" s="259"/>
      <c r="B54" s="113"/>
      <c r="C54" s="113" t="s">
        <v>10</v>
      </c>
      <c r="D54" s="113"/>
      <c r="E54" s="114"/>
      <c r="F54" s="127">
        <f>SUM(F52:F53)</f>
        <v>219164.57</v>
      </c>
      <c r="G54" s="116">
        <f>SUM(G52:G53)</f>
        <v>292206759</v>
      </c>
      <c r="H54" s="116">
        <v>187057839</v>
      </c>
      <c r="I54" s="260">
        <f>+G54-H54</f>
        <v>105148920</v>
      </c>
    </row>
    <row r="55" spans="1:10" s="97" customFormat="1" ht="23.25" customHeight="1">
      <c r="A55" s="2010" t="s">
        <v>35</v>
      </c>
      <c r="B55" s="152" t="s">
        <v>1168</v>
      </c>
      <c r="C55" s="152" t="s">
        <v>949</v>
      </c>
      <c r="D55" s="101">
        <v>45396</v>
      </c>
      <c r="E55" s="102">
        <f>VLOOKUP(D55,환율!$A$1798:$B$2033,2,)</f>
        <v>1363.7</v>
      </c>
      <c r="F55" s="103">
        <f>G55/E55</f>
        <v>5296.5380948889051</v>
      </c>
      <c r="G55" s="104">
        <v>7222889</v>
      </c>
      <c r="H55" s="224"/>
      <c r="I55" s="276"/>
      <c r="J55" s="126"/>
    </row>
    <row r="56" spans="1:10" s="97" customFormat="1" ht="23.25" customHeight="1">
      <c r="A56" s="2011"/>
      <c r="B56" s="152" t="s">
        <v>1169</v>
      </c>
      <c r="C56" s="152" t="s">
        <v>1179</v>
      </c>
      <c r="D56" s="101">
        <v>45414</v>
      </c>
      <c r="E56" s="102">
        <f>VLOOKUP(D56,환율!$A$1798:$B$2033,2,)</f>
        <v>1378</v>
      </c>
      <c r="F56" s="103">
        <f>G56/E56</f>
        <v>23186.346153846152</v>
      </c>
      <c r="G56" s="104">
        <v>31950785</v>
      </c>
      <c r="H56" s="224"/>
      <c r="I56" s="276"/>
      <c r="J56" s="126"/>
    </row>
    <row r="57" spans="1:10" s="97" customFormat="1" ht="23.25" customHeight="1">
      <c r="A57" s="2019"/>
      <c r="B57" s="285" t="s">
        <v>1170</v>
      </c>
      <c r="C57" s="285"/>
      <c r="D57" s="108">
        <v>45379</v>
      </c>
      <c r="E57" s="109">
        <f>VLOOKUP(D57,환율!$A$1798:$B$2033,2,)</f>
        <v>1345.8</v>
      </c>
      <c r="F57" s="110">
        <f>G57/E57</f>
        <v>4829.8409867736664</v>
      </c>
      <c r="G57" s="111">
        <v>6500000</v>
      </c>
      <c r="H57" s="286"/>
      <c r="I57" s="287"/>
      <c r="J57" s="126"/>
    </row>
    <row r="58" spans="1:10" s="97" customFormat="1" ht="23.25" customHeight="1">
      <c r="A58" s="259"/>
      <c r="B58" s="113"/>
      <c r="C58" s="113" t="s">
        <v>10</v>
      </c>
      <c r="D58" s="113"/>
      <c r="E58" s="114"/>
      <c r="F58" s="127">
        <f>SUM(F55:F57)</f>
        <v>33312.725235508726</v>
      </c>
      <c r="G58" s="116">
        <f>SUM(G55:G57)</f>
        <v>45673674</v>
      </c>
      <c r="H58" s="116">
        <v>4716020</v>
      </c>
      <c r="I58" s="260">
        <f>+G58-H58</f>
        <v>40957654</v>
      </c>
    </row>
    <row r="59" spans="1:10" s="97" customFormat="1" ht="23.25" customHeight="1">
      <c r="A59" s="2012" t="s">
        <v>47</v>
      </c>
      <c r="B59" s="155" t="s">
        <v>1094</v>
      </c>
      <c r="C59" s="146" t="s">
        <v>1096</v>
      </c>
      <c r="D59" s="146">
        <v>45371</v>
      </c>
      <c r="E59" s="91">
        <f>VLOOKUP(D59,환율!$A$1798:$B$2033,2,)</f>
        <v>1338.5</v>
      </c>
      <c r="F59" s="118">
        <v>39476</v>
      </c>
      <c r="G59" s="93">
        <f t="shared" ref="G59:G60" si="5">ROUNDDOWN(F59*E59,0)</f>
        <v>52838626</v>
      </c>
      <c r="H59" s="156"/>
      <c r="I59" s="263"/>
    </row>
    <row r="60" spans="1:10" s="97" customFormat="1" ht="23.25" customHeight="1">
      <c r="A60" s="2013"/>
      <c r="B60" s="229" t="s">
        <v>1095</v>
      </c>
      <c r="C60" s="169" t="s">
        <v>1097</v>
      </c>
      <c r="D60" s="100">
        <v>45392</v>
      </c>
      <c r="E60" s="102">
        <f>VLOOKUP(D60,환율!$A$1798:$B$2033,2,)</f>
        <v>1353.6</v>
      </c>
      <c r="F60" s="122">
        <v>36515.300000000003</v>
      </c>
      <c r="G60" s="104">
        <f t="shared" si="5"/>
        <v>49427110</v>
      </c>
      <c r="H60" s="185"/>
      <c r="I60" s="277"/>
    </row>
    <row r="61" spans="1:10" s="97" customFormat="1" ht="23.25" customHeight="1">
      <c r="A61" s="278"/>
      <c r="B61" s="158"/>
      <c r="C61" s="158" t="s">
        <v>10</v>
      </c>
      <c r="D61" s="158"/>
      <c r="E61" s="158"/>
      <c r="F61" s="230">
        <f>SUM(F59:F60)</f>
        <v>75991.3</v>
      </c>
      <c r="G61" s="231">
        <f>SUM(G59:G60)</f>
        <v>102265736</v>
      </c>
      <c r="H61" s="231">
        <v>104074525</v>
      </c>
      <c r="I61" s="279">
        <f>+G61-H61</f>
        <v>-1808789</v>
      </c>
    </row>
    <row r="62" spans="1:10" s="97" customFormat="1" ht="23.25" customHeight="1">
      <c r="A62" s="2010" t="s">
        <v>34</v>
      </c>
      <c r="B62" s="173" t="s">
        <v>1098</v>
      </c>
      <c r="C62" s="174" t="s">
        <v>1100</v>
      </c>
      <c r="D62" s="89">
        <v>45363</v>
      </c>
      <c r="E62" s="91">
        <f>VLOOKUP(D62,환율!$A$1798:$B$2033,2,)</f>
        <v>1314.4</v>
      </c>
      <c r="F62" s="118">
        <v>11334.9</v>
      </c>
      <c r="G62" s="93">
        <f t="shared" ref="G62" si="6">ROUNDDOWN(F62*E62,0)</f>
        <v>14898592</v>
      </c>
      <c r="H62" s="147"/>
      <c r="I62" s="255"/>
    </row>
    <row r="63" spans="1:10" s="97" customFormat="1" ht="23.25" customHeight="1">
      <c r="A63" s="2019"/>
      <c r="B63" s="152" t="s">
        <v>1099</v>
      </c>
      <c r="C63" s="153" t="s">
        <v>1180</v>
      </c>
      <c r="D63" s="100">
        <v>45394</v>
      </c>
      <c r="E63" s="102">
        <f>VLOOKUP(D63,환율!$A$1798:$B$2033,2,)</f>
        <v>1363.7</v>
      </c>
      <c r="F63" s="122">
        <v>13947.3</v>
      </c>
      <c r="G63" s="104">
        <f t="shared" ref="G63" si="7">ROUNDDOWN(F63*E63,0)</f>
        <v>19019933</v>
      </c>
      <c r="H63" s="154"/>
      <c r="I63" s="258"/>
    </row>
    <row r="64" spans="1:10" s="97" customFormat="1" ht="23.25" customHeight="1" thickBot="1">
      <c r="A64" s="265"/>
      <c r="B64" s="280"/>
      <c r="C64" s="280" t="s">
        <v>10</v>
      </c>
      <c r="D64" s="280"/>
      <c r="E64" s="281"/>
      <c r="F64" s="268">
        <f>SUM(F62:F63)</f>
        <v>25282.199999999997</v>
      </c>
      <c r="G64" s="269">
        <f>SUM(G62:G63)</f>
        <v>33918525</v>
      </c>
      <c r="H64" s="269">
        <v>15111688</v>
      </c>
      <c r="I64" s="270">
        <f>+G64-H64</f>
        <v>18806837</v>
      </c>
      <c r="J64" s="126"/>
    </row>
    <row r="65" spans="1:9" s="97" customFormat="1" ht="23.25" customHeight="1">
      <c r="A65" s="2018" t="s">
        <v>14</v>
      </c>
      <c r="B65" s="247" t="s">
        <v>1101</v>
      </c>
      <c r="C65" s="248" t="s">
        <v>1117</v>
      </c>
      <c r="D65" s="248">
        <v>45357</v>
      </c>
      <c r="E65" s="249">
        <f>VLOOKUP(D65,환율!$A$1798:$B$2033,2,)</f>
        <v>1333.2</v>
      </c>
      <c r="F65" s="250">
        <v>255.04</v>
      </c>
      <c r="G65" s="251">
        <f t="shared" ref="G65:G89" si="8">ROUNDDOWN(F65*E65,0)</f>
        <v>340019</v>
      </c>
      <c r="H65" s="252"/>
      <c r="I65" s="253"/>
    </row>
    <row r="66" spans="1:9" s="97" customFormat="1" ht="23.25" customHeight="1">
      <c r="A66" s="2011"/>
      <c r="B66" s="88" t="s">
        <v>1118</v>
      </c>
      <c r="C66" s="129" t="s">
        <v>1119</v>
      </c>
      <c r="D66" s="136">
        <v>45357</v>
      </c>
      <c r="E66" s="91">
        <f>VLOOKUP(D66,환율!$A$1798:$B$2033,2,)</f>
        <v>1333.2</v>
      </c>
      <c r="F66" s="92">
        <v>293.69</v>
      </c>
      <c r="G66" s="93">
        <f t="shared" si="8"/>
        <v>391547</v>
      </c>
      <c r="H66" s="165"/>
      <c r="I66" s="254"/>
    </row>
    <row r="67" spans="1:9" s="97" customFormat="1" ht="23.25" customHeight="1">
      <c r="A67" s="2011"/>
      <c r="B67" s="88" t="s">
        <v>1102</v>
      </c>
      <c r="C67" s="146" t="s">
        <v>1120</v>
      </c>
      <c r="D67" s="136">
        <v>45357</v>
      </c>
      <c r="E67" s="91">
        <f>VLOOKUP(D67,환율!$A$1798:$B$2033,2,)</f>
        <v>1333.2</v>
      </c>
      <c r="F67" s="118">
        <v>1880.48</v>
      </c>
      <c r="G67" s="93">
        <f t="shared" si="8"/>
        <v>2507055</v>
      </c>
      <c r="H67" s="147"/>
      <c r="I67" s="255"/>
    </row>
    <row r="68" spans="1:9" s="97" customFormat="1" ht="23.25" customHeight="1">
      <c r="A68" s="2011"/>
      <c r="B68" s="88" t="s">
        <v>1103</v>
      </c>
      <c r="C68" s="136" t="s">
        <v>1125</v>
      </c>
      <c r="D68" s="136">
        <v>45357</v>
      </c>
      <c r="E68" s="91">
        <f>VLOOKUP(D68,환율!$A$1798:$B$2033,2,)</f>
        <v>1333.2</v>
      </c>
      <c r="F68" s="92">
        <v>156.97999999999999</v>
      </c>
      <c r="G68" s="93">
        <f t="shared" si="8"/>
        <v>209285</v>
      </c>
      <c r="H68" s="167"/>
      <c r="I68" s="256"/>
    </row>
    <row r="69" spans="1:9" s="97" customFormat="1" ht="23.25" customHeight="1">
      <c r="A69" s="2011"/>
      <c r="B69" s="88" t="s">
        <v>1104</v>
      </c>
      <c r="C69" s="146" t="s">
        <v>1126</v>
      </c>
      <c r="D69" s="136">
        <v>45363</v>
      </c>
      <c r="E69" s="91">
        <f>VLOOKUP(D69,환율!$A$1798:$B$2033,2,)</f>
        <v>1314.4</v>
      </c>
      <c r="F69" s="92">
        <v>4180.7</v>
      </c>
      <c r="G69" s="93">
        <f t="shared" si="8"/>
        <v>5495112</v>
      </c>
      <c r="H69" s="168"/>
      <c r="I69" s="256"/>
    </row>
    <row r="70" spans="1:9" s="97" customFormat="1" ht="23.25" customHeight="1">
      <c r="A70" s="2011"/>
      <c r="B70" s="88" t="s">
        <v>1105</v>
      </c>
      <c r="C70" s="146" t="s">
        <v>1127</v>
      </c>
      <c r="D70" s="136">
        <v>45363</v>
      </c>
      <c r="E70" s="91">
        <f>VLOOKUP(D70,환율!$A$1798:$B$2033,2,)</f>
        <v>1314.4</v>
      </c>
      <c r="F70" s="118">
        <v>330.54</v>
      </c>
      <c r="G70" s="93">
        <f t="shared" si="8"/>
        <v>434461</v>
      </c>
      <c r="H70" s="147"/>
      <c r="I70" s="255"/>
    </row>
    <row r="71" spans="1:9" s="97" customFormat="1" ht="23.25" customHeight="1">
      <c r="A71" s="2011"/>
      <c r="B71" s="88" t="s">
        <v>1106</v>
      </c>
      <c r="C71" s="146" t="s">
        <v>1128</v>
      </c>
      <c r="D71" s="136">
        <v>45363</v>
      </c>
      <c r="E71" s="91">
        <f>VLOOKUP(D71,환율!$A$1798:$B$2033,2,)</f>
        <v>1314.4</v>
      </c>
      <c r="F71" s="92">
        <v>421.3</v>
      </c>
      <c r="G71" s="93">
        <f t="shared" si="8"/>
        <v>553756</v>
      </c>
      <c r="H71" s="168"/>
      <c r="I71" s="256"/>
    </row>
    <row r="72" spans="1:9" s="97" customFormat="1" ht="23.25" customHeight="1">
      <c r="A72" s="2011"/>
      <c r="B72" s="88" t="s">
        <v>1107</v>
      </c>
      <c r="C72" s="146" t="s">
        <v>1129</v>
      </c>
      <c r="D72" s="136">
        <v>45363</v>
      </c>
      <c r="E72" s="91">
        <f>VLOOKUP(D72,환율!$A$1798:$B$2033,2,)</f>
        <v>1314.4</v>
      </c>
      <c r="F72" s="118">
        <v>486.47</v>
      </c>
      <c r="G72" s="93">
        <f t="shared" si="8"/>
        <v>639416</v>
      </c>
      <c r="H72" s="168"/>
      <c r="I72" s="256"/>
    </row>
    <row r="73" spans="1:9" s="97" customFormat="1" ht="23.25" customHeight="1">
      <c r="A73" s="2011"/>
      <c r="B73" s="88" t="s">
        <v>1108</v>
      </c>
      <c r="C73" s="146" t="s">
        <v>1175</v>
      </c>
      <c r="D73" s="136">
        <v>45372</v>
      </c>
      <c r="E73" s="91">
        <f>VLOOKUP(D73,환율!$A$1798:$B$2033,2,)</f>
        <v>1338.7</v>
      </c>
      <c r="F73" s="118">
        <v>1541.26</v>
      </c>
      <c r="G73" s="93">
        <f t="shared" si="8"/>
        <v>2063284</v>
      </c>
      <c r="H73" s="168"/>
      <c r="I73" s="256"/>
    </row>
    <row r="74" spans="1:9" s="97" customFormat="1" ht="23.25" customHeight="1">
      <c r="A74" s="2011"/>
      <c r="B74" s="88" t="s">
        <v>1109</v>
      </c>
      <c r="C74" s="146" t="s">
        <v>1130</v>
      </c>
      <c r="D74" s="136">
        <v>45366</v>
      </c>
      <c r="E74" s="91">
        <f>VLOOKUP(D74,환율!$A$1798:$B$2033,2,)</f>
        <v>1316.9</v>
      </c>
      <c r="F74" s="118">
        <v>2186.48</v>
      </c>
      <c r="G74" s="93">
        <f t="shared" si="8"/>
        <v>2879375</v>
      </c>
      <c r="H74" s="168"/>
      <c r="I74" s="256"/>
    </row>
    <row r="75" spans="1:9" s="97" customFormat="1" ht="23.25" customHeight="1">
      <c r="A75" s="2011"/>
      <c r="B75" s="88" t="s">
        <v>1110</v>
      </c>
      <c r="C75" s="146" t="s">
        <v>1131</v>
      </c>
      <c r="D75" s="90">
        <v>45369</v>
      </c>
      <c r="E75" s="91">
        <f>VLOOKUP(D75,환율!$A$1798:$B$2033,2,)</f>
        <v>1328.4</v>
      </c>
      <c r="F75" s="118">
        <v>851.36</v>
      </c>
      <c r="G75" s="93">
        <f t="shared" si="8"/>
        <v>1130946</v>
      </c>
      <c r="H75" s="168"/>
      <c r="I75" s="256"/>
    </row>
    <row r="76" spans="1:9" s="97" customFormat="1" ht="23.25" customHeight="1">
      <c r="A76" s="2011"/>
      <c r="B76" s="88" t="s">
        <v>1111</v>
      </c>
      <c r="C76" s="146" t="s">
        <v>1132</v>
      </c>
      <c r="D76" s="136">
        <v>45365</v>
      </c>
      <c r="E76" s="91">
        <f>VLOOKUP(D76,환율!$A$1798:$B$2033,2,)</f>
        <v>1312.8</v>
      </c>
      <c r="F76" s="118">
        <v>2056.04</v>
      </c>
      <c r="G76" s="93">
        <f t="shared" si="8"/>
        <v>2699169</v>
      </c>
      <c r="H76" s="168"/>
      <c r="I76" s="256"/>
    </row>
    <row r="77" spans="1:9" s="97" customFormat="1" ht="23.25" customHeight="1">
      <c r="A77" s="2011"/>
      <c r="B77" s="88" t="s">
        <v>1112</v>
      </c>
      <c r="C77" s="146" t="s">
        <v>1133</v>
      </c>
      <c r="D77" s="136">
        <v>45378</v>
      </c>
      <c r="E77" s="91">
        <f>VLOOKUP(D77,환율!$A$1798:$B$2033,2,)</f>
        <v>1338.6</v>
      </c>
      <c r="F77" s="118">
        <v>7670.13</v>
      </c>
      <c r="G77" s="93">
        <f t="shared" si="8"/>
        <v>10267236</v>
      </c>
      <c r="H77" s="168"/>
      <c r="I77" s="256"/>
    </row>
    <row r="78" spans="1:9" s="97" customFormat="1" ht="23.25" customHeight="1">
      <c r="A78" s="2011"/>
      <c r="B78" s="88" t="s">
        <v>1113</v>
      </c>
      <c r="C78" s="146" t="s">
        <v>1134</v>
      </c>
      <c r="D78" s="136">
        <v>45365</v>
      </c>
      <c r="E78" s="91">
        <f>VLOOKUP(D78,환율!$A$1798:$B$2033,2,)</f>
        <v>1312.8</v>
      </c>
      <c r="F78" s="118">
        <v>5185.21</v>
      </c>
      <c r="G78" s="93">
        <f t="shared" si="8"/>
        <v>6807143</v>
      </c>
      <c r="H78" s="168"/>
      <c r="I78" s="256"/>
    </row>
    <row r="79" spans="1:9" s="97" customFormat="1" ht="23.25" customHeight="1">
      <c r="A79" s="2011"/>
      <c r="B79" s="88" t="s">
        <v>1114</v>
      </c>
      <c r="C79" s="146" t="s">
        <v>1173</v>
      </c>
      <c r="D79" s="136">
        <v>45376</v>
      </c>
      <c r="E79" s="91">
        <f>VLOOKUP(D79,환율!$A$1798:$B$2033,2,)</f>
        <v>1336.1</v>
      </c>
      <c r="F79" s="118">
        <v>516.53</v>
      </c>
      <c r="G79" s="93">
        <f t="shared" si="8"/>
        <v>690135</v>
      </c>
      <c r="H79" s="168"/>
      <c r="I79" s="256"/>
    </row>
    <row r="80" spans="1:9" s="97" customFormat="1" ht="23.25" customHeight="1">
      <c r="A80" s="2011"/>
      <c r="B80" s="88" t="s">
        <v>1115</v>
      </c>
      <c r="C80" s="146" t="s">
        <v>1135</v>
      </c>
      <c r="D80" s="136">
        <v>45371</v>
      </c>
      <c r="E80" s="91">
        <f>VLOOKUP(D80,환율!$A$1798:$B$2033,2,)</f>
        <v>1338.5</v>
      </c>
      <c r="F80" s="118">
        <v>750.85</v>
      </c>
      <c r="G80" s="93">
        <f t="shared" si="8"/>
        <v>1005012</v>
      </c>
      <c r="H80" s="168"/>
      <c r="I80" s="256"/>
    </row>
    <row r="81" spans="1:10" s="97" customFormat="1" ht="23.25" customHeight="1">
      <c r="A81" s="2011"/>
      <c r="B81" s="88" t="s">
        <v>1116</v>
      </c>
      <c r="C81" s="146" t="s">
        <v>1136</v>
      </c>
      <c r="D81" s="136">
        <v>45371</v>
      </c>
      <c r="E81" s="91">
        <f>VLOOKUP(D81,환율!$A$1798:$B$2033,2,)</f>
        <v>1338.5</v>
      </c>
      <c r="F81" s="118">
        <v>833.09</v>
      </c>
      <c r="G81" s="93">
        <f t="shared" si="8"/>
        <v>1115090</v>
      </c>
      <c r="H81" s="168"/>
      <c r="I81" s="256"/>
    </row>
    <row r="82" spans="1:10" s="97" customFormat="1" ht="23.25" customHeight="1">
      <c r="A82" s="2011"/>
      <c r="B82" s="88" t="s">
        <v>1122</v>
      </c>
      <c r="C82" s="146" t="s">
        <v>1138</v>
      </c>
      <c r="D82" s="136">
        <v>45380</v>
      </c>
      <c r="E82" s="91">
        <f>VLOOKUP(D82,환율!$A$1798:$B$2033,2,)</f>
        <v>1346.8</v>
      </c>
      <c r="F82" s="118">
        <v>163.35</v>
      </c>
      <c r="G82" s="93">
        <f t="shared" si="8"/>
        <v>219999</v>
      </c>
      <c r="H82" s="168"/>
      <c r="I82" s="256"/>
    </row>
    <row r="83" spans="1:10" s="97" customFormat="1" ht="23.25" customHeight="1">
      <c r="A83" s="2011"/>
      <c r="B83" s="88" t="s">
        <v>1123</v>
      </c>
      <c r="C83" s="146" t="s">
        <v>1139</v>
      </c>
      <c r="D83" s="136">
        <v>45376</v>
      </c>
      <c r="E83" s="91">
        <f>VLOOKUP(D83,환율!$A$1798:$B$2033,2,)</f>
        <v>1336.1</v>
      </c>
      <c r="F83" s="118">
        <v>984.9</v>
      </c>
      <c r="G83" s="93">
        <f t="shared" si="8"/>
        <v>1315924</v>
      </c>
      <c r="H83" s="168"/>
      <c r="I83" s="256"/>
    </row>
    <row r="84" spans="1:10" s="97" customFormat="1" ht="23.25" customHeight="1">
      <c r="A84" s="2011"/>
      <c r="B84" s="88" t="s">
        <v>1124</v>
      </c>
      <c r="C84" s="146" t="s">
        <v>1140</v>
      </c>
      <c r="D84" s="136">
        <v>45376</v>
      </c>
      <c r="E84" s="91">
        <f>VLOOKUP(D84,환율!$A$1798:$B$2033,2,)</f>
        <v>1336.1</v>
      </c>
      <c r="F84" s="118">
        <v>224.67</v>
      </c>
      <c r="G84" s="93">
        <f t="shared" si="8"/>
        <v>300181</v>
      </c>
      <c r="H84" s="168"/>
      <c r="I84" s="256"/>
    </row>
    <row r="85" spans="1:10" s="97" customFormat="1" ht="23.25" customHeight="1">
      <c r="A85" s="2019"/>
      <c r="B85" s="99" t="s">
        <v>1121</v>
      </c>
      <c r="C85" s="169" t="s">
        <v>1137</v>
      </c>
      <c r="D85" s="125">
        <v>45383</v>
      </c>
      <c r="E85" s="102">
        <f>VLOOKUP(D85,환율!$A$1798:$B$2033,2,)</f>
        <v>1347.4</v>
      </c>
      <c r="F85" s="122">
        <v>393.96</v>
      </c>
      <c r="G85" s="104">
        <f t="shared" ref="G85" si="9">ROUNDDOWN(F85*E85,0)</f>
        <v>530821</v>
      </c>
      <c r="H85" s="170"/>
      <c r="I85" s="257"/>
    </row>
    <row r="86" spans="1:10" s="97" customFormat="1" ht="23.25" customHeight="1">
      <c r="A86" s="259"/>
      <c r="B86" s="113"/>
      <c r="C86" s="172"/>
      <c r="D86" s="113"/>
      <c r="E86" s="114"/>
      <c r="F86" s="127">
        <f>SUM(F65:F85)</f>
        <v>31363.029999999995</v>
      </c>
      <c r="G86" s="116">
        <f>SUM(G65:G85)</f>
        <v>41594966</v>
      </c>
      <c r="H86" s="116">
        <v>86359528</v>
      </c>
      <c r="I86" s="260">
        <f>+G86-H86</f>
        <v>-44764562</v>
      </c>
    </row>
    <row r="87" spans="1:10" s="97" customFormat="1" ht="23.25" customHeight="1">
      <c r="A87" s="2010" t="s">
        <v>15</v>
      </c>
      <c r="B87" s="173" t="s">
        <v>1143</v>
      </c>
      <c r="C87" s="173" t="s">
        <v>1142</v>
      </c>
      <c r="D87" s="223">
        <v>45366</v>
      </c>
      <c r="E87" s="91">
        <f>VLOOKUP(D87,환율!$A$1798:$B$2033,2,)</f>
        <v>1316.9</v>
      </c>
      <c r="F87" s="92">
        <v>28500.11</v>
      </c>
      <c r="G87" s="93">
        <f t="shared" si="8"/>
        <v>37531794</v>
      </c>
      <c r="H87" s="173"/>
      <c r="I87" s="262"/>
    </row>
    <row r="88" spans="1:10" s="97" customFormat="1" ht="23.25" customHeight="1">
      <c r="A88" s="2011"/>
      <c r="B88" s="173" t="s">
        <v>1171</v>
      </c>
      <c r="C88" s="173" t="s">
        <v>1172</v>
      </c>
      <c r="D88" s="288">
        <v>45363</v>
      </c>
      <c r="E88" s="91">
        <f>VLOOKUP(D88,환율!$A$1798:$B$2033,2,)</f>
        <v>1314.4</v>
      </c>
      <c r="F88" s="92">
        <v>2721.07</v>
      </c>
      <c r="G88" s="93">
        <f t="shared" si="8"/>
        <v>3576574</v>
      </c>
      <c r="H88" s="173"/>
      <c r="I88" s="262"/>
    </row>
    <row r="89" spans="1:10" s="97" customFormat="1" ht="23.25" customHeight="1">
      <c r="A89" s="2011"/>
      <c r="B89" s="152" t="s">
        <v>1141</v>
      </c>
      <c r="C89" s="153" t="s">
        <v>1144</v>
      </c>
      <c r="D89" s="125">
        <v>45389</v>
      </c>
      <c r="E89" s="102">
        <f>VLOOKUP(D89,환율!$A$1798:$B$2033,2,)</f>
        <v>1346.8</v>
      </c>
      <c r="F89" s="103">
        <v>27552.73</v>
      </c>
      <c r="G89" s="104">
        <f t="shared" si="8"/>
        <v>37108016</v>
      </c>
      <c r="H89" s="154"/>
      <c r="I89" s="258"/>
    </row>
    <row r="90" spans="1:10" s="97" customFormat="1" ht="23.25" customHeight="1">
      <c r="A90" s="259"/>
      <c r="B90" s="113"/>
      <c r="C90" s="172"/>
      <c r="D90" s="113"/>
      <c r="E90" s="114"/>
      <c r="F90" s="127">
        <f>SUM(F87:F89)</f>
        <v>58773.91</v>
      </c>
      <c r="G90" s="116">
        <f>SUM(G87:G89)</f>
        <v>78216384</v>
      </c>
      <c r="H90" s="116">
        <v>62507299</v>
      </c>
      <c r="I90" s="260">
        <f>+G90-H90</f>
        <v>15709085</v>
      </c>
      <c r="J90" s="175"/>
    </row>
    <row r="91" spans="1:10" s="97" customFormat="1" ht="23.25" customHeight="1">
      <c r="A91" s="2010" t="s">
        <v>726</v>
      </c>
      <c r="B91" s="146" t="s">
        <v>1145</v>
      </c>
      <c r="C91" s="146" t="s">
        <v>1152</v>
      </c>
      <c r="D91" s="136">
        <v>45353</v>
      </c>
      <c r="E91" s="176">
        <v>8.8575999999999997</v>
      </c>
      <c r="F91" s="177">
        <v>6912880</v>
      </c>
      <c r="G91" s="93">
        <f t="shared" ref="G91:G104" si="10">ROUNDDOWN(F91*E91,0)</f>
        <v>61231525</v>
      </c>
      <c r="H91" s="156"/>
      <c r="I91" s="263"/>
    </row>
    <row r="92" spans="1:10" s="97" customFormat="1" ht="23.25" customHeight="1">
      <c r="A92" s="2011"/>
      <c r="B92" s="146" t="s">
        <v>1146</v>
      </c>
      <c r="C92" s="146" t="s">
        <v>1153</v>
      </c>
      <c r="D92" s="136">
        <v>45357</v>
      </c>
      <c r="E92" s="176">
        <v>8.8956999999999997</v>
      </c>
      <c r="F92" s="177">
        <v>18481280</v>
      </c>
      <c r="G92" s="93">
        <f t="shared" si="10"/>
        <v>164403922</v>
      </c>
      <c r="H92" s="156"/>
      <c r="I92" s="263"/>
      <c r="J92" s="175"/>
    </row>
    <row r="93" spans="1:10" s="97" customFormat="1" ht="23.25" customHeight="1">
      <c r="A93" s="2011"/>
      <c r="B93" s="146" t="s">
        <v>1147</v>
      </c>
      <c r="C93" s="146" t="s">
        <v>1154</v>
      </c>
      <c r="D93" s="136">
        <v>45365</v>
      </c>
      <c r="E93" s="176">
        <v>8.891</v>
      </c>
      <c r="F93" s="177">
        <v>16152952</v>
      </c>
      <c r="G93" s="93">
        <f t="shared" si="10"/>
        <v>143615896</v>
      </c>
      <c r="H93" s="156"/>
      <c r="I93" s="263"/>
      <c r="J93" s="175"/>
    </row>
    <row r="94" spans="1:10" s="97" customFormat="1" ht="23.25" customHeight="1">
      <c r="A94" s="2011"/>
      <c r="B94" s="146" t="s">
        <v>1148</v>
      </c>
      <c r="C94" s="146" t="s">
        <v>1155</v>
      </c>
      <c r="D94" s="136">
        <v>45371</v>
      </c>
      <c r="E94" s="176">
        <v>8.8681000000000001</v>
      </c>
      <c r="F94" s="177">
        <v>10395652</v>
      </c>
      <c r="G94" s="93">
        <f t="shared" si="10"/>
        <v>92189681</v>
      </c>
      <c r="H94" s="156"/>
      <c r="I94" s="263"/>
      <c r="J94" s="175"/>
    </row>
    <row r="95" spans="1:10" s="97" customFormat="1" ht="23.25" customHeight="1">
      <c r="A95" s="2011"/>
      <c r="B95" s="146" t="s">
        <v>1149</v>
      </c>
      <c r="C95" s="146" t="s">
        <v>1156</v>
      </c>
      <c r="D95" s="136">
        <v>45379</v>
      </c>
      <c r="E95" s="176">
        <v>8.8917000000000002</v>
      </c>
      <c r="F95" s="177">
        <v>11281080</v>
      </c>
      <c r="G95" s="93">
        <f t="shared" si="10"/>
        <v>100307979</v>
      </c>
      <c r="H95" s="156"/>
      <c r="I95" s="263"/>
      <c r="J95" s="175"/>
    </row>
    <row r="96" spans="1:10" s="97" customFormat="1" ht="23.25" customHeight="1">
      <c r="A96" s="2011"/>
      <c r="B96" s="146" t="s">
        <v>1150</v>
      </c>
      <c r="C96" s="146" t="s">
        <v>1151</v>
      </c>
      <c r="D96" s="136">
        <v>45379</v>
      </c>
      <c r="E96" s="176">
        <v>8.8917000000000002</v>
      </c>
      <c r="F96" s="177">
        <v>5575192</v>
      </c>
      <c r="G96" s="93">
        <f t="shared" si="10"/>
        <v>49572934</v>
      </c>
      <c r="H96" s="156"/>
      <c r="I96" s="263"/>
      <c r="J96" s="175"/>
    </row>
    <row r="97" spans="1:10" s="97" customFormat="1" ht="23.25" customHeight="1">
      <c r="A97" s="2011"/>
      <c r="B97" s="178" t="s">
        <v>1157</v>
      </c>
      <c r="C97" s="178"/>
      <c r="D97" s="179">
        <v>45366</v>
      </c>
      <c r="E97" s="180">
        <v>8.8811999999999998</v>
      </c>
      <c r="F97" s="181">
        <v>516000</v>
      </c>
      <c r="G97" s="111">
        <f t="shared" si="10"/>
        <v>4582699</v>
      </c>
      <c r="H97" s="182"/>
      <c r="I97" s="283"/>
      <c r="J97" s="175"/>
    </row>
    <row r="98" spans="1:10" s="97" customFormat="1" ht="23.25" customHeight="1">
      <c r="A98" s="2011"/>
      <c r="B98" s="178" t="s">
        <v>1158</v>
      </c>
      <c r="C98" s="178"/>
      <c r="D98" s="179">
        <v>45366</v>
      </c>
      <c r="E98" s="180">
        <v>8.8811999999999998</v>
      </c>
      <c r="F98" s="181">
        <v>188000</v>
      </c>
      <c r="G98" s="111">
        <f t="shared" si="10"/>
        <v>1669665</v>
      </c>
      <c r="H98" s="182"/>
      <c r="I98" s="283"/>
      <c r="J98" s="175"/>
    </row>
    <row r="99" spans="1:10" s="97" customFormat="1" ht="23.25" customHeight="1">
      <c r="A99" s="2011"/>
      <c r="B99" s="178" t="s">
        <v>1157</v>
      </c>
      <c r="C99" s="178"/>
      <c r="D99" s="179">
        <v>45366</v>
      </c>
      <c r="E99" s="180">
        <v>8.8811999999999998</v>
      </c>
      <c r="F99" s="181">
        <v>191000</v>
      </c>
      <c r="G99" s="111">
        <f t="shared" si="10"/>
        <v>1696309</v>
      </c>
      <c r="H99" s="182"/>
      <c r="I99" s="283"/>
      <c r="J99" s="175"/>
    </row>
    <row r="100" spans="1:10" s="97" customFormat="1" ht="23.25" customHeight="1">
      <c r="A100" s="2011"/>
      <c r="B100" s="178" t="s">
        <v>727</v>
      </c>
      <c r="C100" s="178"/>
      <c r="D100" s="179">
        <v>45366</v>
      </c>
      <c r="E100" s="180">
        <v>8.8811999999999998</v>
      </c>
      <c r="F100" s="181">
        <v>432000</v>
      </c>
      <c r="G100" s="111">
        <f t="shared" si="10"/>
        <v>3836678</v>
      </c>
      <c r="H100" s="182"/>
      <c r="I100" s="283"/>
      <c r="J100" s="175"/>
    </row>
    <row r="101" spans="1:10" s="97" customFormat="1" ht="23.25" customHeight="1">
      <c r="A101" s="2011"/>
      <c r="B101" s="178" t="s">
        <v>1159</v>
      </c>
      <c r="C101" s="178"/>
      <c r="D101" s="179">
        <v>45366</v>
      </c>
      <c r="E101" s="180">
        <v>8.8811999999999998</v>
      </c>
      <c r="F101" s="181">
        <v>157000</v>
      </c>
      <c r="G101" s="111">
        <f t="shared" si="10"/>
        <v>1394348</v>
      </c>
      <c r="H101" s="182"/>
      <c r="I101" s="283"/>
      <c r="J101" s="175"/>
    </row>
    <row r="102" spans="1:10" s="97" customFormat="1" ht="23.25" customHeight="1">
      <c r="A102" s="2011"/>
      <c r="B102" s="178" t="s">
        <v>1160</v>
      </c>
      <c r="C102" s="178"/>
      <c r="D102" s="179">
        <v>45366</v>
      </c>
      <c r="E102" s="180">
        <v>8.8811999999999998</v>
      </c>
      <c r="F102" s="181">
        <v>166000</v>
      </c>
      <c r="G102" s="111">
        <f t="shared" si="10"/>
        <v>1474279</v>
      </c>
      <c r="H102" s="182"/>
      <c r="I102" s="283"/>
      <c r="J102" s="175"/>
    </row>
    <row r="103" spans="1:10" s="97" customFormat="1" ht="23.25" customHeight="1">
      <c r="A103" s="2011"/>
      <c r="B103" s="178" t="s">
        <v>1161</v>
      </c>
      <c r="C103" s="178"/>
      <c r="D103" s="179">
        <v>45366</v>
      </c>
      <c r="E103" s="180">
        <v>8.8811999999999998</v>
      </c>
      <c r="F103" s="181">
        <v>102000</v>
      </c>
      <c r="G103" s="111">
        <f t="shared" si="10"/>
        <v>905882</v>
      </c>
      <c r="H103" s="182"/>
      <c r="I103" s="283"/>
      <c r="J103" s="175"/>
    </row>
    <row r="104" spans="1:10" s="97" customFormat="1" ht="23.25" customHeight="1">
      <c r="A104" s="2019"/>
      <c r="B104" s="178" t="s">
        <v>1162</v>
      </c>
      <c r="C104" s="178"/>
      <c r="D104" s="179">
        <v>45366</v>
      </c>
      <c r="E104" s="180">
        <v>8.8811999999999998</v>
      </c>
      <c r="F104" s="181">
        <v>457000</v>
      </c>
      <c r="G104" s="111">
        <f t="shared" si="10"/>
        <v>4058708</v>
      </c>
      <c r="H104" s="182"/>
      <c r="I104" s="283"/>
      <c r="J104" s="175"/>
    </row>
    <row r="105" spans="1:10" s="97" customFormat="1" ht="23.25" customHeight="1">
      <c r="A105" s="259"/>
      <c r="B105" s="113"/>
      <c r="C105" s="113" t="s">
        <v>10</v>
      </c>
      <c r="D105" s="113"/>
      <c r="E105" s="114"/>
      <c r="F105" s="186">
        <f>SUM(F91:F104)</f>
        <v>71008036</v>
      </c>
      <c r="G105" s="116">
        <f>SUM(G91:G104)</f>
        <v>630940505</v>
      </c>
      <c r="H105" s="160">
        <v>499210186</v>
      </c>
      <c r="I105" s="264">
        <f>+G105-H105</f>
        <v>131730319</v>
      </c>
    </row>
    <row r="106" spans="1:10" s="310" customFormat="1" ht="23.25" customHeight="1">
      <c r="A106" s="300" t="s">
        <v>992</v>
      </c>
      <c r="B106" s="301" t="s">
        <v>1174</v>
      </c>
      <c r="C106" s="302"/>
      <c r="D106" s="303">
        <v>45369</v>
      </c>
      <c r="E106" s="304">
        <f>VLOOKUP(D106,환율!$A$1798:$B$2033,2,)</f>
        <v>1328.4</v>
      </c>
      <c r="F106" s="305">
        <f>G106/E106</f>
        <v>3137.2026498042756</v>
      </c>
      <c r="G106" s="306">
        <v>4167460</v>
      </c>
      <c r="H106" s="307"/>
      <c r="I106" s="308"/>
      <c r="J106" s="309"/>
    </row>
    <row r="107" spans="1:10" s="97" customFormat="1" ht="23.25" customHeight="1" thickBot="1">
      <c r="A107" s="265"/>
      <c r="B107" s="266"/>
      <c r="C107" s="266" t="s">
        <v>10</v>
      </c>
      <c r="D107" s="266"/>
      <c r="E107" s="267"/>
      <c r="F107" s="268">
        <f>SUM(F106:F106)</f>
        <v>3137.2026498042756</v>
      </c>
      <c r="G107" s="269">
        <f>SUM(G106:G106)</f>
        <v>4167460</v>
      </c>
      <c r="H107" s="269">
        <v>32013960</v>
      </c>
      <c r="I107" s="270">
        <f>+G107-H107</f>
        <v>-27846500</v>
      </c>
      <c r="J107" s="175"/>
    </row>
    <row r="108" spans="1:10" s="97" customFormat="1" ht="23.25" customHeight="1" thickBot="1">
      <c r="A108" s="2029" t="s">
        <v>1176</v>
      </c>
      <c r="B108" s="2030"/>
      <c r="C108" s="2030"/>
      <c r="D108" s="2031"/>
      <c r="E108" s="1997" t="s">
        <v>31</v>
      </c>
      <c r="F108" s="232" t="s">
        <v>17</v>
      </c>
      <c r="G108" s="210">
        <f>+G110-G109</f>
        <v>4651560919</v>
      </c>
      <c r="H108" s="210">
        <v>4599089649</v>
      </c>
      <c r="I108" s="219">
        <f>+G108-H108</f>
        <v>52471270</v>
      </c>
    </row>
    <row r="109" spans="1:10" s="97" customFormat="1" ht="23.25" customHeight="1">
      <c r="A109" s="239" t="s">
        <v>20</v>
      </c>
      <c r="B109" s="195" t="s">
        <v>21</v>
      </c>
      <c r="C109" s="196" t="s">
        <v>20</v>
      </c>
      <c r="D109" s="197" t="s">
        <v>21</v>
      </c>
      <c r="E109" s="1997"/>
      <c r="F109" s="198" t="s">
        <v>18</v>
      </c>
      <c r="G109" s="199">
        <f>SUM(G97:G104,G57)</f>
        <v>26118568</v>
      </c>
      <c r="H109" s="199">
        <v>30771378</v>
      </c>
      <c r="I109" s="201">
        <f>+G109-H109</f>
        <v>-4652810</v>
      </c>
    </row>
    <row r="110" spans="1:10" s="97" customFormat="1" ht="23.25" customHeight="1" thickBot="1">
      <c r="A110" s="240" t="s">
        <v>9</v>
      </c>
      <c r="B110" s="199">
        <f>SUM(G15:G15)</f>
        <v>632267731</v>
      </c>
      <c r="C110" s="200" t="s">
        <v>721</v>
      </c>
      <c r="D110" s="201">
        <v>0</v>
      </c>
      <c r="E110" s="1998"/>
      <c r="F110" s="202" t="s">
        <v>19</v>
      </c>
      <c r="G110" s="203">
        <f>SUM(G107,G105,G90,G86,G64,G61,G58,G54,G51,G29,G16)</f>
        <v>4677679487</v>
      </c>
      <c r="H110" s="203">
        <v>4629861027</v>
      </c>
      <c r="I110" s="233">
        <f>+G110-H110</f>
        <v>47818460</v>
      </c>
    </row>
    <row r="111" spans="1:10" s="97" customFormat="1" ht="23.25" customHeight="1">
      <c r="A111" s="240" t="s">
        <v>11</v>
      </c>
      <c r="B111" s="199">
        <f>SUM(G26:G28)</f>
        <v>219025685</v>
      </c>
      <c r="C111" s="200" t="s">
        <v>722</v>
      </c>
      <c r="D111" s="201">
        <f>SUM(G63)</f>
        <v>19019933</v>
      </c>
      <c r="E111" s="296" t="s">
        <v>20</v>
      </c>
      <c r="F111" s="297" t="s">
        <v>113</v>
      </c>
      <c r="G111" s="298" t="s">
        <v>1167</v>
      </c>
      <c r="H111" s="298" t="s">
        <v>122</v>
      </c>
      <c r="I111" s="234" t="s">
        <v>32</v>
      </c>
    </row>
    <row r="112" spans="1:10" s="97" customFormat="1" ht="23.25" customHeight="1">
      <c r="A112" s="241" t="s">
        <v>114</v>
      </c>
      <c r="B112" s="199">
        <f>SUM(G45:G50)</f>
        <v>328493909</v>
      </c>
      <c r="C112" s="293" t="s">
        <v>14</v>
      </c>
      <c r="D112" s="294">
        <f>SUM(G85:G85)</f>
        <v>530821</v>
      </c>
      <c r="E112" s="211" t="s">
        <v>22</v>
      </c>
      <c r="F112" s="199">
        <v>0</v>
      </c>
      <c r="G112" s="199">
        <f>SUM(G91:G104)</f>
        <v>630940505</v>
      </c>
      <c r="H112" s="199">
        <v>0</v>
      </c>
      <c r="I112" s="201">
        <f>SUM(F112:G112)</f>
        <v>630940505</v>
      </c>
    </row>
    <row r="113" spans="1:11" s="97" customFormat="1" ht="23.25" customHeight="1">
      <c r="A113" s="241" t="s">
        <v>153</v>
      </c>
      <c r="B113" s="199">
        <f>SUM(G53)</f>
        <v>134510592</v>
      </c>
      <c r="C113" s="293" t="s">
        <v>15</v>
      </c>
      <c r="D113" s="295">
        <f>SUM(G89)</f>
        <v>37108016</v>
      </c>
      <c r="E113" s="211" t="s">
        <v>23</v>
      </c>
      <c r="F113" s="199">
        <v>710044157</v>
      </c>
      <c r="G113" s="199">
        <f>SUM(G17:G25,G30:G44,G52,G57,G62)</f>
        <v>1422977793</v>
      </c>
      <c r="H113" s="199">
        <f>SUM(G26:G28,G45:G50,G53,G55,G63)</f>
        <v>708273008</v>
      </c>
      <c r="I113" s="201">
        <f>SUM(F113:G113)</f>
        <v>2133021950</v>
      </c>
      <c r="K113" s="126"/>
    </row>
    <row r="114" spans="1:11" s="126" customFormat="1" ht="23.25" customHeight="1">
      <c r="A114" s="241" t="s">
        <v>719</v>
      </c>
      <c r="B114" s="199">
        <v>0</v>
      </c>
      <c r="C114" s="293" t="s">
        <v>53</v>
      </c>
      <c r="D114" s="294">
        <f>SUM(G60)</f>
        <v>49427110</v>
      </c>
      <c r="E114" s="211" t="s">
        <v>24</v>
      </c>
      <c r="F114" s="199">
        <v>720417494</v>
      </c>
      <c r="G114" s="199">
        <f>SUM(G13:G14)</f>
        <v>1025025119</v>
      </c>
      <c r="H114" s="199">
        <f>SUM(G15)</f>
        <v>632267731</v>
      </c>
      <c r="I114" s="201">
        <f>SUM(F114:G114)</f>
        <v>1745442613</v>
      </c>
    </row>
    <row r="115" spans="1:11" s="126" customFormat="1" ht="23.25" customHeight="1">
      <c r="A115" s="241" t="s">
        <v>35</v>
      </c>
      <c r="B115" s="199">
        <f>SUM(G55:G56)</f>
        <v>39173674</v>
      </c>
      <c r="C115" s="200" t="s">
        <v>252</v>
      </c>
      <c r="D115" s="219">
        <v>0</v>
      </c>
      <c r="E115" s="211" t="s">
        <v>723</v>
      </c>
      <c r="F115" s="199">
        <v>153545302</v>
      </c>
      <c r="G115" s="199">
        <f>SUM(G59,G65:G84,G87:G88)</f>
        <v>135011139</v>
      </c>
      <c r="H115" s="199">
        <f>SUM(G60,G89,G85:G85)</f>
        <v>87065947</v>
      </c>
      <c r="I115" s="201">
        <f>SUM(F115:G115)</f>
        <v>288556441</v>
      </c>
    </row>
    <row r="116" spans="1:11" s="126" customFormat="1" ht="23.25" customHeight="1" thickBot="1">
      <c r="A116" s="215" t="s">
        <v>724</v>
      </c>
      <c r="B116" s="213">
        <v>0</v>
      </c>
      <c r="C116" s="214"/>
      <c r="D116" s="242"/>
      <c r="E116" s="299" t="s">
        <v>1177</v>
      </c>
      <c r="F116" s="311"/>
      <c r="G116" s="311">
        <f>SUM(G106:G106)</f>
        <v>4167460</v>
      </c>
      <c r="H116" s="311"/>
      <c r="I116" s="312">
        <f>SUM(F116:G116)</f>
        <v>4167460</v>
      </c>
    </row>
    <row r="117" spans="1:11" s="126" customFormat="1" ht="23.25" customHeight="1" thickTop="1" thickBot="1">
      <c r="A117" s="243"/>
      <c r="B117" s="244" t="s">
        <v>49</v>
      </c>
      <c r="C117" s="245"/>
      <c r="D117" s="246">
        <f>SUM(B110:B116,D110:D116)</f>
        <v>1459557471</v>
      </c>
      <c r="E117" s="236" t="s">
        <v>16</v>
      </c>
      <c r="F117" s="237">
        <v>1584006953</v>
      </c>
      <c r="G117" s="237">
        <f>SUM(G112:G116)</f>
        <v>3218122016</v>
      </c>
      <c r="H117" s="237">
        <f>SUM(H112:H116)</f>
        <v>1427606686</v>
      </c>
      <c r="I117" s="238">
        <f>+F117+G117</f>
        <v>4802128969</v>
      </c>
    </row>
    <row r="118" spans="1:11" s="19" customFormat="1">
      <c r="A118"/>
      <c r="B118"/>
      <c r="C118"/>
      <c r="D118"/>
      <c r="E118"/>
      <c r="F118" s="47"/>
      <c r="G118"/>
      <c r="H118"/>
      <c r="I118"/>
    </row>
    <row r="119" spans="1:11" ht="19.2">
      <c r="B119" s="291"/>
      <c r="C119" s="290"/>
      <c r="D119" s="26"/>
      <c r="E119" s="292"/>
      <c r="G119" s="26"/>
    </row>
    <row r="120" spans="1:11" ht="19.2">
      <c r="C120" s="290"/>
      <c r="D120" s="26"/>
      <c r="E120" s="292"/>
      <c r="G120" s="26"/>
    </row>
    <row r="121" spans="1:11" ht="19.2">
      <c r="C121" s="290"/>
      <c r="D121" s="26"/>
      <c r="E121" s="292"/>
      <c r="G121" s="26"/>
      <c r="I121" s="26"/>
    </row>
    <row r="122" spans="1:11" ht="19.2">
      <c r="C122" s="290"/>
      <c r="D122" s="26"/>
      <c r="E122" s="292"/>
    </row>
    <row r="123" spans="1:11" ht="19.2">
      <c r="C123" s="290"/>
      <c r="E123" s="13"/>
    </row>
    <row r="124" spans="1:11">
      <c r="E124" s="13"/>
    </row>
  </sheetData>
  <autoFilter ref="A11:E117" xr:uid="{00000000-0009-0000-0000-000046000000}"/>
  <mergeCells count="19">
    <mergeCell ref="A6:F10"/>
    <mergeCell ref="A11:A12"/>
    <mergeCell ref="B11:B12"/>
    <mergeCell ref="C11:C12"/>
    <mergeCell ref="D11:D12"/>
    <mergeCell ref="E11:E12"/>
    <mergeCell ref="F11:I11"/>
    <mergeCell ref="A13:A15"/>
    <mergeCell ref="A17:A28"/>
    <mergeCell ref="A30:A50"/>
    <mergeCell ref="A52:A53"/>
    <mergeCell ref="A59:A60"/>
    <mergeCell ref="A55:A57"/>
    <mergeCell ref="A87:A89"/>
    <mergeCell ref="E108:E110"/>
    <mergeCell ref="A62:A63"/>
    <mergeCell ref="A91:A104"/>
    <mergeCell ref="A65:A85"/>
    <mergeCell ref="A108:D108"/>
  </mergeCells>
  <phoneticPr fontId="2" type="noConversion"/>
  <conditionalFormatting sqref="A15 C15:I15">
    <cfRule type="expression" dxfId="1686" priority="49">
      <formula>#REF!="*01월*"</formula>
    </cfRule>
  </conditionalFormatting>
  <conditionalFormatting sqref="A91:D91">
    <cfRule type="expression" dxfId="1685" priority="220">
      <formula>#REF!="*01월*"</formula>
    </cfRule>
  </conditionalFormatting>
  <conditionalFormatting sqref="A11:I13 A16:I16 A17:D17 E17:I18 B18:D18 B21 D21:E21 G21 C28 F28 H28:I28 A29:I29 A30:D30 E30:I31 C31:D31 B31:B39 C32:I33 E41 G41 E48 G48:G50 A51:I51 A65:D65 E65:I73 B66:D73 B89:E89 H89:I89 A90:I90 A105:I105 A106:E106 G106:I106 A107:I107 A108 E108:I108 A109:I117 E119:E122">
    <cfRule type="expression" dxfId="1684" priority="40">
      <formula>$D13="*01월*"</formula>
    </cfRule>
  </conditionalFormatting>
  <conditionalFormatting sqref="A14:I14 B25 D25:E25 G25">
    <cfRule type="expression" dxfId="1683" priority="191">
      <formula>#REF!="*01월*"</formula>
    </cfRule>
  </conditionalFormatting>
  <conditionalFormatting sqref="A52:I54">
    <cfRule type="expression" dxfId="1682" priority="48">
      <formula>#REF!="*01월*"</formula>
    </cfRule>
  </conditionalFormatting>
  <conditionalFormatting sqref="B15 B20:I20 B23 D23 B28 B41:D41 F41 H41:I41 B89:E89">
    <cfRule type="expression" dxfId="1681" priority="25">
      <formula>$D16="*01월*"</formula>
    </cfRule>
  </conditionalFormatting>
  <conditionalFormatting sqref="B24 D24:I24 C24:C25 F25 H25:I25 C38:I38 A55:C57 E55:F57">
    <cfRule type="expression" dxfId="1680" priority="15">
      <formula>$D28="*01월*"</formula>
    </cfRule>
  </conditionalFormatting>
  <conditionalFormatting sqref="B45:B50">
    <cfRule type="expression" dxfId="1679" priority="11">
      <formula>$D47="*01월*"</formula>
    </cfRule>
  </conditionalFormatting>
  <conditionalFormatting sqref="B56:B57 A86:I86 A87:A88 G87:G88">
    <cfRule type="expression" dxfId="1678" priority="45">
      <formula>$D60="*01월*"</formula>
    </cfRule>
  </conditionalFormatting>
  <conditionalFormatting sqref="B77:B78 E77:E78 G77:G78">
    <cfRule type="expression" dxfId="1677" priority="270">
      <formula>$D86="*01월*"</formula>
    </cfRule>
  </conditionalFormatting>
  <conditionalFormatting sqref="B79:B81 E79:E81 G79:G81">
    <cfRule type="expression" dxfId="1676" priority="228">
      <formula>$D89="*01월*"</formula>
    </cfRule>
  </conditionalFormatting>
  <conditionalFormatting sqref="B82:B83 E82:E83 G82:G83">
    <cfRule type="expression" dxfId="1675" priority="19">
      <formula>$D93="*01월*"</formula>
    </cfRule>
  </conditionalFormatting>
  <conditionalFormatting sqref="B84 E84 G84">
    <cfRule type="expression" dxfId="1674" priority="222">
      <formula>#REF!="*01월*"</formula>
    </cfRule>
  </conditionalFormatting>
  <conditionalFormatting sqref="B85">
    <cfRule type="expression" dxfId="1673" priority="3">
      <formula>$D98="*01월*"</formula>
    </cfRule>
  </conditionalFormatting>
  <conditionalFormatting sqref="B92">
    <cfRule type="expression" dxfId="1672" priority="215">
      <formula>$D105="*01월*"</formula>
    </cfRule>
  </conditionalFormatting>
  <conditionalFormatting sqref="B42:C42 F42 H42:I42">
    <cfRule type="expression" dxfId="1671" priority="54">
      <formula>#REF!="*01월*"</formula>
    </cfRule>
  </conditionalFormatting>
  <conditionalFormatting sqref="B19:I19 E39:I40 B40:D40">
    <cfRule type="expression" dxfId="1670" priority="235">
      <formula>#REF!="*01월*"</formula>
    </cfRule>
  </conditionalFormatting>
  <conditionalFormatting sqref="B22:I22">
    <cfRule type="expression" dxfId="1669" priority="52">
      <formula>#REF!="*01월*"</formula>
    </cfRule>
  </conditionalFormatting>
  <conditionalFormatting sqref="B55:I57">
    <cfRule type="expression" dxfId="1668" priority="36">
      <formula>#REF!="*01월*"</formula>
    </cfRule>
  </conditionalFormatting>
  <conditionalFormatting sqref="B60:I60">
    <cfRule type="expression" dxfId="1667" priority="31">
      <formula>$D64="*01월*"</formula>
    </cfRule>
  </conditionalFormatting>
  <conditionalFormatting sqref="B74:I76">
    <cfRule type="expression" dxfId="1666" priority="204">
      <formula>#REF!="*01월*"</formula>
    </cfRule>
  </conditionalFormatting>
  <conditionalFormatting sqref="C21 F21 H21:I21">
    <cfRule type="expression" dxfId="1665" priority="42">
      <formula>$D22="*01월*"</formula>
    </cfRule>
  </conditionalFormatting>
  <conditionalFormatting sqref="C23 C77:D85 F77:F85 H77:I85">
    <cfRule type="expression" dxfId="1664" priority="247">
      <formula>#REF!="*01월*"</formula>
    </cfRule>
  </conditionalFormatting>
  <conditionalFormatting sqref="C26 F26 H26:I26 D55:D57 A58:E58 G58:I58 A59:I59 A61:I61 B87:E88 H87:I88 A89 F89:G89">
    <cfRule type="expression" dxfId="1663" priority="41">
      <formula>$D29="*01월*"</formula>
    </cfRule>
  </conditionalFormatting>
  <conditionalFormatting sqref="C27 E27:I27">
    <cfRule type="expression" dxfId="1662" priority="13">
      <formula>$D28="*01월*"</formula>
    </cfRule>
  </conditionalFormatting>
  <conditionalFormatting sqref="C44 F48">
    <cfRule type="expression" dxfId="1661" priority="51">
      <formula>#REF!="*01월*"</formula>
    </cfRule>
  </conditionalFormatting>
  <conditionalFormatting sqref="C46 F46 H46:I46">
    <cfRule type="expression" dxfId="1660" priority="8">
      <formula>$D43="*01월*"</formula>
    </cfRule>
  </conditionalFormatting>
  <conditionalFormatting sqref="C119:C123">
    <cfRule type="expression" dxfId="1659" priority="1">
      <formula>$D121="*01월*"</formula>
    </cfRule>
  </conditionalFormatting>
  <conditionalFormatting sqref="C48:D50 H48:I50 E49:F50">
    <cfRule type="expression" dxfId="1658" priority="46">
      <formula>#REF!="*01월*"</formula>
    </cfRule>
  </conditionalFormatting>
  <conditionalFormatting sqref="C34:I34 A62:I62 B63:I63 A64:I64">
    <cfRule type="expression" dxfId="1657" priority="53">
      <formula>#REF!="*01월*"</formula>
    </cfRule>
  </conditionalFormatting>
  <conditionalFormatting sqref="C35:I36 B43:B44 D44:E44 G44:G45 E45 F87:F88">
    <cfRule type="expression" dxfId="1656" priority="47">
      <formula>$D40="*01월*"</formula>
    </cfRule>
  </conditionalFormatting>
  <conditionalFormatting sqref="C37:I37 C39:D39">
    <cfRule type="expression" dxfId="1655" priority="269">
      <formula>#REF!="*01월*"</formula>
    </cfRule>
  </conditionalFormatting>
  <conditionalFormatting sqref="C43:I43">
    <cfRule type="expression" dxfId="1654" priority="265">
      <formula>$D49="*01월*"</formula>
    </cfRule>
  </conditionalFormatting>
  <conditionalFormatting sqref="C47:I47">
    <cfRule type="expression" dxfId="1653" priority="9">
      <formula>$D49="*01월*"</formula>
    </cfRule>
  </conditionalFormatting>
  <conditionalFormatting sqref="D28">
    <cfRule type="expression" dxfId="1652" priority="32">
      <formula>$D29="*01월*"</formula>
    </cfRule>
  </conditionalFormatting>
  <conditionalFormatting sqref="D46">
    <cfRule type="expression" dxfId="1651" priority="5">
      <formula>$D48="*01월*"</formula>
    </cfRule>
  </conditionalFormatting>
  <conditionalFormatting sqref="D26:E26 G26 B26:B27 D27">
    <cfRule type="expression" dxfId="1650" priority="14">
      <formula>$D28="*01월*"</formula>
    </cfRule>
  </conditionalFormatting>
  <conditionalFormatting sqref="D42:E42 G42">
    <cfRule type="expression" dxfId="1649" priority="258">
      <formula>$D48="*01월*"</formula>
    </cfRule>
  </conditionalFormatting>
  <conditionalFormatting sqref="D46:E46">
    <cfRule type="expression" dxfId="1648" priority="6">
      <formula>#REF!="*01월*"</formula>
    </cfRule>
  </conditionalFormatting>
  <conditionalFormatting sqref="E85 G85">
    <cfRule type="expression" dxfId="1647" priority="2">
      <formula>$D98="*01월*"</formula>
    </cfRule>
  </conditionalFormatting>
  <conditionalFormatting sqref="E23:I23 C28 E28:I28">
    <cfRule type="expression" dxfId="1646" priority="50">
      <formula>#REF!="*01월*"</formula>
    </cfRule>
  </conditionalFormatting>
  <conditionalFormatting sqref="E91:I104 C92:D92 B93:D104">
    <cfRule type="expression" dxfId="1645" priority="56">
      <formula>#REF!="*01월*"</formula>
    </cfRule>
  </conditionalFormatting>
  <conditionalFormatting sqref="F44:F45 H44:I45 C45:D45">
    <cfRule type="expression" dxfId="1644" priority="12">
      <formula>#REF!="*01월*"</formula>
    </cfRule>
  </conditionalFormatting>
  <conditionalFormatting sqref="F58">
    <cfRule type="expression" dxfId="1643" priority="28">
      <formula>$D60="*01월*"</formula>
    </cfRule>
  </conditionalFormatting>
  <conditionalFormatting sqref="F89">
    <cfRule type="expression" dxfId="1642" priority="219">
      <formula>#REF!="*01월*"</formula>
    </cfRule>
  </conditionalFormatting>
  <conditionalFormatting sqref="F106">
    <cfRule type="expression" dxfId="1641" priority="232">
      <formula>#REF!="*01월*"</formula>
    </cfRule>
  </conditionalFormatting>
  <conditionalFormatting sqref="G46">
    <cfRule type="expression" dxfId="1640" priority="10">
      <formula>$D54="*01월*"</formula>
    </cfRule>
  </conditionalFormatting>
  <conditionalFormatting sqref="G89:I89">
    <cfRule type="expression" dxfId="1639" priority="39">
      <formula>$D90="*01월*"</formula>
    </cfRule>
  </conditionalFormatting>
  <printOptions horizontalCentered="1"/>
  <pageMargins left="0" right="0" top="0.74803149606299213" bottom="0.19685039370078741" header="0" footer="0"/>
  <pageSetup paperSize="9" scale="43" fitToHeight="0" orientation="portrait" r:id="rId1"/>
  <rowBreaks count="1" manualBreakCount="1">
    <brk id="64" max="8" man="1"/>
  </rowBreaks>
  <colBreaks count="1" manualBreakCount="1">
    <brk id="8" max="102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pageSetUpPr fitToPage="1"/>
  </sheetPr>
  <dimension ref="A5:L111"/>
  <sheetViews>
    <sheetView zoomScale="70" zoomScaleNormal="70" zoomScaleSheetLayoutView="70" workbookViewId="0">
      <pane xSplit="1" ySplit="12" topLeftCell="B82" activePane="bottomRight" state="frozen"/>
      <selection activeCell="D29" sqref="D29"/>
      <selection pane="topRight" activeCell="D29" sqref="D29"/>
      <selection pane="bottomLeft" activeCell="D29" sqref="D29"/>
      <selection pane="bottomRight" activeCell="D29" sqref="D29"/>
    </sheetView>
  </sheetViews>
  <sheetFormatPr defaultRowHeight="17.399999999999999"/>
  <cols>
    <col min="1" max="1" width="23.3984375" customWidth="1"/>
    <col min="2" max="2" width="22.8984375" customWidth="1"/>
    <col min="3" max="3" width="29.09765625" customWidth="1"/>
    <col min="4" max="4" width="29.09765625" hidden="1" customWidth="1"/>
    <col min="5" max="5" width="21" customWidth="1"/>
    <col min="6" max="6" width="18.69921875" customWidth="1"/>
    <col min="7" max="7" width="25.69921875" style="47" customWidth="1"/>
    <col min="8" max="8" width="26.5" customWidth="1"/>
    <col min="9" max="9" width="25.09765625" customWidth="1"/>
    <col min="10" max="10" width="29.19921875" customWidth="1"/>
    <col min="11" max="11" width="10.8984375" bestFit="1" customWidth="1"/>
  </cols>
  <sheetData>
    <row r="5" spans="1:10" ht="19.5" customHeight="1"/>
    <row r="6" spans="1:10" ht="19.5" customHeight="1">
      <c r="A6" s="2020" t="s">
        <v>1182</v>
      </c>
      <c r="B6" s="2020"/>
      <c r="C6" s="2020"/>
      <c r="D6" s="2020"/>
      <c r="E6" s="2020"/>
      <c r="F6" s="2020"/>
      <c r="G6" s="2020"/>
      <c r="H6" s="1"/>
      <c r="I6" s="1"/>
      <c r="J6" s="1"/>
    </row>
    <row r="7" spans="1:10" ht="19.5" customHeight="1">
      <c r="A7" s="2020"/>
      <c r="B7" s="2020"/>
      <c r="C7" s="2020"/>
      <c r="D7" s="2020"/>
      <c r="E7" s="2020"/>
      <c r="F7" s="2020"/>
      <c r="G7" s="2020"/>
      <c r="H7" s="1"/>
      <c r="I7" s="1"/>
      <c r="J7" s="1"/>
    </row>
    <row r="8" spans="1:10" ht="19.5" customHeight="1">
      <c r="A8" s="2020"/>
      <c r="B8" s="2020"/>
      <c r="C8" s="2020"/>
      <c r="D8" s="2020"/>
      <c r="E8" s="2020"/>
      <c r="F8" s="2020"/>
      <c r="G8" s="2020"/>
      <c r="H8" s="1"/>
      <c r="I8" s="1"/>
      <c r="J8" s="1"/>
    </row>
    <row r="9" spans="1:10" ht="19.5" customHeight="1">
      <c r="A9" s="2020"/>
      <c r="B9" s="2020"/>
      <c r="C9" s="2020"/>
      <c r="D9" s="2020"/>
      <c r="E9" s="2020"/>
      <c r="F9" s="2020"/>
      <c r="G9" s="2020"/>
      <c r="H9" s="2"/>
      <c r="I9" s="2"/>
      <c r="J9" s="2"/>
    </row>
    <row r="10" spans="1:10" ht="19.5" customHeight="1" thickBot="1">
      <c r="A10" s="2020"/>
      <c r="B10" s="2020"/>
      <c r="C10" s="2020"/>
      <c r="D10" s="2020"/>
      <c r="E10" s="2020"/>
      <c r="F10" s="2020"/>
      <c r="G10" s="2020"/>
      <c r="H10" s="2"/>
      <c r="I10" s="2"/>
      <c r="J10" s="2"/>
    </row>
    <row r="11" spans="1:10" ht="23.25" customHeight="1">
      <c r="A11" s="2021" t="s">
        <v>0</v>
      </c>
      <c r="B11" s="2023" t="s">
        <v>1</v>
      </c>
      <c r="C11" s="2024" t="s">
        <v>2</v>
      </c>
      <c r="D11" s="2024" t="s">
        <v>1222</v>
      </c>
      <c r="E11" s="2024" t="s">
        <v>3</v>
      </c>
      <c r="F11" s="2025" t="s">
        <v>4</v>
      </c>
      <c r="G11" s="2026" t="s">
        <v>5</v>
      </c>
      <c r="H11" s="2027"/>
      <c r="I11" s="2027"/>
      <c r="J11" s="2028"/>
    </row>
    <row r="12" spans="1:10" ht="23.25" customHeight="1">
      <c r="A12" s="2022"/>
      <c r="B12" s="2003"/>
      <c r="C12" s="2004"/>
      <c r="D12" s="2004"/>
      <c r="E12" s="2004"/>
      <c r="F12" s="2005"/>
      <c r="G12" s="82" t="s">
        <v>6</v>
      </c>
      <c r="H12" s="3" t="s">
        <v>7</v>
      </c>
      <c r="I12" s="3" t="s">
        <v>101</v>
      </c>
      <c r="J12" s="271" t="s">
        <v>8</v>
      </c>
    </row>
    <row r="13" spans="1:10" s="97" customFormat="1" ht="23.25" customHeight="1">
      <c r="A13" s="2010" t="s">
        <v>9</v>
      </c>
      <c r="B13" s="88" t="s">
        <v>1181</v>
      </c>
      <c r="C13" s="89" t="s">
        <v>1186</v>
      </c>
      <c r="D13" s="89"/>
      <c r="E13" s="90">
        <v>45394</v>
      </c>
      <c r="F13" s="91">
        <f>VLOOKUP(E13,환율!$A$1798:$B$2033,2,)</f>
        <v>1363.7</v>
      </c>
      <c r="G13" s="92">
        <v>361397.27</v>
      </c>
      <c r="H13" s="93">
        <f t="shared" ref="H13:H16" si="0">ROUNDDOWN(G13*F13,0)</f>
        <v>492837457</v>
      </c>
      <c r="I13" s="94" ph="1"/>
      <c r="J13" s="254"/>
    </row>
    <row r="14" spans="1:10" s="97" customFormat="1" ht="23.25" customHeight="1">
      <c r="A14" s="2011"/>
      <c r="B14" s="88" t="s">
        <v>1183</v>
      </c>
      <c r="C14" s="89" t="s">
        <v>1187</v>
      </c>
      <c r="D14" s="89"/>
      <c r="E14" s="90">
        <v>45397</v>
      </c>
      <c r="F14" s="91">
        <f>VLOOKUP(E14,환율!$A$1798:$B$2033,2,)</f>
        <v>1371.6</v>
      </c>
      <c r="G14" s="92">
        <v>217128.42</v>
      </c>
      <c r="H14" s="93">
        <f t="shared" si="0"/>
        <v>297813340</v>
      </c>
      <c r="I14" s="94" ph="1"/>
      <c r="J14" s="254"/>
    </row>
    <row r="15" spans="1:10" s="97" customFormat="1" ht="23.25" customHeight="1">
      <c r="A15" s="2011"/>
      <c r="B15" s="88" t="s">
        <v>1184</v>
      </c>
      <c r="C15" s="89" t="s">
        <v>1188</v>
      </c>
      <c r="D15" s="89"/>
      <c r="E15" s="90">
        <v>45407</v>
      </c>
      <c r="F15" s="91">
        <f>VLOOKUP(E15,환율!$A$1798:$B$2033,2,)</f>
        <v>1370</v>
      </c>
      <c r="G15" s="92">
        <v>429544</v>
      </c>
      <c r="H15" s="93">
        <f t="shared" si="0"/>
        <v>588475280</v>
      </c>
      <c r="I15" s="94" ph="1"/>
      <c r="J15" s="254"/>
    </row>
    <row r="16" spans="1:10" s="97" customFormat="1" ht="23.25" customHeight="1">
      <c r="A16" s="2011"/>
      <c r="B16" s="99" t="s">
        <v>1185</v>
      </c>
      <c r="C16" s="100" t="s">
        <v>1189</v>
      </c>
      <c r="D16" s="100"/>
      <c r="E16" s="101">
        <v>45421</v>
      </c>
      <c r="F16" s="102">
        <f>VLOOKUP(E16,환율!$A$1798:$B$2033,2,)</f>
        <v>1364.4</v>
      </c>
      <c r="G16" s="103">
        <v>401730.88</v>
      </c>
      <c r="H16" s="104">
        <f t="shared" si="0"/>
        <v>548121612</v>
      </c>
      <c r="I16" s="105" ph="1"/>
      <c r="J16" s="272"/>
    </row>
    <row r="17" spans="1:10" s="97" customFormat="1" ht="23.25" customHeight="1">
      <c r="A17" s="259"/>
      <c r="B17" s="113"/>
      <c r="C17" s="113" t="s">
        <v>10</v>
      </c>
      <c r="D17" s="113"/>
      <c r="E17" s="113"/>
      <c r="F17" s="114"/>
      <c r="G17" s="115">
        <f>SUM(G13:G16)</f>
        <v>1409800.57</v>
      </c>
      <c r="H17" s="116">
        <f>SUM(H13:H16)</f>
        <v>1927247689</v>
      </c>
      <c r="I17" s="116">
        <v>1657292850</v>
      </c>
      <c r="J17" s="260">
        <f>+H17-I17</f>
        <v>269954839</v>
      </c>
    </row>
    <row r="18" spans="1:10" s="120" customFormat="1" ht="23.25" customHeight="1">
      <c r="A18" s="2010" t="s">
        <v>11</v>
      </c>
      <c r="B18" s="117" t="s">
        <v>1190</v>
      </c>
      <c r="C18" s="89" t="s">
        <v>1197</v>
      </c>
      <c r="D18" s="319">
        <v>45373</v>
      </c>
      <c r="E18" s="90">
        <v>45393</v>
      </c>
      <c r="F18" s="91">
        <f>VLOOKUP(E18,환율!$A$1798:$B$2033,2,)</f>
        <v>1354.4</v>
      </c>
      <c r="G18" s="118">
        <v>39824.639999999999</v>
      </c>
      <c r="H18" s="93">
        <f t="shared" ref="H18:H53" si="1">ROUNDDOWN(G18*F18,0)</f>
        <v>53938492</v>
      </c>
      <c r="I18" s="119"/>
      <c r="J18" s="254"/>
    </row>
    <row r="19" spans="1:10" s="120" customFormat="1" ht="23.25" customHeight="1">
      <c r="A19" s="2011"/>
      <c r="B19" s="117" t="s">
        <v>1191</v>
      </c>
      <c r="C19" s="89" t="s">
        <v>1198</v>
      </c>
      <c r="D19" s="319">
        <v>45377</v>
      </c>
      <c r="E19" s="90">
        <v>45401</v>
      </c>
      <c r="F19" s="91">
        <f>VLOOKUP(E19,환율!$A$1798:$B$2033,2,)</f>
        <v>1375.9</v>
      </c>
      <c r="G19" s="118">
        <v>29769.119999999999</v>
      </c>
      <c r="H19" s="93">
        <f t="shared" si="1"/>
        <v>40959332</v>
      </c>
      <c r="I19" s="119"/>
      <c r="J19" s="254"/>
    </row>
    <row r="20" spans="1:10" s="120" customFormat="1" ht="23.25" customHeight="1">
      <c r="A20" s="2011"/>
      <c r="B20" s="117" t="s">
        <v>1192</v>
      </c>
      <c r="C20" s="89" t="s">
        <v>1199</v>
      </c>
      <c r="D20" s="319">
        <v>45392</v>
      </c>
      <c r="E20" s="90">
        <v>45404</v>
      </c>
      <c r="F20" s="91">
        <f>VLOOKUP(E20,환율!$A$1798:$B$2033,2,)</f>
        <v>1385</v>
      </c>
      <c r="G20" s="118">
        <v>91427.76</v>
      </c>
      <c r="H20" s="93">
        <f t="shared" si="1"/>
        <v>126627447</v>
      </c>
      <c r="I20" s="119"/>
      <c r="J20" s="254"/>
    </row>
    <row r="21" spans="1:10" s="120" customFormat="1" ht="23.25" customHeight="1">
      <c r="A21" s="2011"/>
      <c r="B21" s="117" t="s">
        <v>1193</v>
      </c>
      <c r="C21" s="89" t="s">
        <v>1200</v>
      </c>
      <c r="D21" s="319">
        <v>45397</v>
      </c>
      <c r="E21" s="90">
        <v>45406</v>
      </c>
      <c r="F21" s="91">
        <f>VLOOKUP(E21,환율!$A$1798:$B$2033,2,)</f>
        <v>1377.9</v>
      </c>
      <c r="G21" s="118">
        <v>12823.92</v>
      </c>
      <c r="H21" s="93">
        <f t="shared" si="1"/>
        <v>17670079</v>
      </c>
      <c r="I21" s="119"/>
      <c r="J21" s="254"/>
    </row>
    <row r="22" spans="1:10" s="120" customFormat="1" ht="23.25" customHeight="1">
      <c r="A22" s="2011"/>
      <c r="B22" s="117" t="s">
        <v>1195</v>
      </c>
      <c r="C22" s="89" t="s">
        <v>1201</v>
      </c>
      <c r="D22" s="319">
        <v>45397</v>
      </c>
      <c r="E22" s="90">
        <v>45403</v>
      </c>
      <c r="F22" s="91">
        <f>VLOOKUP(E22,환율!$A$1798:$B$2033,2,)</f>
        <v>1375.9</v>
      </c>
      <c r="G22" s="118">
        <v>11829.6</v>
      </c>
      <c r="H22" s="93">
        <f t="shared" si="1"/>
        <v>16276346</v>
      </c>
      <c r="I22" s="119"/>
      <c r="J22" s="254"/>
    </row>
    <row r="23" spans="1:10" s="120" customFormat="1" ht="23.25" customHeight="1">
      <c r="A23" s="2011"/>
      <c r="B23" s="117" t="s">
        <v>1196</v>
      </c>
      <c r="C23" s="89" t="s">
        <v>1202</v>
      </c>
      <c r="D23" s="319">
        <v>45397</v>
      </c>
      <c r="E23" s="90">
        <v>45406</v>
      </c>
      <c r="F23" s="91">
        <f>VLOOKUP(E23,환율!$A$1798:$B$2033,2,)</f>
        <v>1377.9</v>
      </c>
      <c r="G23" s="118">
        <v>173.8</v>
      </c>
      <c r="H23" s="93">
        <f t="shared" si="1"/>
        <v>239479</v>
      </c>
      <c r="I23" s="119"/>
      <c r="J23" s="254"/>
    </row>
    <row r="24" spans="1:10" s="97" customFormat="1" ht="23.25" customHeight="1">
      <c r="A24" s="2011"/>
      <c r="B24" s="226" t="s">
        <v>1204</v>
      </c>
      <c r="C24" s="107"/>
      <c r="D24" s="324"/>
      <c r="E24" s="108">
        <v>45386</v>
      </c>
      <c r="F24" s="109">
        <f>VLOOKUP(E24,환율!$A$1798:$B$2033,2,)</f>
        <v>1349.1</v>
      </c>
      <c r="G24" s="227">
        <v>13050</v>
      </c>
      <c r="H24" s="111">
        <f t="shared" si="1"/>
        <v>17605755</v>
      </c>
      <c r="I24" s="228"/>
      <c r="J24" s="273"/>
    </row>
    <row r="25" spans="1:10" s="120" customFormat="1" ht="23.25" customHeight="1">
      <c r="A25" s="2019"/>
      <c r="B25" s="121" t="s">
        <v>1194</v>
      </c>
      <c r="C25" s="100" t="s">
        <v>1203</v>
      </c>
      <c r="D25" s="320">
        <v>45397</v>
      </c>
      <c r="E25" s="101">
        <v>45417</v>
      </c>
      <c r="F25" s="102">
        <f>VLOOKUP(E25,환율!$A$1798:$B$2033,2,)</f>
        <v>1378.5</v>
      </c>
      <c r="G25" s="122">
        <v>38247.599999999999</v>
      </c>
      <c r="H25" s="104">
        <f t="shared" ref="H25" si="2">ROUNDDOWN(G25*F25,0)</f>
        <v>52724316</v>
      </c>
      <c r="I25" s="123"/>
      <c r="J25" s="272"/>
    </row>
    <row r="26" spans="1:10" s="97" customFormat="1" ht="23.25" customHeight="1">
      <c r="A26" s="259"/>
      <c r="B26" s="113"/>
      <c r="C26" s="113" t="s">
        <v>10</v>
      </c>
      <c r="D26" s="113"/>
      <c r="E26" s="113"/>
      <c r="F26" s="114"/>
      <c r="G26" s="127">
        <f>SUM(G18:G25)</f>
        <v>237146.44</v>
      </c>
      <c r="H26" s="116">
        <f>SUM(H18:H25)</f>
        <v>326041246</v>
      </c>
      <c r="I26" s="116">
        <v>337382473</v>
      </c>
      <c r="J26" s="260">
        <f>+H26-I26</f>
        <v>-11341227</v>
      </c>
    </row>
    <row r="27" spans="1:10" s="126" customFormat="1" ht="23.25" customHeight="1">
      <c r="A27" s="2010" t="s">
        <v>12</v>
      </c>
      <c r="B27" s="313" t="s">
        <v>1205</v>
      </c>
      <c r="C27" s="129" t="s">
        <v>1221</v>
      </c>
      <c r="D27" s="129">
        <v>45376</v>
      </c>
      <c r="E27" s="136">
        <v>45394</v>
      </c>
      <c r="F27" s="91">
        <f>VLOOKUP(E27,환율!$A$1798:$B$2033,2,)</f>
        <v>1363.7</v>
      </c>
      <c r="G27" s="134">
        <v>64658.52</v>
      </c>
      <c r="H27" s="93">
        <f t="shared" si="1"/>
        <v>88174823</v>
      </c>
      <c r="I27" s="135"/>
      <c r="J27" s="255"/>
    </row>
    <row r="28" spans="1:10" s="126" customFormat="1" ht="23.25" customHeight="1">
      <c r="A28" s="2011"/>
      <c r="B28" s="313" t="s">
        <v>1206</v>
      </c>
      <c r="C28" s="129" t="s">
        <v>1223</v>
      </c>
      <c r="D28" s="129">
        <v>45376</v>
      </c>
      <c r="E28" s="136">
        <v>45391</v>
      </c>
      <c r="F28" s="91">
        <f>VLOOKUP(E28,환율!$A$1798:$B$2033,2,)</f>
        <v>1353.6</v>
      </c>
      <c r="G28" s="134">
        <v>65115.6</v>
      </c>
      <c r="H28" s="93">
        <f t="shared" si="1"/>
        <v>88140476</v>
      </c>
      <c r="I28" s="135"/>
      <c r="J28" s="255"/>
    </row>
    <row r="29" spans="1:10" s="126" customFormat="1" ht="23.25" customHeight="1">
      <c r="A29" s="2011"/>
      <c r="B29" s="313" t="s">
        <v>1207</v>
      </c>
      <c r="C29" s="129" t="s">
        <v>1224</v>
      </c>
      <c r="D29" s="129">
        <v>45385</v>
      </c>
      <c r="E29" s="136">
        <v>45395</v>
      </c>
      <c r="F29" s="91">
        <f>VLOOKUP(E29,환율!$A$1798:$B$2033,2,)</f>
        <v>1363.7</v>
      </c>
      <c r="G29" s="134">
        <v>132347.6</v>
      </c>
      <c r="H29" s="93">
        <f t="shared" si="1"/>
        <v>180482422</v>
      </c>
      <c r="I29" s="135"/>
      <c r="J29" s="255"/>
    </row>
    <row r="30" spans="1:10" s="126" customFormat="1" ht="23.25" customHeight="1">
      <c r="A30" s="2011"/>
      <c r="B30" s="313" t="s">
        <v>1208</v>
      </c>
      <c r="C30" s="129" t="s">
        <v>1225</v>
      </c>
      <c r="D30" s="129">
        <v>45383</v>
      </c>
      <c r="E30" s="136">
        <v>45404</v>
      </c>
      <c r="F30" s="91">
        <f>VLOOKUP(E30,환율!$A$1798:$B$2033,2,)</f>
        <v>1385</v>
      </c>
      <c r="G30" s="134">
        <v>34909.08</v>
      </c>
      <c r="H30" s="93">
        <f t="shared" si="1"/>
        <v>48349075</v>
      </c>
      <c r="I30" s="135"/>
      <c r="J30" s="255"/>
    </row>
    <row r="31" spans="1:10" s="97" customFormat="1" ht="23.25" customHeight="1">
      <c r="A31" s="2011"/>
      <c r="B31" s="313" t="s">
        <v>1209</v>
      </c>
      <c r="C31" s="129" t="s">
        <v>1226</v>
      </c>
      <c r="D31" s="129">
        <v>45380</v>
      </c>
      <c r="E31" s="136">
        <v>45404</v>
      </c>
      <c r="F31" s="91">
        <f>VLOOKUP(E31,환율!$A$1798:$B$2033,2,)</f>
        <v>1385</v>
      </c>
      <c r="G31" s="134">
        <v>1797.18</v>
      </c>
      <c r="H31" s="93">
        <f t="shared" si="1"/>
        <v>2489094</v>
      </c>
      <c r="I31" s="135"/>
      <c r="J31" s="255"/>
    </row>
    <row r="32" spans="1:10" s="97" customFormat="1" ht="23.25" customHeight="1">
      <c r="A32" s="2011"/>
      <c r="B32" s="313" t="s">
        <v>1210</v>
      </c>
      <c r="C32" s="129" t="s">
        <v>1227</v>
      </c>
      <c r="D32" s="129">
        <v>45385</v>
      </c>
      <c r="E32" s="136">
        <v>45410</v>
      </c>
      <c r="F32" s="91">
        <f>VLOOKUP(E32,환율!$A$1798:$B$2033,2,)</f>
        <v>1376.6</v>
      </c>
      <c r="G32" s="134">
        <v>84743.6</v>
      </c>
      <c r="H32" s="93">
        <f t="shared" si="1"/>
        <v>116658039</v>
      </c>
      <c r="I32" s="135"/>
      <c r="J32" s="255"/>
    </row>
    <row r="33" spans="1:10" s="97" customFormat="1" ht="23.25" customHeight="1">
      <c r="A33" s="2011"/>
      <c r="B33" s="313" t="s">
        <v>1211</v>
      </c>
      <c r="C33" s="129" t="s">
        <v>1228</v>
      </c>
      <c r="D33" s="129">
        <v>45390</v>
      </c>
      <c r="E33" s="136">
        <v>45403</v>
      </c>
      <c r="F33" s="91">
        <f>VLOOKUP(E33,환율!$A$1798:$B$2033,2,)</f>
        <v>1375.9</v>
      </c>
      <c r="G33" s="134">
        <v>102006.24</v>
      </c>
      <c r="H33" s="93">
        <f t="shared" si="1"/>
        <v>140350385</v>
      </c>
      <c r="I33" s="135"/>
      <c r="J33" s="255"/>
    </row>
    <row r="34" spans="1:10" s="97" customFormat="1" ht="23.25" customHeight="1">
      <c r="A34" s="2011"/>
      <c r="B34" s="313" t="s">
        <v>1212</v>
      </c>
      <c r="C34" s="129" t="s">
        <v>1229</v>
      </c>
      <c r="D34" s="129">
        <v>45393</v>
      </c>
      <c r="E34" s="136">
        <v>45404</v>
      </c>
      <c r="F34" s="91">
        <f>VLOOKUP(E34,환율!$A$1798:$B$2033,2,)</f>
        <v>1385</v>
      </c>
      <c r="G34" s="134">
        <v>47629.120000000003</v>
      </c>
      <c r="H34" s="93">
        <f t="shared" si="1"/>
        <v>65966331</v>
      </c>
      <c r="I34" s="135"/>
      <c r="J34" s="255"/>
    </row>
    <row r="35" spans="1:10" s="97" customFormat="1" ht="23.25" customHeight="1">
      <c r="A35" s="2011"/>
      <c r="B35" s="313" t="s">
        <v>1213</v>
      </c>
      <c r="C35" s="129" t="s">
        <v>1230</v>
      </c>
      <c r="D35" s="129">
        <v>45391</v>
      </c>
      <c r="E35" s="136">
        <v>45393</v>
      </c>
      <c r="F35" s="91">
        <f>VLOOKUP(E35,환율!$A$1798:$B$2033,2,)</f>
        <v>1354.4</v>
      </c>
      <c r="G35" s="134">
        <v>2072.81</v>
      </c>
      <c r="H35" s="93">
        <f t="shared" si="1"/>
        <v>2807413</v>
      </c>
      <c r="I35" s="135"/>
      <c r="J35" s="255"/>
    </row>
    <row r="36" spans="1:10" s="97" customFormat="1" ht="23.25" customHeight="1">
      <c r="A36" s="2011"/>
      <c r="B36" s="313" t="s">
        <v>1215</v>
      </c>
      <c r="C36" s="129" t="s">
        <v>1231</v>
      </c>
      <c r="D36" s="129">
        <v>45399</v>
      </c>
      <c r="E36" s="136">
        <v>45408</v>
      </c>
      <c r="F36" s="91">
        <f>VLOOKUP(E36,환율!$A$1798:$B$2033,2,)</f>
        <v>1376.6</v>
      </c>
      <c r="G36" s="134">
        <v>122231.03</v>
      </c>
      <c r="H36" s="93">
        <f t="shared" si="1"/>
        <v>168263235</v>
      </c>
      <c r="I36" s="135"/>
      <c r="J36" s="255"/>
    </row>
    <row r="37" spans="1:10" s="97" customFormat="1" ht="23.25" customHeight="1">
      <c r="A37" s="2011"/>
      <c r="B37" s="313" t="s">
        <v>1279</v>
      </c>
      <c r="C37" s="129" t="s">
        <v>1284</v>
      </c>
      <c r="D37" s="129">
        <v>45411</v>
      </c>
      <c r="E37" s="136">
        <v>45411</v>
      </c>
      <c r="F37" s="91">
        <f>VLOOKUP(E37,환율!$A$1798:$B$2033,2,)</f>
        <v>1375.9</v>
      </c>
      <c r="G37" s="134">
        <v>2779</v>
      </c>
      <c r="H37" s="93">
        <f t="shared" si="1"/>
        <v>3823626</v>
      </c>
      <c r="I37" s="135"/>
      <c r="J37" s="255"/>
    </row>
    <row r="38" spans="1:10" s="126" customFormat="1" ht="23.25" customHeight="1">
      <c r="A38" s="2011"/>
      <c r="B38" s="117" t="s">
        <v>1218</v>
      </c>
      <c r="C38" s="129" t="s">
        <v>1234</v>
      </c>
      <c r="D38" s="129">
        <v>45384</v>
      </c>
      <c r="E38" s="90">
        <v>45385</v>
      </c>
      <c r="F38" s="91">
        <f>VLOOKUP(E38,환율!$A$1798:$B$2033,2,)</f>
        <v>1353</v>
      </c>
      <c r="G38" s="134">
        <v>2628</v>
      </c>
      <c r="H38" s="93">
        <f t="shared" si="1"/>
        <v>3555684</v>
      </c>
      <c r="I38" s="135"/>
      <c r="J38" s="255"/>
    </row>
    <row r="39" spans="1:10" s="97" customFormat="1" ht="23.25" customHeight="1">
      <c r="A39" s="2011"/>
      <c r="B39" s="117" t="s">
        <v>1219</v>
      </c>
      <c r="C39" s="129" t="s">
        <v>1235</v>
      </c>
      <c r="D39" s="129">
        <v>45387</v>
      </c>
      <c r="E39" s="90">
        <v>45387</v>
      </c>
      <c r="F39" s="91">
        <f>VLOOKUP(E39,환율!$A$1798:$B$2033,2,)</f>
        <v>1346.8</v>
      </c>
      <c r="G39" s="134">
        <v>2779</v>
      </c>
      <c r="H39" s="93">
        <f t="shared" si="1"/>
        <v>3742757</v>
      </c>
      <c r="I39" s="135"/>
      <c r="J39" s="255"/>
    </row>
    <row r="40" spans="1:10" s="97" customFormat="1" ht="23.25" customHeight="1">
      <c r="A40" s="2011"/>
      <c r="B40" s="117" t="s">
        <v>1220</v>
      </c>
      <c r="C40" s="129" t="s">
        <v>1236</v>
      </c>
      <c r="D40" s="129">
        <v>45390</v>
      </c>
      <c r="E40" s="90">
        <v>45390</v>
      </c>
      <c r="F40" s="91">
        <f>VLOOKUP(E40,환율!$A$1798:$B$2033,2,)</f>
        <v>1351.8</v>
      </c>
      <c r="G40" s="134">
        <v>216.28</v>
      </c>
      <c r="H40" s="93">
        <f t="shared" si="1"/>
        <v>292367</v>
      </c>
      <c r="I40" s="135"/>
      <c r="J40" s="255"/>
    </row>
    <row r="41" spans="1:10" s="97" customFormat="1" ht="23.25" customHeight="1">
      <c r="A41" s="2011"/>
      <c r="B41" s="226" t="s">
        <v>1271</v>
      </c>
      <c r="C41" s="325"/>
      <c r="D41" s="325">
        <v>45410</v>
      </c>
      <c r="E41" s="108">
        <v>45410</v>
      </c>
      <c r="F41" s="109">
        <f>VLOOKUP(E41,환율!$A$1798:$B$2033,2,)</f>
        <v>1376.6</v>
      </c>
      <c r="G41" s="326">
        <v>11310</v>
      </c>
      <c r="H41" s="111">
        <f t="shared" ref="H41:H50" si="3">ROUNDDOWN(G41*F41,0)</f>
        <v>15569346</v>
      </c>
      <c r="I41" s="327"/>
      <c r="J41" s="328"/>
    </row>
    <row r="42" spans="1:10" s="97" customFormat="1" ht="23.25" customHeight="1">
      <c r="A42" s="2011"/>
      <c r="B42" s="330" t="s">
        <v>1214</v>
      </c>
      <c r="C42" s="137" t="s">
        <v>1272</v>
      </c>
      <c r="D42" s="137">
        <v>45393</v>
      </c>
      <c r="E42" s="101">
        <v>45421</v>
      </c>
      <c r="F42" s="102">
        <f>VLOOKUP(E42,환율!$A$1798:$B$2033,2,)</f>
        <v>1364.4</v>
      </c>
      <c r="G42" s="138">
        <v>59963.6</v>
      </c>
      <c r="H42" s="104">
        <f t="shared" si="3"/>
        <v>81814335</v>
      </c>
      <c r="I42" s="139"/>
      <c r="J42" s="258"/>
    </row>
    <row r="43" spans="1:10" s="97" customFormat="1" ht="23.25" customHeight="1">
      <c r="A43" s="2011"/>
      <c r="B43" s="330" t="s">
        <v>1216</v>
      </c>
      <c r="C43" s="137" t="s">
        <v>1232</v>
      </c>
      <c r="D43" s="137">
        <v>45400</v>
      </c>
      <c r="E43" s="351">
        <v>45417</v>
      </c>
      <c r="F43" s="102">
        <f>VLOOKUP(E43,환율!$A$1798:$B$2033,2,)</f>
        <v>1378.5</v>
      </c>
      <c r="G43" s="138">
        <v>30694.720000000001</v>
      </c>
      <c r="H43" s="104">
        <f t="shared" si="3"/>
        <v>42312671</v>
      </c>
      <c r="I43" s="139"/>
      <c r="J43" s="258"/>
    </row>
    <row r="44" spans="1:10" s="97" customFormat="1" ht="23.25" customHeight="1">
      <c r="A44" s="2011"/>
      <c r="B44" s="330" t="s">
        <v>1217</v>
      </c>
      <c r="C44" s="137" t="s">
        <v>1233</v>
      </c>
      <c r="D44" s="137">
        <v>45400</v>
      </c>
      <c r="E44" s="351">
        <v>45415</v>
      </c>
      <c r="F44" s="102">
        <f>VLOOKUP(E44,환율!$A$1798:$B$2033,2,)</f>
        <v>1378.5</v>
      </c>
      <c r="G44" s="138">
        <v>83455.600000000006</v>
      </c>
      <c r="H44" s="104">
        <f t="shared" si="3"/>
        <v>115043544</v>
      </c>
      <c r="I44" s="139"/>
      <c r="J44" s="258"/>
    </row>
    <row r="45" spans="1:10" s="97" customFormat="1" ht="23.25" customHeight="1">
      <c r="A45" s="2011"/>
      <c r="B45" s="330" t="s">
        <v>1273</v>
      </c>
      <c r="C45" s="137" t="s">
        <v>1280</v>
      </c>
      <c r="D45" s="137">
        <v>45406</v>
      </c>
      <c r="E45" s="351">
        <v>45419</v>
      </c>
      <c r="F45" s="102">
        <f>VLOOKUP(E45,환율!$A$1798:$B$2033,2,)</f>
        <v>1365.2</v>
      </c>
      <c r="G45" s="138">
        <v>114591.12</v>
      </c>
      <c r="H45" s="104">
        <f t="shared" si="3"/>
        <v>156439797</v>
      </c>
      <c r="I45" s="139"/>
      <c r="J45" s="258"/>
    </row>
    <row r="46" spans="1:10" s="97" customFormat="1" ht="23.25" customHeight="1">
      <c r="A46" s="2011"/>
      <c r="B46" s="330" t="s">
        <v>1274</v>
      </c>
      <c r="C46" s="137" t="s">
        <v>1281</v>
      </c>
      <c r="D46" s="137">
        <v>45406</v>
      </c>
      <c r="E46" s="351">
        <v>45418</v>
      </c>
      <c r="F46" s="102">
        <f>VLOOKUP(E46,환율!$A$1798:$B$2033,2,)</f>
        <v>1378.5</v>
      </c>
      <c r="G46" s="138">
        <v>44041.2</v>
      </c>
      <c r="H46" s="104">
        <f t="shared" si="3"/>
        <v>60710794</v>
      </c>
      <c r="I46" s="139"/>
      <c r="J46" s="258"/>
    </row>
    <row r="47" spans="1:10" s="97" customFormat="1" ht="23.25" customHeight="1">
      <c r="A47" s="2011"/>
      <c r="B47" s="330" t="s">
        <v>1275</v>
      </c>
      <c r="C47" s="137" t="s">
        <v>1282</v>
      </c>
      <c r="D47" s="137">
        <v>45407</v>
      </c>
      <c r="E47" s="351">
        <v>45433</v>
      </c>
      <c r="F47" s="102">
        <f>VLOOKUP(E47,환율!$A$1798:$B$2033,2,)</f>
        <v>1356.2</v>
      </c>
      <c r="G47" s="138">
        <v>59963.6</v>
      </c>
      <c r="H47" s="104">
        <f t="shared" si="3"/>
        <v>81322634</v>
      </c>
      <c r="I47" s="139"/>
      <c r="J47" s="258"/>
    </row>
    <row r="48" spans="1:10" s="97" customFormat="1" ht="23.25" customHeight="1">
      <c r="A48" s="2011"/>
      <c r="B48" s="330" t="s">
        <v>1276</v>
      </c>
      <c r="C48" s="137" t="s">
        <v>1283</v>
      </c>
      <c r="D48" s="137">
        <v>45407</v>
      </c>
      <c r="E48" s="351">
        <v>45433</v>
      </c>
      <c r="F48" s="102">
        <f>VLOOKUP(E48,환율!$A$1798:$B$2033,2,)</f>
        <v>1356.2</v>
      </c>
      <c r="G48" s="138">
        <v>5572.8</v>
      </c>
      <c r="H48" s="104">
        <f t="shared" si="3"/>
        <v>7557831</v>
      </c>
      <c r="I48" s="139"/>
      <c r="J48" s="258"/>
    </row>
    <row r="49" spans="1:11" s="97" customFormat="1" ht="23.25" customHeight="1">
      <c r="A49" s="2011"/>
      <c r="B49" s="330" t="s">
        <v>1277</v>
      </c>
      <c r="C49" s="137" t="s">
        <v>1317</v>
      </c>
      <c r="D49" s="137">
        <v>45412</v>
      </c>
      <c r="E49" s="351">
        <v>45426</v>
      </c>
      <c r="F49" s="102">
        <f>VLOOKUP(E49,환율!$A$1798:$B$2033,2,)</f>
        <v>1370.1</v>
      </c>
      <c r="G49" s="138">
        <v>13660.8</v>
      </c>
      <c r="H49" s="104">
        <f t="shared" si="3"/>
        <v>18716662</v>
      </c>
      <c r="I49" s="139"/>
      <c r="J49" s="258"/>
    </row>
    <row r="50" spans="1:11" s="97" customFormat="1" ht="23.25" customHeight="1">
      <c r="A50" s="2019"/>
      <c r="B50" s="330" t="s">
        <v>1278</v>
      </c>
      <c r="C50" s="137" t="s">
        <v>1318</v>
      </c>
      <c r="D50" s="137">
        <v>45410</v>
      </c>
      <c r="E50" s="100">
        <v>45432</v>
      </c>
      <c r="F50" s="102">
        <f>VLOOKUP(E50,환율!$A$1798:$B$2033,2,)</f>
        <v>1355.2</v>
      </c>
      <c r="G50" s="138">
        <v>9480</v>
      </c>
      <c r="H50" s="104">
        <f t="shared" si="3"/>
        <v>12847296</v>
      </c>
      <c r="I50" s="139"/>
      <c r="J50" s="258"/>
    </row>
    <row r="51" spans="1:11" s="97" customFormat="1" ht="23.25" customHeight="1">
      <c r="A51" s="259"/>
      <c r="B51" s="113"/>
      <c r="C51" s="113" t="s">
        <v>10</v>
      </c>
      <c r="D51" s="113"/>
      <c r="E51" s="113"/>
      <c r="F51" s="114"/>
      <c r="G51" s="127">
        <f>SUM(G27:G50)</f>
        <v>1098646.5</v>
      </c>
      <c r="H51" s="116">
        <f>SUM(H27:H50)</f>
        <v>1505430637</v>
      </c>
      <c r="I51" s="116">
        <v>1454020155</v>
      </c>
      <c r="J51" s="260">
        <f>+H51-I51</f>
        <v>51410482</v>
      </c>
    </row>
    <row r="52" spans="1:11" s="97" customFormat="1" ht="23.25" customHeight="1">
      <c r="A52" s="2010" t="s">
        <v>13</v>
      </c>
      <c r="B52" s="117" t="s">
        <v>1237</v>
      </c>
      <c r="C52" s="142" t="s">
        <v>1239</v>
      </c>
      <c r="D52" s="90">
        <v>45393</v>
      </c>
      <c r="E52" s="89">
        <v>45395</v>
      </c>
      <c r="F52" s="91">
        <f>VLOOKUP(E52,환율!$A$1798:$B$2033,2,)</f>
        <v>1363.7</v>
      </c>
      <c r="G52" s="92">
        <v>88048.8</v>
      </c>
      <c r="H52" s="93">
        <f t="shared" si="1"/>
        <v>120072148</v>
      </c>
      <c r="I52" s="142"/>
      <c r="J52" s="321"/>
    </row>
    <row r="53" spans="1:11" s="97" customFormat="1" ht="23.25" customHeight="1">
      <c r="A53" s="2011"/>
      <c r="B53" s="117" t="s">
        <v>1238</v>
      </c>
      <c r="C53" s="142" t="s">
        <v>1290</v>
      </c>
      <c r="D53" s="90">
        <v>45401</v>
      </c>
      <c r="E53" s="89">
        <v>45403</v>
      </c>
      <c r="F53" s="91">
        <f>VLOOKUP(E53,환율!$A$1798:$B$2033,2,)</f>
        <v>1375.9</v>
      </c>
      <c r="G53" s="92">
        <v>38956.559999999998</v>
      </c>
      <c r="H53" s="93">
        <f t="shared" si="1"/>
        <v>53600330</v>
      </c>
      <c r="I53" s="142"/>
      <c r="J53" s="321"/>
    </row>
    <row r="54" spans="1:11" s="97" customFormat="1" ht="23.25" customHeight="1">
      <c r="A54" s="2011"/>
      <c r="B54" s="117" t="s">
        <v>1313</v>
      </c>
      <c r="C54" s="142" t="s">
        <v>1315</v>
      </c>
      <c r="D54" s="90"/>
      <c r="E54" s="89">
        <v>45408</v>
      </c>
      <c r="F54" s="91">
        <f>VLOOKUP(E54,환율!$A$1798:$B$2033,2,)</f>
        <v>1376.6</v>
      </c>
      <c r="G54" s="92">
        <v>1939.68</v>
      </c>
      <c r="H54" s="93">
        <f t="shared" ref="H54:H55" si="4">ROUNDDOWN(G54*F54,0)</f>
        <v>2670163</v>
      </c>
      <c r="I54" s="142"/>
      <c r="J54" s="321"/>
    </row>
    <row r="55" spans="1:11" s="97" customFormat="1" ht="23.25" customHeight="1">
      <c r="A55" s="2019"/>
      <c r="B55" s="117" t="s">
        <v>1314</v>
      </c>
      <c r="C55" s="142" t="s">
        <v>1316</v>
      </c>
      <c r="D55" s="90"/>
      <c r="E55" s="89">
        <v>45409</v>
      </c>
      <c r="F55" s="91">
        <f>VLOOKUP(E55,환율!$A$1798:$B$2033,2,)</f>
        <v>1376.6</v>
      </c>
      <c r="G55" s="92">
        <v>1939.68</v>
      </c>
      <c r="H55" s="93">
        <f t="shared" si="4"/>
        <v>2670163</v>
      </c>
      <c r="I55" s="142"/>
      <c r="J55" s="321"/>
    </row>
    <row r="56" spans="1:11" s="97" customFormat="1" ht="23.25" customHeight="1">
      <c r="A56" s="259"/>
      <c r="B56" s="113"/>
      <c r="C56" s="113" t="s">
        <v>10</v>
      </c>
      <c r="D56" s="113"/>
      <c r="E56" s="113"/>
      <c r="F56" s="114"/>
      <c r="G56" s="127">
        <f>SUM(G52:G55)</f>
        <v>130884.71999999999</v>
      </c>
      <c r="H56" s="116">
        <f>SUM(H52:H55)</f>
        <v>179012804</v>
      </c>
      <c r="I56" s="116">
        <v>292206759</v>
      </c>
      <c r="J56" s="260">
        <f>+H56-I56</f>
        <v>-113193955</v>
      </c>
    </row>
    <row r="57" spans="1:11" s="97" customFormat="1" ht="23.25" customHeight="1">
      <c r="A57" s="2010" t="s">
        <v>35</v>
      </c>
      <c r="B57" s="173" t="s">
        <v>1240</v>
      </c>
      <c r="C57" s="173" t="s">
        <v>1288</v>
      </c>
      <c r="D57" s="288">
        <v>45393</v>
      </c>
      <c r="E57" s="90">
        <v>45401</v>
      </c>
      <c r="F57" s="91">
        <f>VLOOKUP(E57,환율!$A$1798:$B$2033,2,)</f>
        <v>1375.9</v>
      </c>
      <c r="G57" s="92">
        <f>H57/F57</f>
        <v>1352.6491750853986</v>
      </c>
      <c r="H57" s="93">
        <v>1861110</v>
      </c>
      <c r="I57" s="142"/>
      <c r="J57" s="329"/>
      <c r="K57" s="126"/>
    </row>
    <row r="58" spans="1:11" s="97" customFormat="1" ht="23.25" customHeight="1">
      <c r="A58" s="2011"/>
      <c r="B58" s="152" t="s">
        <v>1286</v>
      </c>
      <c r="C58" s="152" t="s">
        <v>1289</v>
      </c>
      <c r="D58" s="322">
        <v>45407</v>
      </c>
      <c r="E58" s="101">
        <v>45426</v>
      </c>
      <c r="F58" s="102">
        <f>VLOOKUP(E58,환율!$A$1798:$B$2033,2,)</f>
        <v>1370.1</v>
      </c>
      <c r="G58" s="103">
        <f t="shared" ref="G58:G59" si="5">H58/F58</f>
        <v>3231.1364134004821</v>
      </c>
      <c r="H58" s="104">
        <v>4426980</v>
      </c>
      <c r="I58" s="224"/>
      <c r="J58" s="276"/>
      <c r="K58" s="126"/>
    </row>
    <row r="59" spans="1:11" s="97" customFormat="1" ht="23.25" customHeight="1">
      <c r="A59" s="2019"/>
      <c r="B59" s="152" t="s">
        <v>1287</v>
      </c>
      <c r="C59" s="152" t="s">
        <v>1320</v>
      </c>
      <c r="D59" s="322"/>
      <c r="E59" s="101">
        <v>45438</v>
      </c>
      <c r="F59" s="102">
        <f>VLOOKUP(E59,환율!$A$1798:$B$2033,2,)</f>
        <v>1364.5</v>
      </c>
      <c r="G59" s="103">
        <f t="shared" si="5"/>
        <v>19185.969952363503</v>
      </c>
      <c r="H59" s="104">
        <v>26179256</v>
      </c>
      <c r="I59" s="224"/>
      <c r="J59" s="276"/>
      <c r="K59" s="126"/>
    </row>
    <row r="60" spans="1:11" s="97" customFormat="1" ht="23.25" customHeight="1">
      <c r="A60" s="259"/>
      <c r="B60" s="113"/>
      <c r="C60" s="113" t="s">
        <v>10</v>
      </c>
      <c r="D60" s="113"/>
      <c r="E60" s="113"/>
      <c r="F60" s="114"/>
      <c r="G60" s="127">
        <f>SUM(G57:G59)</f>
        <v>23769.755540849383</v>
      </c>
      <c r="H60" s="116">
        <f>SUM(H57:H59)</f>
        <v>32467346</v>
      </c>
      <c r="I60" s="116">
        <v>45673674</v>
      </c>
      <c r="J60" s="260">
        <f>+H60-I60</f>
        <v>-13206328</v>
      </c>
    </row>
    <row r="61" spans="1:11" s="97" customFormat="1" ht="23.25" customHeight="1">
      <c r="A61" s="2012" t="s">
        <v>47</v>
      </c>
      <c r="B61" s="155" t="s">
        <v>1268</v>
      </c>
      <c r="C61" s="146" t="s">
        <v>1270</v>
      </c>
      <c r="D61" s="146">
        <v>45393</v>
      </c>
      <c r="E61" s="146">
        <v>45406</v>
      </c>
      <c r="F61" s="91">
        <f>VLOOKUP(E61,환율!$A$1798:$B$2033,2,)</f>
        <v>1377.9</v>
      </c>
      <c r="G61" s="118">
        <v>39476</v>
      </c>
      <c r="H61" s="93">
        <f t="shared" ref="H61:H62" si="6">ROUNDDOWN(G61*F61,0)</f>
        <v>54393980</v>
      </c>
      <c r="I61" s="156"/>
      <c r="J61" s="263"/>
    </row>
    <row r="62" spans="1:11" s="97" customFormat="1" ht="23.25" customHeight="1">
      <c r="A62" s="2013"/>
      <c r="B62" s="229" t="s">
        <v>1269</v>
      </c>
      <c r="C62" s="169" t="s">
        <v>1285</v>
      </c>
      <c r="D62" s="169">
        <v>45408</v>
      </c>
      <c r="E62" s="100">
        <v>45420</v>
      </c>
      <c r="F62" s="102">
        <f>VLOOKUP(E62,환율!$A$1798:$B$2033,2,)</f>
        <v>1357.8</v>
      </c>
      <c r="G62" s="122">
        <v>35528.400000000001</v>
      </c>
      <c r="H62" s="104">
        <f t="shared" si="6"/>
        <v>48240461</v>
      </c>
      <c r="I62" s="185"/>
      <c r="J62" s="277"/>
    </row>
    <row r="63" spans="1:11" s="97" customFormat="1" ht="23.25" customHeight="1" thickBot="1">
      <c r="A63" s="345"/>
      <c r="B63" s="346"/>
      <c r="C63" s="346" t="s">
        <v>10</v>
      </c>
      <c r="D63" s="346"/>
      <c r="E63" s="346"/>
      <c r="F63" s="346"/>
      <c r="G63" s="347">
        <f>SUM(G61:G62)</f>
        <v>75004.399999999994</v>
      </c>
      <c r="H63" s="348">
        <f>SUM(H61:H62)</f>
        <v>102634441</v>
      </c>
      <c r="I63" s="348">
        <v>102265736</v>
      </c>
      <c r="J63" s="349">
        <f>+H63-I63</f>
        <v>368705</v>
      </c>
    </row>
    <row r="64" spans="1:11" s="97" customFormat="1" ht="23.25" hidden="1" customHeight="1">
      <c r="A64" s="2011" t="s">
        <v>34</v>
      </c>
      <c r="B64" s="145"/>
      <c r="C64" s="339"/>
      <c r="D64" s="339"/>
      <c r="E64" s="90"/>
      <c r="F64" s="340" t="e">
        <f>VLOOKUP(E64,환율!$A$1798:$B$2033,2,)</f>
        <v>#N/A</v>
      </c>
      <c r="G64" s="341"/>
      <c r="H64" s="342" t="e">
        <f t="shared" ref="H64:H65" si="7">ROUNDDOWN(G64*F64,0)</f>
        <v>#N/A</v>
      </c>
      <c r="I64" s="343"/>
      <c r="J64" s="344"/>
    </row>
    <row r="65" spans="1:11" s="97" customFormat="1" ht="23.25" hidden="1" customHeight="1">
      <c r="A65" s="2019"/>
      <c r="B65" s="152"/>
      <c r="C65" s="153"/>
      <c r="D65" s="153"/>
      <c r="E65" s="282"/>
      <c r="F65" s="102" t="e">
        <f>VLOOKUP(E65,환율!$A$1798:$B$2033,2,)</f>
        <v>#N/A</v>
      </c>
      <c r="G65" s="122"/>
      <c r="H65" s="104" t="e">
        <f t="shared" si="7"/>
        <v>#N/A</v>
      </c>
      <c r="I65" s="154"/>
      <c r="J65" s="258"/>
    </row>
    <row r="66" spans="1:11" s="97" customFormat="1" ht="23.25" hidden="1" customHeight="1" thickBot="1">
      <c r="A66" s="265"/>
      <c r="B66" s="280"/>
      <c r="C66" s="280" t="s">
        <v>10</v>
      </c>
      <c r="D66" s="280"/>
      <c r="E66" s="280"/>
      <c r="F66" s="281"/>
      <c r="G66" s="268">
        <f>SUM(G64:G65)</f>
        <v>0</v>
      </c>
      <c r="H66" s="269" t="e">
        <f>SUM(H64:H65)</f>
        <v>#N/A</v>
      </c>
      <c r="I66" s="269">
        <v>15111688</v>
      </c>
      <c r="J66" s="270" t="e">
        <f>+H66-I66</f>
        <v>#N/A</v>
      </c>
      <c r="K66" s="126"/>
    </row>
    <row r="67" spans="1:11" s="97" customFormat="1" ht="23.25" customHeight="1">
      <c r="A67" s="2018" t="s">
        <v>14</v>
      </c>
      <c r="B67" s="247" t="s">
        <v>1241</v>
      </c>
      <c r="C67" s="248" t="s">
        <v>1255</v>
      </c>
      <c r="D67" s="248">
        <v>45378</v>
      </c>
      <c r="E67" s="248">
        <v>45383</v>
      </c>
      <c r="F67" s="249">
        <f>VLOOKUP(E67,환율!$A$1798:$B$2033,2,)</f>
        <v>1347.4</v>
      </c>
      <c r="G67" s="250">
        <v>889.33</v>
      </c>
      <c r="H67" s="251">
        <f t="shared" ref="H67:H83" si="8">ROUNDDOWN(G67*F67,0)</f>
        <v>1198283</v>
      </c>
      <c r="I67" s="252"/>
      <c r="J67" s="253"/>
    </row>
    <row r="68" spans="1:11" s="97" customFormat="1" ht="23.25" customHeight="1">
      <c r="A68" s="2011"/>
      <c r="B68" s="88" t="s">
        <v>1254</v>
      </c>
      <c r="C68" s="129" t="s">
        <v>1293</v>
      </c>
      <c r="D68" s="129">
        <v>45380</v>
      </c>
      <c r="E68" s="136">
        <v>45383</v>
      </c>
      <c r="F68" s="91">
        <f>VLOOKUP(E68,환율!$A$1798:$B$2033,2,)</f>
        <v>1347.4</v>
      </c>
      <c r="G68" s="92">
        <v>255.04</v>
      </c>
      <c r="H68" s="93">
        <f t="shared" si="8"/>
        <v>343640</v>
      </c>
      <c r="I68" s="165"/>
      <c r="J68" s="254"/>
    </row>
    <row r="69" spans="1:11" s="97" customFormat="1" ht="23.25" customHeight="1">
      <c r="A69" s="2011"/>
      <c r="B69" s="88" t="s">
        <v>1242</v>
      </c>
      <c r="C69" s="146" t="s">
        <v>1294</v>
      </c>
      <c r="D69" s="146">
        <v>45380</v>
      </c>
      <c r="E69" s="136">
        <v>45383</v>
      </c>
      <c r="F69" s="91">
        <f>VLOOKUP(E69,환율!$A$1798:$B$2033,2,)</f>
        <v>1347.4</v>
      </c>
      <c r="G69" s="118">
        <v>922.58</v>
      </c>
      <c r="H69" s="93">
        <f t="shared" si="8"/>
        <v>1243084</v>
      </c>
      <c r="I69" s="147"/>
      <c r="J69" s="255"/>
    </row>
    <row r="70" spans="1:11" s="97" customFormat="1" ht="23.25" customHeight="1">
      <c r="A70" s="2011"/>
      <c r="B70" s="88" t="s">
        <v>1243</v>
      </c>
      <c r="C70" s="136" t="s">
        <v>1295</v>
      </c>
      <c r="D70" s="136">
        <v>45380</v>
      </c>
      <c r="E70" s="136">
        <v>45383</v>
      </c>
      <c r="F70" s="91">
        <f>VLOOKUP(E70,환율!$A$1798:$B$2033,2,)</f>
        <v>1347.4</v>
      </c>
      <c r="G70" s="92">
        <v>2616</v>
      </c>
      <c r="H70" s="93">
        <f t="shared" si="8"/>
        <v>3524798</v>
      </c>
      <c r="I70" s="167"/>
      <c r="J70" s="256"/>
    </row>
    <row r="71" spans="1:11" s="97" customFormat="1" ht="23.25" customHeight="1">
      <c r="A71" s="2011"/>
      <c r="B71" s="88" t="s">
        <v>1244</v>
      </c>
      <c r="C71" s="146" t="s">
        <v>1256</v>
      </c>
      <c r="D71" s="146">
        <v>45387</v>
      </c>
      <c r="E71" s="136">
        <v>45405</v>
      </c>
      <c r="F71" s="91">
        <f>VLOOKUP(E71,환율!$A$1798:$B$2033,2,)</f>
        <v>1380.6</v>
      </c>
      <c r="G71" s="92">
        <v>658.28</v>
      </c>
      <c r="H71" s="93">
        <f t="shared" si="8"/>
        <v>908821</v>
      </c>
      <c r="I71" s="168"/>
      <c r="J71" s="256"/>
    </row>
    <row r="72" spans="1:11" s="97" customFormat="1" ht="23.25" customHeight="1">
      <c r="A72" s="2011"/>
      <c r="B72" s="88" t="s">
        <v>1245</v>
      </c>
      <c r="C72" s="146" t="s">
        <v>1296</v>
      </c>
      <c r="D72" s="146">
        <v>45387</v>
      </c>
      <c r="E72" s="136">
        <v>45387</v>
      </c>
      <c r="F72" s="91">
        <f>VLOOKUP(E72,환율!$A$1798:$B$2033,2,)</f>
        <v>1346.8</v>
      </c>
      <c r="G72" s="118">
        <v>1801.32</v>
      </c>
      <c r="H72" s="93">
        <f t="shared" si="8"/>
        <v>2426017</v>
      </c>
      <c r="I72" s="147"/>
      <c r="J72" s="255"/>
    </row>
    <row r="73" spans="1:11" s="97" customFormat="1" ht="23.25" customHeight="1">
      <c r="A73" s="2011"/>
      <c r="B73" s="88" t="s">
        <v>1246</v>
      </c>
      <c r="C73" s="146" t="s">
        <v>1257</v>
      </c>
      <c r="D73" s="146">
        <v>45387</v>
      </c>
      <c r="E73" s="136">
        <v>45387</v>
      </c>
      <c r="F73" s="91">
        <f>VLOOKUP(E73,환율!$A$1798:$B$2033,2,)</f>
        <v>1346.8</v>
      </c>
      <c r="G73" s="92">
        <v>468.19</v>
      </c>
      <c r="H73" s="93">
        <f t="shared" si="8"/>
        <v>630558</v>
      </c>
      <c r="I73" s="168"/>
      <c r="J73" s="256"/>
    </row>
    <row r="74" spans="1:11" s="97" customFormat="1" ht="23.25" customHeight="1">
      <c r="A74" s="2011"/>
      <c r="B74" s="88" t="s">
        <v>1247</v>
      </c>
      <c r="C74" s="146" t="s">
        <v>1258</v>
      </c>
      <c r="D74" s="146">
        <v>45387</v>
      </c>
      <c r="E74" s="136">
        <v>45398</v>
      </c>
      <c r="F74" s="91">
        <f>VLOOKUP(E74,환율!$A$1798:$B$2033,2,)</f>
        <v>1383.7</v>
      </c>
      <c r="G74" s="118">
        <v>749.4</v>
      </c>
      <c r="H74" s="93">
        <f t="shared" si="8"/>
        <v>1036944</v>
      </c>
      <c r="I74" s="168"/>
      <c r="J74" s="256"/>
    </row>
    <row r="75" spans="1:11" s="97" customFormat="1" ht="23.25" customHeight="1">
      <c r="A75" s="2011"/>
      <c r="B75" s="88" t="s">
        <v>1248</v>
      </c>
      <c r="C75" s="146" t="s">
        <v>1259</v>
      </c>
      <c r="D75" s="146">
        <v>45387</v>
      </c>
      <c r="E75" s="136">
        <v>45394</v>
      </c>
      <c r="F75" s="91">
        <f>VLOOKUP(E75,환율!$A$1798:$B$2033,2,)</f>
        <v>1363.7</v>
      </c>
      <c r="G75" s="118">
        <v>1093.24</v>
      </c>
      <c r="H75" s="93">
        <f t="shared" si="8"/>
        <v>1490851</v>
      </c>
      <c r="I75" s="168"/>
      <c r="J75" s="256"/>
    </row>
    <row r="76" spans="1:11" s="97" customFormat="1" ht="23.25" customHeight="1">
      <c r="A76" s="2011"/>
      <c r="B76" s="88" t="s">
        <v>1249</v>
      </c>
      <c r="C76" s="146" t="s">
        <v>1260</v>
      </c>
      <c r="D76" s="146">
        <v>45393</v>
      </c>
      <c r="E76" s="136">
        <v>45393</v>
      </c>
      <c r="F76" s="91">
        <f>VLOOKUP(E76,환율!$A$1798:$B$2033,2,)</f>
        <v>1354.4</v>
      </c>
      <c r="G76" s="118">
        <v>787.01</v>
      </c>
      <c r="H76" s="93">
        <f t="shared" si="8"/>
        <v>1065926</v>
      </c>
      <c r="I76" s="168"/>
      <c r="J76" s="256"/>
    </row>
    <row r="77" spans="1:11" s="97" customFormat="1" ht="23.25" customHeight="1">
      <c r="A77" s="2011"/>
      <c r="B77" s="88" t="s">
        <v>1250</v>
      </c>
      <c r="C77" s="146" t="s">
        <v>1261</v>
      </c>
      <c r="D77" s="146">
        <v>45393</v>
      </c>
      <c r="E77" s="90">
        <v>45406</v>
      </c>
      <c r="F77" s="91">
        <f>VLOOKUP(E77,환율!$A$1798:$B$2033,2,)</f>
        <v>1377.9</v>
      </c>
      <c r="G77" s="118">
        <v>17638.2</v>
      </c>
      <c r="H77" s="93">
        <f t="shared" si="8"/>
        <v>24303675</v>
      </c>
      <c r="I77" s="168"/>
      <c r="J77" s="256"/>
    </row>
    <row r="78" spans="1:11" s="97" customFormat="1" ht="23.25" customHeight="1">
      <c r="A78" s="2011"/>
      <c r="B78" s="99" t="s">
        <v>1251</v>
      </c>
      <c r="C78" s="169" t="s">
        <v>1262</v>
      </c>
      <c r="D78" s="169">
        <v>45405</v>
      </c>
      <c r="E78" s="101">
        <v>45418</v>
      </c>
      <c r="F78" s="102">
        <f>VLOOKUP(E78,환율!$A$1798:$B$2033,2,)</f>
        <v>1378.5</v>
      </c>
      <c r="G78" s="122">
        <v>12327.39</v>
      </c>
      <c r="H78" s="104">
        <f t="shared" si="8"/>
        <v>16993307</v>
      </c>
      <c r="I78" s="170"/>
      <c r="J78" s="257"/>
    </row>
    <row r="79" spans="1:11" s="97" customFormat="1" ht="23.25" customHeight="1">
      <c r="A79" s="2011"/>
      <c r="B79" s="99" t="s">
        <v>1252</v>
      </c>
      <c r="C79" s="169" t="s">
        <v>1263</v>
      </c>
      <c r="D79" s="169">
        <v>45402</v>
      </c>
      <c r="E79" s="101">
        <v>45420</v>
      </c>
      <c r="F79" s="102">
        <f>VLOOKUP(E79,환율!$A$1798:$B$2033,2,)</f>
        <v>1357.8</v>
      </c>
      <c r="G79" s="122">
        <v>420.61</v>
      </c>
      <c r="H79" s="104">
        <f t="shared" si="8"/>
        <v>571104</v>
      </c>
      <c r="I79" s="170"/>
      <c r="J79" s="257"/>
    </row>
    <row r="80" spans="1:11" s="97" customFormat="1" ht="23.25" customHeight="1">
      <c r="A80" s="2011"/>
      <c r="B80" s="99" t="s">
        <v>1253</v>
      </c>
      <c r="C80" s="169" t="s">
        <v>1264</v>
      </c>
      <c r="D80" s="169">
        <v>45407</v>
      </c>
      <c r="E80" s="101">
        <v>45418</v>
      </c>
      <c r="F80" s="102">
        <f>VLOOKUP(E80,환율!$A$1798:$B$2033,2,)</f>
        <v>1378.5</v>
      </c>
      <c r="G80" s="122">
        <v>20545.650000000001</v>
      </c>
      <c r="H80" s="104">
        <f t="shared" si="8"/>
        <v>28322178</v>
      </c>
      <c r="I80" s="170"/>
      <c r="J80" s="257"/>
    </row>
    <row r="81" spans="1:11" s="97" customFormat="1" ht="23.25" customHeight="1">
      <c r="A81" s="259"/>
      <c r="B81" s="113"/>
      <c r="C81" s="172"/>
      <c r="D81" s="172"/>
      <c r="E81" s="113"/>
      <c r="F81" s="114"/>
      <c r="G81" s="127">
        <f>SUM(G67:G80)</f>
        <v>61172.24</v>
      </c>
      <c r="H81" s="116">
        <f>SUM(H67:H80)</f>
        <v>84059186</v>
      </c>
      <c r="I81" s="116">
        <v>41594966</v>
      </c>
      <c r="J81" s="260">
        <f>+H81-I81</f>
        <v>42464220</v>
      </c>
    </row>
    <row r="82" spans="1:11" s="97" customFormat="1" ht="23.25" customHeight="1">
      <c r="A82" s="2010" t="s">
        <v>15</v>
      </c>
      <c r="B82" s="173" t="s">
        <v>1265</v>
      </c>
      <c r="C82" s="173" t="s">
        <v>1267</v>
      </c>
      <c r="D82" s="223">
        <v>45406</v>
      </c>
      <c r="E82" s="223">
        <v>45408</v>
      </c>
      <c r="F82" s="91">
        <f>VLOOKUP(E82,환율!$A$1798:$B$2033,2,)</f>
        <v>1376.6</v>
      </c>
      <c r="G82" s="92">
        <v>15963.21</v>
      </c>
      <c r="H82" s="93">
        <f t="shared" si="8"/>
        <v>21974954</v>
      </c>
      <c r="I82" s="173"/>
      <c r="J82" s="262"/>
    </row>
    <row r="83" spans="1:11" s="97" customFormat="1" ht="23.25" customHeight="1">
      <c r="A83" s="2011"/>
      <c r="B83" s="152" t="s">
        <v>1266</v>
      </c>
      <c r="C83" s="152" t="s">
        <v>1172</v>
      </c>
      <c r="D83" s="322">
        <v>45412</v>
      </c>
      <c r="E83" s="352">
        <v>45417</v>
      </c>
      <c r="F83" s="102">
        <f>VLOOKUP(E83,환율!$A$1798:$B$2033,2,)</f>
        <v>1378.5</v>
      </c>
      <c r="G83" s="103">
        <v>14189.52</v>
      </c>
      <c r="H83" s="104">
        <f t="shared" si="8"/>
        <v>19560253</v>
      </c>
      <c r="I83" s="152"/>
      <c r="J83" s="323"/>
    </row>
    <row r="84" spans="1:11" s="97" customFormat="1" ht="23.25" customHeight="1">
      <c r="A84" s="259"/>
      <c r="B84" s="113"/>
      <c r="C84" s="172"/>
      <c r="D84" s="172"/>
      <c r="E84" s="113"/>
      <c r="F84" s="114"/>
      <c r="G84" s="127">
        <f>SUM(G82:G83)</f>
        <v>30152.73</v>
      </c>
      <c r="H84" s="116">
        <f>SUM(H82:H83)</f>
        <v>41535207</v>
      </c>
      <c r="I84" s="116">
        <v>78216384</v>
      </c>
      <c r="J84" s="260">
        <f>+H84-I84</f>
        <v>-36681177</v>
      </c>
      <c r="K84" s="175"/>
    </row>
    <row r="85" spans="1:11" s="97" customFormat="1" ht="23.25" customHeight="1">
      <c r="A85" s="2010" t="s">
        <v>726</v>
      </c>
      <c r="B85" s="146" t="s">
        <v>1291</v>
      </c>
      <c r="C85" s="146" t="s">
        <v>1292</v>
      </c>
      <c r="D85" s="136"/>
      <c r="E85" s="136">
        <v>45387</v>
      </c>
      <c r="F85" s="176">
        <v>8.9053000000000004</v>
      </c>
      <c r="G85" s="177">
        <v>13842176</v>
      </c>
      <c r="H85" s="93">
        <f t="shared" ref="H85:H90" si="9">ROUNDDOWN(G85*F85,0)</f>
        <v>123268729</v>
      </c>
      <c r="I85" s="156"/>
      <c r="J85" s="263"/>
    </row>
    <row r="86" spans="1:11" s="97" customFormat="1" ht="23.25" customHeight="1">
      <c r="A86" s="2011"/>
      <c r="B86" s="146" t="s">
        <v>1300</v>
      </c>
      <c r="C86" s="146" t="s">
        <v>1301</v>
      </c>
      <c r="D86" s="136"/>
      <c r="E86" s="136">
        <v>45387</v>
      </c>
      <c r="F86" s="176">
        <v>8.9053000000000004</v>
      </c>
      <c r="G86" s="177">
        <v>14215068</v>
      </c>
      <c r="H86" s="93">
        <f t="shared" si="9"/>
        <v>126589445</v>
      </c>
      <c r="I86" s="156"/>
      <c r="J86" s="263"/>
      <c r="K86" s="175"/>
    </row>
    <row r="87" spans="1:11" s="97" customFormat="1" ht="23.25" customHeight="1">
      <c r="A87" s="2011"/>
      <c r="B87" s="146" t="s">
        <v>1302</v>
      </c>
      <c r="C87" s="146" t="s">
        <v>1303</v>
      </c>
      <c r="D87" s="136"/>
      <c r="E87" s="136">
        <v>45389</v>
      </c>
      <c r="F87" s="176">
        <v>8.9053000000000004</v>
      </c>
      <c r="G87" s="177">
        <v>7562088</v>
      </c>
      <c r="H87" s="93">
        <f t="shared" si="9"/>
        <v>67342662</v>
      </c>
      <c r="I87" s="156"/>
      <c r="J87" s="263"/>
      <c r="K87" s="175"/>
    </row>
    <row r="88" spans="1:11" s="97" customFormat="1" ht="23.25" customHeight="1">
      <c r="A88" s="2011"/>
      <c r="B88" s="146" t="s">
        <v>1304</v>
      </c>
      <c r="C88" s="146" t="s">
        <v>1307</v>
      </c>
      <c r="D88" s="136"/>
      <c r="E88" s="136">
        <v>45395</v>
      </c>
      <c r="F88" s="176">
        <v>8.9006000000000007</v>
      </c>
      <c r="G88" s="177">
        <v>14431744</v>
      </c>
      <c r="H88" s="93">
        <f t="shared" si="9"/>
        <v>128451180</v>
      </c>
      <c r="I88" s="156"/>
      <c r="J88" s="263"/>
      <c r="K88" s="175"/>
    </row>
    <row r="89" spans="1:11" s="97" customFormat="1" ht="23.25" customHeight="1">
      <c r="A89" s="2011"/>
      <c r="B89" s="146" t="s">
        <v>1305</v>
      </c>
      <c r="C89" s="146" t="s">
        <v>1308</v>
      </c>
      <c r="D89" s="136"/>
      <c r="E89" s="136">
        <v>45406</v>
      </c>
      <c r="F89" s="176">
        <v>8.9025999999999996</v>
      </c>
      <c r="G89" s="177">
        <v>3540400</v>
      </c>
      <c r="H89" s="93">
        <f t="shared" si="9"/>
        <v>31518765</v>
      </c>
      <c r="I89" s="156"/>
      <c r="J89" s="263"/>
      <c r="K89" s="175"/>
    </row>
    <row r="90" spans="1:11" s="97" customFormat="1" ht="23.25" customHeight="1">
      <c r="A90" s="2011"/>
      <c r="B90" s="146" t="s">
        <v>1306</v>
      </c>
      <c r="C90" s="146" t="s">
        <v>1309</v>
      </c>
      <c r="D90" s="136"/>
      <c r="E90" s="136">
        <v>45406</v>
      </c>
      <c r="F90" s="176">
        <v>8.9025999999999996</v>
      </c>
      <c r="G90" s="177">
        <v>15938836</v>
      </c>
      <c r="H90" s="93">
        <f t="shared" si="9"/>
        <v>141897081</v>
      </c>
      <c r="I90" s="156"/>
      <c r="J90" s="263"/>
      <c r="K90" s="175"/>
    </row>
    <row r="91" spans="1:11" s="97" customFormat="1" ht="23.25" customHeight="1">
      <c r="A91" s="2011"/>
      <c r="B91" s="146" t="s">
        <v>1310</v>
      </c>
      <c r="C91" s="146" t="s">
        <v>1311</v>
      </c>
      <c r="D91" s="136"/>
      <c r="E91" s="136">
        <v>45409</v>
      </c>
      <c r="F91" s="176">
        <v>8.8478999999999992</v>
      </c>
      <c r="G91" s="177">
        <v>11231692</v>
      </c>
      <c r="H91" s="93">
        <f t="shared" ref="H91" si="10">ROUNDDOWN(G91*F91,0)</f>
        <v>99376887</v>
      </c>
      <c r="I91" s="156"/>
      <c r="J91" s="263"/>
      <c r="K91" s="175"/>
    </row>
    <row r="92" spans="1:11" s="97" customFormat="1" ht="23.25" customHeight="1" thickBot="1">
      <c r="A92" s="265"/>
      <c r="B92" s="266"/>
      <c r="C92" s="266" t="s">
        <v>10</v>
      </c>
      <c r="D92" s="266"/>
      <c r="E92" s="266"/>
      <c r="F92" s="267"/>
      <c r="G92" s="338">
        <f>SUM(G85:G91)</f>
        <v>80762004</v>
      </c>
      <c r="H92" s="269">
        <f>SUM(H85:H91)</f>
        <v>718444749</v>
      </c>
      <c r="I92" s="269">
        <v>630940505</v>
      </c>
      <c r="J92" s="270">
        <f>+H92-I92</f>
        <v>87504244</v>
      </c>
    </row>
    <row r="93" spans="1:11" s="310" customFormat="1" ht="23.25" customHeight="1">
      <c r="A93" s="331" t="s">
        <v>992</v>
      </c>
      <c r="B93" s="332" t="s">
        <v>1312</v>
      </c>
      <c r="C93" s="303"/>
      <c r="D93" s="303"/>
      <c r="E93" s="303">
        <v>45400</v>
      </c>
      <c r="F93" s="333">
        <f>VLOOKUP(E93,환율!$A$1798:$B$2033,2,)</f>
        <v>1386.3</v>
      </c>
      <c r="G93" s="334">
        <f>H93/F93</f>
        <v>15527.95210271947</v>
      </c>
      <c r="H93" s="335">
        <v>21526400</v>
      </c>
      <c r="I93" s="336"/>
      <c r="J93" s="337"/>
      <c r="K93" s="309"/>
    </row>
    <row r="94" spans="1:11" s="97" customFormat="1" ht="23.25" customHeight="1" thickBot="1">
      <c r="A94" s="265"/>
      <c r="B94" s="266"/>
      <c r="C94" s="266" t="s">
        <v>10</v>
      </c>
      <c r="D94" s="266"/>
      <c r="E94" s="266"/>
      <c r="F94" s="267"/>
      <c r="G94" s="268">
        <f>SUM(G93:G93)</f>
        <v>15527.95210271947</v>
      </c>
      <c r="H94" s="269">
        <f>SUM(H93:H93)</f>
        <v>21526400</v>
      </c>
      <c r="I94" s="269">
        <v>4167460</v>
      </c>
      <c r="J94" s="270">
        <f>+H94-I94</f>
        <v>17358940</v>
      </c>
      <c r="K94" s="175"/>
    </row>
    <row r="95" spans="1:11" s="97" customFormat="1" ht="23.25" customHeight="1" thickBot="1">
      <c r="A95" s="2029" t="s">
        <v>1176</v>
      </c>
      <c r="B95" s="2030"/>
      <c r="C95" s="2030"/>
      <c r="D95" s="2030"/>
      <c r="E95" s="2031"/>
      <c r="F95" s="1997" t="s">
        <v>31</v>
      </c>
      <c r="G95" s="232" t="s">
        <v>17</v>
      </c>
      <c r="H95" s="210">
        <f>+H97-H96</f>
        <v>4883698204</v>
      </c>
      <c r="I95" s="210">
        <v>4651560919</v>
      </c>
      <c r="J95" s="219">
        <f>+H95-I95</f>
        <v>232137285</v>
      </c>
    </row>
    <row r="96" spans="1:11" s="97" customFormat="1" ht="23.25" customHeight="1">
      <c r="A96" s="239" t="s">
        <v>20</v>
      </c>
      <c r="B96" s="195" t="s">
        <v>21</v>
      </c>
      <c r="C96" s="196" t="s">
        <v>20</v>
      </c>
      <c r="D96" s="314"/>
      <c r="E96" s="197" t="s">
        <v>21</v>
      </c>
      <c r="F96" s="1997"/>
      <c r="G96" s="198" t="s">
        <v>18</v>
      </c>
      <c r="H96" s="199">
        <f>SUM(H41,H24)</f>
        <v>33175101</v>
      </c>
      <c r="I96" s="199">
        <v>26118568</v>
      </c>
      <c r="J96" s="201">
        <f>+H96-I96</f>
        <v>7056533</v>
      </c>
    </row>
    <row r="97" spans="1:12" s="97" customFormat="1" ht="23.25" customHeight="1" thickBot="1">
      <c r="A97" s="240" t="s">
        <v>9</v>
      </c>
      <c r="B97" s="199">
        <f>H16</f>
        <v>548121612</v>
      </c>
      <c r="C97" s="200" t="s">
        <v>721</v>
      </c>
      <c r="D97" s="315"/>
      <c r="E97" s="201">
        <v>0</v>
      </c>
      <c r="F97" s="1998"/>
      <c r="G97" s="202" t="s">
        <v>19</v>
      </c>
      <c r="H97" s="203">
        <f>SUM(H92,H84,H81,H63,H60,H56,H51,H26,H17)</f>
        <v>4916873305</v>
      </c>
      <c r="I97" s="203">
        <v>4677679487</v>
      </c>
      <c r="J97" s="233">
        <f>+H97-I97</f>
        <v>239193818</v>
      </c>
    </row>
    <row r="98" spans="1:12" s="97" customFormat="1" ht="23.25" customHeight="1">
      <c r="A98" s="240" t="s">
        <v>11</v>
      </c>
      <c r="B98" s="199">
        <f>H25</f>
        <v>52724316</v>
      </c>
      <c r="C98" s="200" t="s">
        <v>722</v>
      </c>
      <c r="D98" s="315"/>
      <c r="E98" s="201">
        <v>0</v>
      </c>
      <c r="F98" s="296" t="s">
        <v>20</v>
      </c>
      <c r="G98" s="297" t="s">
        <v>1299</v>
      </c>
      <c r="H98" s="298" t="s">
        <v>1297</v>
      </c>
      <c r="I98" s="298" t="s">
        <v>1298</v>
      </c>
      <c r="J98" s="234" t="s">
        <v>32</v>
      </c>
    </row>
    <row r="99" spans="1:12" s="97" customFormat="1" ht="23.25" customHeight="1">
      <c r="A99" s="241" t="s">
        <v>114</v>
      </c>
      <c r="B99" s="199">
        <f>SUM(H42:H50)</f>
        <v>576765564</v>
      </c>
      <c r="C99" s="293" t="s">
        <v>14</v>
      </c>
      <c r="D99" s="316"/>
      <c r="E99" s="294">
        <f>SUM(H78:H80)</f>
        <v>45886589</v>
      </c>
      <c r="F99" s="211" t="s">
        <v>22</v>
      </c>
      <c r="G99" s="199">
        <v>0</v>
      </c>
      <c r="H99" s="199">
        <f>SUM(H85:H91)</f>
        <v>718444749</v>
      </c>
      <c r="I99" s="199">
        <v>0</v>
      </c>
      <c r="J99" s="201">
        <f>SUM(G99:H99)</f>
        <v>718444749</v>
      </c>
    </row>
    <row r="100" spans="1:12" s="97" customFormat="1" ht="23.25" customHeight="1">
      <c r="A100" s="241" t="s">
        <v>153</v>
      </c>
      <c r="B100" s="199">
        <v>0</v>
      </c>
      <c r="C100" s="293" t="s">
        <v>15</v>
      </c>
      <c r="D100" s="317"/>
      <c r="E100" s="295">
        <f>SUM(H83)</f>
        <v>19560253</v>
      </c>
      <c r="F100" s="211" t="s">
        <v>23</v>
      </c>
      <c r="G100" s="199">
        <v>708273008</v>
      </c>
      <c r="H100" s="199">
        <f>SUM(H18:H24,H27:H41,H52:H55,H57)</f>
        <v>1382855917</v>
      </c>
      <c r="I100" s="199">
        <f>SUM(H25,H42:H50,H58:H59)</f>
        <v>660096116</v>
      </c>
      <c r="J100" s="201">
        <f>SUM(G100:H100)</f>
        <v>2091128925</v>
      </c>
      <c r="L100" s="126"/>
    </row>
    <row r="101" spans="1:12" s="126" customFormat="1" ht="23.25" customHeight="1">
      <c r="A101" s="241" t="s">
        <v>719</v>
      </c>
      <c r="B101" s="199">
        <v>0</v>
      </c>
      <c r="C101" s="293" t="s">
        <v>53</v>
      </c>
      <c r="D101" s="316"/>
      <c r="E101" s="294">
        <f>SUM(H62)</f>
        <v>48240461</v>
      </c>
      <c r="F101" s="211" t="s">
        <v>24</v>
      </c>
      <c r="G101" s="199">
        <v>632267731</v>
      </c>
      <c r="H101" s="199">
        <f>SUM(H13:H15)</f>
        <v>1379126077</v>
      </c>
      <c r="I101" s="199">
        <f>SUM(H16)</f>
        <v>548121612</v>
      </c>
      <c r="J101" s="201">
        <f>SUM(G101:H101)</f>
        <v>2011393808</v>
      </c>
    </row>
    <row r="102" spans="1:12" s="126" customFormat="1" ht="23.25" customHeight="1">
      <c r="A102" s="241" t="s">
        <v>35</v>
      </c>
      <c r="B102" s="199">
        <f>SUM(H58:H59)</f>
        <v>30606236</v>
      </c>
      <c r="C102" s="200" t="s">
        <v>252</v>
      </c>
      <c r="D102" s="216"/>
      <c r="E102" s="219">
        <v>0</v>
      </c>
      <c r="F102" s="211" t="s">
        <v>723</v>
      </c>
      <c r="G102" s="199">
        <v>87065947</v>
      </c>
      <c r="H102" s="199">
        <f>SUM(H82,H67:H77,H61)</f>
        <v>114541531</v>
      </c>
      <c r="I102" s="199">
        <f>SUM(H83,H78:H80,H62)</f>
        <v>113687303</v>
      </c>
      <c r="J102" s="201">
        <f>SUM(G102:H102)</f>
        <v>201607478</v>
      </c>
    </row>
    <row r="103" spans="1:12" s="126" customFormat="1" ht="23.25" customHeight="1" thickBot="1">
      <c r="A103" s="215" t="s">
        <v>724</v>
      </c>
      <c r="B103" s="213">
        <v>0</v>
      </c>
      <c r="C103" s="214"/>
      <c r="D103" s="318"/>
      <c r="E103" s="242"/>
      <c r="F103" s="299" t="s">
        <v>1177</v>
      </c>
      <c r="G103" s="311"/>
      <c r="H103" s="311">
        <f>SUM(H93:H93)</f>
        <v>21526400</v>
      </c>
      <c r="I103" s="311"/>
      <c r="J103" s="312">
        <f>SUM(G103:H103)</f>
        <v>21526400</v>
      </c>
    </row>
    <row r="104" spans="1:12" s="126" customFormat="1" ht="23.25" customHeight="1" thickTop="1" thickBot="1">
      <c r="A104" s="243"/>
      <c r="B104" s="244" t="s">
        <v>49</v>
      </c>
      <c r="C104" s="245"/>
      <c r="D104" s="244"/>
      <c r="E104" s="246">
        <f>SUM(B97:B103,E97:E103)</f>
        <v>1321905031</v>
      </c>
      <c r="F104" s="236" t="s">
        <v>16</v>
      </c>
      <c r="G104" s="237">
        <v>1427606686</v>
      </c>
      <c r="H104" s="237">
        <f>SUM(H99:H103)</f>
        <v>3616494674</v>
      </c>
      <c r="I104" s="237">
        <f>SUM(I99:I103)</f>
        <v>1321905031</v>
      </c>
      <c r="J104" s="238">
        <f>+G104+H104</f>
        <v>5044101360</v>
      </c>
    </row>
    <row r="105" spans="1:12" s="19" customFormat="1">
      <c r="A105"/>
      <c r="B105"/>
      <c r="C105"/>
      <c r="D105"/>
      <c r="E105"/>
      <c r="F105"/>
      <c r="G105" s="47"/>
      <c r="H105"/>
      <c r="I105"/>
      <c r="J105"/>
    </row>
    <row r="106" spans="1:12" ht="19.2">
      <c r="B106" s="291"/>
      <c r="C106" s="290"/>
      <c r="D106" s="290"/>
      <c r="E106" s="26"/>
      <c r="F106" s="292"/>
      <c r="H106" s="26"/>
    </row>
    <row r="107" spans="1:12" ht="19.2">
      <c r="C107" s="290"/>
      <c r="D107" s="290"/>
      <c r="E107" s="26"/>
      <c r="F107" s="292"/>
      <c r="H107" s="26"/>
    </row>
    <row r="108" spans="1:12" ht="19.2">
      <c r="C108" s="290"/>
      <c r="D108" s="290"/>
      <c r="E108" s="26"/>
      <c r="F108" s="292"/>
      <c r="H108" s="26"/>
      <c r="J108" s="26"/>
    </row>
    <row r="109" spans="1:12" ht="19.2">
      <c r="C109" s="290"/>
      <c r="D109" s="290"/>
      <c r="E109" s="26"/>
      <c r="F109" s="292"/>
    </row>
    <row r="110" spans="1:12" ht="19.2">
      <c r="C110" s="290"/>
      <c r="D110" s="290"/>
      <c r="F110" s="13"/>
    </row>
    <row r="111" spans="1:12">
      <c r="F111" s="13"/>
    </row>
  </sheetData>
  <autoFilter ref="A11:F104" xr:uid="{00000000-0009-0000-0000-000047000000}"/>
  <mergeCells count="20">
    <mergeCell ref="A6:G10"/>
    <mergeCell ref="A11:A12"/>
    <mergeCell ref="B11:B12"/>
    <mergeCell ref="C11:C12"/>
    <mergeCell ref="E11:E12"/>
    <mergeCell ref="F11:F12"/>
    <mergeCell ref="G11:J11"/>
    <mergeCell ref="D11:D12"/>
    <mergeCell ref="F95:F97"/>
    <mergeCell ref="A13:A16"/>
    <mergeCell ref="A61:A62"/>
    <mergeCell ref="A64:A65"/>
    <mergeCell ref="A67:A80"/>
    <mergeCell ref="A82:A83"/>
    <mergeCell ref="A85:A91"/>
    <mergeCell ref="A95:E95"/>
    <mergeCell ref="A57:A59"/>
    <mergeCell ref="A18:A25"/>
    <mergeCell ref="A27:A50"/>
    <mergeCell ref="A52:A55"/>
  </mergeCells>
  <phoneticPr fontId="2" type="noConversion"/>
  <conditionalFormatting sqref="A14:A16 C14:J16">
    <cfRule type="expression" dxfId="1638" priority="46">
      <formula>#REF!="*01월*"</formula>
    </cfRule>
  </conditionalFormatting>
  <conditionalFormatting sqref="A57:D57 F57:G59 B58:D59">
    <cfRule type="expression" dxfId="1637" priority="31">
      <formula>$E61="*01월*"</formula>
    </cfRule>
  </conditionalFormatting>
  <conditionalFormatting sqref="A11:J12 A17:J18 B19:J19 C24 G24 I24:J24 A26:J26 A27:C27 D27:J30 C28:C30 B28:B33 A51:J51 E59 A67:C67 D67:J75 B68:C68 C69:C75 B69:B78 H79:H80 B82:F83 I82:J83 A84:J84 A92:J92 A93:F93 H93:J93 A94:J94 A95 F95:J95 A96:J104 F106:F109">
    <cfRule type="expression" dxfId="1636" priority="39">
      <formula>$E13="*01월*"</formula>
    </cfRule>
  </conditionalFormatting>
  <conditionalFormatting sqref="A13:J13 B14:B16 D23:D24 E57:E59 B59:D59 F59:G59 A60:F60 H60:J60 A61:J61 B62 A63:J63 A82:A83 H82:H83">
    <cfRule type="expression" dxfId="1635" priority="40">
      <formula>$E16="*01월*"</formula>
    </cfRule>
  </conditionalFormatting>
  <conditionalFormatting sqref="A52:J52">
    <cfRule type="expression" dxfId="1634" priority="56">
      <formula>#REF!="*01월*"</formula>
    </cfRule>
  </conditionalFormatting>
  <conditionalFormatting sqref="A81:J81">
    <cfRule type="expression" dxfId="1633" priority="42">
      <formula>$E84="*01월*"</formula>
    </cfRule>
  </conditionalFormatting>
  <conditionalFormatting sqref="B20 D20 B34">
    <cfRule type="expression" dxfId="1632" priority="300">
      <formula>#REF!="*01월*"</formula>
    </cfRule>
  </conditionalFormatting>
  <conditionalFormatting sqref="B21:B22 D21:D22 B35">
    <cfRule type="expression" dxfId="1631" priority="33">
      <formula>$E22="*01월*"</formula>
    </cfRule>
  </conditionalFormatting>
  <conditionalFormatting sqref="B23:B25 H24:H25 D25:F25">
    <cfRule type="expression" dxfId="1630" priority="11">
      <formula>#REF!="*01월*"</formula>
    </cfRule>
  </conditionalFormatting>
  <conditionalFormatting sqref="B37">
    <cfRule type="expression" dxfId="1629" priority="308">
      <formula>$E57="*01월*"</formula>
    </cfRule>
  </conditionalFormatting>
  <conditionalFormatting sqref="B38:B41">
    <cfRule type="expression" dxfId="1628" priority="293">
      <formula>#REF!="*01월*"</formula>
    </cfRule>
  </conditionalFormatting>
  <conditionalFormatting sqref="B42">
    <cfRule type="expression" dxfId="1627" priority="7">
      <formula>$E44="*01월*"</formula>
    </cfRule>
  </conditionalFormatting>
  <conditionalFormatting sqref="B43">
    <cfRule type="expression" dxfId="1626" priority="312">
      <formula>#REF!="*01월*"</formula>
    </cfRule>
  </conditionalFormatting>
  <conditionalFormatting sqref="B44:B46">
    <cfRule type="expression" dxfId="1625" priority="315">
      <formula>$E51="*01월*"</formula>
    </cfRule>
  </conditionalFormatting>
  <conditionalFormatting sqref="B47:B50">
    <cfRule type="expression" dxfId="1624" priority="6">
      <formula>$E67="*01월*"</formula>
    </cfRule>
  </conditionalFormatting>
  <conditionalFormatting sqref="B86">
    <cfRule type="expression" dxfId="1623" priority="58">
      <formula>$E92="*01월*"</formula>
    </cfRule>
  </conditionalFormatting>
  <conditionalFormatting sqref="B79:E80 G79:G80 I79:J80">
    <cfRule type="expression" dxfId="1622" priority="51">
      <formula>#REF!="*01월*"</formula>
    </cfRule>
  </conditionalFormatting>
  <conditionalFormatting sqref="B36:F36">
    <cfRule type="expression" dxfId="1621" priority="64">
      <formula>#REF!="*01월*"</formula>
    </cfRule>
  </conditionalFormatting>
  <conditionalFormatting sqref="B53:J55">
    <cfRule type="expression" dxfId="1620" priority="45">
      <formula>#REF!="*01월*"</formula>
    </cfRule>
  </conditionalFormatting>
  <conditionalFormatting sqref="B57:J59">
    <cfRule type="expression" dxfId="1619" priority="37">
      <formula>#REF!="*01월*"</formula>
    </cfRule>
  </conditionalFormatting>
  <conditionalFormatting sqref="C25">
    <cfRule type="expression" dxfId="1618" priority="9">
      <formula>$E26="*01월*"</formula>
    </cfRule>
  </conditionalFormatting>
  <conditionalFormatting sqref="C106:D110">
    <cfRule type="expression" dxfId="1617" priority="17">
      <formula>$E108="*01월*"</formula>
    </cfRule>
  </conditionalFormatting>
  <conditionalFormatting sqref="C43:E43 G43 I43:J43">
    <cfRule type="expression" dxfId="1616" priority="2">
      <formula>$E44="*01월*"</formula>
    </cfRule>
  </conditionalFormatting>
  <conditionalFormatting sqref="C44:E50">
    <cfRule type="expression" dxfId="1615" priority="1">
      <formula>#REF!="*01월*"</formula>
    </cfRule>
  </conditionalFormatting>
  <conditionalFormatting sqref="C39:G41 I39:J41">
    <cfRule type="expression" dxfId="1614" priority="28">
      <formula>#REF!="*01월*"</formula>
    </cfRule>
  </conditionalFormatting>
  <conditionalFormatting sqref="C31:J31 A56:J56 A64:J64 B65:J65 A66:J66">
    <cfRule type="expression" dxfId="1613" priority="50">
      <formula>#REF!="*01월*"</formula>
    </cfRule>
  </conditionalFormatting>
  <conditionalFormatting sqref="C32:J32">
    <cfRule type="expression" dxfId="1612" priority="44">
      <formula>$E36="*01월*"</formula>
    </cfRule>
  </conditionalFormatting>
  <conditionalFormatting sqref="C33:J35">
    <cfRule type="expression" dxfId="1611" priority="68">
      <formula>#REF!="*01월*"</formula>
    </cfRule>
  </conditionalFormatting>
  <conditionalFormatting sqref="C38:J38 H39">
    <cfRule type="expression" dxfId="1610" priority="296">
      <formula>#REF!="*01월*"</formula>
    </cfRule>
  </conditionalFormatting>
  <conditionalFormatting sqref="C42:J42">
    <cfRule type="expression" dxfId="1609" priority="8">
      <formula>#REF!="*01월*"</formula>
    </cfRule>
  </conditionalFormatting>
  <conditionalFormatting sqref="C62:J62 G82:G83">
    <cfRule type="expression" dxfId="1608" priority="35">
      <formula>$E66="*01월*"</formula>
    </cfRule>
  </conditionalFormatting>
  <conditionalFormatting sqref="C76:J78">
    <cfRule type="expression" dxfId="1607" priority="57">
      <formula>#REF!="*01월*"</formula>
    </cfRule>
  </conditionalFormatting>
  <conditionalFormatting sqref="E23">
    <cfRule type="expression" dxfId="1606" priority="41">
      <formula>$E24="*01월*"</formula>
    </cfRule>
  </conditionalFormatting>
  <conditionalFormatting sqref="E24:F24">
    <cfRule type="expression" dxfId="1605" priority="15">
      <formula>#REF!="*01월*"</formula>
    </cfRule>
  </conditionalFormatting>
  <conditionalFormatting sqref="E20:J22 C20:C23">
    <cfRule type="expression" dxfId="1604" priority="49">
      <formula>#REF!="*01월*"</formula>
    </cfRule>
  </conditionalFormatting>
  <conditionalFormatting sqref="F43:F50 H43:H50">
    <cfRule type="expression" dxfId="1603" priority="4">
      <formula>#REF!="*01월*"</formula>
    </cfRule>
  </conditionalFormatting>
  <conditionalFormatting sqref="F79:F80">
    <cfRule type="expression" dxfId="1602" priority="69">
      <formula>$E81="*01월*"</formula>
    </cfRule>
  </conditionalFormatting>
  <conditionalFormatting sqref="F23:J23">
    <cfRule type="expression" dxfId="1601" priority="289">
      <formula>#REF!="*01월*"</formula>
    </cfRule>
  </conditionalFormatting>
  <conditionalFormatting sqref="F85:J91 C86:E86 B87:E91">
    <cfRule type="expression" dxfId="1600" priority="53">
      <formula>#REF!="*01월*"</formula>
    </cfRule>
  </conditionalFormatting>
  <conditionalFormatting sqref="G25 I25:J25">
    <cfRule type="expression" dxfId="1599" priority="10">
      <formula>$E26="*01월*"</formula>
    </cfRule>
  </conditionalFormatting>
  <conditionalFormatting sqref="G44:G50 I44:J50">
    <cfRule type="expression" dxfId="1598" priority="3">
      <formula>#REF!="*01월*"</formula>
    </cfRule>
  </conditionalFormatting>
  <conditionalFormatting sqref="G60">
    <cfRule type="expression" dxfId="1597" priority="34">
      <formula>$E62="*01월*"</formula>
    </cfRule>
  </conditionalFormatting>
  <conditionalFormatting sqref="G93">
    <cfRule type="expression" dxfId="1596" priority="63">
      <formula>#REF!="*01월*"</formula>
    </cfRule>
  </conditionalFormatting>
  <conditionalFormatting sqref="G36:J37 C37:F37 A85:E85">
    <cfRule type="expression" dxfId="1595" priority="60">
      <formula>#REF!="*01월*"</formula>
    </cfRule>
  </conditionalFormatting>
  <conditionalFormatting sqref="H40:H41">
    <cfRule type="expression" dxfId="1594" priority="311">
      <formula>$E51="*01월*"</formula>
    </cfRule>
  </conditionalFormatting>
  <printOptions horizontalCentered="1"/>
  <pageMargins left="0" right="0" top="0.74803149606299213" bottom="0.19685039370078741" header="0" footer="0"/>
  <pageSetup paperSize="9" scale="41" fitToHeight="0" orientation="portrait" r:id="rId1"/>
  <rowBreaks count="1" manualBreakCount="1">
    <brk id="66" max="8" man="1"/>
  </rowBreaks>
  <colBreaks count="1" manualBreakCount="1">
    <brk id="9" max="102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pageSetUpPr fitToPage="1"/>
  </sheetPr>
  <dimension ref="A5:L105"/>
  <sheetViews>
    <sheetView view="pageBreakPreview" zoomScale="70" zoomScaleNormal="70" zoomScaleSheetLayoutView="70" workbookViewId="0">
      <pane xSplit="1" ySplit="12" topLeftCell="B78" activePane="bottomRight" state="frozen"/>
      <selection activeCell="D29" sqref="D29"/>
      <selection pane="topRight" activeCell="D29" sqref="D29"/>
      <selection pane="bottomLeft" activeCell="D29" sqref="D29"/>
      <selection pane="bottomRight" activeCell="D29" sqref="D29"/>
    </sheetView>
  </sheetViews>
  <sheetFormatPr defaultRowHeight="17.399999999999999"/>
  <cols>
    <col min="1" max="1" width="23.3984375" customWidth="1"/>
    <col min="2" max="2" width="22.8984375" customWidth="1"/>
    <col min="3" max="3" width="29.09765625" customWidth="1"/>
    <col min="4" max="4" width="29.09765625" hidden="1" customWidth="1"/>
    <col min="5" max="5" width="21" customWidth="1"/>
    <col min="6" max="6" width="18.69921875" customWidth="1"/>
    <col min="7" max="7" width="25.69921875" style="47" customWidth="1"/>
    <col min="8" max="8" width="26.5" customWidth="1"/>
    <col min="9" max="9" width="25.09765625" customWidth="1"/>
    <col min="10" max="10" width="29.19921875" customWidth="1"/>
    <col min="11" max="11" width="13.09765625" bestFit="1" customWidth="1"/>
  </cols>
  <sheetData>
    <row r="5" spans="1:11" ht="19.5" customHeight="1"/>
    <row r="6" spans="1:11" ht="19.5" customHeight="1">
      <c r="A6" s="2020" t="s">
        <v>1319</v>
      </c>
      <c r="B6" s="2020"/>
      <c r="C6" s="2020"/>
      <c r="D6" s="2020"/>
      <c r="E6" s="2020"/>
      <c r="F6" s="2020"/>
      <c r="G6" s="2020"/>
      <c r="H6" s="1"/>
      <c r="I6" s="1"/>
      <c r="J6" s="1"/>
    </row>
    <row r="7" spans="1:11" ht="19.5" customHeight="1">
      <c r="A7" s="2020"/>
      <c r="B7" s="2020"/>
      <c r="C7" s="2020"/>
      <c r="D7" s="2020"/>
      <c r="E7" s="2020"/>
      <c r="F7" s="2020"/>
      <c r="G7" s="2020"/>
      <c r="H7" s="1"/>
      <c r="I7" s="1"/>
      <c r="J7" s="1"/>
    </row>
    <row r="8" spans="1:11" ht="19.5" customHeight="1">
      <c r="A8" s="2020"/>
      <c r="B8" s="2020"/>
      <c r="C8" s="2020"/>
      <c r="D8" s="2020"/>
      <c r="E8" s="2020"/>
      <c r="F8" s="2020"/>
      <c r="G8" s="2020"/>
      <c r="H8" s="1"/>
      <c r="I8" s="1"/>
      <c r="J8" s="1"/>
    </row>
    <row r="9" spans="1:11" ht="19.5" customHeight="1">
      <c r="A9" s="2020"/>
      <c r="B9" s="2020"/>
      <c r="C9" s="2020"/>
      <c r="D9" s="2020"/>
      <c r="E9" s="2020"/>
      <c r="F9" s="2020"/>
      <c r="G9" s="2020"/>
      <c r="H9" s="2"/>
      <c r="I9" s="2"/>
      <c r="J9" s="2"/>
    </row>
    <row r="10" spans="1:11" ht="19.5" customHeight="1" thickBot="1">
      <c r="A10" s="2020"/>
      <c r="B10" s="2020"/>
      <c r="C10" s="2020"/>
      <c r="D10" s="2020"/>
      <c r="E10" s="2020"/>
      <c r="F10" s="2020"/>
      <c r="G10" s="2020"/>
      <c r="H10" s="2"/>
      <c r="I10" s="2"/>
      <c r="J10" s="2"/>
    </row>
    <row r="11" spans="1:11" ht="23.25" customHeight="1">
      <c r="A11" s="2021" t="s">
        <v>0</v>
      </c>
      <c r="B11" s="2023" t="s">
        <v>1</v>
      </c>
      <c r="C11" s="2024" t="s">
        <v>2</v>
      </c>
      <c r="D11" s="2024" t="s">
        <v>1222</v>
      </c>
      <c r="E11" s="2024" t="s">
        <v>3</v>
      </c>
      <c r="F11" s="2025" t="s">
        <v>4</v>
      </c>
      <c r="G11" s="2026" t="s">
        <v>5</v>
      </c>
      <c r="H11" s="2027"/>
      <c r="I11" s="2027"/>
      <c r="J11" s="2028"/>
    </row>
    <row r="12" spans="1:11" ht="23.25" customHeight="1">
      <c r="A12" s="2022"/>
      <c r="B12" s="2003"/>
      <c r="C12" s="2004"/>
      <c r="D12" s="2004"/>
      <c r="E12" s="2004"/>
      <c r="F12" s="2005"/>
      <c r="G12" s="82" t="s">
        <v>6</v>
      </c>
      <c r="H12" s="3" t="s">
        <v>7</v>
      </c>
      <c r="I12" s="3" t="s">
        <v>101</v>
      </c>
      <c r="J12" s="271" t="s">
        <v>8</v>
      </c>
    </row>
    <row r="13" spans="1:11" s="97" customFormat="1" ht="25.5" customHeight="1">
      <c r="A13" s="2010" t="s">
        <v>9</v>
      </c>
      <c r="B13" s="88" t="s">
        <v>1321</v>
      </c>
      <c r="C13" s="89" t="s">
        <v>1322</v>
      </c>
      <c r="D13" s="89">
        <v>45422</v>
      </c>
      <c r="E13" s="90">
        <v>45429</v>
      </c>
      <c r="F13" s="91">
        <f>VLOOKUP(E13,환율!$A$1798:$B$2033,2,)</f>
        <v>1349.4</v>
      </c>
      <c r="G13" s="92">
        <v>369838.12</v>
      </c>
      <c r="H13" s="93">
        <f t="shared" ref="H13:H15" si="0">ROUNDDOWN(G13*F13,0)</f>
        <v>499059559</v>
      </c>
      <c r="I13" s="94" ph="1"/>
      <c r="J13" s="254"/>
      <c r="K13" s="92">
        <f>'24.04 (갑)'!G16</f>
        <v>401730.88</v>
      </c>
    </row>
    <row r="14" spans="1:11" s="97" customFormat="1" ht="25.5" customHeight="1">
      <c r="A14" s="2011"/>
      <c r="B14" s="99" t="s">
        <v>1324</v>
      </c>
      <c r="C14" s="100" t="s">
        <v>1325</v>
      </c>
      <c r="D14" s="100">
        <v>45436</v>
      </c>
      <c r="E14" s="101">
        <v>45446</v>
      </c>
      <c r="F14" s="102">
        <f>VLOOKUP(E14,환율!$A$1798:$B$2033,2,)</f>
        <v>1381.6</v>
      </c>
      <c r="G14" s="103">
        <v>393378.62</v>
      </c>
      <c r="H14" s="104">
        <f t="shared" si="0"/>
        <v>543491901</v>
      </c>
      <c r="I14" s="353" ph="1"/>
      <c r="J14" s="272"/>
    </row>
    <row r="15" spans="1:11" s="97" customFormat="1" ht="25.5" customHeight="1">
      <c r="A15" s="2011"/>
      <c r="B15" s="99" t="s">
        <v>1323</v>
      </c>
      <c r="C15" s="100" t="s">
        <v>1413</v>
      </c>
      <c r="D15" s="100">
        <v>45443</v>
      </c>
      <c r="E15" s="101">
        <v>45449</v>
      </c>
      <c r="F15" s="102">
        <f>VLOOKUP(E15,환율!$A$1798:$B$2033,2,)</f>
        <v>1373.1</v>
      </c>
      <c r="G15" s="103">
        <v>421200.02</v>
      </c>
      <c r="H15" s="104">
        <f t="shared" si="0"/>
        <v>578349747</v>
      </c>
      <c r="I15" s="353" ph="1"/>
      <c r="J15" s="272"/>
    </row>
    <row r="16" spans="1:11" s="97" customFormat="1" ht="25.5" customHeight="1">
      <c r="A16" s="2035" t="s">
        <v>10</v>
      </c>
      <c r="B16" s="2036"/>
      <c r="C16" s="2036"/>
      <c r="D16" s="2036"/>
      <c r="E16" s="2036"/>
      <c r="F16" s="2037"/>
      <c r="G16" s="115">
        <f>SUM(G13:G15)</f>
        <v>1184416.76</v>
      </c>
      <c r="H16" s="116">
        <f>SUM(H13:H15)</f>
        <v>1620901207</v>
      </c>
      <c r="I16" s="116">
        <v>1927247689</v>
      </c>
      <c r="J16" s="260">
        <f>+H16-I16</f>
        <v>-306346482</v>
      </c>
    </row>
    <row r="17" spans="1:10" s="120" customFormat="1" ht="25.5" customHeight="1">
      <c r="A17" s="2010" t="s">
        <v>11</v>
      </c>
      <c r="B17" s="117" t="s">
        <v>1326</v>
      </c>
      <c r="C17" s="89" t="s">
        <v>1337</v>
      </c>
      <c r="D17" s="319">
        <v>45420</v>
      </c>
      <c r="E17" s="90">
        <v>45436</v>
      </c>
      <c r="F17" s="91">
        <f>VLOOKUP(E17,환율!$A$1798:$B$2033,2,)</f>
        <v>1364.5</v>
      </c>
      <c r="G17" s="118">
        <v>58875.72</v>
      </c>
      <c r="H17" s="93">
        <f t="shared" ref="H17:H53" si="1">ROUNDDOWN(G17*F17,0)</f>
        <v>80335919</v>
      </c>
      <c r="I17" s="119"/>
      <c r="J17" s="254"/>
    </row>
    <row r="18" spans="1:10" s="120" customFormat="1" ht="25.5" customHeight="1">
      <c r="A18" s="2011"/>
      <c r="B18" s="117" t="s">
        <v>1327</v>
      </c>
      <c r="C18" s="89" t="s">
        <v>1384</v>
      </c>
      <c r="D18" s="319">
        <v>45404</v>
      </c>
      <c r="E18" s="90">
        <v>45422</v>
      </c>
      <c r="F18" s="91">
        <f>VLOOKUP(E18,환율!$A$1798:$B$2033,2,)</f>
        <v>1367.9</v>
      </c>
      <c r="G18" s="118">
        <v>36646.379999999997</v>
      </c>
      <c r="H18" s="93">
        <f t="shared" ref="H18:H28" si="2">ROUNDDOWN(G18*F18,0)</f>
        <v>50128583</v>
      </c>
      <c r="I18" s="119"/>
      <c r="J18" s="254"/>
    </row>
    <row r="19" spans="1:10" s="120" customFormat="1" ht="25.5" customHeight="1">
      <c r="A19" s="2011"/>
      <c r="B19" s="117" t="s">
        <v>1333</v>
      </c>
      <c r="C19" s="89" t="s">
        <v>1343</v>
      </c>
      <c r="D19" s="319">
        <v>45427</v>
      </c>
      <c r="E19" s="90">
        <v>45429</v>
      </c>
      <c r="F19" s="91">
        <f>VLOOKUP(E19,환율!$A$1798:$B$2033,2,)</f>
        <v>1349.4</v>
      </c>
      <c r="G19" s="118">
        <v>17982.72</v>
      </c>
      <c r="H19" s="93">
        <f t="shared" ref="H19:H20" si="3">ROUNDDOWN(G19*F19,0)</f>
        <v>24265882</v>
      </c>
      <c r="I19" s="119"/>
      <c r="J19" s="254"/>
    </row>
    <row r="20" spans="1:10" s="97" customFormat="1" ht="25.5" customHeight="1">
      <c r="A20" s="2011"/>
      <c r="B20" s="226" t="s">
        <v>1346</v>
      </c>
      <c r="C20" s="107"/>
      <c r="D20" s="324"/>
      <c r="E20" s="108">
        <v>45427</v>
      </c>
      <c r="F20" s="109">
        <f>VLOOKUP(E20,환율!$A$1798:$B$2033,2,)</f>
        <v>1370.1</v>
      </c>
      <c r="G20" s="227">
        <v>8700</v>
      </c>
      <c r="H20" s="111">
        <f t="shared" si="3"/>
        <v>11919870</v>
      </c>
      <c r="I20" s="228"/>
      <c r="J20" s="273"/>
    </row>
    <row r="21" spans="1:10" s="120" customFormat="1" ht="25.5" customHeight="1">
      <c r="A21" s="2011"/>
      <c r="B21" s="121" t="s">
        <v>1328</v>
      </c>
      <c r="C21" s="100" t="s">
        <v>1338</v>
      </c>
      <c r="D21" s="320">
        <v>45413</v>
      </c>
      <c r="E21" s="101">
        <v>45446</v>
      </c>
      <c r="F21" s="102">
        <f>VLOOKUP(E21,환율!$A$1798:$B$2033,2,)</f>
        <v>1381.6</v>
      </c>
      <c r="G21" s="122">
        <v>311.35000000000002</v>
      </c>
      <c r="H21" s="104">
        <f t="shared" si="2"/>
        <v>430161</v>
      </c>
      <c r="I21" s="123"/>
      <c r="J21" s="272"/>
    </row>
    <row r="22" spans="1:10" s="120" customFormat="1" ht="25.5" customHeight="1">
      <c r="A22" s="2011"/>
      <c r="B22" s="121" t="s">
        <v>1329</v>
      </c>
      <c r="C22" s="100" t="s">
        <v>1339</v>
      </c>
      <c r="D22" s="320">
        <v>45413</v>
      </c>
      <c r="E22" s="101">
        <v>45446</v>
      </c>
      <c r="F22" s="102">
        <f>VLOOKUP(E22,환율!$A$1798:$B$2033,2,)</f>
        <v>1381.6</v>
      </c>
      <c r="G22" s="122">
        <v>1418.42</v>
      </c>
      <c r="H22" s="104">
        <f t="shared" si="2"/>
        <v>1959689</v>
      </c>
      <c r="I22" s="123"/>
      <c r="J22" s="272"/>
    </row>
    <row r="23" spans="1:10" s="120" customFormat="1" ht="25.5" customHeight="1">
      <c r="A23" s="2011"/>
      <c r="B23" s="121" t="s">
        <v>1330</v>
      </c>
      <c r="C23" s="100" t="s">
        <v>1340</v>
      </c>
      <c r="D23" s="320">
        <v>45413</v>
      </c>
      <c r="E23" s="101">
        <v>45446</v>
      </c>
      <c r="F23" s="102">
        <f>VLOOKUP(E23,환율!$A$1798:$B$2033,2,)</f>
        <v>1381.6</v>
      </c>
      <c r="G23" s="122">
        <v>780.48</v>
      </c>
      <c r="H23" s="104">
        <f t="shared" si="2"/>
        <v>1078311</v>
      </c>
      <c r="I23" s="123"/>
      <c r="J23" s="272"/>
    </row>
    <row r="24" spans="1:10" s="120" customFormat="1" ht="25.5" customHeight="1">
      <c r="A24" s="2011"/>
      <c r="B24" s="121" t="s">
        <v>1331</v>
      </c>
      <c r="C24" s="100" t="s">
        <v>1341</v>
      </c>
      <c r="D24" s="320">
        <v>45413</v>
      </c>
      <c r="E24" s="101">
        <v>45446</v>
      </c>
      <c r="F24" s="102">
        <f>VLOOKUP(E24,환율!$A$1798:$B$2033,2,)</f>
        <v>1381.6</v>
      </c>
      <c r="G24" s="122">
        <v>280.5</v>
      </c>
      <c r="H24" s="104">
        <f t="shared" si="2"/>
        <v>387538</v>
      </c>
      <c r="I24" s="123"/>
      <c r="J24" s="272"/>
    </row>
    <row r="25" spans="1:10" s="120" customFormat="1" ht="25.5" customHeight="1">
      <c r="A25" s="2011"/>
      <c r="B25" s="121" t="s">
        <v>1332</v>
      </c>
      <c r="C25" s="100" t="s">
        <v>1342</v>
      </c>
      <c r="D25" s="320">
        <v>45432</v>
      </c>
      <c r="E25" s="101">
        <v>45455</v>
      </c>
      <c r="F25" s="102">
        <f>VLOOKUP(E25,환율!$A$1798:$B$2033,2,)</f>
        <v>1377.4</v>
      </c>
      <c r="G25" s="122">
        <v>72188.460000000006</v>
      </c>
      <c r="H25" s="104">
        <f t="shared" si="2"/>
        <v>99432384</v>
      </c>
      <c r="I25" s="123"/>
      <c r="J25" s="272"/>
    </row>
    <row r="26" spans="1:10" s="120" customFormat="1" ht="25.5" customHeight="1">
      <c r="A26" s="2011"/>
      <c r="B26" s="121" t="s">
        <v>1334</v>
      </c>
      <c r="C26" s="100" t="s">
        <v>1344</v>
      </c>
      <c r="D26" s="320">
        <v>45422</v>
      </c>
      <c r="E26" s="101">
        <v>45446</v>
      </c>
      <c r="F26" s="102">
        <f>VLOOKUP(E26,환율!$A$1798:$B$2033,2,)</f>
        <v>1381.6</v>
      </c>
      <c r="G26" s="122">
        <v>59702.400000000001</v>
      </c>
      <c r="H26" s="104">
        <f t="shared" si="2"/>
        <v>82484835</v>
      </c>
      <c r="I26" s="123"/>
      <c r="J26" s="272"/>
    </row>
    <row r="27" spans="1:10" s="120" customFormat="1" ht="25.5" customHeight="1">
      <c r="A27" s="2011"/>
      <c r="B27" s="121" t="s">
        <v>1335</v>
      </c>
      <c r="C27" s="100" t="s">
        <v>1345</v>
      </c>
      <c r="D27" s="320">
        <v>45424</v>
      </c>
      <c r="E27" s="101">
        <v>45446</v>
      </c>
      <c r="F27" s="102">
        <f>VLOOKUP(E27,환율!$A$1798:$B$2033,2,)</f>
        <v>1381.6</v>
      </c>
      <c r="G27" s="122">
        <v>23455.200000000001</v>
      </c>
      <c r="H27" s="104">
        <f t="shared" si="2"/>
        <v>32405704</v>
      </c>
      <c r="I27" s="123"/>
      <c r="J27" s="272"/>
    </row>
    <row r="28" spans="1:10" s="120" customFormat="1" ht="25.5" customHeight="1">
      <c r="A28" s="2011"/>
      <c r="B28" s="121" t="s">
        <v>1336</v>
      </c>
      <c r="C28" s="100" t="s">
        <v>1417</v>
      </c>
      <c r="D28" s="320">
        <v>45432</v>
      </c>
      <c r="E28" s="101">
        <v>45445</v>
      </c>
      <c r="F28" s="102">
        <f>VLOOKUP(E28,환율!$A$1798:$B$2033,2,)</f>
        <v>1376.5</v>
      </c>
      <c r="G28" s="122">
        <v>7153.92</v>
      </c>
      <c r="H28" s="104">
        <f t="shared" si="2"/>
        <v>9847370</v>
      </c>
      <c r="I28" s="123"/>
      <c r="J28" s="272"/>
    </row>
    <row r="29" spans="1:10" s="97" customFormat="1" ht="25.5" customHeight="1">
      <c r="A29" s="2035" t="s">
        <v>10</v>
      </c>
      <c r="B29" s="2036"/>
      <c r="C29" s="2036"/>
      <c r="D29" s="2036"/>
      <c r="E29" s="2036"/>
      <c r="F29" s="2037"/>
      <c r="G29" s="127">
        <f>SUM(G17:G28)</f>
        <v>287495.55</v>
      </c>
      <c r="H29" s="116">
        <f>SUM(H17:H28)</f>
        <v>394676246</v>
      </c>
      <c r="I29" s="116">
        <v>326041246</v>
      </c>
      <c r="J29" s="260">
        <f>+H29-I29</f>
        <v>68635000</v>
      </c>
    </row>
    <row r="30" spans="1:10" s="126" customFormat="1" ht="25.5" customHeight="1">
      <c r="A30" s="2010" t="s">
        <v>12</v>
      </c>
      <c r="B30" s="313" t="s">
        <v>1347</v>
      </c>
      <c r="C30" s="129" t="s">
        <v>1364</v>
      </c>
      <c r="D30" s="129">
        <v>45412</v>
      </c>
      <c r="E30" s="136">
        <v>45426</v>
      </c>
      <c r="F30" s="91">
        <f>VLOOKUP(E30,환율!$A$1798:$B$2033,2,)</f>
        <v>1370.1</v>
      </c>
      <c r="G30" s="134">
        <v>41977.599999999999</v>
      </c>
      <c r="H30" s="93">
        <f t="shared" si="1"/>
        <v>57513509</v>
      </c>
      <c r="I30" s="135"/>
      <c r="J30" s="255"/>
    </row>
    <row r="31" spans="1:10" s="126" customFormat="1" ht="25.5" customHeight="1">
      <c r="A31" s="2011"/>
      <c r="B31" s="313" t="s">
        <v>1348</v>
      </c>
      <c r="C31" s="129" t="s">
        <v>1365</v>
      </c>
      <c r="D31" s="129">
        <v>45412</v>
      </c>
      <c r="E31" s="136">
        <v>45432</v>
      </c>
      <c r="F31" s="91">
        <f>VLOOKUP(E31,환율!$A$1798:$B$2033,2,)</f>
        <v>1355.2</v>
      </c>
      <c r="G31" s="134">
        <v>87484.800000000003</v>
      </c>
      <c r="H31" s="93">
        <f t="shared" si="1"/>
        <v>118559400</v>
      </c>
      <c r="I31" s="135"/>
      <c r="J31" s="255"/>
    </row>
    <row r="32" spans="1:10" s="126" customFormat="1" ht="25.5" customHeight="1">
      <c r="A32" s="2011"/>
      <c r="B32" s="313" t="s">
        <v>1349</v>
      </c>
      <c r="C32" s="129" t="s">
        <v>1366</v>
      </c>
      <c r="D32" s="129">
        <v>45415</v>
      </c>
      <c r="E32" s="136">
        <v>45436</v>
      </c>
      <c r="F32" s="91">
        <f>VLOOKUP(E32,환율!$A$1798:$B$2033,2,)</f>
        <v>1364.5</v>
      </c>
      <c r="G32" s="134">
        <v>117941.6</v>
      </c>
      <c r="H32" s="93">
        <f t="shared" si="1"/>
        <v>160931313</v>
      </c>
      <c r="I32" s="135"/>
      <c r="J32" s="255"/>
    </row>
    <row r="33" spans="1:11" s="126" customFormat="1" ht="25.5" customHeight="1">
      <c r="A33" s="2011"/>
      <c r="B33" s="313" t="s">
        <v>1350</v>
      </c>
      <c r="C33" s="129" t="s">
        <v>1367</v>
      </c>
      <c r="D33" s="129">
        <v>45415</v>
      </c>
      <c r="E33" s="136">
        <v>45441</v>
      </c>
      <c r="F33" s="91">
        <f>VLOOKUP(E33,환율!$A$1798:$B$2033,2,)</f>
        <v>1359.5</v>
      </c>
      <c r="G33" s="134">
        <v>51112.800000000003</v>
      </c>
      <c r="H33" s="93">
        <f t="shared" si="1"/>
        <v>69487851</v>
      </c>
      <c r="I33" s="135"/>
      <c r="J33" s="255"/>
    </row>
    <row r="34" spans="1:11" s="97" customFormat="1" ht="25.5" customHeight="1">
      <c r="A34" s="2011"/>
      <c r="B34" s="313" t="s">
        <v>1351</v>
      </c>
      <c r="C34" s="129" t="s">
        <v>1368</v>
      </c>
      <c r="D34" s="129">
        <v>45420</v>
      </c>
      <c r="E34" s="136">
        <v>45432</v>
      </c>
      <c r="F34" s="91">
        <f>VLOOKUP(E34,환율!$A$1798:$B$2033,2,)</f>
        <v>1355.2</v>
      </c>
      <c r="G34" s="134">
        <v>2779</v>
      </c>
      <c r="H34" s="93">
        <f t="shared" si="1"/>
        <v>3766100</v>
      </c>
      <c r="I34" s="135"/>
      <c r="J34" s="255"/>
    </row>
    <row r="35" spans="1:11" s="97" customFormat="1" ht="25.5" customHeight="1">
      <c r="A35" s="2011"/>
      <c r="B35" s="313" t="s">
        <v>1352</v>
      </c>
      <c r="C35" s="129" t="s">
        <v>1369</v>
      </c>
      <c r="D35" s="129">
        <v>45420</v>
      </c>
      <c r="E35" s="136">
        <v>45421</v>
      </c>
      <c r="F35" s="91">
        <f>VLOOKUP(E35,환율!$A$1798:$B$2033,2,)</f>
        <v>1364.4</v>
      </c>
      <c r="G35" s="134">
        <v>2779</v>
      </c>
      <c r="H35" s="93">
        <f t="shared" si="1"/>
        <v>3791667</v>
      </c>
      <c r="I35" s="135"/>
      <c r="J35" s="255"/>
    </row>
    <row r="36" spans="1:11" s="97" customFormat="1" ht="25.5" customHeight="1">
      <c r="A36" s="2011"/>
      <c r="B36" s="313" t="s">
        <v>1353</v>
      </c>
      <c r="C36" s="129" t="s">
        <v>1370</v>
      </c>
      <c r="D36" s="129">
        <v>45422</v>
      </c>
      <c r="E36" s="136">
        <v>45441</v>
      </c>
      <c r="F36" s="91">
        <f>VLOOKUP(E36,환율!$A$1798:$B$2033,2,)</f>
        <v>1359.5</v>
      </c>
      <c r="G36" s="134">
        <v>43746</v>
      </c>
      <c r="H36" s="93">
        <f t="shared" si="1"/>
        <v>59472687</v>
      </c>
      <c r="I36" s="135"/>
      <c r="J36" s="255"/>
    </row>
    <row r="37" spans="1:11" s="97" customFormat="1" ht="25.5" customHeight="1">
      <c r="A37" s="2011"/>
      <c r="B37" s="313" t="s">
        <v>1354</v>
      </c>
      <c r="C37" s="129" t="s">
        <v>1371</v>
      </c>
      <c r="D37" s="129">
        <v>45422</v>
      </c>
      <c r="E37" s="136">
        <v>45438</v>
      </c>
      <c r="F37" s="91">
        <f>VLOOKUP(E37,환율!$A$1798:$B$2033,2,)</f>
        <v>1364.5</v>
      </c>
      <c r="G37" s="134">
        <v>99696.8</v>
      </c>
      <c r="H37" s="93">
        <f t="shared" si="1"/>
        <v>136036283</v>
      </c>
      <c r="I37" s="135"/>
      <c r="J37" s="255"/>
    </row>
    <row r="38" spans="1:11" s="97" customFormat="1" ht="25.5" customHeight="1">
      <c r="A38" s="2011"/>
      <c r="B38" s="313" t="s">
        <v>1355</v>
      </c>
      <c r="C38" s="129" t="s">
        <v>1372</v>
      </c>
      <c r="D38" s="129">
        <v>45422</v>
      </c>
      <c r="E38" s="136">
        <v>45429</v>
      </c>
      <c r="F38" s="91">
        <f>VLOOKUP(E38,환율!$A$1798:$B$2033,2,)</f>
        <v>1349.4</v>
      </c>
      <c r="G38" s="134">
        <v>961.56</v>
      </c>
      <c r="H38" s="93">
        <f t="shared" si="1"/>
        <v>1297529</v>
      </c>
      <c r="I38" s="135"/>
      <c r="J38" s="255"/>
    </row>
    <row r="39" spans="1:11" s="97" customFormat="1" ht="25.5" customHeight="1">
      <c r="A39" s="2011"/>
      <c r="B39" s="313" t="s">
        <v>1356</v>
      </c>
      <c r="C39" s="129" t="s">
        <v>1373</v>
      </c>
      <c r="D39" s="129">
        <v>45426</v>
      </c>
      <c r="E39" s="136">
        <v>45442</v>
      </c>
      <c r="F39" s="91">
        <f>VLOOKUP(E39,환율!$A$1798:$B$2033,2,)</f>
        <v>1364.8</v>
      </c>
      <c r="G39" s="134">
        <v>23492</v>
      </c>
      <c r="H39" s="93">
        <f t="shared" si="1"/>
        <v>32061881</v>
      </c>
      <c r="I39" s="135"/>
      <c r="J39" s="255"/>
    </row>
    <row r="40" spans="1:11" s="97" customFormat="1" ht="25.5" customHeight="1">
      <c r="A40" s="2011"/>
      <c r="B40" s="313" t="s">
        <v>1360</v>
      </c>
      <c r="C40" s="129" t="s">
        <v>1374</v>
      </c>
      <c r="D40" s="129">
        <v>45429</v>
      </c>
      <c r="E40" s="90">
        <v>45433</v>
      </c>
      <c r="F40" s="91">
        <f>VLOOKUP(E40,환율!$A$1798:$B$2033,2,)</f>
        <v>1356.2</v>
      </c>
      <c r="G40" s="134">
        <v>6947.5</v>
      </c>
      <c r="H40" s="93">
        <f t="shared" ref="H40:H41" si="4">ROUNDDOWN(G40*F40,0)</f>
        <v>9422199</v>
      </c>
      <c r="I40" s="135"/>
      <c r="J40" s="255"/>
    </row>
    <row r="41" spans="1:11" s="97" customFormat="1" ht="25.5" customHeight="1">
      <c r="A41" s="2011"/>
      <c r="B41" s="313" t="s">
        <v>1363</v>
      </c>
      <c r="C41" s="129" t="s">
        <v>1430</v>
      </c>
      <c r="D41" s="129">
        <v>45435</v>
      </c>
      <c r="E41" s="90">
        <v>45437</v>
      </c>
      <c r="F41" s="91">
        <f>VLOOKUP(E41,환율!$A$1798:$B$2033,2,)</f>
        <v>1364.5</v>
      </c>
      <c r="G41" s="134">
        <v>6447.28</v>
      </c>
      <c r="H41" s="93">
        <f t="shared" si="4"/>
        <v>8797313</v>
      </c>
      <c r="I41" s="135"/>
      <c r="J41" s="255"/>
    </row>
    <row r="42" spans="1:11" s="97" customFormat="1" ht="25.5" customHeight="1">
      <c r="A42" s="2011"/>
      <c r="B42" s="330" t="s">
        <v>1357</v>
      </c>
      <c r="C42" s="137" t="s">
        <v>1419</v>
      </c>
      <c r="D42" s="137">
        <v>45432</v>
      </c>
      <c r="E42" s="125">
        <v>45445</v>
      </c>
      <c r="F42" s="102">
        <f>VLOOKUP(E42,환율!$A$1798:$B$2033,2,)</f>
        <v>1376.5</v>
      </c>
      <c r="G42" s="138">
        <v>112598.5</v>
      </c>
      <c r="H42" s="104">
        <f t="shared" si="1"/>
        <v>154991835</v>
      </c>
      <c r="I42" s="139"/>
      <c r="J42" s="258"/>
      <c r="K42" s="376">
        <v>45473</v>
      </c>
    </row>
    <row r="43" spans="1:11" s="126" customFormat="1" ht="25.5" customHeight="1">
      <c r="A43" s="2011"/>
      <c r="B43" s="330" t="s">
        <v>1358</v>
      </c>
      <c r="C43" s="137" t="s">
        <v>1420</v>
      </c>
      <c r="D43" s="137">
        <v>45434</v>
      </c>
      <c r="E43" s="101">
        <v>45446</v>
      </c>
      <c r="F43" s="102">
        <f>VLOOKUP(E43,환율!$A$1798:$B$2033,2,)</f>
        <v>1381.6</v>
      </c>
      <c r="G43" s="138">
        <v>11795</v>
      </c>
      <c r="H43" s="104">
        <f t="shared" si="1"/>
        <v>16295972</v>
      </c>
      <c r="I43" s="139"/>
      <c r="J43" s="258"/>
    </row>
    <row r="44" spans="1:11" s="97" customFormat="1" ht="25.5" customHeight="1">
      <c r="A44" s="2011"/>
      <c r="B44" s="330" t="s">
        <v>1359</v>
      </c>
      <c r="C44" s="137" t="s">
        <v>1421</v>
      </c>
      <c r="D44" s="137">
        <v>45434</v>
      </c>
      <c r="E44" s="101">
        <v>45445</v>
      </c>
      <c r="F44" s="102">
        <f>VLOOKUP(E44,환율!$A$1798:$B$2033,2,)</f>
        <v>1376.5</v>
      </c>
      <c r="G44" s="138">
        <v>6677.5</v>
      </c>
      <c r="H44" s="104">
        <f t="shared" si="1"/>
        <v>9191578</v>
      </c>
      <c r="I44" s="139"/>
      <c r="J44" s="258"/>
    </row>
    <row r="45" spans="1:11" s="97" customFormat="1" ht="25.5" customHeight="1">
      <c r="A45" s="2011"/>
      <c r="B45" s="330" t="s">
        <v>1361</v>
      </c>
      <c r="C45" s="137" t="s">
        <v>1422</v>
      </c>
      <c r="D45" s="137">
        <v>45434</v>
      </c>
      <c r="E45" s="101">
        <v>45446</v>
      </c>
      <c r="F45" s="102">
        <f>VLOOKUP(E45,환율!$A$1798:$B$2033,2,)</f>
        <v>1381.6</v>
      </c>
      <c r="G45" s="138">
        <v>5172.1000000000004</v>
      </c>
      <c r="H45" s="104">
        <f t="shared" si="1"/>
        <v>7145773</v>
      </c>
      <c r="I45" s="139"/>
      <c r="J45" s="258"/>
    </row>
    <row r="46" spans="1:11" s="97" customFormat="1" ht="25.5" customHeight="1">
      <c r="A46" s="2011"/>
      <c r="B46" s="330" t="s">
        <v>1362</v>
      </c>
      <c r="C46" s="137" t="s">
        <v>1423</v>
      </c>
      <c r="D46" s="137">
        <v>45434</v>
      </c>
      <c r="E46" s="351">
        <v>45450</v>
      </c>
      <c r="F46" s="102">
        <f>VLOOKUP(E46,환율!$A$1798:$B$2033,2,)</f>
        <v>1371.5</v>
      </c>
      <c r="G46" s="138">
        <v>98401.4</v>
      </c>
      <c r="H46" s="104">
        <f t="shared" si="1"/>
        <v>134957520</v>
      </c>
      <c r="I46" s="139"/>
      <c r="J46" s="258"/>
    </row>
    <row r="47" spans="1:11" s="97" customFormat="1" ht="25.5" customHeight="1">
      <c r="A47" s="2011"/>
      <c r="B47" s="330" t="s">
        <v>1414</v>
      </c>
      <c r="C47" s="137" t="s">
        <v>1424</v>
      </c>
      <c r="D47" s="137">
        <v>45440</v>
      </c>
      <c r="E47" s="351">
        <v>45457</v>
      </c>
      <c r="F47" s="102">
        <f>VLOOKUP(E47,환율!$A$1798:$B$2033,2,)</f>
        <v>1371</v>
      </c>
      <c r="G47" s="138">
        <v>33034.400000000001</v>
      </c>
      <c r="H47" s="104">
        <f t="shared" si="1"/>
        <v>45290162</v>
      </c>
      <c r="I47" s="139"/>
      <c r="J47" s="258"/>
    </row>
    <row r="48" spans="1:11" s="97" customFormat="1" ht="25.5" customHeight="1">
      <c r="A48" s="2011"/>
      <c r="B48" s="330" t="s">
        <v>1415</v>
      </c>
      <c r="C48" s="137" t="s">
        <v>1428</v>
      </c>
      <c r="D48" s="137">
        <v>45435</v>
      </c>
      <c r="E48" s="351">
        <v>45451</v>
      </c>
      <c r="F48" s="102">
        <f>VLOOKUP(E48,환율!$A$1798:$B$2033,2,)</f>
        <v>1371.5</v>
      </c>
      <c r="G48" s="138">
        <v>94449.600000000006</v>
      </c>
      <c r="H48" s="104">
        <f t="shared" si="1"/>
        <v>129537626</v>
      </c>
      <c r="I48" s="139"/>
      <c r="J48" s="258"/>
    </row>
    <row r="49" spans="1:11" s="97" customFormat="1" ht="25.5" customHeight="1">
      <c r="A49" s="2011"/>
      <c r="B49" s="330" t="s">
        <v>1416</v>
      </c>
      <c r="C49" s="137" t="s">
        <v>1427</v>
      </c>
      <c r="D49" s="137">
        <v>45432</v>
      </c>
      <c r="E49" s="351">
        <v>45451</v>
      </c>
      <c r="F49" s="102">
        <f>VLOOKUP(E49,환율!$A$1798:$B$2033,2,)</f>
        <v>1371.5</v>
      </c>
      <c r="G49" s="138">
        <v>3962.5</v>
      </c>
      <c r="H49" s="104">
        <f t="shared" si="1"/>
        <v>5434568</v>
      </c>
      <c r="I49" s="139"/>
      <c r="J49" s="258"/>
    </row>
    <row r="50" spans="1:11" s="97" customFormat="1" ht="25.5" customHeight="1">
      <c r="A50" s="2011"/>
      <c r="B50" s="330" t="s">
        <v>1425</v>
      </c>
      <c r="C50" s="137" t="s">
        <v>1426</v>
      </c>
      <c r="D50" s="137">
        <v>45440</v>
      </c>
      <c r="E50" s="351">
        <v>45458</v>
      </c>
      <c r="F50" s="102">
        <f>VLOOKUP(E50,환율!$A$1798:$B$2033,2,)</f>
        <v>1371</v>
      </c>
      <c r="G50" s="138">
        <v>63992.800000000003</v>
      </c>
      <c r="H50" s="104">
        <f t="shared" si="1"/>
        <v>87734128</v>
      </c>
      <c r="I50" s="139"/>
      <c r="J50" s="258"/>
    </row>
    <row r="51" spans="1:11" s="97" customFormat="1" ht="25.5" customHeight="1">
      <c r="A51" s="2035" t="s">
        <v>10</v>
      </c>
      <c r="B51" s="2036"/>
      <c r="C51" s="2036"/>
      <c r="D51" s="2036"/>
      <c r="E51" s="2036"/>
      <c r="F51" s="2037"/>
      <c r="G51" s="127">
        <f>SUM(G30:G50)</f>
        <v>915449.74</v>
      </c>
      <c r="H51" s="116">
        <f>SUM(H30:H50)</f>
        <v>1251716894</v>
      </c>
      <c r="I51" s="116">
        <v>1505430637</v>
      </c>
      <c r="J51" s="260">
        <f>+H51-I51</f>
        <v>-253713743</v>
      </c>
    </row>
    <row r="52" spans="1:11" s="97" customFormat="1" ht="25.5" customHeight="1">
      <c r="A52" s="2010" t="s">
        <v>13</v>
      </c>
      <c r="B52" s="117" t="s">
        <v>1375</v>
      </c>
      <c r="C52" s="142" t="s">
        <v>1377</v>
      </c>
      <c r="D52" s="90">
        <v>45414</v>
      </c>
      <c r="E52" s="89">
        <v>45418</v>
      </c>
      <c r="F52" s="91">
        <f>VLOOKUP(E52,환율!$A$1798:$B$2033,2,)</f>
        <v>1378.5</v>
      </c>
      <c r="G52" s="92">
        <v>74100.84</v>
      </c>
      <c r="H52" s="93">
        <f t="shared" si="1"/>
        <v>102148007</v>
      </c>
      <c r="I52" s="142"/>
      <c r="J52" s="321"/>
    </row>
    <row r="53" spans="1:11" s="97" customFormat="1" ht="25.5" customHeight="1">
      <c r="A53" s="2011"/>
      <c r="B53" s="117" t="s">
        <v>1376</v>
      </c>
      <c r="C53" s="142" t="s">
        <v>1378</v>
      </c>
      <c r="D53" s="90">
        <v>45424</v>
      </c>
      <c r="E53" s="89">
        <v>45429</v>
      </c>
      <c r="F53" s="91">
        <f>VLOOKUP(E53,환율!$A$1798:$B$2033,2,)</f>
        <v>1349.4</v>
      </c>
      <c r="G53" s="92">
        <v>87575.88</v>
      </c>
      <c r="H53" s="93">
        <f t="shared" si="1"/>
        <v>118174892</v>
      </c>
      <c r="I53" s="142"/>
      <c r="J53" s="321"/>
    </row>
    <row r="54" spans="1:11" s="97" customFormat="1" ht="25.5" customHeight="1">
      <c r="A54" s="2035" t="s">
        <v>10</v>
      </c>
      <c r="B54" s="2036"/>
      <c r="C54" s="2036"/>
      <c r="D54" s="2036"/>
      <c r="E54" s="2036"/>
      <c r="F54" s="2037"/>
      <c r="G54" s="127">
        <f>SUM(G52:G53)</f>
        <v>161676.72</v>
      </c>
      <c r="H54" s="116">
        <f>SUM(H52:H53)</f>
        <v>220322899</v>
      </c>
      <c r="I54" s="116">
        <v>179012804</v>
      </c>
      <c r="J54" s="260">
        <f>+H54-I54</f>
        <v>41310095</v>
      </c>
    </row>
    <row r="55" spans="1:11" s="97" customFormat="1" ht="25.5" customHeight="1">
      <c r="A55" s="2010" t="s">
        <v>35</v>
      </c>
      <c r="B55" s="152" t="s">
        <v>1418</v>
      </c>
      <c r="C55" s="152" t="s">
        <v>1540</v>
      </c>
      <c r="D55" s="322"/>
      <c r="E55" s="101">
        <v>45459</v>
      </c>
      <c r="F55" s="102">
        <f>VLOOKUP(E55,환율!$A$1798:$B$2033,2,)</f>
        <v>1371</v>
      </c>
      <c r="G55" s="103">
        <f>H55/F55</f>
        <v>8855.7826404084608</v>
      </c>
      <c r="H55" s="104">
        <v>12141278</v>
      </c>
      <c r="I55" s="224"/>
      <c r="J55" s="276"/>
      <c r="K55" s="126"/>
    </row>
    <row r="56" spans="1:11" s="97" customFormat="1" ht="25.5" customHeight="1">
      <c r="A56" s="2011"/>
      <c r="B56" s="152" t="s">
        <v>1429</v>
      </c>
      <c r="C56" s="152" t="s">
        <v>1541</v>
      </c>
      <c r="D56" s="322"/>
      <c r="E56" s="125">
        <v>45480</v>
      </c>
      <c r="F56" s="102">
        <f>VLOOKUP(E56,환율!$A$1798:$B$2033,2,)</f>
        <v>1381.9</v>
      </c>
      <c r="G56" s="103">
        <f t="shared" ref="G56" si="5">H56/F56</f>
        <v>11218.792966205947</v>
      </c>
      <c r="H56" s="104">
        <v>15503250</v>
      </c>
      <c r="I56" s="224"/>
      <c r="J56" s="276"/>
      <c r="K56" s="126"/>
    </row>
    <row r="57" spans="1:11" s="97" customFormat="1" ht="25.5" customHeight="1">
      <c r="A57" s="2035" t="s">
        <v>10</v>
      </c>
      <c r="B57" s="2036"/>
      <c r="C57" s="2036"/>
      <c r="D57" s="2036"/>
      <c r="E57" s="2036"/>
      <c r="F57" s="2037"/>
      <c r="G57" s="127">
        <f>SUM(G55:G56)</f>
        <v>20074.575606614409</v>
      </c>
      <c r="H57" s="116">
        <f>SUM(H55:H56)</f>
        <v>27644528</v>
      </c>
      <c r="I57" s="116">
        <v>32467346</v>
      </c>
      <c r="J57" s="260">
        <f>+H57-I57</f>
        <v>-4822818</v>
      </c>
    </row>
    <row r="58" spans="1:11" s="97" customFormat="1" ht="25.5" customHeight="1">
      <c r="A58" s="2012" t="s">
        <v>47</v>
      </c>
      <c r="B58" s="155" t="s">
        <v>1379</v>
      </c>
      <c r="C58" s="146" t="s">
        <v>1381</v>
      </c>
      <c r="D58" s="146">
        <v>45419</v>
      </c>
      <c r="E58" s="146">
        <v>45434</v>
      </c>
      <c r="F58" s="91">
        <f>VLOOKUP(E58,환율!$A$1798:$B$2033,2,)</f>
        <v>1364.4</v>
      </c>
      <c r="G58" s="118">
        <v>43423.6</v>
      </c>
      <c r="H58" s="93">
        <f t="shared" ref="H58:H59" si="6">ROUNDDOWN(G58*F58,0)</f>
        <v>59247159</v>
      </c>
      <c r="I58" s="156"/>
      <c r="J58" s="263"/>
    </row>
    <row r="59" spans="1:11" s="97" customFormat="1" ht="25.5" customHeight="1">
      <c r="A59" s="2013"/>
      <c r="B59" s="153" t="s">
        <v>1380</v>
      </c>
      <c r="C59" s="169" t="s">
        <v>1447</v>
      </c>
      <c r="D59" s="169">
        <v>45442</v>
      </c>
      <c r="E59" s="100">
        <v>45458</v>
      </c>
      <c r="F59" s="102">
        <f>VLOOKUP(E59,환율!$A$1798:$B$2033,2,)</f>
        <v>1371</v>
      </c>
      <c r="G59" s="122">
        <v>39476</v>
      </c>
      <c r="H59" s="104">
        <f t="shared" si="6"/>
        <v>54121596</v>
      </c>
      <c r="I59" s="185"/>
      <c r="J59" s="277"/>
    </row>
    <row r="60" spans="1:11" s="97" customFormat="1" ht="25.5" customHeight="1">
      <c r="A60" s="2035" t="s">
        <v>10</v>
      </c>
      <c r="B60" s="2036"/>
      <c r="C60" s="2036"/>
      <c r="D60" s="2036"/>
      <c r="E60" s="2036"/>
      <c r="F60" s="2037"/>
      <c r="G60" s="127">
        <f>SUM(G58:G59)</f>
        <v>82899.600000000006</v>
      </c>
      <c r="H60" s="116">
        <f>SUM(H58:H59)</f>
        <v>113368755</v>
      </c>
      <c r="I60" s="116">
        <v>102634441</v>
      </c>
      <c r="J60" s="260">
        <f>+H60-I60</f>
        <v>10734314</v>
      </c>
    </row>
    <row r="61" spans="1:11" s="97" customFormat="1" ht="25.5" customHeight="1">
      <c r="A61" s="350" t="s">
        <v>34</v>
      </c>
      <c r="B61" s="145" t="s">
        <v>1382</v>
      </c>
      <c r="C61" s="339" t="s">
        <v>1383</v>
      </c>
      <c r="D61" s="136">
        <v>45415</v>
      </c>
      <c r="E61" s="90">
        <v>45430</v>
      </c>
      <c r="F61" s="340">
        <f>VLOOKUP(E61,환율!$A$1798:$B$2033,2,)</f>
        <v>1349.4</v>
      </c>
      <c r="G61" s="341">
        <v>14242.4</v>
      </c>
      <c r="H61" s="342">
        <f t="shared" ref="H61" si="7">ROUNDDOWN(G61*F61,0)</f>
        <v>19218694</v>
      </c>
      <c r="I61" s="343"/>
      <c r="J61" s="344"/>
    </row>
    <row r="62" spans="1:11" s="97" customFormat="1" ht="25.5" customHeight="1" thickBot="1">
      <c r="A62" s="2032" t="s">
        <v>10</v>
      </c>
      <c r="B62" s="2033"/>
      <c r="C62" s="2033"/>
      <c r="D62" s="2033"/>
      <c r="E62" s="2033"/>
      <c r="F62" s="2034"/>
      <c r="G62" s="268">
        <f>SUM(G61:G61)</f>
        <v>14242.4</v>
      </c>
      <c r="H62" s="269">
        <f>SUM(H61:H61)</f>
        <v>19218694</v>
      </c>
      <c r="I62" s="269">
        <v>0</v>
      </c>
      <c r="J62" s="270">
        <f>+H62-I62</f>
        <v>19218694</v>
      </c>
      <c r="K62" s="126"/>
    </row>
    <row r="63" spans="1:11" s="97" customFormat="1" ht="25.5" customHeight="1">
      <c r="A63" s="2018" t="s">
        <v>14</v>
      </c>
      <c r="B63" s="247" t="s">
        <v>1385</v>
      </c>
      <c r="C63" s="248" t="s">
        <v>1394</v>
      </c>
      <c r="D63" s="248">
        <v>45411</v>
      </c>
      <c r="E63" s="248">
        <v>45415</v>
      </c>
      <c r="F63" s="249">
        <f>VLOOKUP(E63,환율!$A$1798:$B$2033,2,)</f>
        <v>1378.5</v>
      </c>
      <c r="G63" s="250">
        <v>3180.17</v>
      </c>
      <c r="H63" s="251">
        <f t="shared" ref="H63:H75" si="8">ROUNDDOWN(G63*F63,0)</f>
        <v>4383864</v>
      </c>
      <c r="I63" s="252"/>
      <c r="J63" s="253"/>
    </row>
    <row r="64" spans="1:11" s="97" customFormat="1" ht="25.5" customHeight="1">
      <c r="A64" s="2011"/>
      <c r="B64" s="88" t="s">
        <v>1393</v>
      </c>
      <c r="C64" s="129" t="s">
        <v>1395</v>
      </c>
      <c r="D64" s="129">
        <v>45413</v>
      </c>
      <c r="E64" s="136">
        <v>45415</v>
      </c>
      <c r="F64" s="91">
        <f>VLOOKUP(E64,환율!$A$1798:$B$2033,2,)</f>
        <v>1378.5</v>
      </c>
      <c r="G64" s="92">
        <v>172.88</v>
      </c>
      <c r="H64" s="93">
        <f t="shared" si="8"/>
        <v>238315</v>
      </c>
      <c r="I64" s="165"/>
      <c r="J64" s="254"/>
    </row>
    <row r="65" spans="1:11" s="97" customFormat="1" ht="25.5" customHeight="1">
      <c r="A65" s="2011"/>
      <c r="B65" s="88" t="s">
        <v>1386</v>
      </c>
      <c r="C65" s="146" t="s">
        <v>1396</v>
      </c>
      <c r="D65" s="146">
        <v>45415</v>
      </c>
      <c r="E65" s="136">
        <v>45422</v>
      </c>
      <c r="F65" s="91">
        <f>VLOOKUP(E65,환율!$A$1798:$B$2033,2,)</f>
        <v>1367.9</v>
      </c>
      <c r="G65" s="118">
        <v>776.25</v>
      </c>
      <c r="H65" s="93">
        <f t="shared" si="8"/>
        <v>1061832</v>
      </c>
      <c r="I65" s="147"/>
      <c r="J65" s="255"/>
    </row>
    <row r="66" spans="1:11" s="97" customFormat="1" ht="25.5" customHeight="1">
      <c r="A66" s="2011"/>
      <c r="B66" s="88" t="s">
        <v>1387</v>
      </c>
      <c r="C66" s="136" t="s">
        <v>1397</v>
      </c>
      <c r="D66" s="136">
        <v>45415</v>
      </c>
      <c r="E66" s="136">
        <v>45426</v>
      </c>
      <c r="F66" s="91">
        <f>VLOOKUP(E66,환율!$A$1798:$B$2033,2,)</f>
        <v>1370.1</v>
      </c>
      <c r="G66" s="92">
        <v>1790</v>
      </c>
      <c r="H66" s="93">
        <f t="shared" si="8"/>
        <v>2452479</v>
      </c>
      <c r="I66" s="167"/>
      <c r="J66" s="256"/>
    </row>
    <row r="67" spans="1:11" s="97" customFormat="1" ht="25.5" customHeight="1">
      <c r="A67" s="2011"/>
      <c r="B67" s="88" t="s">
        <v>1388</v>
      </c>
      <c r="C67" s="146" t="s">
        <v>1398</v>
      </c>
      <c r="D67" s="146">
        <v>45415</v>
      </c>
      <c r="E67" s="136">
        <v>45425</v>
      </c>
      <c r="F67" s="91">
        <f>VLOOKUP(E67,환율!$A$1798:$B$2033,2,)</f>
        <v>1367.9</v>
      </c>
      <c r="G67" s="92">
        <v>141.02000000000001</v>
      </c>
      <c r="H67" s="93">
        <f t="shared" si="8"/>
        <v>192901</v>
      </c>
      <c r="I67" s="168"/>
      <c r="J67" s="256"/>
    </row>
    <row r="68" spans="1:11" s="97" customFormat="1" ht="25.5" customHeight="1">
      <c r="A68" s="2011"/>
      <c r="B68" s="88" t="s">
        <v>1389</v>
      </c>
      <c r="C68" s="146" t="s">
        <v>1399</v>
      </c>
      <c r="D68" s="146">
        <v>45425</v>
      </c>
      <c r="E68" s="136">
        <v>45433</v>
      </c>
      <c r="F68" s="91">
        <f>VLOOKUP(E68,환율!$A$1798:$B$2033,2,)</f>
        <v>1356.2</v>
      </c>
      <c r="G68" s="118">
        <v>9609.68</v>
      </c>
      <c r="H68" s="93">
        <f t="shared" si="8"/>
        <v>13032648</v>
      </c>
      <c r="I68" s="147"/>
      <c r="J68" s="255"/>
    </row>
    <row r="69" spans="1:11" s="97" customFormat="1" ht="25.5" customHeight="1">
      <c r="A69" s="2011"/>
      <c r="B69" s="88" t="s">
        <v>1390</v>
      </c>
      <c r="C69" s="146" t="s">
        <v>1400</v>
      </c>
      <c r="D69" s="146">
        <v>45434</v>
      </c>
      <c r="E69" s="136">
        <v>45434</v>
      </c>
      <c r="F69" s="91">
        <f>VLOOKUP(E69,환율!$A$1798:$B$2033,2,)</f>
        <v>1364.4</v>
      </c>
      <c r="G69" s="92">
        <v>4918.9399999999996</v>
      </c>
      <c r="H69" s="93">
        <f t="shared" si="8"/>
        <v>6711401</v>
      </c>
      <c r="I69" s="168"/>
      <c r="J69" s="256"/>
    </row>
    <row r="70" spans="1:11" s="97" customFormat="1" ht="25.5" customHeight="1">
      <c r="A70" s="2011"/>
      <c r="B70" s="88" t="s">
        <v>1391</v>
      </c>
      <c r="C70" s="146" t="s">
        <v>1401</v>
      </c>
      <c r="D70" s="146">
        <v>45427</v>
      </c>
      <c r="E70" s="136">
        <v>45433</v>
      </c>
      <c r="F70" s="91">
        <f>VLOOKUP(E70,환율!$A$1798:$B$2033,2,)</f>
        <v>1356.2</v>
      </c>
      <c r="G70" s="118">
        <v>28763.91</v>
      </c>
      <c r="H70" s="93">
        <f t="shared" si="8"/>
        <v>39009614</v>
      </c>
      <c r="I70" s="168"/>
      <c r="J70" s="256"/>
    </row>
    <row r="71" spans="1:11" s="97" customFormat="1" ht="25.5" customHeight="1">
      <c r="A71" s="2011"/>
      <c r="B71" s="88" t="s">
        <v>1392</v>
      </c>
      <c r="C71" s="146" t="s">
        <v>1402</v>
      </c>
      <c r="D71" s="146">
        <v>45420</v>
      </c>
      <c r="E71" s="136">
        <v>45430</v>
      </c>
      <c r="F71" s="91">
        <f>VLOOKUP(E71,환율!$A$1798:$B$2033,2,)</f>
        <v>1349.4</v>
      </c>
      <c r="G71" s="118">
        <v>2723.5</v>
      </c>
      <c r="H71" s="93">
        <f t="shared" si="8"/>
        <v>3675090</v>
      </c>
      <c r="I71" s="168"/>
      <c r="J71" s="256"/>
    </row>
    <row r="72" spans="1:11" s="97" customFormat="1" ht="25.5" customHeight="1" thickBot="1">
      <c r="A72" s="2032" t="s">
        <v>10</v>
      </c>
      <c r="B72" s="2033"/>
      <c r="C72" s="2033"/>
      <c r="D72" s="2033"/>
      <c r="E72" s="2033"/>
      <c r="F72" s="2034"/>
      <c r="G72" s="127">
        <f>SUM(G63:G71)</f>
        <v>52076.35</v>
      </c>
      <c r="H72" s="116">
        <f>SUM(H63:H71)</f>
        <v>70758144</v>
      </c>
      <c r="I72" s="116">
        <v>84630290</v>
      </c>
      <c r="J72" s="260">
        <f>+H72-I72</f>
        <v>-13872146</v>
      </c>
    </row>
    <row r="73" spans="1:11" s="97" customFormat="1" ht="25.5" customHeight="1">
      <c r="A73" s="2010" t="s">
        <v>15</v>
      </c>
      <c r="B73" s="173" t="s">
        <v>1403</v>
      </c>
      <c r="C73" s="173" t="s">
        <v>1406</v>
      </c>
      <c r="D73" s="223">
        <v>45425</v>
      </c>
      <c r="E73" s="223">
        <v>45428</v>
      </c>
      <c r="F73" s="91">
        <f>VLOOKUP(E73,환율!$A$1798:$B$2033,2,)</f>
        <v>1369</v>
      </c>
      <c r="G73" s="92">
        <v>12415.83</v>
      </c>
      <c r="H73" s="93">
        <f t="shared" si="8"/>
        <v>16997271</v>
      </c>
      <c r="I73" s="173"/>
      <c r="J73" s="262"/>
    </row>
    <row r="74" spans="1:11" s="97" customFormat="1" ht="25.5" customHeight="1">
      <c r="A74" s="2011"/>
      <c r="B74" s="173" t="s">
        <v>1404</v>
      </c>
      <c r="C74" s="173" t="s">
        <v>1407</v>
      </c>
      <c r="D74" s="288">
        <v>45434</v>
      </c>
      <c r="E74" s="288">
        <v>45436</v>
      </c>
      <c r="F74" s="91">
        <f>VLOOKUP(E74,환율!$A$1798:$B$2033,2,)</f>
        <v>1364.5</v>
      </c>
      <c r="G74" s="92">
        <v>24831.66</v>
      </c>
      <c r="H74" s="93">
        <f t="shared" si="8"/>
        <v>33882800</v>
      </c>
      <c r="I74" s="173"/>
      <c r="J74" s="262"/>
    </row>
    <row r="75" spans="1:11" s="97" customFormat="1" ht="25.5" customHeight="1">
      <c r="A75" s="2011"/>
      <c r="B75" s="99" t="s">
        <v>1405</v>
      </c>
      <c r="C75" s="152" t="s">
        <v>1539</v>
      </c>
      <c r="D75" s="322">
        <v>45441</v>
      </c>
      <c r="E75" s="352">
        <v>45445</v>
      </c>
      <c r="F75" s="102">
        <f>VLOOKUP(E75,환율!$A$1798:$B$2033,2,)</f>
        <v>1376.5</v>
      </c>
      <c r="G75" s="103">
        <v>17736.900000000001</v>
      </c>
      <c r="H75" s="104">
        <f t="shared" si="8"/>
        <v>24414842</v>
      </c>
      <c r="I75" s="152"/>
      <c r="J75" s="323"/>
    </row>
    <row r="76" spans="1:11" s="97" customFormat="1" ht="25.5" customHeight="1" thickBot="1">
      <c r="A76" s="2032" t="s">
        <v>10</v>
      </c>
      <c r="B76" s="2033"/>
      <c r="C76" s="2033"/>
      <c r="D76" s="2033"/>
      <c r="E76" s="2033"/>
      <c r="F76" s="2034"/>
      <c r="G76" s="127">
        <f>SUM(G73:G75)</f>
        <v>54984.39</v>
      </c>
      <c r="H76" s="116">
        <f>SUM(H73:H75)</f>
        <v>75294913</v>
      </c>
      <c r="I76" s="116">
        <v>41535207</v>
      </c>
      <c r="J76" s="260">
        <f>+H76-I76</f>
        <v>33759706</v>
      </c>
      <c r="K76" s="175"/>
    </row>
    <row r="77" spans="1:11" s="97" customFormat="1" ht="25.5" customHeight="1">
      <c r="A77" s="2010" t="s">
        <v>726</v>
      </c>
      <c r="B77" s="146" t="s">
        <v>1431</v>
      </c>
      <c r="C77" s="146" t="s">
        <v>1437</v>
      </c>
      <c r="D77" s="136"/>
      <c r="E77" s="136">
        <v>45415</v>
      </c>
      <c r="F77" s="176">
        <v>8.9992000000000001</v>
      </c>
      <c r="G77" s="177">
        <v>17681260</v>
      </c>
      <c r="H77" s="93">
        <f t="shared" ref="H77:H84" si="9">ROUNDDOWN(G77*F77,0)</f>
        <v>159117194</v>
      </c>
      <c r="I77" s="156"/>
      <c r="J77" s="263"/>
    </row>
    <row r="78" spans="1:11" s="97" customFormat="1" ht="25.5" customHeight="1">
      <c r="A78" s="2011"/>
      <c r="B78" s="146" t="s">
        <v>1432</v>
      </c>
      <c r="C78" s="146" t="s">
        <v>1438</v>
      </c>
      <c r="D78" s="136"/>
      <c r="E78" s="136">
        <v>45423</v>
      </c>
      <c r="F78" s="176">
        <v>8.8053000000000008</v>
      </c>
      <c r="G78" s="177">
        <v>7396560</v>
      </c>
      <c r="H78" s="93">
        <f t="shared" si="9"/>
        <v>65128929</v>
      </c>
      <c r="I78" s="156"/>
      <c r="J78" s="263"/>
      <c r="K78" s="175"/>
    </row>
    <row r="79" spans="1:11" s="97" customFormat="1" ht="25.5" customHeight="1">
      <c r="A79" s="2011"/>
      <c r="B79" s="146" t="s">
        <v>1433</v>
      </c>
      <c r="C79" s="146" t="s">
        <v>1439</v>
      </c>
      <c r="D79" s="136"/>
      <c r="E79" s="136">
        <v>45427</v>
      </c>
      <c r="F79" s="176">
        <v>8.7695000000000007</v>
      </c>
      <c r="G79" s="177">
        <v>7469600</v>
      </c>
      <c r="H79" s="93">
        <f t="shared" si="9"/>
        <v>65504657</v>
      </c>
      <c r="I79" s="156"/>
      <c r="J79" s="263"/>
      <c r="K79" s="175"/>
    </row>
    <row r="80" spans="1:11" s="97" customFormat="1" ht="25.5" customHeight="1">
      <c r="A80" s="2011"/>
      <c r="B80" s="146" t="s">
        <v>1434</v>
      </c>
      <c r="C80" s="146" t="s">
        <v>1440</v>
      </c>
      <c r="D80" s="136"/>
      <c r="E80" s="136">
        <v>45432</v>
      </c>
      <c r="F80" s="176">
        <v>8.7025000000000006</v>
      </c>
      <c r="G80" s="177">
        <v>7043784</v>
      </c>
      <c r="H80" s="93">
        <f t="shared" si="9"/>
        <v>61298530</v>
      </c>
      <c r="I80" s="156"/>
      <c r="J80" s="263"/>
      <c r="K80" s="175"/>
    </row>
    <row r="81" spans="1:12" s="97" customFormat="1" ht="25.5" customHeight="1">
      <c r="A81" s="2011"/>
      <c r="B81" s="146" t="s">
        <v>1435</v>
      </c>
      <c r="C81" s="146" t="s">
        <v>1442</v>
      </c>
      <c r="D81" s="136"/>
      <c r="E81" s="136">
        <v>45441</v>
      </c>
      <c r="F81" s="176">
        <v>8.6471</v>
      </c>
      <c r="G81" s="177">
        <v>10686560</v>
      </c>
      <c r="H81" s="93">
        <f t="shared" si="9"/>
        <v>92407752</v>
      </c>
      <c r="I81" s="156"/>
      <c r="J81" s="263"/>
      <c r="K81" s="175"/>
    </row>
    <row r="82" spans="1:12" s="97" customFormat="1" ht="25.5" customHeight="1">
      <c r="A82" s="2011"/>
      <c r="B82" s="146" t="s">
        <v>1436</v>
      </c>
      <c r="C82" s="146" t="s">
        <v>1441</v>
      </c>
      <c r="D82" s="136"/>
      <c r="E82" s="136">
        <v>45441</v>
      </c>
      <c r="F82" s="176">
        <v>8.6471</v>
      </c>
      <c r="G82" s="177">
        <v>7636534</v>
      </c>
      <c r="H82" s="93">
        <f t="shared" si="9"/>
        <v>66033873</v>
      </c>
      <c r="I82" s="156"/>
      <c r="J82" s="263"/>
      <c r="K82" s="175"/>
    </row>
    <row r="83" spans="1:12" s="97" customFormat="1" ht="25.5" customHeight="1">
      <c r="A83" s="2011"/>
      <c r="B83" s="169" t="s">
        <v>1443</v>
      </c>
      <c r="C83" s="169" t="s">
        <v>1445</v>
      </c>
      <c r="D83" s="125"/>
      <c r="E83" s="125">
        <v>45448</v>
      </c>
      <c r="F83" s="183">
        <v>8.8675999999999995</v>
      </c>
      <c r="G83" s="184">
        <v>15549751</v>
      </c>
      <c r="H83" s="104">
        <f t="shared" si="9"/>
        <v>137888971</v>
      </c>
      <c r="I83" s="185"/>
      <c r="J83" s="277"/>
      <c r="K83" s="175"/>
    </row>
    <row r="84" spans="1:12" s="97" customFormat="1" ht="25.5" customHeight="1">
      <c r="A84" s="2011"/>
      <c r="B84" s="169" t="s">
        <v>1444</v>
      </c>
      <c r="C84" s="169" t="s">
        <v>1446</v>
      </c>
      <c r="D84" s="125"/>
      <c r="E84" s="125">
        <v>45448</v>
      </c>
      <c r="F84" s="183">
        <v>8.8675999999999995</v>
      </c>
      <c r="G84" s="184">
        <v>14648902</v>
      </c>
      <c r="H84" s="104">
        <f t="shared" si="9"/>
        <v>129900603</v>
      </c>
      <c r="I84" s="185"/>
      <c r="J84" s="277"/>
      <c r="K84" s="175"/>
    </row>
    <row r="85" spans="1:12" s="97" customFormat="1" ht="25.5" customHeight="1" thickBot="1">
      <c r="A85" s="2032" t="s">
        <v>10</v>
      </c>
      <c r="B85" s="2033"/>
      <c r="C85" s="2033"/>
      <c r="D85" s="2033"/>
      <c r="E85" s="2033"/>
      <c r="F85" s="2034"/>
      <c r="G85" s="338">
        <f>SUM(G77:G84)</f>
        <v>88112951</v>
      </c>
      <c r="H85" s="269">
        <f>SUM(H77:H84)</f>
        <v>777280509</v>
      </c>
      <c r="I85" s="269">
        <v>718444749</v>
      </c>
      <c r="J85" s="270">
        <f>+H85-I85</f>
        <v>58835760</v>
      </c>
    </row>
    <row r="86" spans="1:12" s="310" customFormat="1" ht="25.5" customHeight="1">
      <c r="A86" s="2038" t="s">
        <v>992</v>
      </c>
      <c r="B86" s="332" t="s">
        <v>1408</v>
      </c>
      <c r="C86" s="303"/>
      <c r="D86" s="303"/>
      <c r="E86" s="303">
        <v>45422</v>
      </c>
      <c r="F86" s="333">
        <f>VLOOKUP(E86,환율!$A$1798:$B$2033,2,)</f>
        <v>1367.9</v>
      </c>
      <c r="G86" s="334">
        <f>H86/F86</f>
        <v>17310.505153885515</v>
      </c>
      <c r="H86" s="335">
        <v>23679040</v>
      </c>
      <c r="I86" s="336"/>
      <c r="J86" s="337"/>
      <c r="K86" s="309"/>
    </row>
    <row r="87" spans="1:12" s="310" customFormat="1" ht="25.5" customHeight="1">
      <c r="A87" s="2039"/>
      <c r="B87" s="354" t="s">
        <v>1409</v>
      </c>
      <c r="C87" s="355"/>
      <c r="D87" s="355"/>
      <c r="E87" s="355">
        <v>45433</v>
      </c>
      <c r="F87" s="356">
        <f>VLOOKUP(E87,환율!$A$1798:$B$2033,2,)</f>
        <v>1356.2</v>
      </c>
      <c r="G87" s="357">
        <f>H87/F87</f>
        <v>1335.3731013124907</v>
      </c>
      <c r="H87" s="358">
        <v>1811033</v>
      </c>
      <c r="I87" s="359"/>
      <c r="J87" s="360"/>
      <c r="K87" s="309"/>
    </row>
    <row r="88" spans="1:12" s="97" customFormat="1" ht="25.5" customHeight="1" thickBot="1">
      <c r="A88" s="2032" t="s">
        <v>10</v>
      </c>
      <c r="B88" s="2033"/>
      <c r="C88" s="2033"/>
      <c r="D88" s="2033"/>
      <c r="E88" s="2033"/>
      <c r="F88" s="2034"/>
      <c r="G88" s="268">
        <f>SUM(G86:G87)</f>
        <v>18645.878255198004</v>
      </c>
      <c r="H88" s="269">
        <f>SUM(H86:H87)</f>
        <v>25490073</v>
      </c>
      <c r="I88" s="269">
        <v>21526400</v>
      </c>
      <c r="J88" s="270">
        <f>+H88-I88</f>
        <v>3963673</v>
      </c>
      <c r="K88" s="175"/>
    </row>
    <row r="89" spans="1:12" s="97" customFormat="1" ht="23.25" customHeight="1" thickBot="1">
      <c r="A89" s="2029" t="s">
        <v>1176</v>
      </c>
      <c r="B89" s="2030"/>
      <c r="C89" s="2030"/>
      <c r="D89" s="2030"/>
      <c r="E89" s="2031"/>
      <c r="F89" s="1997" t="s">
        <v>31</v>
      </c>
      <c r="G89" s="232" t="s">
        <v>17</v>
      </c>
      <c r="H89" s="210">
        <f>+H91-H90</f>
        <v>4582941959</v>
      </c>
      <c r="I89" s="210">
        <v>4884269308</v>
      </c>
      <c r="J89" s="219">
        <f>+H89-I89</f>
        <v>-301327349</v>
      </c>
    </row>
    <row r="90" spans="1:12" s="97" customFormat="1" ht="23.25" customHeight="1">
      <c r="A90" s="239" t="s">
        <v>20</v>
      </c>
      <c r="B90" s="195" t="s">
        <v>21</v>
      </c>
      <c r="C90" s="196" t="s">
        <v>20</v>
      </c>
      <c r="D90" s="314"/>
      <c r="E90" s="197" t="s">
        <v>21</v>
      </c>
      <c r="F90" s="1997"/>
      <c r="G90" s="198" t="s">
        <v>18</v>
      </c>
      <c r="H90" s="199">
        <f>+H87+H20</f>
        <v>13730903</v>
      </c>
      <c r="I90" s="199">
        <v>33175101</v>
      </c>
      <c r="J90" s="201">
        <f>+H90-I90</f>
        <v>-19444198</v>
      </c>
    </row>
    <row r="91" spans="1:12" s="97" customFormat="1" ht="23.25" customHeight="1" thickBot="1">
      <c r="A91" s="240" t="s">
        <v>9</v>
      </c>
      <c r="B91" s="199">
        <f>SUM(H14:H15)</f>
        <v>1121841648</v>
      </c>
      <c r="C91" s="200" t="s">
        <v>721</v>
      </c>
      <c r="D91" s="315"/>
      <c r="E91" s="201">
        <v>0</v>
      </c>
      <c r="F91" s="1998"/>
      <c r="G91" s="202" t="s">
        <v>19</v>
      </c>
      <c r="H91" s="203">
        <f>SUM(H16,H29,H51,H54,H57,H60,H62,H72,H76,H85,H88)</f>
        <v>4596672862</v>
      </c>
      <c r="I91" s="203">
        <v>4917444409</v>
      </c>
      <c r="J91" s="233">
        <f>+H91-I91</f>
        <v>-320771547</v>
      </c>
    </row>
    <row r="92" spans="1:12" s="97" customFormat="1" ht="23.25" customHeight="1">
      <c r="A92" s="240" t="s">
        <v>11</v>
      </c>
      <c r="B92" s="199">
        <f>SUM(H21:H28)</f>
        <v>228025992</v>
      </c>
      <c r="C92" s="200" t="s">
        <v>722</v>
      </c>
      <c r="D92" s="315"/>
      <c r="E92" s="201">
        <v>0</v>
      </c>
      <c r="F92" s="296" t="s">
        <v>20</v>
      </c>
      <c r="G92" s="297" t="s">
        <v>1410</v>
      </c>
      <c r="H92" s="298" t="s">
        <v>1411</v>
      </c>
      <c r="I92" s="298" t="s">
        <v>1412</v>
      </c>
      <c r="J92" s="234" t="s">
        <v>32</v>
      </c>
    </row>
    <row r="93" spans="1:12" s="97" customFormat="1" ht="23.25" customHeight="1">
      <c r="A93" s="241" t="s">
        <v>114</v>
      </c>
      <c r="B93" s="199">
        <f>SUM(H42:H50)</f>
        <v>590579162</v>
      </c>
      <c r="C93" s="293" t="s">
        <v>14</v>
      </c>
      <c r="D93" s="316"/>
      <c r="E93" s="294" t="e">
        <f>SUM(#REF!)</f>
        <v>#REF!</v>
      </c>
      <c r="F93" s="211" t="s">
        <v>22</v>
      </c>
      <c r="G93" s="199">
        <v>0</v>
      </c>
      <c r="H93" s="199">
        <f>SUM(H77:H82)</f>
        <v>509490935</v>
      </c>
      <c r="I93" s="199">
        <f>SUM(H83:H84)</f>
        <v>267789574</v>
      </c>
      <c r="J93" s="201">
        <f>SUM(G93:H93)</f>
        <v>509490935</v>
      </c>
    </row>
    <row r="94" spans="1:12" s="97" customFormat="1" ht="23.25" customHeight="1">
      <c r="A94" s="241" t="s">
        <v>153</v>
      </c>
      <c r="B94" s="199">
        <v>0</v>
      </c>
      <c r="C94" s="293" t="s">
        <v>15</v>
      </c>
      <c r="D94" s="317"/>
      <c r="E94" s="295">
        <f>SUM(H75)</f>
        <v>24414842</v>
      </c>
      <c r="F94" s="211" t="s">
        <v>23</v>
      </c>
      <c r="G94" s="199">
        <f>660096116+31950785</f>
        <v>692046901</v>
      </c>
      <c r="H94" s="199">
        <f>SUM(H17:H20,H30:H41,H52:H53,H61)</f>
        <v>1067329579</v>
      </c>
      <c r="I94" s="199">
        <f>SUM(H21:H28,H42:H50,H55:H56)</f>
        <v>846249682</v>
      </c>
      <c r="J94" s="201">
        <f>SUM(G94:H94)</f>
        <v>1759376480</v>
      </c>
      <c r="L94" s="126"/>
    </row>
    <row r="95" spans="1:12" s="126" customFormat="1" ht="23.25" customHeight="1">
      <c r="A95" s="241" t="s">
        <v>719</v>
      </c>
      <c r="B95" s="199">
        <v>0</v>
      </c>
      <c r="C95" s="293" t="s">
        <v>53</v>
      </c>
      <c r="D95" s="316"/>
      <c r="E95" s="294">
        <f>SUM(H59)</f>
        <v>54121596</v>
      </c>
      <c r="F95" s="211" t="s">
        <v>24</v>
      </c>
      <c r="G95" s="199">
        <v>548121612</v>
      </c>
      <c r="H95" s="199">
        <f>SUM(H13)</f>
        <v>499059559</v>
      </c>
      <c r="I95" s="199">
        <f>SUM(H14:H15)</f>
        <v>1121841648</v>
      </c>
      <c r="J95" s="201">
        <f>SUM(G95:H95)</f>
        <v>1047181171</v>
      </c>
    </row>
    <row r="96" spans="1:12" s="126" customFormat="1" ht="23.25" customHeight="1">
      <c r="A96" s="241" t="s">
        <v>35</v>
      </c>
      <c r="B96" s="199">
        <f>SUM(H55:H56)</f>
        <v>27644528</v>
      </c>
      <c r="C96" s="200" t="s">
        <v>252</v>
      </c>
      <c r="D96" s="216"/>
      <c r="E96" s="219">
        <f>SUM(H83:H84)</f>
        <v>267789574</v>
      </c>
      <c r="F96" s="211" t="s">
        <v>723</v>
      </c>
      <c r="G96" s="199">
        <f>114258407-571104</f>
        <v>113687303</v>
      </c>
      <c r="H96" s="199">
        <f>SUM(H73:H74,H63:H71,H58)</f>
        <v>180885374</v>
      </c>
      <c r="I96" s="199">
        <f>SUM(H75,H59)</f>
        <v>78536438</v>
      </c>
      <c r="J96" s="201">
        <f>SUM(G96:H96)</f>
        <v>294572677</v>
      </c>
    </row>
    <row r="97" spans="1:10" s="126" customFormat="1" ht="23.25" customHeight="1" thickBot="1">
      <c r="A97" s="215" t="s">
        <v>724</v>
      </c>
      <c r="B97" s="213"/>
      <c r="C97" s="214"/>
      <c r="D97" s="318"/>
      <c r="E97" s="242"/>
      <c r="F97" s="299" t="s">
        <v>1177</v>
      </c>
      <c r="G97" s="311"/>
      <c r="H97" s="311">
        <f>H88</f>
        <v>25490073</v>
      </c>
      <c r="I97" s="311"/>
      <c r="J97" s="312">
        <f>SUM(G97:H97)</f>
        <v>25490073</v>
      </c>
    </row>
    <row r="98" spans="1:10" s="126" customFormat="1" ht="23.25" customHeight="1" thickTop="1" thickBot="1">
      <c r="A98" s="243"/>
      <c r="B98" s="244" t="s">
        <v>49</v>
      </c>
      <c r="C98" s="245"/>
      <c r="D98" s="244"/>
      <c r="E98" s="246" t="e">
        <f>SUM(B91:B97,E91:E97)</f>
        <v>#REF!</v>
      </c>
      <c r="F98" s="236" t="s">
        <v>16</v>
      </c>
      <c r="G98" s="237">
        <f>SUM(G93:G97)</f>
        <v>1353855816</v>
      </c>
      <c r="H98" s="237">
        <f>SUM(H93:H97)</f>
        <v>2282255520</v>
      </c>
      <c r="I98" s="237">
        <f>SUM(I93:I97)</f>
        <v>2314417342</v>
      </c>
      <c r="J98" s="238">
        <f>+G98+H98</f>
        <v>3636111336</v>
      </c>
    </row>
    <row r="99" spans="1:10" s="19" customFormat="1">
      <c r="A99"/>
      <c r="B99"/>
      <c r="C99"/>
      <c r="D99"/>
      <c r="E99"/>
      <c r="F99"/>
      <c r="G99" s="47"/>
      <c r="H99"/>
      <c r="I99"/>
      <c r="J99"/>
    </row>
    <row r="100" spans="1:10" ht="19.2">
      <c r="B100" s="291"/>
      <c r="C100" s="290"/>
      <c r="D100" s="290"/>
      <c r="E100" s="26"/>
      <c r="F100" s="292"/>
      <c r="H100" s="26"/>
    </row>
    <row r="101" spans="1:10" ht="19.2">
      <c r="C101" s="290"/>
      <c r="D101" s="290"/>
      <c r="E101" s="26"/>
      <c r="F101" s="292"/>
      <c r="H101" s="26"/>
    </row>
    <row r="102" spans="1:10" ht="19.2">
      <c r="C102" s="290"/>
      <c r="D102" s="290"/>
      <c r="E102" s="26"/>
      <c r="F102" s="292"/>
      <c r="H102" s="26"/>
      <c r="J102" s="26"/>
    </row>
    <row r="103" spans="1:10" ht="19.2">
      <c r="C103" s="290"/>
      <c r="D103" s="290"/>
      <c r="E103" s="26"/>
      <c r="F103" s="292"/>
    </row>
    <row r="104" spans="1:10" ht="19.2">
      <c r="C104" s="290"/>
      <c r="D104" s="290"/>
      <c r="F104" s="13"/>
    </row>
    <row r="105" spans="1:10">
      <c r="F105" s="13"/>
    </row>
  </sheetData>
  <autoFilter ref="A11:F98" xr:uid="{00000000-0009-0000-0000-000048000000}"/>
  <mergeCells count="31">
    <mergeCell ref="A6:G10"/>
    <mergeCell ref="A11:A12"/>
    <mergeCell ref="B11:B12"/>
    <mergeCell ref="C11:C12"/>
    <mergeCell ref="D11:D12"/>
    <mergeCell ref="E11:E12"/>
    <mergeCell ref="F11:F12"/>
    <mergeCell ref="G11:J11"/>
    <mergeCell ref="F89:F91"/>
    <mergeCell ref="A13:A15"/>
    <mergeCell ref="A17:A28"/>
    <mergeCell ref="A30:A50"/>
    <mergeCell ref="A52:A53"/>
    <mergeCell ref="A55:A56"/>
    <mergeCell ref="A58:A59"/>
    <mergeCell ref="A63:A71"/>
    <mergeCell ref="A73:A75"/>
    <mergeCell ref="A77:A84"/>
    <mergeCell ref="A89:E89"/>
    <mergeCell ref="A86:A87"/>
    <mergeCell ref="A29:F29"/>
    <mergeCell ref="A16:F16"/>
    <mergeCell ref="A51:F51"/>
    <mergeCell ref="A54:F54"/>
    <mergeCell ref="A85:F85"/>
    <mergeCell ref="A88:F88"/>
    <mergeCell ref="A57:F57"/>
    <mergeCell ref="A60:F60"/>
    <mergeCell ref="A62:F62"/>
    <mergeCell ref="A72:F72"/>
    <mergeCell ref="A76:F76"/>
  </mergeCells>
  <phoneticPr fontId="2" type="noConversion"/>
  <conditionalFormatting sqref="A23:A24 C23:D24 I23:J24 B25 B38:B39">
    <cfRule type="expression" dxfId="1593" priority="350">
      <formula>$E27="*01월*"</formula>
    </cfRule>
  </conditionalFormatting>
  <conditionalFormatting sqref="A25 C25:E25">
    <cfRule type="expression" dxfId="1592" priority="356">
      <formula>#REF!="*01월*"</formula>
    </cfRule>
  </conditionalFormatting>
  <conditionalFormatting sqref="A54 G54:J54 A62 G62:J62 B70:J71">
    <cfRule type="expression" dxfId="1591" priority="59">
      <formula>#REF!="*01월*"</formula>
    </cfRule>
  </conditionalFormatting>
  <conditionalFormatting sqref="A57 H57:J57 A58:J58 C59:J59 B73:F73 I73:J74 C74:F74 B74:B75 A75 H75 A85 G85:J85 A86:F86 H86:J87 B87:F87">
    <cfRule type="expression" dxfId="1590" priority="47">
      <formula>$E60="*01월*"</formula>
    </cfRule>
  </conditionalFormatting>
  <conditionalFormatting sqref="A72">
    <cfRule type="expression" dxfId="1589" priority="2">
      <formula>#REF!="*01월*"</formula>
    </cfRule>
  </conditionalFormatting>
  <conditionalFormatting sqref="A73:A74 H73:H74 G75">
    <cfRule type="expression" dxfId="1588" priority="41">
      <formula>$E77="*01월*"</formula>
    </cfRule>
  </conditionalFormatting>
  <conditionalFormatting sqref="A76">
    <cfRule type="expression" dxfId="1587" priority="1">
      <formula>#REF!="*01월*"</formula>
    </cfRule>
  </conditionalFormatting>
  <conditionalFormatting sqref="A22:D22 I22:J22 B23:B24">
    <cfRule type="expression" dxfId="1586" priority="360">
      <formula>#REF!="*01월*"</formula>
    </cfRule>
  </conditionalFormatting>
  <conditionalFormatting sqref="A77:E77">
    <cfRule type="expression" dxfId="1585" priority="61">
      <formula>#REF!="*01월*"</formula>
    </cfRule>
  </conditionalFormatting>
  <conditionalFormatting sqref="A11:J12 B14:B15 A29 G29:J29 A30:C30 D30:J33 C31:C33 B31:B37 B47:B48 A51 G51:J51 E55:E56 A60 G60:J60 A63:C63 D63:J67 B64:C67 C75:F75 I75:J75 G76:J76 G88:J88 A88:A89 F89:J89 A90:J98 F100:F103">
    <cfRule type="expression" dxfId="1584" priority="46">
      <formula>$E13="*01월*"</formula>
    </cfRule>
  </conditionalFormatting>
  <conditionalFormatting sqref="A17:J18">
    <cfRule type="expression" dxfId="1583" priority="18">
      <formula>$E26="*01월*"</formula>
    </cfRule>
  </conditionalFormatting>
  <conditionalFormatting sqref="A21:J21 B78:B84">
    <cfRule type="expression" dxfId="1582" priority="351">
      <formula>$E28="*01월*"</formula>
    </cfRule>
  </conditionalFormatting>
  <conditionalFormatting sqref="A13:K13 B59">
    <cfRule type="expression" dxfId="1581" priority="349">
      <formula>#REF!="*01월*"</formula>
    </cfRule>
  </conditionalFormatting>
  <conditionalFormatting sqref="B19">
    <cfRule type="expression" dxfId="1580" priority="16">
      <formula>$E25="*01월*"</formula>
    </cfRule>
  </conditionalFormatting>
  <conditionalFormatting sqref="B20">
    <cfRule type="expression" dxfId="1579" priority="13">
      <formula>#REF!="*01월*"</formula>
    </cfRule>
  </conditionalFormatting>
  <conditionalFormatting sqref="B40:B42">
    <cfRule type="expression" dxfId="1578" priority="7">
      <formula>$E42="*01월*"</formula>
    </cfRule>
  </conditionalFormatting>
  <conditionalFormatting sqref="B43 B49:B50 B68:J68">
    <cfRule type="expression" dxfId="1577" priority="394">
      <formula>#REF!="*01월*"</formula>
    </cfRule>
  </conditionalFormatting>
  <conditionalFormatting sqref="B44 B46 B69:J69">
    <cfRule type="expression" dxfId="1576" priority="28">
      <formula>$E45="*01월*"</formula>
    </cfRule>
  </conditionalFormatting>
  <conditionalFormatting sqref="B45:J45">
    <cfRule type="expression" dxfId="1575" priority="33">
      <formula>#REF!="*01월*"</formula>
    </cfRule>
  </conditionalFormatting>
  <conditionalFormatting sqref="B53:J53">
    <cfRule type="expression" dxfId="1574" priority="51">
      <formula>#REF!="*01월*"</formula>
    </cfRule>
  </conditionalFormatting>
  <conditionalFormatting sqref="B55:J56">
    <cfRule type="expression" dxfId="1573" priority="45">
      <formula>#REF!="*01월*"</formula>
    </cfRule>
  </conditionalFormatting>
  <conditionalFormatting sqref="C20 G20 I20:J20">
    <cfRule type="expression" dxfId="1572" priority="12">
      <formula>$E22="*01월*"</formula>
    </cfRule>
  </conditionalFormatting>
  <conditionalFormatting sqref="C26:D26">
    <cfRule type="expression" dxfId="1571" priority="63">
      <formula>#REF!="*01월*"</formula>
    </cfRule>
  </conditionalFormatting>
  <conditionalFormatting sqref="C100:D104">
    <cfRule type="expression" dxfId="1570" priority="39">
      <formula>$E102="*01월*"</formula>
    </cfRule>
  </conditionalFormatting>
  <conditionalFormatting sqref="C19:E19 I19:J19 A55:D55 F55:G56 B56:D56">
    <cfRule type="expression" dxfId="1569" priority="15">
      <formula>$E22="*01월*"</formula>
    </cfRule>
  </conditionalFormatting>
  <conditionalFormatting sqref="C14:J15 A14:A16 A52:J52">
    <cfRule type="expression" dxfId="1568" priority="58">
      <formula>#REF!="*01월*"</formula>
    </cfRule>
  </conditionalFormatting>
  <conditionalFormatting sqref="C34:J34 A61:J61">
    <cfRule type="expression" dxfId="1567" priority="54">
      <formula>#REF!="*01월*"</formula>
    </cfRule>
  </conditionalFormatting>
  <conditionalFormatting sqref="C35:J35">
    <cfRule type="expression" dxfId="1566" priority="50">
      <formula>$E39="*01월*"</formula>
    </cfRule>
  </conditionalFormatting>
  <conditionalFormatting sqref="C36:J44">
    <cfRule type="expression" dxfId="1565" priority="3">
      <formula>#REF!="*01월*"</formula>
    </cfRule>
  </conditionalFormatting>
  <conditionalFormatting sqref="C46:J50">
    <cfRule type="expression" dxfId="1564" priority="9">
      <formula>#REF!="*01월*"</formula>
    </cfRule>
  </conditionalFormatting>
  <conditionalFormatting sqref="D27">
    <cfRule type="expression" dxfId="1563" priority="42">
      <formula>$E28="*01월*"</formula>
    </cfRule>
  </conditionalFormatting>
  <conditionalFormatting sqref="D28">
    <cfRule type="expression" dxfId="1562" priority="354">
      <formula>#REF!="*01월*"</formula>
    </cfRule>
  </conditionalFormatting>
  <conditionalFormatting sqref="D20:F20">
    <cfRule type="expression" dxfId="1561" priority="10">
      <formula>#REF!="*01월*"</formula>
    </cfRule>
  </conditionalFormatting>
  <conditionalFormatting sqref="E22:E24">
    <cfRule type="expression" dxfId="1560" priority="19">
      <formula>$E29="*01월*"</formula>
    </cfRule>
  </conditionalFormatting>
  <conditionalFormatting sqref="E26">
    <cfRule type="expression" dxfId="1559" priority="392">
      <formula>$E34="*01월*"</formula>
    </cfRule>
  </conditionalFormatting>
  <conditionalFormatting sqref="F19:H19">
    <cfRule type="expression" dxfId="1558" priority="385">
      <formula>#REF!="*01월*"</formula>
    </cfRule>
  </conditionalFormatting>
  <conditionalFormatting sqref="F22:H23">
    <cfRule type="expression" dxfId="1557" priority="374">
      <formula>#REF!="*01월*"</formula>
    </cfRule>
  </conditionalFormatting>
  <conditionalFormatting sqref="F24:H25 B26:B28 G73:G74">
    <cfRule type="expression" dxfId="1556" priority="368">
      <formula>$E29="*01월*"</formula>
    </cfRule>
  </conditionalFormatting>
  <conditionalFormatting sqref="F26:H28">
    <cfRule type="expression" dxfId="1555" priority="60">
      <formula>$E32="*01월*"</formula>
    </cfRule>
  </conditionalFormatting>
  <conditionalFormatting sqref="F77:J84 C78:E84">
    <cfRule type="expression" dxfId="1554" priority="56">
      <formula>#REF!="*01월*"</formula>
    </cfRule>
  </conditionalFormatting>
  <conditionalFormatting sqref="G57">
    <cfRule type="expression" dxfId="1553" priority="43">
      <formula>$E59="*01월*"</formula>
    </cfRule>
  </conditionalFormatting>
  <conditionalFormatting sqref="G86:G87">
    <cfRule type="expression" dxfId="1552" priority="62">
      <formula>#REF!="*01월*"</formula>
    </cfRule>
  </conditionalFormatting>
  <conditionalFormatting sqref="G16:J16">
    <cfRule type="expression" dxfId="1551" priority="383">
      <formula>#REF!="*01월*"</formula>
    </cfRule>
  </conditionalFormatting>
  <conditionalFormatting sqref="G72:J72">
    <cfRule type="expression" dxfId="1550" priority="49">
      <formula>$E76="*01월*"</formula>
    </cfRule>
  </conditionalFormatting>
  <conditionalFormatting sqref="H20">
    <cfRule type="expression" dxfId="1549" priority="11">
      <formula>#REF!="*01월*"</formula>
    </cfRule>
  </conditionalFormatting>
  <conditionalFormatting sqref="I25:J28 C27:C28 E27:E28">
    <cfRule type="expression" dxfId="1548" priority="53">
      <formula>#REF!="*01월*"</formula>
    </cfRule>
  </conditionalFormatting>
  <printOptions horizontalCentered="1"/>
  <pageMargins left="0" right="0" top="0.74803149606299213" bottom="0.19685039370078741" header="0" footer="0"/>
  <pageSetup paperSize="9" scale="43" fitToHeight="0" orientation="portrait" r:id="rId1"/>
  <rowBreaks count="1" manualBreakCount="1">
    <brk id="62" max="8" man="1"/>
  </rowBreaks>
  <colBreaks count="1" manualBreakCount="1">
    <brk id="9" max="102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pageSetUpPr fitToPage="1"/>
  </sheetPr>
  <dimension ref="A5:M100"/>
  <sheetViews>
    <sheetView view="pageBreakPreview" zoomScale="70" zoomScaleNormal="70" zoomScaleSheetLayoutView="70" workbookViewId="0">
      <pane xSplit="1" ySplit="12" topLeftCell="B67" activePane="bottomRight" state="frozen"/>
      <selection activeCell="D29" sqref="D29"/>
      <selection pane="topRight" activeCell="D29" sqref="D29"/>
      <selection pane="bottomLeft" activeCell="D29" sqref="D29"/>
      <selection pane="bottomRight" activeCell="Q81" sqref="Q81"/>
    </sheetView>
  </sheetViews>
  <sheetFormatPr defaultRowHeight="17.399999999999999"/>
  <cols>
    <col min="1" max="1" width="23.3984375" customWidth="1"/>
    <col min="2" max="2" width="22.8984375" customWidth="1"/>
    <col min="3" max="3" width="29.09765625" customWidth="1"/>
    <col min="4" max="4" width="29.09765625" hidden="1" customWidth="1"/>
    <col min="5" max="5" width="21" customWidth="1"/>
    <col min="6" max="6" width="18.69921875" customWidth="1"/>
    <col min="7" max="7" width="25.69921875" style="47" customWidth="1"/>
    <col min="8" max="8" width="26.5" customWidth="1"/>
    <col min="9" max="9" width="25.09765625" customWidth="1"/>
    <col min="10" max="10" width="29.19921875" customWidth="1"/>
    <col min="11" max="11" width="16.8984375" style="24" bestFit="1" customWidth="1"/>
    <col min="12" max="12" width="18.09765625" style="34" bestFit="1" customWidth="1"/>
  </cols>
  <sheetData>
    <row r="5" spans="1:12" ht="19.5" customHeight="1"/>
    <row r="6" spans="1:12" ht="19.5" customHeight="1">
      <c r="A6" s="2020" t="s">
        <v>1448</v>
      </c>
      <c r="B6" s="2020"/>
      <c r="C6" s="2020"/>
      <c r="D6" s="2020"/>
      <c r="E6" s="2020"/>
      <c r="F6" s="2020"/>
      <c r="G6" s="2020"/>
      <c r="H6" s="1"/>
      <c r="I6" s="1"/>
      <c r="J6" s="1"/>
    </row>
    <row r="7" spans="1:12" ht="19.5" customHeight="1">
      <c r="A7" s="2020"/>
      <c r="B7" s="2020"/>
      <c r="C7" s="2020"/>
      <c r="D7" s="2020"/>
      <c r="E7" s="2020"/>
      <c r="F7" s="2020"/>
      <c r="G7" s="2020"/>
      <c r="H7" s="1"/>
      <c r="I7" s="1"/>
      <c r="J7" s="1"/>
    </row>
    <row r="8" spans="1:12" ht="19.5" customHeight="1">
      <c r="A8" s="2020"/>
      <c r="B8" s="2020"/>
      <c r="C8" s="2020"/>
      <c r="D8" s="2020"/>
      <c r="E8" s="2020"/>
      <c r="F8" s="2020"/>
      <c r="G8" s="2020"/>
      <c r="H8" s="1"/>
      <c r="I8" s="1"/>
      <c r="J8" s="1"/>
    </row>
    <row r="9" spans="1:12" ht="19.5" customHeight="1">
      <c r="A9" s="2020"/>
      <c r="B9" s="2020"/>
      <c r="C9" s="2020"/>
      <c r="D9" s="2020"/>
      <c r="E9" s="2020"/>
      <c r="F9" s="2020"/>
      <c r="G9" s="2020"/>
      <c r="H9" s="2"/>
      <c r="I9" s="2"/>
      <c r="J9" s="2"/>
    </row>
    <row r="10" spans="1:12" ht="19.5" customHeight="1" thickBot="1">
      <c r="A10" s="2020"/>
      <c r="B10" s="2020"/>
      <c r="C10" s="2020"/>
      <c r="D10" s="2020"/>
      <c r="E10" s="2020"/>
      <c r="F10" s="2020"/>
      <c r="G10" s="2020"/>
      <c r="H10" s="2"/>
      <c r="I10" s="2"/>
      <c r="J10" s="2"/>
    </row>
    <row r="11" spans="1:12" ht="23.25" customHeight="1">
      <c r="A11" s="2021" t="s">
        <v>0</v>
      </c>
      <c r="B11" s="2023" t="s">
        <v>1</v>
      </c>
      <c r="C11" s="2024" t="s">
        <v>2</v>
      </c>
      <c r="D11" s="2024" t="s">
        <v>1222</v>
      </c>
      <c r="E11" s="2024" t="s">
        <v>3</v>
      </c>
      <c r="F11" s="2025" t="s">
        <v>4</v>
      </c>
      <c r="G11" s="2026" t="s">
        <v>5</v>
      </c>
      <c r="H11" s="2027"/>
      <c r="I11" s="2027"/>
      <c r="J11" s="2028"/>
    </row>
    <row r="12" spans="1:12" ht="23.25" customHeight="1">
      <c r="A12" s="2022"/>
      <c r="B12" s="2003"/>
      <c r="C12" s="2004"/>
      <c r="D12" s="2004"/>
      <c r="E12" s="2004"/>
      <c r="F12" s="2005"/>
      <c r="G12" s="82" t="s">
        <v>6</v>
      </c>
      <c r="H12" s="3" t="s">
        <v>7</v>
      </c>
      <c r="I12" s="3" t="s">
        <v>101</v>
      </c>
      <c r="J12" s="271" t="s">
        <v>8</v>
      </c>
    </row>
    <row r="13" spans="1:12" s="97" customFormat="1" ht="25.5" customHeight="1">
      <c r="A13" s="2010" t="s">
        <v>9</v>
      </c>
      <c r="B13" s="88" t="s">
        <v>1449</v>
      </c>
      <c r="C13" s="89" t="s">
        <v>1478</v>
      </c>
      <c r="D13" s="89">
        <v>45457</v>
      </c>
      <c r="E13" s="90">
        <v>45471</v>
      </c>
      <c r="F13" s="91">
        <f>VLOOKUP(E13,환율!$A$1798:$B$2033,2,)</f>
        <v>1389.2</v>
      </c>
      <c r="G13" s="92">
        <v>387693.5</v>
      </c>
      <c r="H13" s="93">
        <f t="shared" ref="H13:H15" si="0">ROUNDDOWN(G13*F13,0)</f>
        <v>538583810</v>
      </c>
      <c r="I13" s="94" ph="1"/>
      <c r="J13" s="254"/>
      <c r="L13" s="387"/>
    </row>
    <row r="14" spans="1:12" s="97" customFormat="1" ht="25.5" customHeight="1">
      <c r="A14" s="2011"/>
      <c r="B14" s="88" t="s">
        <v>1450</v>
      </c>
      <c r="C14" s="89" t="s">
        <v>1479</v>
      </c>
      <c r="D14" s="89">
        <v>45464</v>
      </c>
      <c r="E14" s="90">
        <v>45472</v>
      </c>
      <c r="F14" s="91">
        <f>VLOOKUP(E14,환율!$A$1798:$B$2033,2,)</f>
        <v>1389.2</v>
      </c>
      <c r="G14" s="92">
        <v>393275.94</v>
      </c>
      <c r="H14" s="93">
        <f t="shared" si="0"/>
        <v>546338935</v>
      </c>
      <c r="I14" s="363" ph="1"/>
      <c r="J14" s="254"/>
    </row>
    <row r="15" spans="1:12" s="97" customFormat="1" ht="25.5" customHeight="1">
      <c r="A15" s="2011"/>
      <c r="B15" s="99" t="s">
        <v>1451</v>
      </c>
      <c r="C15" s="100" t="s">
        <v>1480</v>
      </c>
      <c r="D15" s="100">
        <v>45471</v>
      </c>
      <c r="E15" s="101">
        <v>45481</v>
      </c>
      <c r="F15" s="102">
        <f>VLOOKUP(E15,환율!$A$1798:$B$2033,2,)</f>
        <v>1379</v>
      </c>
      <c r="G15" s="103">
        <v>273512.02</v>
      </c>
      <c r="H15" s="104">
        <f t="shared" si="0"/>
        <v>377173075</v>
      </c>
      <c r="I15" s="353" ph="1"/>
      <c r="J15" s="272"/>
      <c r="L15" s="403"/>
    </row>
    <row r="16" spans="1:12" s="97" customFormat="1" ht="25.5" customHeight="1">
      <c r="A16" s="259"/>
      <c r="B16" s="113"/>
      <c r="C16" s="113" t="s">
        <v>10</v>
      </c>
      <c r="D16" s="113"/>
      <c r="E16" s="113"/>
      <c r="F16" s="114"/>
      <c r="G16" s="115">
        <f>SUM(G13:G15)</f>
        <v>1054481.46</v>
      </c>
      <c r="H16" s="116">
        <f>SUM(H13:H15)</f>
        <v>1462095820</v>
      </c>
      <c r="I16" s="116">
        <v>1624481407</v>
      </c>
      <c r="J16" s="260">
        <f>+H16-I16</f>
        <v>-162385587</v>
      </c>
    </row>
    <row r="17" spans="1:12" s="120" customFormat="1" ht="25.5" customHeight="1">
      <c r="A17" s="2010" t="s">
        <v>11</v>
      </c>
      <c r="B17" s="117" t="s">
        <v>1452</v>
      </c>
      <c r="C17" s="89" t="s">
        <v>1481</v>
      </c>
      <c r="D17" s="319">
        <v>45439</v>
      </c>
      <c r="E17" s="90">
        <v>45459</v>
      </c>
      <c r="F17" s="91">
        <f>VLOOKUP(E17,환율!$A$1798:$B$2033,2,)</f>
        <v>1371</v>
      </c>
      <c r="G17" s="118">
        <v>569.41</v>
      </c>
      <c r="H17" s="93">
        <f t="shared" ref="H17:H44" si="1">ROUNDDOWN(G17*F17,0)</f>
        <v>780661</v>
      </c>
      <c r="I17" s="119"/>
      <c r="J17" s="254"/>
      <c r="K17" s="97"/>
      <c r="L17" s="387"/>
    </row>
    <row r="18" spans="1:12" s="120" customFormat="1" ht="25.5" customHeight="1">
      <c r="A18" s="2011"/>
      <c r="B18" s="117" t="s">
        <v>1453</v>
      </c>
      <c r="C18" s="89" t="s">
        <v>1482</v>
      </c>
      <c r="D18" s="319">
        <v>45440</v>
      </c>
      <c r="E18" s="90">
        <v>45459</v>
      </c>
      <c r="F18" s="91">
        <f>VLOOKUP(E18,환율!$A$1798:$B$2033,2,)</f>
        <v>1371</v>
      </c>
      <c r="G18" s="118">
        <v>84123.36</v>
      </c>
      <c r="H18" s="93">
        <f t="shared" si="1"/>
        <v>115333126</v>
      </c>
      <c r="I18" s="119"/>
      <c r="J18" s="254"/>
      <c r="K18" s="97"/>
      <c r="L18" s="97"/>
    </row>
    <row r="19" spans="1:12" s="120" customFormat="1" ht="25.5" customHeight="1">
      <c r="A19" s="2011"/>
      <c r="B19" s="117" t="s">
        <v>1454</v>
      </c>
      <c r="C19" s="89" t="s">
        <v>1483</v>
      </c>
      <c r="D19" s="319">
        <v>45440</v>
      </c>
      <c r="E19" s="90">
        <v>45459</v>
      </c>
      <c r="F19" s="91">
        <f>VLOOKUP(E19,환율!$A$1798:$B$2033,2,)</f>
        <v>1371</v>
      </c>
      <c r="G19" s="118">
        <v>286</v>
      </c>
      <c r="H19" s="93">
        <f t="shared" si="1"/>
        <v>392106</v>
      </c>
      <c r="I19" s="119"/>
      <c r="J19" s="254"/>
      <c r="K19" s="97"/>
      <c r="L19" s="97"/>
    </row>
    <row r="20" spans="1:12" s="97" customFormat="1" ht="25.5" customHeight="1">
      <c r="A20" s="2011"/>
      <c r="B20" s="117" t="s">
        <v>1455</v>
      </c>
      <c r="C20" s="89" t="s">
        <v>1484</v>
      </c>
      <c r="D20" s="319">
        <v>45436</v>
      </c>
      <c r="E20" s="90">
        <v>45459</v>
      </c>
      <c r="F20" s="91">
        <f>VLOOKUP(E20,환율!$A$1798:$B$2033,2,)</f>
        <v>1371</v>
      </c>
      <c r="G20" s="118">
        <v>12926.4</v>
      </c>
      <c r="H20" s="93">
        <f t="shared" si="1"/>
        <v>17722094</v>
      </c>
      <c r="I20" s="119"/>
      <c r="J20" s="254"/>
    </row>
    <row r="21" spans="1:12" s="120" customFormat="1" ht="25.5" customHeight="1">
      <c r="A21" s="2011"/>
      <c r="B21" s="117" t="s">
        <v>1456</v>
      </c>
      <c r="C21" s="89" t="s">
        <v>1485</v>
      </c>
      <c r="D21" s="319">
        <v>45444</v>
      </c>
      <c r="E21" s="90">
        <v>45466</v>
      </c>
      <c r="F21" s="91">
        <f>VLOOKUP(E21,환율!$A$1798:$B$2033,2,)</f>
        <v>1383.8</v>
      </c>
      <c r="G21" s="118">
        <v>22986</v>
      </c>
      <c r="H21" s="93">
        <f t="shared" si="1"/>
        <v>31808026</v>
      </c>
      <c r="I21" s="119"/>
      <c r="J21" s="254"/>
      <c r="K21" s="97"/>
      <c r="L21" s="97"/>
    </row>
    <row r="22" spans="1:12" s="120" customFormat="1" ht="25.5" customHeight="1">
      <c r="A22" s="2011"/>
      <c r="B22" s="117" t="s">
        <v>1457</v>
      </c>
      <c r="C22" s="89" t="s">
        <v>1486</v>
      </c>
      <c r="D22" s="319">
        <v>45448</v>
      </c>
      <c r="E22" s="90">
        <v>45472</v>
      </c>
      <c r="F22" s="91">
        <f>VLOOKUP(E22,환율!$A$1798:$B$2033,2,)</f>
        <v>1389.2</v>
      </c>
      <c r="G22" s="118">
        <v>64059.839999999997</v>
      </c>
      <c r="H22" s="93">
        <f t="shared" si="1"/>
        <v>88991929</v>
      </c>
      <c r="I22" s="119"/>
      <c r="J22" s="254"/>
      <c r="K22" s="97"/>
      <c r="L22" s="97"/>
    </row>
    <row r="23" spans="1:12" s="120" customFormat="1" ht="25.5" customHeight="1">
      <c r="A23" s="2011"/>
      <c r="B23" s="117" t="s">
        <v>1458</v>
      </c>
      <c r="C23" s="89" t="s">
        <v>1542</v>
      </c>
      <c r="D23" s="319">
        <v>45450</v>
      </c>
      <c r="E23" s="90">
        <v>45472</v>
      </c>
      <c r="F23" s="91">
        <f>VLOOKUP(E23,환율!$A$1798:$B$2033,2,)</f>
        <v>1389.2</v>
      </c>
      <c r="G23" s="118">
        <v>277.10000000000002</v>
      </c>
      <c r="H23" s="93">
        <f t="shared" si="1"/>
        <v>384947</v>
      </c>
      <c r="I23" s="119"/>
      <c r="J23" s="254"/>
      <c r="K23" s="97"/>
      <c r="L23" s="97"/>
    </row>
    <row r="24" spans="1:12" s="120" customFormat="1" ht="25.5" customHeight="1">
      <c r="A24" s="2011"/>
      <c r="B24" s="117" t="s">
        <v>1459</v>
      </c>
      <c r="C24" s="89" t="s">
        <v>1487</v>
      </c>
      <c r="D24" s="319">
        <v>45397</v>
      </c>
      <c r="E24" s="90">
        <v>45467</v>
      </c>
      <c r="F24" s="91">
        <f>VLOOKUP(E24,환율!$A$1798:$B$2033,2,)</f>
        <v>1389.1</v>
      </c>
      <c r="G24" s="118">
        <v>12389.76</v>
      </c>
      <c r="H24" s="93">
        <f t="shared" si="1"/>
        <v>17210615</v>
      </c>
      <c r="I24" s="119"/>
      <c r="J24" s="254"/>
      <c r="K24" s="97"/>
      <c r="L24" s="97"/>
    </row>
    <row r="25" spans="1:12" s="120" customFormat="1" ht="25.5" customHeight="1">
      <c r="A25" s="2011"/>
      <c r="B25" s="117" t="s">
        <v>1462</v>
      </c>
      <c r="C25" s="89" t="s">
        <v>1490</v>
      </c>
      <c r="D25" s="319">
        <v>45462</v>
      </c>
      <c r="E25" s="90">
        <v>45472</v>
      </c>
      <c r="F25" s="91">
        <f>VLOOKUP(E25,환율!$A$1798:$B$2033,2,)</f>
        <v>1389.2</v>
      </c>
      <c r="G25" s="118">
        <v>8308.7999999999993</v>
      </c>
      <c r="H25" s="93">
        <f t="shared" ref="H25" si="2">ROUNDDOWN(G25*F25,0)</f>
        <v>11542584</v>
      </c>
      <c r="I25" s="119"/>
      <c r="J25" s="254"/>
      <c r="K25" s="97"/>
      <c r="L25" s="97"/>
    </row>
    <row r="26" spans="1:12" s="120" customFormat="1" ht="25.5" customHeight="1">
      <c r="A26" s="2011"/>
      <c r="B26" s="121" t="s">
        <v>1460</v>
      </c>
      <c r="C26" s="100" t="s">
        <v>1488</v>
      </c>
      <c r="D26" s="320">
        <v>45455</v>
      </c>
      <c r="E26" s="101">
        <v>45475</v>
      </c>
      <c r="F26" s="102">
        <f>VLOOKUP(E26,환율!$A$1798:$B$2033,2,)</f>
        <v>1380.8</v>
      </c>
      <c r="G26" s="122">
        <v>28584</v>
      </c>
      <c r="H26" s="104">
        <f t="shared" si="1"/>
        <v>39468787</v>
      </c>
      <c r="I26" s="123"/>
      <c r="J26" s="272"/>
      <c r="K26" s="97"/>
      <c r="L26" s="97"/>
    </row>
    <row r="27" spans="1:12" s="120" customFormat="1" ht="25.5" customHeight="1">
      <c r="A27" s="2011"/>
      <c r="B27" s="121" t="s">
        <v>1461</v>
      </c>
      <c r="C27" s="100" t="s">
        <v>1489</v>
      </c>
      <c r="D27" s="320">
        <v>45457</v>
      </c>
      <c r="E27" s="101">
        <v>45475</v>
      </c>
      <c r="F27" s="102">
        <f>VLOOKUP(E27,환율!$A$1798:$B$2033,2,)</f>
        <v>1380.8</v>
      </c>
      <c r="G27" s="122">
        <v>84447.18</v>
      </c>
      <c r="H27" s="104">
        <f t="shared" si="1"/>
        <v>116604666</v>
      </c>
      <c r="I27" s="123"/>
      <c r="J27" s="272"/>
      <c r="K27" s="97"/>
      <c r="L27" s="403"/>
    </row>
    <row r="28" spans="1:12" s="97" customFormat="1" ht="25.5" customHeight="1">
      <c r="A28" s="259"/>
      <c r="B28" s="113"/>
      <c r="C28" s="113" t="s">
        <v>10</v>
      </c>
      <c r="D28" s="113"/>
      <c r="E28" s="113"/>
      <c r="F28" s="114"/>
      <c r="G28" s="127">
        <f>SUM(G17:G27)</f>
        <v>318957.84999999998</v>
      </c>
      <c r="H28" s="116">
        <f>SUM(H17:H27)</f>
        <v>440239541</v>
      </c>
      <c r="I28" s="116">
        <v>394365836</v>
      </c>
      <c r="J28" s="260">
        <f>+H28-I28</f>
        <v>45873705</v>
      </c>
    </row>
    <row r="29" spans="1:12" s="126" customFormat="1" ht="25.5" customHeight="1">
      <c r="A29" s="2010" t="s">
        <v>12</v>
      </c>
      <c r="B29" s="313" t="s">
        <v>1463</v>
      </c>
      <c r="C29" s="129" t="s">
        <v>1493</v>
      </c>
      <c r="D29" s="129">
        <v>45442</v>
      </c>
      <c r="E29" s="136">
        <v>45460</v>
      </c>
      <c r="F29" s="91">
        <f>VLOOKUP(E29,환율!$A$1798:$B$2033,2,)</f>
        <v>1377.7</v>
      </c>
      <c r="G29" s="134">
        <v>108899.2</v>
      </c>
      <c r="H29" s="93">
        <f t="shared" si="1"/>
        <v>150030427</v>
      </c>
      <c r="I29" s="135"/>
      <c r="J29" s="255"/>
      <c r="K29" s="97"/>
    </row>
    <row r="30" spans="1:12" s="126" customFormat="1" ht="25.5" customHeight="1">
      <c r="A30" s="2011"/>
      <c r="B30" s="313" t="s">
        <v>1464</v>
      </c>
      <c r="C30" s="129" t="s">
        <v>1491</v>
      </c>
      <c r="D30" s="129">
        <v>45442</v>
      </c>
      <c r="E30" s="136">
        <v>45466</v>
      </c>
      <c r="F30" s="91">
        <f>VLOOKUP(E30,환율!$A$1798:$B$2033,2,)</f>
        <v>1383.8</v>
      </c>
      <c r="G30" s="134">
        <v>23492</v>
      </c>
      <c r="H30" s="93">
        <f t="shared" si="1"/>
        <v>32508229</v>
      </c>
      <c r="I30" s="135"/>
      <c r="J30" s="255"/>
      <c r="K30" s="97"/>
    </row>
    <row r="31" spans="1:12" s="126" customFormat="1" ht="25.5" customHeight="1">
      <c r="A31" s="2011"/>
      <c r="B31" s="313" t="s">
        <v>1465</v>
      </c>
      <c r="C31" s="129" t="s">
        <v>1492</v>
      </c>
      <c r="D31" s="129">
        <v>45442</v>
      </c>
      <c r="E31" s="136">
        <v>45466</v>
      </c>
      <c r="F31" s="91">
        <f>VLOOKUP(E31,환율!$A$1798:$B$2033,2,)</f>
        <v>1383.8</v>
      </c>
      <c r="G31" s="134">
        <v>14770.3</v>
      </c>
      <c r="H31" s="93">
        <f t="shared" si="1"/>
        <v>20439141</v>
      </c>
      <c r="I31" s="135"/>
      <c r="J31" s="255"/>
      <c r="K31" s="97"/>
    </row>
    <row r="32" spans="1:12" s="126" customFormat="1" ht="25.5" customHeight="1">
      <c r="A32" s="2011"/>
      <c r="B32" s="313" t="s">
        <v>1466</v>
      </c>
      <c r="C32" s="129" t="s">
        <v>1494</v>
      </c>
      <c r="D32" s="129">
        <v>45448</v>
      </c>
      <c r="E32" s="136">
        <v>45466</v>
      </c>
      <c r="F32" s="91">
        <f>VLOOKUP(E32,환율!$A$1798:$B$2033,2,)</f>
        <v>1383.8</v>
      </c>
      <c r="G32" s="134">
        <v>40676.720000000001</v>
      </c>
      <c r="H32" s="93">
        <f t="shared" si="1"/>
        <v>56288445</v>
      </c>
      <c r="I32" s="135"/>
      <c r="J32" s="255"/>
      <c r="K32" s="97"/>
    </row>
    <row r="33" spans="1:13" s="97" customFormat="1" ht="25.5" customHeight="1">
      <c r="A33" s="2011"/>
      <c r="B33" s="313" t="s">
        <v>1467</v>
      </c>
      <c r="C33" s="129" t="s">
        <v>1495</v>
      </c>
      <c r="D33" s="129">
        <v>45448</v>
      </c>
      <c r="E33" s="136">
        <v>45466</v>
      </c>
      <c r="F33" s="91">
        <f>VLOOKUP(E33,환율!$A$1798:$B$2033,2,)</f>
        <v>1383.8</v>
      </c>
      <c r="G33" s="134">
        <v>110200</v>
      </c>
      <c r="H33" s="93">
        <f t="shared" si="1"/>
        <v>152494760</v>
      </c>
      <c r="I33" s="135"/>
      <c r="J33" s="255"/>
    </row>
    <row r="34" spans="1:13" s="97" customFormat="1" ht="25.5" customHeight="1">
      <c r="A34" s="2011"/>
      <c r="B34" s="313" t="s">
        <v>1468</v>
      </c>
      <c r="C34" s="129" t="s">
        <v>1496</v>
      </c>
      <c r="D34" s="129">
        <v>45448</v>
      </c>
      <c r="E34" s="136">
        <v>45471</v>
      </c>
      <c r="F34" s="91">
        <f>VLOOKUP(E34,환율!$A$1798:$B$2033,2,)</f>
        <v>1389.2</v>
      </c>
      <c r="G34" s="134">
        <v>65490.879999999997</v>
      </c>
      <c r="H34" s="93">
        <f t="shared" si="1"/>
        <v>90979930</v>
      </c>
      <c r="I34" s="135"/>
      <c r="J34" s="255"/>
    </row>
    <row r="35" spans="1:13" s="97" customFormat="1" ht="25.5" customHeight="1">
      <c r="A35" s="2011"/>
      <c r="B35" s="313" t="s">
        <v>1469</v>
      </c>
      <c r="C35" s="129" t="s">
        <v>1497</v>
      </c>
      <c r="D35" s="129">
        <v>45457</v>
      </c>
      <c r="E35" s="136">
        <v>45471</v>
      </c>
      <c r="F35" s="91">
        <f>VLOOKUP(E35,환율!$A$1798:$B$2033,2,)</f>
        <v>1389.2</v>
      </c>
      <c r="G35" s="134">
        <v>93157.6</v>
      </c>
      <c r="H35" s="93">
        <f t="shared" si="1"/>
        <v>129414537</v>
      </c>
      <c r="I35" s="135"/>
      <c r="J35" s="255"/>
    </row>
    <row r="36" spans="1:13" s="97" customFormat="1" ht="25.5" customHeight="1">
      <c r="A36" s="2011"/>
      <c r="B36" s="330" t="s">
        <v>1470</v>
      </c>
      <c r="C36" s="137" t="s">
        <v>1498</v>
      </c>
      <c r="D36" s="137">
        <v>45457</v>
      </c>
      <c r="E36" s="125">
        <v>45477</v>
      </c>
      <c r="F36" s="102">
        <f>VLOOKUP(E36,환율!$A$1798:$B$2033,2,)</f>
        <v>1389.4</v>
      </c>
      <c r="G36" s="138">
        <v>69916</v>
      </c>
      <c r="H36" s="104">
        <f t="shared" si="1"/>
        <v>97141290</v>
      </c>
      <c r="I36" s="139"/>
      <c r="J36" s="258"/>
      <c r="L36" s="400"/>
    </row>
    <row r="37" spans="1:13" s="97" customFormat="1" ht="25.5" customHeight="1">
      <c r="A37" s="2011"/>
      <c r="B37" s="330" t="s">
        <v>1471</v>
      </c>
      <c r="C37" s="137" t="s">
        <v>1499</v>
      </c>
      <c r="D37" s="137">
        <v>45459</v>
      </c>
      <c r="E37" s="125">
        <v>45476</v>
      </c>
      <c r="F37" s="102">
        <f>VLOOKUP(E37,환율!$A$1798:$B$2033,2,)</f>
        <v>1387.4</v>
      </c>
      <c r="G37" s="138">
        <v>2282.4</v>
      </c>
      <c r="H37" s="104">
        <f t="shared" si="1"/>
        <v>3166601</v>
      </c>
      <c r="I37" s="139"/>
      <c r="J37" s="258"/>
      <c r="L37" s="400"/>
    </row>
    <row r="38" spans="1:13" s="97" customFormat="1" ht="25.5" customHeight="1">
      <c r="A38" s="2011"/>
      <c r="B38" s="330" t="s">
        <v>1472</v>
      </c>
      <c r="C38" s="137" t="s">
        <v>1500</v>
      </c>
      <c r="D38" s="137">
        <v>45467</v>
      </c>
      <c r="E38" s="351">
        <v>45479</v>
      </c>
      <c r="F38" s="102">
        <f>VLOOKUP(E38,환율!$A$1798:$B$2033,2,)</f>
        <v>1381.9</v>
      </c>
      <c r="G38" s="138">
        <v>94449.600000000006</v>
      </c>
      <c r="H38" s="104">
        <f t="shared" si="1"/>
        <v>130519902</v>
      </c>
      <c r="I38" s="139"/>
      <c r="J38" s="258"/>
    </row>
    <row r="39" spans="1:13" s="97" customFormat="1" ht="25.5" customHeight="1">
      <c r="A39" s="2011"/>
      <c r="B39" s="330" t="s">
        <v>1473</v>
      </c>
      <c r="C39" s="137" t="s">
        <v>1501</v>
      </c>
      <c r="D39" s="137">
        <v>45467</v>
      </c>
      <c r="E39" s="351">
        <v>45487</v>
      </c>
      <c r="F39" s="102">
        <f>VLOOKUP(E39,환율!$A$1798:$B$2033,2,)</f>
        <v>1380.1</v>
      </c>
      <c r="G39" s="138">
        <v>23607.71</v>
      </c>
      <c r="H39" s="104">
        <f t="shared" si="1"/>
        <v>32581000</v>
      </c>
      <c r="I39" s="139"/>
      <c r="J39" s="258"/>
    </row>
    <row r="40" spans="1:13" s="97" customFormat="1" ht="25.5" customHeight="1">
      <c r="A40" s="2011"/>
      <c r="B40" s="330" t="s">
        <v>1474</v>
      </c>
      <c r="C40" s="137" t="s">
        <v>1502</v>
      </c>
      <c r="D40" s="169">
        <v>45469</v>
      </c>
      <c r="E40" s="100">
        <v>45483</v>
      </c>
      <c r="F40" s="102">
        <f>VLOOKUP(E40,환율!$A$1798:$B$2033,2,)</f>
        <v>1383.4</v>
      </c>
      <c r="G40" s="138">
        <v>23025.52</v>
      </c>
      <c r="H40" s="104">
        <f t="shared" si="1"/>
        <v>31853504</v>
      </c>
      <c r="I40" s="139"/>
      <c r="J40" s="258"/>
      <c r="L40" s="403"/>
    </row>
    <row r="41" spans="1:13" s="97" customFormat="1" ht="25.5" customHeight="1">
      <c r="A41" s="259"/>
      <c r="B41" s="113"/>
      <c r="C41" s="113" t="s">
        <v>10</v>
      </c>
      <c r="D41" s="113"/>
      <c r="E41" s="113"/>
      <c r="F41" s="114"/>
      <c r="G41" s="127">
        <f>SUM(G29:G40)</f>
        <v>669967.92999999993</v>
      </c>
      <c r="H41" s="116">
        <f>SUM(H29:H40)</f>
        <v>927417766</v>
      </c>
      <c r="I41" s="116">
        <v>1251716894</v>
      </c>
      <c r="J41" s="260">
        <f>+H41-I41</f>
        <v>-324299128</v>
      </c>
    </row>
    <row r="42" spans="1:13" s="97" customFormat="1" ht="25.5" customHeight="1">
      <c r="A42" s="2010" t="s">
        <v>13</v>
      </c>
      <c r="B42" s="117" t="s">
        <v>1475</v>
      </c>
      <c r="C42" s="142" t="s">
        <v>1503</v>
      </c>
      <c r="D42" s="90">
        <v>45439</v>
      </c>
      <c r="E42" s="89">
        <v>45444</v>
      </c>
      <c r="F42" s="91">
        <f>VLOOKUP(E42,환율!$A$1798:$B$2033,2,)</f>
        <v>1376.5</v>
      </c>
      <c r="G42" s="92">
        <v>112025.52</v>
      </c>
      <c r="H42" s="93">
        <f t="shared" si="1"/>
        <v>154203128</v>
      </c>
      <c r="I42" s="142"/>
      <c r="J42" s="321"/>
    </row>
    <row r="43" spans="1:13" s="97" customFormat="1" ht="25.5" customHeight="1">
      <c r="A43" s="2011"/>
      <c r="B43" s="117" t="s">
        <v>1476</v>
      </c>
      <c r="C43" s="142" t="s">
        <v>1504</v>
      </c>
      <c r="D43" s="90">
        <v>45447</v>
      </c>
      <c r="E43" s="89">
        <v>45451</v>
      </c>
      <c r="F43" s="91">
        <f>VLOOKUP(E43,환율!$A$1798:$B$2033,2,)</f>
        <v>1371.5</v>
      </c>
      <c r="G43" s="92">
        <v>60685.2</v>
      </c>
      <c r="H43" s="93">
        <f t="shared" si="1"/>
        <v>83229751</v>
      </c>
      <c r="I43" s="142"/>
      <c r="J43" s="321"/>
    </row>
    <row r="44" spans="1:13" s="97" customFormat="1" ht="25.5" customHeight="1">
      <c r="A44" s="2011"/>
      <c r="B44" s="117" t="s">
        <v>1477</v>
      </c>
      <c r="C44" s="142" t="s">
        <v>1505</v>
      </c>
      <c r="D44" s="90">
        <v>45459</v>
      </c>
      <c r="E44" s="89">
        <v>45464</v>
      </c>
      <c r="F44" s="91">
        <f>VLOOKUP(E44,환율!$A$1798:$B$2033,2,)</f>
        <v>1383.8</v>
      </c>
      <c r="G44" s="92">
        <v>128835.89</v>
      </c>
      <c r="H44" s="93">
        <f t="shared" si="1"/>
        <v>178283104</v>
      </c>
      <c r="I44" s="142"/>
      <c r="J44" s="321"/>
    </row>
    <row r="45" spans="1:13" s="97" customFormat="1" ht="25.5" customHeight="1">
      <c r="A45" s="259"/>
      <c r="B45" s="113"/>
      <c r="C45" s="113" t="s">
        <v>10</v>
      </c>
      <c r="D45" s="113"/>
      <c r="E45" s="113"/>
      <c r="F45" s="114"/>
      <c r="G45" s="127">
        <f>SUM(G42:G44)</f>
        <v>301546.61</v>
      </c>
      <c r="H45" s="116">
        <f>SUM(H42:H44)</f>
        <v>415715983</v>
      </c>
      <c r="I45" s="116">
        <v>220322899</v>
      </c>
      <c r="J45" s="260">
        <f>+H45-I45</f>
        <v>195393084</v>
      </c>
      <c r="L45" s="403"/>
    </row>
    <row r="46" spans="1:13" s="97" customFormat="1" ht="25.5" customHeight="1">
      <c r="A46" s="261" t="s">
        <v>35</v>
      </c>
      <c r="B46" s="152" t="s">
        <v>1544</v>
      </c>
      <c r="C46" s="152" t="s">
        <v>1673</v>
      </c>
      <c r="D46" s="322">
        <v>45464</v>
      </c>
      <c r="E46" s="125">
        <v>45500</v>
      </c>
      <c r="F46" s="102">
        <v>1385.4</v>
      </c>
      <c r="G46" s="103">
        <f>H46/F46</f>
        <v>57694.71416197488</v>
      </c>
      <c r="H46" s="104">
        <v>79930257</v>
      </c>
      <c r="I46" s="224"/>
      <c r="J46" s="276"/>
      <c r="L46" s="387"/>
      <c r="M46" s="400"/>
    </row>
    <row r="47" spans="1:13" s="97" customFormat="1" ht="25.5" customHeight="1">
      <c r="A47" s="259"/>
      <c r="B47" s="113"/>
      <c r="C47" s="113" t="s">
        <v>10</v>
      </c>
      <c r="D47" s="113"/>
      <c r="E47" s="113"/>
      <c r="F47" s="114"/>
      <c r="G47" s="127">
        <f>SUM(G46:G46)</f>
        <v>57694.71416197488</v>
      </c>
      <c r="H47" s="116">
        <f>SUM(H46:H46)</f>
        <v>79930257</v>
      </c>
      <c r="I47" s="116">
        <v>27644528</v>
      </c>
      <c r="J47" s="260">
        <f>+H47-I47</f>
        <v>52285729</v>
      </c>
    </row>
    <row r="48" spans="1:13" s="97" customFormat="1" ht="25.5" customHeight="1">
      <c r="A48" s="362" t="s">
        <v>47</v>
      </c>
      <c r="B48" s="155" t="s">
        <v>1507</v>
      </c>
      <c r="C48" s="155" t="s">
        <v>1506</v>
      </c>
      <c r="D48" s="146">
        <v>45459</v>
      </c>
      <c r="E48" s="146">
        <v>45471</v>
      </c>
      <c r="F48" s="91">
        <f>VLOOKUP(E48,환율!$A$1798:$B$2033,2,)</f>
        <v>1389.2</v>
      </c>
      <c r="G48" s="118">
        <v>39476</v>
      </c>
      <c r="H48" s="93">
        <f t="shared" ref="H48" si="3">ROUNDDOWN(G48*F48,0)</f>
        <v>54840059</v>
      </c>
      <c r="I48" s="156"/>
      <c r="J48" s="263"/>
      <c r="L48" s="387"/>
    </row>
    <row r="49" spans="1:12" s="97" customFormat="1" ht="25.5" customHeight="1">
      <c r="A49" s="361"/>
      <c r="B49" s="113"/>
      <c r="C49" s="113" t="s">
        <v>10</v>
      </c>
      <c r="D49" s="113"/>
      <c r="E49" s="113"/>
      <c r="F49" s="113"/>
      <c r="G49" s="127">
        <f>SUM(G48:G48)</f>
        <v>39476</v>
      </c>
      <c r="H49" s="116">
        <f>SUM(H48:H48)</f>
        <v>54840059</v>
      </c>
      <c r="I49" s="116">
        <v>113368755</v>
      </c>
      <c r="J49" s="260">
        <f>+H49-I49</f>
        <v>-58528696</v>
      </c>
    </row>
    <row r="50" spans="1:12" s="97" customFormat="1" ht="25.5" customHeight="1">
      <c r="A50" s="350" t="s">
        <v>34</v>
      </c>
      <c r="B50" s="145" t="s">
        <v>1508</v>
      </c>
      <c r="C50" s="339" t="s">
        <v>1509</v>
      </c>
      <c r="D50" s="136">
        <v>45453</v>
      </c>
      <c r="E50" s="90">
        <v>45469</v>
      </c>
      <c r="F50" s="340">
        <f>VLOOKUP(E50,환율!$A$1798:$B$2033,2,)</f>
        <v>1386.4</v>
      </c>
      <c r="G50" s="341">
        <v>8427.4</v>
      </c>
      <c r="H50" s="342">
        <f t="shared" ref="H50" si="4">ROUNDDOWN(G50*F50,0)</f>
        <v>11683747</v>
      </c>
      <c r="I50" s="343"/>
      <c r="J50" s="344"/>
      <c r="L50" s="387"/>
    </row>
    <row r="51" spans="1:12" s="97" customFormat="1" ht="25.5" customHeight="1" thickBot="1">
      <c r="A51" s="265"/>
      <c r="B51" s="280"/>
      <c r="C51" s="280" t="s">
        <v>10</v>
      </c>
      <c r="D51" s="280"/>
      <c r="E51" s="280"/>
      <c r="F51" s="281"/>
      <c r="G51" s="268">
        <f>SUM(G50:G50)</f>
        <v>8427.4</v>
      </c>
      <c r="H51" s="269">
        <f>SUM(H50:H50)</f>
        <v>11683747</v>
      </c>
      <c r="I51" s="269">
        <v>19218694</v>
      </c>
      <c r="J51" s="270">
        <f>+H51-I51</f>
        <v>-7534947</v>
      </c>
    </row>
    <row r="52" spans="1:12" s="97" customFormat="1" ht="25.5" customHeight="1">
      <c r="A52" s="2018" t="s">
        <v>14</v>
      </c>
      <c r="B52" s="247" t="s">
        <v>1510</v>
      </c>
      <c r="C52" s="248" t="s">
        <v>1522</v>
      </c>
      <c r="D52" s="248">
        <v>45440</v>
      </c>
      <c r="E52" s="248">
        <v>45444</v>
      </c>
      <c r="F52" s="249">
        <f>VLOOKUP(E52,환율!$A$1798:$B$2033,2,)</f>
        <v>1376.5</v>
      </c>
      <c r="G52" s="250">
        <v>1833.82</v>
      </c>
      <c r="H52" s="251">
        <f t="shared" ref="H52:H67" si="5">ROUNDDOWN(G52*F52,0)</f>
        <v>2524253</v>
      </c>
      <c r="I52" s="252"/>
      <c r="J52" s="253"/>
    </row>
    <row r="53" spans="1:12" s="97" customFormat="1" ht="25.5" customHeight="1">
      <c r="A53" s="2011"/>
      <c r="B53" s="88" t="s">
        <v>1517</v>
      </c>
      <c r="C53" s="129" t="s">
        <v>1523</v>
      </c>
      <c r="D53" s="129">
        <v>45441</v>
      </c>
      <c r="E53" s="136">
        <v>45444</v>
      </c>
      <c r="F53" s="91">
        <f>VLOOKUP(E53,환율!$A$1798:$B$2033,2,)</f>
        <v>1376.5</v>
      </c>
      <c r="G53" s="92">
        <v>4638.88</v>
      </c>
      <c r="H53" s="93">
        <f t="shared" si="5"/>
        <v>6385418</v>
      </c>
      <c r="I53" s="165"/>
      <c r="J53" s="254"/>
    </row>
    <row r="54" spans="1:12" s="97" customFormat="1" ht="25.5" customHeight="1">
      <c r="A54" s="2011"/>
      <c r="B54" s="88" t="s">
        <v>1511</v>
      </c>
      <c r="C54" s="146" t="s">
        <v>1524</v>
      </c>
      <c r="D54" s="146">
        <v>45441</v>
      </c>
      <c r="E54" s="136">
        <v>45446</v>
      </c>
      <c r="F54" s="91">
        <f>VLOOKUP(E54,환율!$A$1798:$B$2033,2,)</f>
        <v>1381.6</v>
      </c>
      <c r="G54" s="118">
        <v>1651.08</v>
      </c>
      <c r="H54" s="93">
        <f t="shared" si="5"/>
        <v>2281132</v>
      </c>
      <c r="I54" s="147"/>
      <c r="J54" s="255"/>
    </row>
    <row r="55" spans="1:12" s="97" customFormat="1" ht="25.5" customHeight="1">
      <c r="A55" s="2011"/>
      <c r="B55" s="88" t="s">
        <v>1512</v>
      </c>
      <c r="C55" s="136" t="s">
        <v>1543</v>
      </c>
      <c r="D55" s="136">
        <v>45441</v>
      </c>
      <c r="E55" s="136">
        <v>45452</v>
      </c>
      <c r="F55" s="91">
        <f>VLOOKUP(E55,환율!$A$1798:$B$2033,2,)</f>
        <v>1371.5</v>
      </c>
      <c r="G55" s="92">
        <v>17638.2</v>
      </c>
      <c r="H55" s="93">
        <f t="shared" si="5"/>
        <v>24190791</v>
      </c>
      <c r="I55" s="167"/>
      <c r="J55" s="256"/>
    </row>
    <row r="56" spans="1:12" s="97" customFormat="1" ht="25.5" customHeight="1">
      <c r="A56" s="2011"/>
      <c r="B56" s="88" t="s">
        <v>1513</v>
      </c>
      <c r="C56" s="146" t="s">
        <v>1525</v>
      </c>
      <c r="D56" s="146">
        <v>45448</v>
      </c>
      <c r="E56" s="136">
        <v>45458</v>
      </c>
      <c r="F56" s="91">
        <f>VLOOKUP(E56,환율!$A$1798:$B$2033,2,)</f>
        <v>1371</v>
      </c>
      <c r="G56" s="92">
        <v>553.46</v>
      </c>
      <c r="H56" s="93">
        <f t="shared" si="5"/>
        <v>758793</v>
      </c>
      <c r="I56" s="168"/>
      <c r="J56" s="256"/>
    </row>
    <row r="57" spans="1:12" s="97" customFormat="1" ht="25.5" customHeight="1">
      <c r="A57" s="2011"/>
      <c r="B57" s="88" t="s">
        <v>1514</v>
      </c>
      <c r="C57" s="146" t="s">
        <v>1526</v>
      </c>
      <c r="D57" s="146">
        <v>45434</v>
      </c>
      <c r="E57" s="136">
        <v>45450</v>
      </c>
      <c r="F57" s="91">
        <f>VLOOKUP(E57,환율!$A$1798:$B$2033,2,)</f>
        <v>1371.5</v>
      </c>
      <c r="G57" s="118">
        <v>2562</v>
      </c>
      <c r="H57" s="93">
        <f t="shared" si="5"/>
        <v>3513783</v>
      </c>
      <c r="I57" s="147"/>
      <c r="J57" s="255"/>
    </row>
    <row r="58" spans="1:12" s="97" customFormat="1" ht="25.5" customHeight="1">
      <c r="A58" s="2011"/>
      <c r="B58" s="88" t="s">
        <v>1515</v>
      </c>
      <c r="C58" s="146" t="s">
        <v>1527</v>
      </c>
      <c r="D58" s="146">
        <v>45449</v>
      </c>
      <c r="E58" s="136">
        <v>45464</v>
      </c>
      <c r="F58" s="91">
        <f>VLOOKUP(E58,환율!$A$1798:$B$2033,2,)</f>
        <v>1383.8</v>
      </c>
      <c r="G58" s="92">
        <v>1150.79</v>
      </c>
      <c r="H58" s="93">
        <f t="shared" si="5"/>
        <v>1592463</v>
      </c>
      <c r="I58" s="168"/>
      <c r="J58" s="256"/>
    </row>
    <row r="59" spans="1:12" s="97" customFormat="1" ht="25.5" customHeight="1">
      <c r="A59" s="2011"/>
      <c r="B59" s="88" t="s">
        <v>1516</v>
      </c>
      <c r="C59" s="146" t="s">
        <v>1528</v>
      </c>
      <c r="D59" s="146">
        <v>45442</v>
      </c>
      <c r="E59" s="136">
        <v>45466</v>
      </c>
      <c r="F59" s="91">
        <f>VLOOKUP(E59,환율!$A$1798:$B$2033,2,)</f>
        <v>1383.8</v>
      </c>
      <c r="G59" s="92">
        <v>14924.78</v>
      </c>
      <c r="H59" s="93">
        <f t="shared" si="5"/>
        <v>20652910</v>
      </c>
      <c r="I59" s="168"/>
      <c r="J59" s="256"/>
    </row>
    <row r="60" spans="1:12" s="97" customFormat="1" ht="25.5" customHeight="1">
      <c r="A60" s="2011"/>
      <c r="B60" s="88" t="s">
        <v>1518</v>
      </c>
      <c r="C60" s="146" t="s">
        <v>1529</v>
      </c>
      <c r="D60" s="146">
        <v>45457</v>
      </c>
      <c r="E60" s="136">
        <v>45457</v>
      </c>
      <c r="F60" s="91">
        <f>VLOOKUP(E60,환율!$A$1798:$B$2033,2,)</f>
        <v>1371</v>
      </c>
      <c r="G60" s="92">
        <v>3268.2</v>
      </c>
      <c r="H60" s="93">
        <f t="shared" si="5"/>
        <v>4480702</v>
      </c>
      <c r="I60" s="168"/>
      <c r="J60" s="256"/>
    </row>
    <row r="61" spans="1:12" s="97" customFormat="1" ht="25.5" customHeight="1">
      <c r="A61" s="2011"/>
      <c r="B61" s="88" t="s">
        <v>1519</v>
      </c>
      <c r="C61" s="146" t="s">
        <v>1530</v>
      </c>
      <c r="D61" s="146">
        <v>45460</v>
      </c>
      <c r="E61" s="136">
        <v>45464</v>
      </c>
      <c r="F61" s="91">
        <f>VLOOKUP(E61,환율!$A$1798:$B$2033,2,)</f>
        <v>1383.8</v>
      </c>
      <c r="G61" s="92">
        <v>2562</v>
      </c>
      <c r="H61" s="93">
        <f t="shared" si="5"/>
        <v>3545295</v>
      </c>
      <c r="I61" s="168"/>
      <c r="J61" s="256"/>
    </row>
    <row r="62" spans="1:12" s="97" customFormat="1" ht="25.5" customHeight="1">
      <c r="A62" s="2011"/>
      <c r="B62" s="88" t="s">
        <v>1521</v>
      </c>
      <c r="C62" s="146" t="s">
        <v>1532</v>
      </c>
      <c r="D62" s="146">
        <v>45436</v>
      </c>
      <c r="E62" s="136">
        <v>45468</v>
      </c>
      <c r="F62" s="91">
        <f>VLOOKUP(E62,환율!$A$1798:$B$2033,2,)</f>
        <v>1389.7</v>
      </c>
      <c r="G62" s="118">
        <v>2938.3</v>
      </c>
      <c r="H62" s="93">
        <f t="shared" ref="H62" si="6">ROUNDDOWN(G62*F62,0)</f>
        <v>4083355</v>
      </c>
      <c r="I62" s="168"/>
      <c r="J62" s="256"/>
    </row>
    <row r="63" spans="1:12" s="97" customFormat="1" ht="25.5" customHeight="1">
      <c r="A63" s="2011"/>
      <c r="B63" s="99" t="s">
        <v>1520</v>
      </c>
      <c r="C63" s="169" t="s">
        <v>1531</v>
      </c>
      <c r="D63" s="169">
        <v>45467</v>
      </c>
      <c r="E63" s="101">
        <v>45476</v>
      </c>
      <c r="F63" s="102">
        <f>VLOOKUP(E63,환율!$A$1798:$B$2033,2,)</f>
        <v>1387.4</v>
      </c>
      <c r="G63" s="122">
        <v>3843</v>
      </c>
      <c r="H63" s="104">
        <f t="shared" si="5"/>
        <v>5331778</v>
      </c>
      <c r="I63" s="170"/>
      <c r="J63" s="257"/>
      <c r="L63" s="387"/>
    </row>
    <row r="64" spans="1:12" s="97" customFormat="1" ht="25.5" customHeight="1">
      <c r="A64" s="259"/>
      <c r="B64" s="113"/>
      <c r="C64" s="172"/>
      <c r="D64" s="172"/>
      <c r="E64" s="113"/>
      <c r="F64" s="114"/>
      <c r="G64" s="127">
        <f>SUM(G52:G63)</f>
        <v>57564.51</v>
      </c>
      <c r="H64" s="116">
        <f>SUM(H52:H63)</f>
        <v>79340673</v>
      </c>
      <c r="I64" s="116">
        <v>70758144</v>
      </c>
      <c r="J64" s="260">
        <f>+H64-I64</f>
        <v>8582529</v>
      </c>
    </row>
    <row r="65" spans="1:12" s="97" customFormat="1" ht="25.5" customHeight="1">
      <c r="A65" s="2010" t="s">
        <v>15</v>
      </c>
      <c r="B65" s="173" t="s">
        <v>1533</v>
      </c>
      <c r="C65" s="173" t="s">
        <v>1536</v>
      </c>
      <c r="D65" s="223">
        <v>45455</v>
      </c>
      <c r="E65" s="223">
        <v>45458</v>
      </c>
      <c r="F65" s="91">
        <f>VLOOKUP(E65,환율!$A$1798:$B$2033,2,)</f>
        <v>1371</v>
      </c>
      <c r="G65" s="92">
        <v>24831.66</v>
      </c>
      <c r="H65" s="93">
        <f t="shared" si="5"/>
        <v>34044205</v>
      </c>
      <c r="I65" s="173"/>
      <c r="J65" s="262"/>
    </row>
    <row r="66" spans="1:12" s="97" customFormat="1" ht="25.5" customHeight="1">
      <c r="A66" s="2011"/>
      <c r="B66" s="173" t="s">
        <v>1534</v>
      </c>
      <c r="C66" s="173" t="s">
        <v>1537</v>
      </c>
      <c r="D66" s="288">
        <v>45462</v>
      </c>
      <c r="E66" s="288">
        <v>45465</v>
      </c>
      <c r="F66" s="91">
        <f>VLOOKUP(E66,환율!$A$1798:$B$2033,2,)</f>
        <v>1383.8</v>
      </c>
      <c r="G66" s="92">
        <v>17736.900000000001</v>
      </c>
      <c r="H66" s="93">
        <f t="shared" si="5"/>
        <v>24544322</v>
      </c>
      <c r="I66" s="173"/>
      <c r="J66" s="262"/>
    </row>
    <row r="67" spans="1:12" s="97" customFormat="1" ht="25.5" customHeight="1">
      <c r="A67" s="2011"/>
      <c r="B67" s="173" t="s">
        <v>1535</v>
      </c>
      <c r="C67" s="173" t="s">
        <v>1538</v>
      </c>
      <c r="D67" s="288">
        <v>45469</v>
      </c>
      <c r="E67" s="368">
        <v>45471</v>
      </c>
      <c r="F67" s="91">
        <f>VLOOKUP(E67,환율!$A$1798:$B$2033,2,)</f>
        <v>1389.2</v>
      </c>
      <c r="G67" s="92">
        <v>14189.52</v>
      </c>
      <c r="H67" s="93">
        <f t="shared" si="5"/>
        <v>19712081</v>
      </c>
      <c r="I67" s="173"/>
      <c r="J67" s="262"/>
      <c r="L67" s="387"/>
    </row>
    <row r="68" spans="1:12" s="97" customFormat="1" ht="25.5" customHeight="1">
      <c r="A68" s="259"/>
      <c r="B68" s="113"/>
      <c r="C68" s="172"/>
      <c r="D68" s="172"/>
      <c r="E68" s="113"/>
      <c r="F68" s="114"/>
      <c r="G68" s="127">
        <f>SUM(G65:G67)</f>
        <v>56758.080000000002</v>
      </c>
      <c r="H68" s="116">
        <f>SUM(H65:H67)</f>
        <v>78300608</v>
      </c>
      <c r="I68" s="116">
        <v>75294913</v>
      </c>
      <c r="J68" s="260">
        <f>+H68-I68</f>
        <v>3005695</v>
      </c>
    </row>
    <row r="69" spans="1:12" s="97" customFormat="1" ht="25.5" customHeight="1">
      <c r="A69" s="2010" t="s">
        <v>726</v>
      </c>
      <c r="B69" s="146" t="s">
        <v>1545</v>
      </c>
      <c r="C69" s="146" t="s">
        <v>1546</v>
      </c>
      <c r="D69" s="136"/>
      <c r="E69" s="136">
        <v>45452</v>
      </c>
      <c r="F69" s="176">
        <v>8.8154000000000003</v>
      </c>
      <c r="G69" s="177">
        <v>10443458</v>
      </c>
      <c r="H69" s="93">
        <f t="shared" ref="H69:H78" si="7">ROUNDDOWN(G69*F69,0)</f>
        <v>92063259</v>
      </c>
      <c r="I69" s="156"/>
      <c r="J69" s="263"/>
    </row>
    <row r="70" spans="1:12" s="97" customFormat="1" ht="25.5" customHeight="1">
      <c r="A70" s="2011"/>
      <c r="B70" s="146" t="s">
        <v>1547</v>
      </c>
      <c r="C70" s="146" t="s">
        <v>1549</v>
      </c>
      <c r="D70" s="136"/>
      <c r="E70" s="136">
        <v>45458</v>
      </c>
      <c r="F70" s="176">
        <v>8.7257999999999996</v>
      </c>
      <c r="G70" s="177">
        <v>7769352</v>
      </c>
      <c r="H70" s="93">
        <f t="shared" si="7"/>
        <v>67793811</v>
      </c>
      <c r="I70" s="156"/>
      <c r="J70" s="263"/>
    </row>
    <row r="71" spans="1:12" s="97" customFormat="1" ht="25.5" customHeight="1">
      <c r="A71" s="2011"/>
      <c r="B71" s="146" t="s">
        <v>1548</v>
      </c>
      <c r="C71" s="146" t="s">
        <v>1550</v>
      </c>
      <c r="D71" s="136"/>
      <c r="E71" s="136">
        <v>45469</v>
      </c>
      <c r="F71" s="176">
        <v>8.6826000000000008</v>
      </c>
      <c r="G71" s="177">
        <v>16310840</v>
      </c>
      <c r="H71" s="93">
        <f t="shared" si="7"/>
        <v>141620499</v>
      </c>
      <c r="I71" s="156"/>
      <c r="J71" s="263"/>
    </row>
    <row r="72" spans="1:12" s="97" customFormat="1" ht="25.5" customHeight="1">
      <c r="A72" s="2011"/>
      <c r="B72" s="178" t="s">
        <v>1551</v>
      </c>
      <c r="C72" s="178"/>
      <c r="D72" s="179"/>
      <c r="E72" s="179">
        <v>45469</v>
      </c>
      <c r="F72" s="180">
        <v>8.6826000000000008</v>
      </c>
      <c r="G72" s="181">
        <v>470000</v>
      </c>
      <c r="H72" s="111">
        <f t="shared" si="7"/>
        <v>4080822</v>
      </c>
      <c r="I72" s="182"/>
      <c r="J72" s="283"/>
    </row>
    <row r="73" spans="1:12" s="97" customFormat="1" ht="25.5" customHeight="1">
      <c r="A73" s="2011"/>
      <c r="B73" s="178" t="s">
        <v>1552</v>
      </c>
      <c r="C73" s="178"/>
      <c r="D73" s="179"/>
      <c r="E73" s="179">
        <v>45469</v>
      </c>
      <c r="F73" s="180">
        <v>8.6826000000000008</v>
      </c>
      <c r="G73" s="181">
        <v>481000</v>
      </c>
      <c r="H73" s="111">
        <f t="shared" si="7"/>
        <v>4176330</v>
      </c>
      <c r="I73" s="182"/>
      <c r="J73" s="283"/>
    </row>
    <row r="74" spans="1:12" s="97" customFormat="1" ht="25.5" customHeight="1">
      <c r="A74" s="2011"/>
      <c r="B74" s="178" t="s">
        <v>1553</v>
      </c>
      <c r="C74" s="178"/>
      <c r="D74" s="179"/>
      <c r="E74" s="179">
        <v>45469</v>
      </c>
      <c r="F74" s="180">
        <v>8.6826000000000008</v>
      </c>
      <c r="G74" s="181">
        <v>463000</v>
      </c>
      <c r="H74" s="111">
        <f t="shared" si="7"/>
        <v>4020043</v>
      </c>
      <c r="I74" s="182"/>
      <c r="J74" s="283"/>
    </row>
    <row r="75" spans="1:12" s="97" customFormat="1" ht="25.5" customHeight="1">
      <c r="A75" s="2011"/>
      <c r="B75" s="178" t="s">
        <v>1554</v>
      </c>
      <c r="C75" s="178"/>
      <c r="D75" s="179"/>
      <c r="E75" s="179">
        <v>45469</v>
      </c>
      <c r="F75" s="180">
        <v>8.6826000000000008</v>
      </c>
      <c r="G75" s="181">
        <v>168000</v>
      </c>
      <c r="H75" s="111">
        <f t="shared" si="7"/>
        <v>1458676</v>
      </c>
      <c r="I75" s="182"/>
      <c r="J75" s="283"/>
    </row>
    <row r="76" spans="1:12" s="97" customFormat="1" ht="25.5" customHeight="1">
      <c r="A76" s="2011"/>
      <c r="B76" s="169" t="s">
        <v>1555</v>
      </c>
      <c r="C76" s="169" t="s">
        <v>1558</v>
      </c>
      <c r="D76" s="125"/>
      <c r="E76" s="125">
        <v>45476</v>
      </c>
      <c r="F76" s="183">
        <v>8.5942000000000007</v>
      </c>
      <c r="G76" s="184">
        <v>8199011</v>
      </c>
      <c r="H76" s="104">
        <f t="shared" si="7"/>
        <v>70463940</v>
      </c>
      <c r="I76" s="185"/>
      <c r="J76" s="277"/>
    </row>
    <row r="77" spans="1:12" s="97" customFormat="1" ht="25.5" customHeight="1">
      <c r="A77" s="2011"/>
      <c r="B77" s="169" t="s">
        <v>1556</v>
      </c>
      <c r="C77" s="169" t="s">
        <v>1559</v>
      </c>
      <c r="D77" s="125"/>
      <c r="E77" s="125">
        <v>45476</v>
      </c>
      <c r="F77" s="183">
        <v>8.5942000000000007</v>
      </c>
      <c r="G77" s="184">
        <v>6383548</v>
      </c>
      <c r="H77" s="104">
        <f t="shared" si="7"/>
        <v>54861488</v>
      </c>
      <c r="I77" s="185"/>
      <c r="J77" s="277"/>
      <c r="L77" s="403"/>
    </row>
    <row r="78" spans="1:12" s="97" customFormat="1" ht="25.5" customHeight="1">
      <c r="A78" s="2019"/>
      <c r="B78" s="169" t="s">
        <v>1557</v>
      </c>
      <c r="C78" s="169" t="s">
        <v>1560</v>
      </c>
      <c r="D78" s="125"/>
      <c r="E78" s="125">
        <v>45476</v>
      </c>
      <c r="F78" s="183">
        <v>8.5942000000000007</v>
      </c>
      <c r="G78" s="184">
        <v>10718784</v>
      </c>
      <c r="H78" s="104">
        <f t="shared" si="7"/>
        <v>92119373</v>
      </c>
      <c r="I78" s="185"/>
      <c r="J78" s="277"/>
      <c r="L78" s="388"/>
    </row>
    <row r="79" spans="1:12" s="97" customFormat="1" ht="25.5" customHeight="1" thickBot="1">
      <c r="A79" s="265"/>
      <c r="B79" s="266"/>
      <c r="C79" s="266" t="s">
        <v>10</v>
      </c>
      <c r="D79" s="266"/>
      <c r="E79" s="266"/>
      <c r="F79" s="267"/>
      <c r="G79" s="338">
        <f>SUM(G69:G78)</f>
        <v>61406993</v>
      </c>
      <c r="H79" s="269">
        <f>SUM(H69:H78)</f>
        <v>532658241</v>
      </c>
      <c r="I79" s="269">
        <v>777280509</v>
      </c>
      <c r="J79" s="270">
        <f>+H79-I79</f>
        <v>-244622268</v>
      </c>
    </row>
    <row r="80" spans="1:12" s="310" customFormat="1" ht="25.5" customHeight="1">
      <c r="A80" s="2038" t="s">
        <v>992</v>
      </c>
      <c r="B80" s="332" t="s">
        <v>1408</v>
      </c>
      <c r="C80" s="303"/>
      <c r="D80" s="303"/>
      <c r="E80" s="303">
        <v>45455</v>
      </c>
      <c r="F80" s="91">
        <f>VLOOKUP(E80,환율!$A$1798:$B$2033,2,)</f>
        <v>1377.4</v>
      </c>
      <c r="G80" s="334">
        <f>H80/F80</f>
        <v>17191.113692464063</v>
      </c>
      <c r="H80" s="335">
        <v>23679040</v>
      </c>
      <c r="I80" s="336"/>
      <c r="J80" s="337"/>
      <c r="K80" s="97"/>
      <c r="L80" s="190"/>
    </row>
    <row r="81" spans="1:12" s="310" customFormat="1" ht="25.5" customHeight="1">
      <c r="A81" s="2040"/>
      <c r="B81" s="332" t="s">
        <v>1409</v>
      </c>
      <c r="C81" s="303"/>
      <c r="D81" s="303"/>
      <c r="E81" s="303">
        <v>45448</v>
      </c>
      <c r="F81" s="91">
        <f>VLOOKUP(E81,환율!$A$1798:$B$2033,2,)</f>
        <v>1373.1</v>
      </c>
      <c r="G81" s="334">
        <f>H81/F81</f>
        <v>17244.949384604181</v>
      </c>
      <c r="H81" s="335">
        <v>23679040</v>
      </c>
      <c r="I81" s="336"/>
      <c r="J81" s="337"/>
      <c r="K81" s="97"/>
      <c r="L81" s="190"/>
    </row>
    <row r="82" spans="1:12" s="310" customFormat="1" ht="25.5" customHeight="1">
      <c r="A82" s="2039"/>
      <c r="B82" s="369" t="s">
        <v>1564</v>
      </c>
      <c r="C82" s="370"/>
      <c r="D82" s="370"/>
      <c r="E82" s="370">
        <v>45474</v>
      </c>
      <c r="F82" s="371">
        <f>VLOOKUP(E82,환율!$A$1798:$B$2033,2,)</f>
        <v>1382.4</v>
      </c>
      <c r="G82" s="372">
        <f>H82/F82</f>
        <v>17128.935185185182</v>
      </c>
      <c r="H82" s="373">
        <v>23679040</v>
      </c>
      <c r="I82" s="374"/>
      <c r="J82" s="375"/>
      <c r="K82" s="97"/>
      <c r="L82" s="190"/>
    </row>
    <row r="83" spans="1:12" s="97" customFormat="1" ht="25.5" customHeight="1" thickBot="1">
      <c r="A83" s="265"/>
      <c r="B83" s="266"/>
      <c r="C83" s="266" t="s">
        <v>10</v>
      </c>
      <c r="D83" s="266"/>
      <c r="E83" s="266"/>
      <c r="F83" s="267"/>
      <c r="G83" s="268">
        <f>SUM(G80:G81)</f>
        <v>34436.063077068247</v>
      </c>
      <c r="H83" s="269">
        <f>SUM(H80:H81)</f>
        <v>47358080</v>
      </c>
      <c r="I83" s="269">
        <v>21526400</v>
      </c>
      <c r="J83" s="270">
        <f>+H83-I83</f>
        <v>25831680</v>
      </c>
      <c r="L83" s="403"/>
    </row>
    <row r="84" spans="1:12" s="97" customFormat="1" ht="23.25" customHeight="1" thickBot="1">
      <c r="A84" s="2029" t="s">
        <v>1176</v>
      </c>
      <c r="B84" s="2030"/>
      <c r="C84" s="2030"/>
      <c r="D84" s="2030"/>
      <c r="E84" s="2031"/>
      <c r="F84" s="1997" t="s">
        <v>31</v>
      </c>
      <c r="G84" s="232" t="s">
        <v>17</v>
      </c>
      <c r="H84" s="210">
        <f>+H86-H85</f>
        <v>4115844904</v>
      </c>
      <c r="I84" s="210">
        <v>4586211749</v>
      </c>
      <c r="J84" s="219">
        <f>+H84-I84</f>
        <v>-470366845</v>
      </c>
    </row>
    <row r="85" spans="1:12" s="97" customFormat="1" ht="23.25" customHeight="1">
      <c r="A85" s="239" t="s">
        <v>20</v>
      </c>
      <c r="B85" s="195" t="s">
        <v>21</v>
      </c>
      <c r="C85" s="196" t="s">
        <v>20</v>
      </c>
      <c r="D85" s="314"/>
      <c r="E85" s="197" t="s">
        <v>21</v>
      </c>
      <c r="F85" s="1997"/>
      <c r="G85" s="198" t="s">
        <v>18</v>
      </c>
      <c r="H85" s="199">
        <f>SUM(H72:H75)</f>
        <v>13735871</v>
      </c>
      <c r="I85" s="199">
        <v>13730903</v>
      </c>
      <c r="J85" s="201">
        <f>+H85-I85</f>
        <v>4968</v>
      </c>
    </row>
    <row r="86" spans="1:12" s="97" customFormat="1" ht="23.25" customHeight="1" thickBot="1">
      <c r="A86" s="240" t="s">
        <v>9</v>
      </c>
      <c r="B86" s="199">
        <f>SUM(H15)</f>
        <v>377173075</v>
      </c>
      <c r="C86" s="200" t="s">
        <v>721</v>
      </c>
      <c r="D86" s="315"/>
      <c r="E86" s="201">
        <v>0</v>
      </c>
      <c r="F86" s="1998"/>
      <c r="G86" s="202" t="s">
        <v>19</v>
      </c>
      <c r="H86" s="203">
        <f>SUM(H16,H28,H41,H45,H47,H49,H51,H64,H68,H79,H83)</f>
        <v>4129580775</v>
      </c>
      <c r="I86" s="203">
        <v>4599942652</v>
      </c>
      <c r="J86" s="233">
        <f>+H86-I86</f>
        <v>-470361877</v>
      </c>
    </row>
    <row r="87" spans="1:12" s="97" customFormat="1" ht="23.25" customHeight="1">
      <c r="A87" s="240" t="s">
        <v>11</v>
      </c>
      <c r="B87" s="199">
        <f>SUM(H26:H27)</f>
        <v>156073453</v>
      </c>
      <c r="C87" s="200" t="s">
        <v>722</v>
      </c>
      <c r="D87" s="315"/>
      <c r="E87" s="201">
        <v>0</v>
      </c>
      <c r="F87" s="296" t="s">
        <v>20</v>
      </c>
      <c r="G87" s="297" t="s">
        <v>1561</v>
      </c>
      <c r="H87" s="298" t="s">
        <v>1562</v>
      </c>
      <c r="I87" s="298" t="s">
        <v>1563</v>
      </c>
      <c r="J87" s="234" t="s">
        <v>32</v>
      </c>
      <c r="K87" s="364"/>
    </row>
    <row r="88" spans="1:12" s="97" customFormat="1" ht="23.25" customHeight="1">
      <c r="A88" s="241" t="s">
        <v>114</v>
      </c>
      <c r="B88" s="199">
        <f>SUM(H36:H40)</f>
        <v>295262297</v>
      </c>
      <c r="C88" s="293" t="s">
        <v>14</v>
      </c>
      <c r="D88" s="316"/>
      <c r="E88" s="294">
        <f>SUM(H63)</f>
        <v>5331778</v>
      </c>
      <c r="F88" s="211" t="s">
        <v>22</v>
      </c>
      <c r="G88" s="199">
        <v>267789574</v>
      </c>
      <c r="H88" s="199">
        <f>SUM(H69:H75)</f>
        <v>315213440</v>
      </c>
      <c r="I88" s="199">
        <f>SUM(H76:H78)</f>
        <v>217444801</v>
      </c>
      <c r="J88" s="201">
        <f>SUM(G88:H88)</f>
        <v>583003014</v>
      </c>
      <c r="K88" s="364"/>
    </row>
    <row r="89" spans="1:12" s="97" customFormat="1" ht="23.25" customHeight="1">
      <c r="A89" s="241" t="s">
        <v>153</v>
      </c>
      <c r="B89" s="199">
        <v>0</v>
      </c>
      <c r="C89" s="293" t="s">
        <v>15</v>
      </c>
      <c r="D89" s="317"/>
      <c r="E89" s="295">
        <v>0</v>
      </c>
      <c r="F89" s="211" t="s">
        <v>23</v>
      </c>
      <c r="G89" s="199">
        <f>830436022+310410</f>
        <v>830746432</v>
      </c>
      <c r="H89" s="199">
        <f>SUM(H17:H25,H29:H35,H42:H44,H50)</f>
        <v>1343721287</v>
      </c>
      <c r="I89" s="199">
        <f>SUM(H46,H36:H40,H26:H27)</f>
        <v>531266007</v>
      </c>
      <c r="J89" s="201">
        <f>SUM(G89:H89)</f>
        <v>2174467719</v>
      </c>
      <c r="K89" s="366"/>
      <c r="L89" s="377"/>
    </row>
    <row r="90" spans="1:12" s="126" customFormat="1" ht="23.25" customHeight="1">
      <c r="A90" s="241" t="s">
        <v>719</v>
      </c>
      <c r="B90" s="199">
        <v>0</v>
      </c>
      <c r="C90" s="293" t="s">
        <v>53</v>
      </c>
      <c r="D90" s="316"/>
      <c r="E90" s="294">
        <v>0</v>
      </c>
      <c r="F90" s="211" t="s">
        <v>24</v>
      </c>
      <c r="G90" s="199">
        <f>1125421848-3580200</f>
        <v>1121841648</v>
      </c>
      <c r="H90" s="199">
        <f>SUM(H13:H14)</f>
        <v>1084922745</v>
      </c>
      <c r="I90" s="199">
        <f>SUM(H15)</f>
        <v>377173075</v>
      </c>
      <c r="J90" s="201">
        <f>SUM(G90:H90)</f>
        <v>2206764393</v>
      </c>
      <c r="K90" s="366"/>
      <c r="L90" s="205"/>
    </row>
    <row r="91" spans="1:12" s="126" customFormat="1" ht="23.25" customHeight="1">
      <c r="A91" s="241" t="s">
        <v>35</v>
      </c>
      <c r="B91" s="199">
        <f>SUM(H46)</f>
        <v>79930257</v>
      </c>
      <c r="C91" s="200" t="s">
        <v>252</v>
      </c>
      <c r="D91" s="216"/>
      <c r="E91" s="219">
        <f>SUM(H76:H78)</f>
        <v>217444801</v>
      </c>
      <c r="F91" s="211" t="s">
        <v>723</v>
      </c>
      <c r="G91" s="199">
        <v>78536438</v>
      </c>
      <c r="H91" s="199">
        <f>SUM(H65:H67,H52:H62,H48)</f>
        <v>207149562</v>
      </c>
      <c r="I91" s="199">
        <f>SUM(H63)</f>
        <v>5331778</v>
      </c>
      <c r="J91" s="201">
        <f>SUM(G91:H91)</f>
        <v>285686000</v>
      </c>
      <c r="K91" s="364"/>
    </row>
    <row r="92" spans="1:12" s="126" customFormat="1" ht="23.25" customHeight="1" thickBot="1">
      <c r="A92" s="215" t="s">
        <v>724</v>
      </c>
      <c r="B92" s="213">
        <f>H82</f>
        <v>23679040</v>
      </c>
      <c r="C92" s="214"/>
      <c r="D92" s="318"/>
      <c r="E92" s="242"/>
      <c r="F92" s="299" t="s">
        <v>1177</v>
      </c>
      <c r="G92" s="311"/>
      <c r="H92" s="311">
        <f>H83</f>
        <v>47358080</v>
      </c>
      <c r="I92" s="311"/>
      <c r="J92" s="312">
        <f>SUM(G92:H92)</f>
        <v>47358080</v>
      </c>
      <c r="K92" s="364"/>
    </row>
    <row r="93" spans="1:12" s="126" customFormat="1" ht="23.25" customHeight="1" thickTop="1" thickBot="1">
      <c r="A93" s="243"/>
      <c r="B93" s="244" t="s">
        <v>49</v>
      </c>
      <c r="C93" s="245"/>
      <c r="D93" s="244"/>
      <c r="E93" s="246">
        <f>SUM(B86:B92,E86:E92)</f>
        <v>1154894701</v>
      </c>
      <c r="F93" s="236" t="s">
        <v>16</v>
      </c>
      <c r="G93" s="237">
        <v>2302183882</v>
      </c>
      <c r="H93" s="237">
        <f>SUM(H88:H92)</f>
        <v>2998365114</v>
      </c>
      <c r="I93" s="237">
        <f>SUM(I88:I92)</f>
        <v>1131215661</v>
      </c>
      <c r="J93" s="238">
        <f>+G93+H93</f>
        <v>5300548996</v>
      </c>
      <c r="K93" s="364"/>
    </row>
    <row r="94" spans="1:12" s="19" customFormat="1">
      <c r="A94"/>
      <c r="B94"/>
      <c r="C94"/>
      <c r="D94"/>
      <c r="E94"/>
      <c r="F94"/>
      <c r="G94" s="47"/>
      <c r="H94"/>
      <c r="I94"/>
      <c r="J94"/>
      <c r="K94" s="24"/>
      <c r="L94" s="40"/>
    </row>
    <row r="95" spans="1:12" ht="19.2">
      <c r="B95" s="291"/>
      <c r="C95" s="290"/>
      <c r="D95" s="290"/>
      <c r="E95" s="26"/>
      <c r="F95" s="292"/>
      <c r="H95" s="26"/>
    </row>
    <row r="96" spans="1:12" ht="19.2">
      <c r="C96" s="290"/>
      <c r="D96" s="290"/>
      <c r="E96" s="26"/>
      <c r="F96" s="292"/>
      <c r="H96" s="26"/>
    </row>
    <row r="97" spans="3:10" ht="19.2">
      <c r="C97" s="290"/>
      <c r="D97" s="290"/>
      <c r="E97" s="26"/>
      <c r="F97" s="292"/>
      <c r="H97" s="26"/>
      <c r="J97" s="26"/>
    </row>
    <row r="98" spans="3:10" ht="19.2">
      <c r="C98" s="290"/>
      <c r="D98" s="290"/>
      <c r="E98" s="26"/>
      <c r="F98" s="292"/>
      <c r="H98" s="26"/>
    </row>
    <row r="99" spans="3:10" ht="19.2">
      <c r="C99" s="290"/>
      <c r="D99" s="290"/>
      <c r="F99" s="13"/>
      <c r="H99" s="26"/>
    </row>
    <row r="100" spans="3:10">
      <c r="F100" s="13"/>
    </row>
  </sheetData>
  <autoFilter ref="A11:F93" xr:uid="{00000000-0009-0000-0000-000049000000}"/>
  <mergeCells count="18">
    <mergeCell ref="A6:G10"/>
    <mergeCell ref="A11:A12"/>
    <mergeCell ref="B11:B12"/>
    <mergeCell ref="C11:C12"/>
    <mergeCell ref="D11:D12"/>
    <mergeCell ref="E11:E12"/>
    <mergeCell ref="F11:F12"/>
    <mergeCell ref="G11:J11"/>
    <mergeCell ref="F84:F86"/>
    <mergeCell ref="A13:A15"/>
    <mergeCell ref="A17:A27"/>
    <mergeCell ref="A29:A40"/>
    <mergeCell ref="A42:A44"/>
    <mergeCell ref="A69:A78"/>
    <mergeCell ref="A52:A63"/>
    <mergeCell ref="A65:A67"/>
    <mergeCell ref="A84:E84"/>
    <mergeCell ref="A80:A82"/>
  </mergeCells>
  <phoneticPr fontId="2" type="noConversion"/>
  <conditionalFormatting sqref="A21:A24 C22:D24">
    <cfRule type="expression" dxfId="1547" priority="60">
      <formula>#REF!="*01월*"</formula>
    </cfRule>
  </conditionalFormatting>
  <conditionalFormatting sqref="A25 F26:H26 A41:J41 B60 B65:F65 I65:J66 C66:F66 B66:B67 A67 H67">
    <cfRule type="expression" dxfId="1546" priority="37">
      <formula>$E28="*01월*"</formula>
    </cfRule>
  </conditionalFormatting>
  <conditionalFormatting sqref="A26">
    <cfRule type="expression" dxfId="1545" priority="59">
      <formula>#REF!="*01월*"</formula>
    </cfRule>
  </conditionalFormatting>
  <conditionalFormatting sqref="A65:A66 H65:H66 G67 A79:J79 A80 H80:J82">
    <cfRule type="expression" dxfId="1544" priority="32">
      <formula>$E69="*01월*"</formula>
    </cfRule>
  </conditionalFormatting>
  <conditionalFormatting sqref="A69:E69">
    <cfRule type="expression" dxfId="1543" priority="48">
      <formula>#REF!="*01월*"</formula>
    </cfRule>
  </conditionalFormatting>
  <conditionalFormatting sqref="A11:J12 A28:J28 A29:C29 D29:J32 C30:C32 B30:B38 A46:D46 G46 A47:F47 H47:J47 A48:J49 A52:C52 D52:J56 B53:C53 C54:C56 B54:B59 C67:F67 I67:J67 A68:J68 A83:J83 A84 F84:J84 A85:J93 F95:F98">
    <cfRule type="expression" dxfId="1542" priority="36">
      <formula>$E13="*01월*"</formula>
    </cfRule>
  </conditionalFormatting>
  <conditionalFormatting sqref="A13:J16 A42:J42 A43">
    <cfRule type="expression" dxfId="1541" priority="45">
      <formula>#REF!="*01월*"</formula>
    </cfRule>
  </conditionalFormatting>
  <conditionalFormatting sqref="A17:J17">
    <cfRule type="expression" dxfId="1540" priority="445">
      <formula>$E27="*01월*"</formula>
    </cfRule>
  </conditionalFormatting>
  <conditionalFormatting sqref="A18:J18 B19">
    <cfRule type="expression" dxfId="1539" priority="438">
      <formula>#REF!="*01월*"</formula>
    </cfRule>
  </conditionalFormatting>
  <conditionalFormatting sqref="A64:J64">
    <cfRule type="expression" dxfId="1538" priority="38">
      <formula>$E68="*01월*"</formula>
    </cfRule>
  </conditionalFormatting>
  <conditionalFormatting sqref="B20:B25">
    <cfRule type="expression" dxfId="1537" priority="463">
      <formula>$E28="*01월*"</formula>
    </cfRule>
  </conditionalFormatting>
  <conditionalFormatting sqref="B26:B27">
    <cfRule type="expression" dxfId="1536" priority="453">
      <formula>$E33="*01월*"</formula>
    </cfRule>
  </conditionalFormatting>
  <conditionalFormatting sqref="B61:E61">
    <cfRule type="expression" dxfId="1535" priority="468">
      <formula>#REF!="*01월*"</formula>
    </cfRule>
  </conditionalFormatting>
  <conditionalFormatting sqref="B80:E82">
    <cfRule type="expression" dxfId="1534" priority="4">
      <formula>$E84="*01월*"</formula>
    </cfRule>
  </conditionalFormatting>
  <conditionalFormatting sqref="B39:J40">
    <cfRule type="expression" dxfId="1533" priority="14">
      <formula>#REF!="*01월*"</formula>
    </cfRule>
  </conditionalFormatting>
  <conditionalFormatting sqref="B43:J44">
    <cfRule type="expression" dxfId="1532" priority="40">
      <formula>#REF!="*01월*"</formula>
    </cfRule>
  </conditionalFormatting>
  <conditionalFormatting sqref="B46:J46">
    <cfRule type="expression" dxfId="1531" priority="1">
      <formula>#REF!="*01월*"</formula>
    </cfRule>
  </conditionalFormatting>
  <conditionalFormatting sqref="C20 G20 I20:J20">
    <cfRule type="expression" dxfId="1530" priority="20">
      <formula>$E22="*01월*"</formula>
    </cfRule>
  </conditionalFormatting>
  <conditionalFormatting sqref="C19:D19 I19:J19">
    <cfRule type="expression" dxfId="1529" priority="23">
      <formula>$E22="*01월*"</formula>
    </cfRule>
  </conditionalFormatting>
  <conditionalFormatting sqref="C27:D27 C35:J38">
    <cfRule type="expression" dxfId="1528" priority="50">
      <formula>#REF!="*01월*"</formula>
    </cfRule>
  </conditionalFormatting>
  <conditionalFormatting sqref="C95:D99">
    <cfRule type="expression" dxfId="1527" priority="30">
      <formula>$E97="*01월*"</formula>
    </cfRule>
  </conditionalFormatting>
  <conditionalFormatting sqref="C60:F60 H60">
    <cfRule type="expression" dxfId="1526" priority="428">
      <formula>#REF!="*01월*"</formula>
    </cfRule>
  </conditionalFormatting>
  <conditionalFormatting sqref="C21:J21">
    <cfRule type="expression" dxfId="1525" priority="454">
      <formula>#REF!="*01월*"</formula>
    </cfRule>
  </conditionalFormatting>
  <conditionalFormatting sqref="C33:J33 A45:J45 A50:J51">
    <cfRule type="expression" dxfId="1524" priority="42">
      <formula>#REF!="*01월*"</formula>
    </cfRule>
  </conditionalFormatting>
  <conditionalFormatting sqref="C34:J34">
    <cfRule type="expression" dxfId="1523" priority="39">
      <formula>$E38="*01월*"</formula>
    </cfRule>
  </conditionalFormatting>
  <conditionalFormatting sqref="C57:J57">
    <cfRule type="expression" dxfId="1522" priority="66">
      <formula>#REF!="*01월*"</formula>
    </cfRule>
  </conditionalFormatting>
  <conditionalFormatting sqref="C58:J58 G65:G66">
    <cfRule type="expression" dxfId="1521" priority="61">
      <formula>$E63="*01월*"</formula>
    </cfRule>
  </conditionalFormatting>
  <conditionalFormatting sqref="C59:J59">
    <cfRule type="expression" dxfId="1520" priority="473">
      <formula>#REF!="*01월*"</formula>
    </cfRule>
  </conditionalFormatting>
  <conditionalFormatting sqref="C62:J62">
    <cfRule type="expression" dxfId="1519" priority="6">
      <formula>#REF!="*01월*"</formula>
    </cfRule>
  </conditionalFormatting>
  <conditionalFormatting sqref="D20:F20">
    <cfRule type="expression" dxfId="1518" priority="18">
      <formula>#REF!="*01월*"</formula>
    </cfRule>
  </conditionalFormatting>
  <conditionalFormatting sqref="E22:E24">
    <cfRule type="expression" dxfId="1517" priority="26">
      <formula>$E28="*01월*"</formula>
    </cfRule>
  </conditionalFormatting>
  <conditionalFormatting sqref="E27">
    <cfRule type="expression" dxfId="1516" priority="65">
      <formula>$E33="*01월*"</formula>
    </cfRule>
  </conditionalFormatting>
  <conditionalFormatting sqref="E46 B62">
    <cfRule type="expression" dxfId="1515" priority="5">
      <formula>$E47="*01월*"</formula>
    </cfRule>
  </conditionalFormatting>
  <conditionalFormatting sqref="E19:H19">
    <cfRule type="expression" dxfId="1514" priority="64">
      <formula>#REF!="*01월*"</formula>
    </cfRule>
  </conditionalFormatting>
  <conditionalFormatting sqref="F61">
    <cfRule type="expression" dxfId="1513" priority="12">
      <formula>$E64="*01월*"</formula>
    </cfRule>
  </conditionalFormatting>
  <conditionalFormatting sqref="F80:G82">
    <cfRule type="expression" dxfId="1512" priority="3">
      <formula>#REF!="*01월*"</formula>
    </cfRule>
  </conditionalFormatting>
  <conditionalFormatting sqref="F22:H23">
    <cfRule type="expression" dxfId="1511" priority="62">
      <formula>#REF!="*01월*"</formula>
    </cfRule>
  </conditionalFormatting>
  <conditionalFormatting sqref="F24:H24 F27:H27">
    <cfRule type="expression" dxfId="1510" priority="56">
      <formula>$E28="*01월*"</formula>
    </cfRule>
  </conditionalFormatting>
  <conditionalFormatting sqref="F25:H25">
    <cfRule type="expression" dxfId="1509" priority="7">
      <formula>$E30="*01월*"</formula>
    </cfRule>
  </conditionalFormatting>
  <conditionalFormatting sqref="F69:J78 B70:E78">
    <cfRule type="expression" dxfId="1508" priority="43">
      <formula>#REF!="*01월*"</formula>
    </cfRule>
  </conditionalFormatting>
  <conditionalFormatting sqref="G47 B63:J63">
    <cfRule type="expression" dxfId="1507" priority="417">
      <formula>#REF!="*01월*"</formula>
    </cfRule>
  </conditionalFormatting>
  <conditionalFormatting sqref="G60:G61 I60:J61">
    <cfRule type="expression" dxfId="1506" priority="432">
      <formula>#REF!="*01월*"</formula>
    </cfRule>
  </conditionalFormatting>
  <conditionalFormatting sqref="H20">
    <cfRule type="expression" dxfId="1505" priority="19">
      <formula>#REF!="*01월*"</formula>
    </cfRule>
  </conditionalFormatting>
  <conditionalFormatting sqref="H61">
    <cfRule type="expression" dxfId="1504" priority="10">
      <formula>$E64="*01월*"</formula>
    </cfRule>
  </conditionalFormatting>
  <conditionalFormatting sqref="I22:J27 C25:E26">
    <cfRule type="expression" dxfId="1503" priority="8">
      <formula>#REF!="*01월*"</formula>
    </cfRule>
  </conditionalFormatting>
  <printOptions horizontalCentered="1"/>
  <pageMargins left="0.25" right="0.25" top="0.2" bottom="0.26" header="0.2" footer="0.3"/>
  <pageSetup paperSize="9" scale="34" orientation="portrait" r:id="rId1"/>
  <rowBreaks count="1" manualBreakCount="1">
    <brk id="51" max="9" man="1"/>
  </rowBreaks>
  <colBreaks count="1" manualBreakCount="1">
    <brk id="9" max="91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pageSetUpPr fitToPage="1"/>
  </sheetPr>
  <dimension ref="A5:K104"/>
  <sheetViews>
    <sheetView view="pageBreakPreview" zoomScale="70" zoomScaleNormal="70" zoomScaleSheetLayoutView="70" workbookViewId="0">
      <pane xSplit="1" ySplit="12" topLeftCell="B65" activePane="bottomRight" state="frozen"/>
      <selection activeCell="D29" sqref="D29"/>
      <selection pane="topRight" activeCell="D29" sqref="D29"/>
      <selection pane="bottomLeft" activeCell="D29" sqref="D29"/>
      <selection pane="bottomRight" activeCell="D29" sqref="D29"/>
    </sheetView>
  </sheetViews>
  <sheetFormatPr defaultRowHeight="17.399999999999999"/>
  <cols>
    <col min="1" max="1" width="23.3984375" customWidth="1"/>
    <col min="2" max="2" width="22.8984375" customWidth="1"/>
    <col min="3" max="3" width="29.09765625" customWidth="1"/>
    <col min="4" max="4" width="29.09765625" hidden="1" customWidth="1"/>
    <col min="5" max="5" width="21" customWidth="1"/>
    <col min="6" max="6" width="18.69921875" customWidth="1"/>
    <col min="7" max="7" width="25.69921875" style="47" customWidth="1"/>
    <col min="8" max="8" width="26.5" customWidth="1"/>
    <col min="9" max="9" width="25.09765625" customWidth="1"/>
    <col min="10" max="10" width="29.19921875" customWidth="1"/>
    <col min="11" max="11" width="16.8984375" style="24" bestFit="1" customWidth="1"/>
  </cols>
  <sheetData>
    <row r="5" spans="1:11" ht="19.5" customHeight="1"/>
    <row r="6" spans="1:11" ht="19.5" customHeight="1">
      <c r="A6" s="2020" t="s">
        <v>1565</v>
      </c>
      <c r="B6" s="2020"/>
      <c r="C6" s="2020"/>
      <c r="D6" s="2020"/>
      <c r="E6" s="2020"/>
      <c r="F6" s="2020"/>
      <c r="G6" s="2020"/>
      <c r="H6" s="1"/>
      <c r="I6" s="1"/>
      <c r="J6" s="1"/>
    </row>
    <row r="7" spans="1:11" ht="19.5" customHeight="1">
      <c r="A7" s="2020"/>
      <c r="B7" s="2020"/>
      <c r="C7" s="2020"/>
      <c r="D7" s="2020"/>
      <c r="E7" s="2020"/>
      <c r="F7" s="2020"/>
      <c r="G7" s="2020"/>
      <c r="H7" s="1"/>
      <c r="I7" s="1"/>
      <c r="J7" s="1"/>
    </row>
    <row r="8" spans="1:11" ht="19.5" customHeight="1">
      <c r="A8" s="2020"/>
      <c r="B8" s="2020"/>
      <c r="C8" s="2020"/>
      <c r="D8" s="2020"/>
      <c r="E8" s="2020"/>
      <c r="F8" s="2020"/>
      <c r="G8" s="2020"/>
      <c r="H8" s="1"/>
      <c r="I8" s="1"/>
      <c r="J8" s="1"/>
    </row>
    <row r="9" spans="1:11" ht="19.5" customHeight="1">
      <c r="A9" s="2020"/>
      <c r="B9" s="2020"/>
      <c r="C9" s="2020"/>
      <c r="D9" s="2020"/>
      <c r="E9" s="2020"/>
      <c r="F9" s="2020"/>
      <c r="G9" s="2020"/>
      <c r="H9" s="2"/>
      <c r="I9" s="2"/>
      <c r="J9" s="2"/>
    </row>
    <row r="10" spans="1:11" ht="19.5" customHeight="1" thickBot="1">
      <c r="A10" s="2020"/>
      <c r="B10" s="2020"/>
      <c r="C10" s="2020"/>
      <c r="D10" s="2020"/>
      <c r="E10" s="2020"/>
      <c r="F10" s="2020"/>
      <c r="G10" s="2020"/>
      <c r="H10" s="2"/>
      <c r="I10" s="2"/>
      <c r="J10" s="2"/>
    </row>
    <row r="11" spans="1:11" ht="23.25" customHeight="1">
      <c r="A11" s="2021" t="s">
        <v>0</v>
      </c>
      <c r="B11" s="2023" t="s">
        <v>1</v>
      </c>
      <c r="C11" s="2024" t="s">
        <v>2</v>
      </c>
      <c r="D11" s="2024" t="s">
        <v>1222</v>
      </c>
      <c r="E11" s="2024" t="s">
        <v>3</v>
      </c>
      <c r="F11" s="2025" t="s">
        <v>4</v>
      </c>
      <c r="G11" s="2026" t="s">
        <v>5</v>
      </c>
      <c r="H11" s="2027"/>
      <c r="I11" s="2027"/>
      <c r="J11" s="2028"/>
    </row>
    <row r="12" spans="1:11" ht="23.25" customHeight="1">
      <c r="A12" s="2022"/>
      <c r="B12" s="2003"/>
      <c r="C12" s="2004"/>
      <c r="D12" s="2004"/>
      <c r="E12" s="2004"/>
      <c r="F12" s="2005"/>
      <c r="G12" s="82" t="s">
        <v>6</v>
      </c>
      <c r="H12" s="3" t="s">
        <v>7</v>
      </c>
      <c r="I12" s="3" t="s">
        <v>101</v>
      </c>
      <c r="J12" s="271" t="s">
        <v>8</v>
      </c>
    </row>
    <row r="13" spans="1:11" s="97" customFormat="1" ht="25.5" customHeight="1">
      <c r="A13" s="2010" t="s">
        <v>9</v>
      </c>
      <c r="B13" s="88" t="s">
        <v>1566</v>
      </c>
      <c r="C13" s="89" t="s">
        <v>1615</v>
      </c>
      <c r="D13" s="89"/>
      <c r="E13" s="90">
        <v>45493</v>
      </c>
      <c r="F13" s="91">
        <f>VLOOKUP(E13,환율!$A$1798:$B$2033,2,)</f>
        <v>1379.9</v>
      </c>
      <c r="G13" s="92">
        <v>384460.73</v>
      </c>
      <c r="H13" s="93">
        <f t="shared" ref="H13:H14" si="0">ROUNDDOWN(G13*F13,0)</f>
        <v>530517361</v>
      </c>
      <c r="I13" s="94" ph="1"/>
      <c r="J13" s="254"/>
      <c r="K13" s="364"/>
    </row>
    <row r="14" spans="1:11" s="97" customFormat="1" ht="25.5" customHeight="1">
      <c r="A14" s="2019"/>
      <c r="B14" s="88" t="s">
        <v>1595</v>
      </c>
      <c r="C14" s="89" t="s">
        <v>1616</v>
      </c>
      <c r="D14" s="89"/>
      <c r="E14" s="90">
        <v>45501</v>
      </c>
      <c r="F14" s="91">
        <f>VLOOKUP(E14,환율!$A$1798:$B$2194,2,)</f>
        <v>1385.4</v>
      </c>
      <c r="G14" s="92">
        <v>385470.94</v>
      </c>
      <c r="H14" s="93">
        <f t="shared" si="0"/>
        <v>534031440</v>
      </c>
      <c r="I14" s="363" ph="1"/>
      <c r="J14" s="254"/>
      <c r="K14" s="401"/>
    </row>
    <row r="15" spans="1:11" s="97" customFormat="1" ht="25.5" customHeight="1">
      <c r="A15" s="2035" t="s">
        <v>10</v>
      </c>
      <c r="B15" s="2036"/>
      <c r="C15" s="2036"/>
      <c r="D15" s="2036"/>
      <c r="E15" s="2036"/>
      <c r="F15" s="2037"/>
      <c r="G15" s="115">
        <f>SUM(G13:G14)</f>
        <v>769931.66999999993</v>
      </c>
      <c r="H15" s="116">
        <f>SUM(H13:H14)</f>
        <v>1064548801</v>
      </c>
      <c r="I15" s="116">
        <v>1462095820</v>
      </c>
      <c r="J15" s="260">
        <f>+H15-I15</f>
        <v>-397547019</v>
      </c>
      <c r="K15" s="364"/>
    </row>
    <row r="16" spans="1:11" s="120" customFormat="1" ht="25.5" customHeight="1">
      <c r="A16" s="2010" t="s">
        <v>11</v>
      </c>
      <c r="B16" s="117" t="s">
        <v>1576</v>
      </c>
      <c r="C16" s="89" t="s">
        <v>1617</v>
      </c>
      <c r="D16" s="319"/>
      <c r="E16" s="90">
        <v>45491</v>
      </c>
      <c r="F16" s="91">
        <f>VLOOKUP(E16,환율!$A$1798:$B$2194,2,)</f>
        <v>1381.5</v>
      </c>
      <c r="G16" s="118">
        <v>62353.440000000002</v>
      </c>
      <c r="H16" s="93">
        <f t="shared" ref="H16:H53" si="1">ROUNDDOWN(G16*F16,0)</f>
        <v>86141277</v>
      </c>
      <c r="I16" s="119"/>
      <c r="J16" s="254"/>
      <c r="K16" s="365"/>
    </row>
    <row r="17" spans="1:11" s="120" customFormat="1" ht="25.5" customHeight="1">
      <c r="A17" s="2011"/>
      <c r="B17" s="117" t="s">
        <v>1577</v>
      </c>
      <c r="C17" s="89" t="s">
        <v>1618</v>
      </c>
      <c r="D17" s="319"/>
      <c r="E17" s="90">
        <v>45488</v>
      </c>
      <c r="F17" s="91">
        <f>VLOOKUP(E17,환율!$A$1798:$B$2194,2,)</f>
        <v>1376.3</v>
      </c>
      <c r="G17" s="118">
        <v>28177.919999999998</v>
      </c>
      <c r="H17" s="93">
        <f t="shared" si="1"/>
        <v>38781271</v>
      </c>
      <c r="I17" s="119"/>
      <c r="J17" s="254"/>
      <c r="K17" s="365"/>
    </row>
    <row r="18" spans="1:11" s="120" customFormat="1" ht="25.5" customHeight="1">
      <c r="A18" s="2011"/>
      <c r="B18" s="117" t="s">
        <v>1578</v>
      </c>
      <c r="C18" s="89" t="s">
        <v>1619</v>
      </c>
      <c r="D18" s="319"/>
      <c r="E18" s="90">
        <v>45491</v>
      </c>
      <c r="F18" s="91">
        <f>VLOOKUP(E18,환율!$A$1798:$B$2194,2,)</f>
        <v>1381.5</v>
      </c>
      <c r="G18" s="118">
        <v>400.17</v>
      </c>
      <c r="H18" s="93">
        <f t="shared" si="1"/>
        <v>552834</v>
      </c>
      <c r="I18" s="119"/>
      <c r="J18" s="254"/>
      <c r="K18" s="365"/>
    </row>
    <row r="19" spans="1:11" s="97" customFormat="1" ht="25.5" customHeight="1">
      <c r="A19" s="2011"/>
      <c r="B19" s="117" t="s">
        <v>1579</v>
      </c>
      <c r="C19" s="89" t="s">
        <v>1620</v>
      </c>
      <c r="D19" s="319"/>
      <c r="E19" s="90">
        <v>45491</v>
      </c>
      <c r="F19" s="91">
        <f>VLOOKUP(E19,환율!$A$1798:$B$2194,2,)</f>
        <v>1381.5</v>
      </c>
      <c r="G19" s="118">
        <v>845.7</v>
      </c>
      <c r="H19" s="93">
        <f t="shared" si="1"/>
        <v>1168334</v>
      </c>
      <c r="I19" s="119"/>
      <c r="J19" s="254"/>
      <c r="K19" s="364"/>
    </row>
    <row r="20" spans="1:11" s="120" customFormat="1" ht="25.5" customHeight="1">
      <c r="A20" s="2011"/>
      <c r="B20" s="117" t="s">
        <v>1580</v>
      </c>
      <c r="C20" s="89" t="s">
        <v>1621</v>
      </c>
      <c r="D20" s="319"/>
      <c r="E20" s="90">
        <v>45491</v>
      </c>
      <c r="F20" s="91">
        <f>VLOOKUP(E20,환율!$A$1798:$B$2194,2,)</f>
        <v>1381.5</v>
      </c>
      <c r="G20" s="118">
        <v>516.4</v>
      </c>
      <c r="H20" s="93">
        <f t="shared" si="1"/>
        <v>713406</v>
      </c>
      <c r="I20" s="119"/>
      <c r="J20" s="254"/>
      <c r="K20" s="365"/>
    </row>
    <row r="21" spans="1:11" s="120" customFormat="1" ht="25.5" customHeight="1">
      <c r="A21" s="2011"/>
      <c r="B21" s="391" t="s">
        <v>1582</v>
      </c>
      <c r="C21" s="144" t="s">
        <v>1622</v>
      </c>
      <c r="D21" s="392"/>
      <c r="E21" s="393">
        <v>45502</v>
      </c>
      <c r="F21" s="91">
        <f>VLOOKUP(E21,환율!$A$1798:$B$2194,2,)</f>
        <v>1385.4</v>
      </c>
      <c r="G21" s="394">
        <v>53265.599999999999</v>
      </c>
      <c r="H21" s="164">
        <f t="shared" si="1"/>
        <v>73794162</v>
      </c>
      <c r="I21" s="395"/>
      <c r="J21" s="396"/>
      <c r="K21" s="365"/>
    </row>
    <row r="22" spans="1:11" s="120" customFormat="1" ht="25.5" customHeight="1">
      <c r="A22" s="2011"/>
      <c r="B22" s="117" t="s">
        <v>1590</v>
      </c>
      <c r="C22" s="89" t="s">
        <v>1623</v>
      </c>
      <c r="D22" s="319"/>
      <c r="E22" s="90">
        <v>45503</v>
      </c>
      <c r="F22" s="91">
        <f>VLOOKUP(E22,환율!$A$1798:$B$2194,2,)</f>
        <v>1382</v>
      </c>
      <c r="G22" s="118">
        <v>1423.94</v>
      </c>
      <c r="H22" s="93">
        <f t="shared" si="1"/>
        <v>1967885</v>
      </c>
      <c r="I22" s="119"/>
      <c r="J22" s="254"/>
      <c r="K22" s="401"/>
    </row>
    <row r="23" spans="1:11" s="120" customFormat="1" ht="25.5" customHeight="1">
      <c r="A23" s="2011"/>
      <c r="B23" s="121" t="s">
        <v>1581</v>
      </c>
      <c r="C23" s="100" t="s">
        <v>1667</v>
      </c>
      <c r="D23" s="320"/>
      <c r="E23" s="125">
        <v>45517</v>
      </c>
      <c r="F23" s="102">
        <f>VLOOKUP(E23,환율!$A$1798:$B$2194,2,)</f>
        <v>1367.7</v>
      </c>
      <c r="G23" s="122">
        <v>18914.400000000001</v>
      </c>
      <c r="H23" s="104">
        <f>ROUNDDOWN(G23*F23,0)</f>
        <v>25869224</v>
      </c>
      <c r="I23" s="123"/>
      <c r="J23" s="272"/>
      <c r="K23" s="365"/>
    </row>
    <row r="24" spans="1:11" s="120" customFormat="1" ht="25.5" customHeight="1">
      <c r="A24" s="2011"/>
      <c r="B24" s="121" t="s">
        <v>1585</v>
      </c>
      <c r="C24" s="100" t="s">
        <v>1771</v>
      </c>
      <c r="D24" s="320"/>
      <c r="E24" s="125">
        <v>45507</v>
      </c>
      <c r="F24" s="102">
        <f>VLOOKUP(E24,환율!$A$1798:$B$2194,2,)</f>
        <v>1365.9</v>
      </c>
      <c r="G24" s="122">
        <v>9430.56</v>
      </c>
      <c r="H24" s="104">
        <f>ROUNDDOWN(G24*F24,0)</f>
        <v>12881201</v>
      </c>
      <c r="I24" s="123"/>
      <c r="J24" s="272"/>
      <c r="K24" s="365"/>
    </row>
    <row r="25" spans="1:11" s="120" customFormat="1" ht="25.5" customHeight="1">
      <c r="A25" s="2011"/>
      <c r="B25" s="378" t="s">
        <v>1662</v>
      </c>
      <c r="C25" s="379"/>
      <c r="D25" s="380"/>
      <c r="E25" s="381">
        <v>45485</v>
      </c>
      <c r="F25" s="382">
        <f>VLOOKUP(E25,환율!$A$1798:$B$2194,2,)</f>
        <v>1380.1</v>
      </c>
      <c r="G25" s="383">
        <v>2006</v>
      </c>
      <c r="H25" s="384">
        <f t="shared" si="1"/>
        <v>2768480</v>
      </c>
      <c r="I25" s="385"/>
      <c r="J25" s="386"/>
      <c r="K25" s="365"/>
    </row>
    <row r="26" spans="1:11" s="120" customFormat="1" ht="25.5" customHeight="1">
      <c r="A26" s="2011"/>
      <c r="B26" s="378" t="s">
        <v>1583</v>
      </c>
      <c r="C26" s="379"/>
      <c r="D26" s="380"/>
      <c r="E26" s="381">
        <v>45475</v>
      </c>
      <c r="F26" s="382">
        <f>VLOOKUP(E26,환율!$A$1798:$B$2194,2,)</f>
        <v>1380.8</v>
      </c>
      <c r="G26" s="383">
        <v>10880</v>
      </c>
      <c r="H26" s="384">
        <f t="shared" ref="H26:H31" si="2">ROUNDDOWN(G26*F26,0)</f>
        <v>15023104</v>
      </c>
      <c r="I26" s="385"/>
      <c r="J26" s="386"/>
      <c r="K26" s="365"/>
    </row>
    <row r="27" spans="1:11" s="120" customFormat="1" ht="25.5" customHeight="1">
      <c r="A27" s="2011"/>
      <c r="B27" s="378" t="s">
        <v>1584</v>
      </c>
      <c r="C27" s="379"/>
      <c r="D27" s="380"/>
      <c r="E27" s="381">
        <v>45475</v>
      </c>
      <c r="F27" s="382">
        <f>VLOOKUP(E27,환율!$A$1798:$B$2194,2,)</f>
        <v>1380.8</v>
      </c>
      <c r="G27" s="383">
        <v>10880</v>
      </c>
      <c r="H27" s="384">
        <f t="shared" si="2"/>
        <v>15023104</v>
      </c>
      <c r="I27" s="385"/>
      <c r="J27" s="386"/>
      <c r="K27" s="365"/>
    </row>
    <row r="28" spans="1:11" s="120" customFormat="1" ht="25.5" customHeight="1">
      <c r="A28" s="2011"/>
      <c r="B28" s="378" t="s">
        <v>1663</v>
      </c>
      <c r="C28" s="379"/>
      <c r="D28" s="380"/>
      <c r="E28" s="381">
        <v>45490</v>
      </c>
      <c r="F28" s="382">
        <f>VLOOKUP(E28,환율!$A$1798:$B$2194,2,)</f>
        <v>1386</v>
      </c>
      <c r="G28" s="383">
        <v>9867</v>
      </c>
      <c r="H28" s="384">
        <f t="shared" si="2"/>
        <v>13675662</v>
      </c>
      <c r="I28" s="385"/>
      <c r="J28" s="386"/>
      <c r="K28" s="365"/>
    </row>
    <row r="29" spans="1:11" s="120" customFormat="1" ht="25.5" customHeight="1">
      <c r="A29" s="2011"/>
      <c r="B29" s="378" t="s">
        <v>1664</v>
      </c>
      <c r="C29" s="379"/>
      <c r="D29" s="380"/>
      <c r="E29" s="381">
        <v>45490</v>
      </c>
      <c r="F29" s="382">
        <f>VLOOKUP(E29,환율!$A$1798:$B$2194,2,)</f>
        <v>1386</v>
      </c>
      <c r="G29" s="383">
        <v>9867</v>
      </c>
      <c r="H29" s="384">
        <f t="shared" si="2"/>
        <v>13675662</v>
      </c>
      <c r="I29" s="385"/>
      <c r="J29" s="386"/>
      <c r="K29" s="365"/>
    </row>
    <row r="30" spans="1:11" s="120" customFormat="1" ht="25.5" customHeight="1">
      <c r="A30" s="2011"/>
      <c r="B30" s="378" t="s">
        <v>1665</v>
      </c>
      <c r="C30" s="379"/>
      <c r="D30" s="380"/>
      <c r="E30" s="381">
        <v>45490</v>
      </c>
      <c r="F30" s="382">
        <f>VLOOKUP(E30,환율!$A$1798:$B$2194,2,)</f>
        <v>1386</v>
      </c>
      <c r="G30" s="383">
        <v>10890</v>
      </c>
      <c r="H30" s="384">
        <f t="shared" si="2"/>
        <v>15093540</v>
      </c>
      <c r="I30" s="385"/>
      <c r="J30" s="386"/>
      <c r="K30" s="365"/>
    </row>
    <row r="31" spans="1:11" s="120" customFormat="1" ht="25.5" customHeight="1">
      <c r="A31" s="2019"/>
      <c r="B31" s="378" t="s">
        <v>1666</v>
      </c>
      <c r="C31" s="379"/>
      <c r="D31" s="380"/>
      <c r="E31" s="381">
        <v>45490</v>
      </c>
      <c r="F31" s="382">
        <f>VLOOKUP(E31,환율!$A$1798:$B$2194,2,)</f>
        <v>1386</v>
      </c>
      <c r="G31" s="383">
        <v>8728.5</v>
      </c>
      <c r="H31" s="384">
        <f t="shared" si="2"/>
        <v>12097701</v>
      </c>
      <c r="I31" s="385"/>
      <c r="J31" s="386"/>
      <c r="K31" s="365"/>
    </row>
    <row r="32" spans="1:11" s="97" customFormat="1" ht="25.5" customHeight="1">
      <c r="A32" s="2035" t="s">
        <v>10</v>
      </c>
      <c r="B32" s="2036"/>
      <c r="C32" s="2036"/>
      <c r="D32" s="2036"/>
      <c r="E32" s="2036"/>
      <c r="F32" s="2037"/>
      <c r="G32" s="127">
        <f>SUM(G16:G31)</f>
        <v>238446.62999999998</v>
      </c>
      <c r="H32" s="116">
        <f>SUM(H16:H31)</f>
        <v>329226847</v>
      </c>
      <c r="I32" s="116">
        <v>440239541</v>
      </c>
      <c r="J32" s="260">
        <f>+H32-I32</f>
        <v>-111012694</v>
      </c>
      <c r="K32" s="364"/>
    </row>
    <row r="33" spans="1:11" s="126" customFormat="1" ht="25.5" customHeight="1">
      <c r="A33" s="2010" t="s">
        <v>12</v>
      </c>
      <c r="B33" s="313" t="s">
        <v>1596</v>
      </c>
      <c r="C33" s="129" t="s">
        <v>1624</v>
      </c>
      <c r="D33" s="129"/>
      <c r="E33" s="136">
        <v>45501</v>
      </c>
      <c r="F33" s="91">
        <v>1385.4</v>
      </c>
      <c r="G33" s="134">
        <v>7164.2</v>
      </c>
      <c r="H33" s="93">
        <f t="shared" si="1"/>
        <v>9925282</v>
      </c>
      <c r="I33" s="135"/>
      <c r="J33" s="255"/>
      <c r="K33" s="364"/>
    </row>
    <row r="34" spans="1:11" s="126" customFormat="1" ht="25.5" customHeight="1">
      <c r="A34" s="2011"/>
      <c r="B34" s="313" t="s">
        <v>1597</v>
      </c>
      <c r="C34" s="129" t="s">
        <v>1625</v>
      </c>
      <c r="D34" s="129"/>
      <c r="E34" s="136">
        <v>45486</v>
      </c>
      <c r="F34" s="91">
        <f>VLOOKUP(E34,환율!$A$1798:$B$2033,2,)</f>
        <v>1380.1</v>
      </c>
      <c r="G34" s="389">
        <v>100924.67</v>
      </c>
      <c r="H34" s="93">
        <f t="shared" si="1"/>
        <v>139286137</v>
      </c>
      <c r="I34" s="135"/>
      <c r="J34" s="255"/>
      <c r="K34" s="364"/>
    </row>
    <row r="35" spans="1:11" s="126" customFormat="1" ht="25.5" customHeight="1">
      <c r="A35" s="2011"/>
      <c r="B35" s="313" t="s">
        <v>1598</v>
      </c>
      <c r="C35" s="390" t="s">
        <v>1626</v>
      </c>
      <c r="D35" s="129"/>
      <c r="E35" s="136">
        <v>45483</v>
      </c>
      <c r="F35" s="91">
        <f>VLOOKUP(E35,환율!$A$1798:$B$2033,2,)</f>
        <v>1383.4</v>
      </c>
      <c r="G35" s="134">
        <v>69532.039999999994</v>
      </c>
      <c r="H35" s="93">
        <f t="shared" si="1"/>
        <v>96190624</v>
      </c>
      <c r="I35" s="135"/>
      <c r="J35" s="255"/>
      <c r="K35" s="364"/>
    </row>
    <row r="36" spans="1:11" s="126" customFormat="1" ht="25.5" customHeight="1">
      <c r="A36" s="2011"/>
      <c r="B36" s="313" t="s">
        <v>1599</v>
      </c>
      <c r="C36" s="129" t="s">
        <v>1627</v>
      </c>
      <c r="D36" s="129"/>
      <c r="E36" s="136">
        <v>45478</v>
      </c>
      <c r="F36" s="91">
        <f>VLOOKUP(E36,환율!$A$1798:$B$2033,2,)</f>
        <v>1381.9</v>
      </c>
      <c r="G36" s="134">
        <v>1629.36</v>
      </c>
      <c r="H36" s="93">
        <f t="shared" si="1"/>
        <v>2251612</v>
      </c>
      <c r="I36" s="135"/>
      <c r="J36" s="255"/>
      <c r="K36" s="364"/>
    </row>
    <row r="37" spans="1:11" s="97" customFormat="1" ht="25.5" customHeight="1">
      <c r="A37" s="2011"/>
      <c r="B37" s="313" t="s">
        <v>1600</v>
      </c>
      <c r="C37" s="129" t="s">
        <v>1628</v>
      </c>
      <c r="D37" s="129"/>
      <c r="E37" s="136">
        <v>45476</v>
      </c>
      <c r="F37" s="91">
        <f>VLOOKUP(E37,환율!$A$1798:$B$2033,2,)</f>
        <v>1387.4</v>
      </c>
      <c r="G37" s="134">
        <v>190.2</v>
      </c>
      <c r="H37" s="93">
        <f t="shared" si="1"/>
        <v>263883</v>
      </c>
      <c r="I37" s="135"/>
      <c r="J37" s="255"/>
      <c r="K37" s="364"/>
    </row>
    <row r="38" spans="1:11" s="97" customFormat="1" ht="25.5" customHeight="1">
      <c r="A38" s="2011"/>
      <c r="B38" s="313" t="s">
        <v>1601</v>
      </c>
      <c r="C38" s="129" t="s">
        <v>1629</v>
      </c>
      <c r="D38" s="129"/>
      <c r="E38" s="136">
        <v>45501</v>
      </c>
      <c r="F38" s="91">
        <f>VLOOKUP(E38,환율!$A$1798:$B$2194,2,)</f>
        <v>1385.4</v>
      </c>
      <c r="G38" s="134">
        <v>3216.96</v>
      </c>
      <c r="H38" s="93">
        <f t="shared" si="1"/>
        <v>4456776</v>
      </c>
      <c r="I38" s="135"/>
      <c r="J38" s="255"/>
      <c r="K38" s="364"/>
    </row>
    <row r="39" spans="1:11" s="97" customFormat="1" ht="25.5" customHeight="1">
      <c r="A39" s="2011"/>
      <c r="B39" s="313" t="s">
        <v>1602</v>
      </c>
      <c r="C39" s="129" t="s">
        <v>1630</v>
      </c>
      <c r="D39" s="129"/>
      <c r="E39" s="136">
        <v>45493</v>
      </c>
      <c r="F39" s="91">
        <f>VLOOKUP(E39,환율!$A$1798:$B$2194,2,)</f>
        <v>1379.9</v>
      </c>
      <c r="G39" s="134">
        <v>5040</v>
      </c>
      <c r="H39" s="93">
        <f t="shared" si="1"/>
        <v>6954696</v>
      </c>
      <c r="I39" s="135"/>
      <c r="J39" s="255"/>
      <c r="K39" s="364"/>
    </row>
    <row r="40" spans="1:11" s="97" customFormat="1" ht="25.5" customHeight="1">
      <c r="A40" s="2011"/>
      <c r="B40" s="313" t="s">
        <v>1603</v>
      </c>
      <c r="C40" s="129" t="s">
        <v>1631</v>
      </c>
      <c r="D40" s="129"/>
      <c r="E40" s="136">
        <v>45493</v>
      </c>
      <c r="F40" s="91">
        <f>VLOOKUP(E40,환율!$A$1798:$B$2194,2,)</f>
        <v>1379.9</v>
      </c>
      <c r="G40" s="134">
        <v>106314.36</v>
      </c>
      <c r="H40" s="93">
        <f t="shared" si="1"/>
        <v>146703185</v>
      </c>
      <c r="I40" s="135"/>
      <c r="J40" s="255"/>
      <c r="K40" s="364"/>
    </row>
    <row r="41" spans="1:11" s="97" customFormat="1" ht="25.5" customHeight="1">
      <c r="A41" s="2011"/>
      <c r="B41" s="313" t="s">
        <v>1604</v>
      </c>
      <c r="C41" s="129" t="s">
        <v>1632</v>
      </c>
      <c r="D41" s="129"/>
      <c r="E41" s="136">
        <v>45498</v>
      </c>
      <c r="F41" s="91">
        <f>VLOOKUP(E41,환율!$A$1798:$B$2194,2,)</f>
        <v>1385.1</v>
      </c>
      <c r="G41" s="134">
        <v>45949.599999999999</v>
      </c>
      <c r="H41" s="93">
        <f t="shared" si="1"/>
        <v>63644790</v>
      </c>
      <c r="I41" s="135"/>
      <c r="J41" s="255"/>
      <c r="K41" s="364"/>
    </row>
    <row r="42" spans="1:11" s="97" customFormat="1" ht="25.5" customHeight="1">
      <c r="A42" s="2011"/>
      <c r="B42" s="313" t="s">
        <v>1606</v>
      </c>
      <c r="C42" s="129" t="s">
        <v>1633</v>
      </c>
      <c r="D42" s="129"/>
      <c r="E42" s="136">
        <v>45499</v>
      </c>
      <c r="F42" s="91">
        <f>VLOOKUP(E42,환율!$A$1798:$B$2194,2,)</f>
        <v>1385.4</v>
      </c>
      <c r="G42" s="134">
        <v>52511.9</v>
      </c>
      <c r="H42" s="93">
        <f>ROUNDDOWN(G42*F42,0)</f>
        <v>72749986</v>
      </c>
      <c r="I42" s="135"/>
      <c r="J42" s="255"/>
      <c r="K42" s="364"/>
    </row>
    <row r="43" spans="1:11" s="97" customFormat="1" ht="25.5" customHeight="1">
      <c r="A43" s="2011"/>
      <c r="B43" s="117" t="s">
        <v>1680</v>
      </c>
      <c r="C43" s="89" t="s">
        <v>1681</v>
      </c>
      <c r="D43" s="319"/>
      <c r="E43" s="136">
        <v>45479</v>
      </c>
      <c r="F43" s="91">
        <f>VLOOKUP(E43,환율!$A$1798:$B$2194,2,)</f>
        <v>1381.9</v>
      </c>
      <c r="G43" s="118">
        <v>914.02</v>
      </c>
      <c r="H43" s="93">
        <f t="shared" ref="H43" si="3">ROUNDDOWN(G43*F43,0)</f>
        <v>1263084</v>
      </c>
      <c r="I43" s="119"/>
      <c r="J43" s="254"/>
      <c r="K43" s="401"/>
    </row>
    <row r="44" spans="1:11" s="97" customFormat="1" ht="25.5" customHeight="1">
      <c r="A44" s="2011"/>
      <c r="B44" s="330" t="s">
        <v>1605</v>
      </c>
      <c r="C44" s="137" t="s">
        <v>1634</v>
      </c>
      <c r="D44" s="137"/>
      <c r="E44" s="137">
        <v>45506</v>
      </c>
      <c r="F44" s="102">
        <f>VLOOKUP(E44,환율!$A$1798:$B$2194,2,)</f>
        <v>1365.9</v>
      </c>
      <c r="G44" s="138">
        <v>7930</v>
      </c>
      <c r="H44" s="104">
        <f t="shared" si="1"/>
        <v>10831587</v>
      </c>
      <c r="I44" s="139"/>
      <c r="J44" s="258"/>
      <c r="K44" s="364"/>
    </row>
    <row r="45" spans="1:11" s="97" customFormat="1" ht="25.5" customHeight="1">
      <c r="A45" s="2011"/>
      <c r="B45" s="330" t="s">
        <v>1607</v>
      </c>
      <c r="C45" s="137" t="s">
        <v>1635</v>
      </c>
      <c r="D45" s="169"/>
      <c r="E45" s="137">
        <v>45506</v>
      </c>
      <c r="F45" s="102">
        <f>VLOOKUP(E45,환율!$A$1798:$B$2194,2,)</f>
        <v>1365.9</v>
      </c>
      <c r="G45" s="138">
        <v>45949.599999999999</v>
      </c>
      <c r="H45" s="104">
        <f t="shared" si="1"/>
        <v>62762558</v>
      </c>
      <c r="I45" s="139"/>
      <c r="J45" s="258"/>
      <c r="K45" s="364"/>
    </row>
    <row r="46" spans="1:11" s="97" customFormat="1" ht="25.5" customHeight="1">
      <c r="A46" s="2011"/>
      <c r="B46" s="330" t="s">
        <v>1612</v>
      </c>
      <c r="C46" s="137" t="s">
        <v>1636</v>
      </c>
      <c r="D46" s="169"/>
      <c r="E46" s="137">
        <v>45509</v>
      </c>
      <c r="F46" s="102">
        <f>VLOOKUP(E46,환율!$A$1798:$B$2194,2,)</f>
        <v>1372.8</v>
      </c>
      <c r="G46" s="138">
        <v>78708</v>
      </c>
      <c r="H46" s="104">
        <f t="shared" si="1"/>
        <v>108050342</v>
      </c>
      <c r="I46" s="139"/>
      <c r="J46" s="258"/>
      <c r="K46" s="364"/>
    </row>
    <row r="47" spans="1:11" s="97" customFormat="1" ht="25.5" customHeight="1">
      <c r="A47" s="2011"/>
      <c r="B47" s="330" t="s">
        <v>1613</v>
      </c>
      <c r="C47" s="137" t="s">
        <v>1637</v>
      </c>
      <c r="D47" s="169"/>
      <c r="E47" s="169">
        <v>45512</v>
      </c>
      <c r="F47" s="102">
        <f>VLOOKUP(E47,환율!$A$1798:$B$2194,2,)</f>
        <v>1376.4</v>
      </c>
      <c r="G47" s="138">
        <v>11746</v>
      </c>
      <c r="H47" s="104">
        <f t="shared" si="1"/>
        <v>16167194</v>
      </c>
      <c r="I47" s="139"/>
      <c r="J47" s="258"/>
      <c r="K47" s="364"/>
    </row>
    <row r="48" spans="1:11" s="97" customFormat="1" ht="25.5" customHeight="1">
      <c r="A48" s="2011"/>
      <c r="B48" s="330" t="s">
        <v>1614</v>
      </c>
      <c r="C48" s="137" t="s">
        <v>1638</v>
      </c>
      <c r="D48" s="169"/>
      <c r="E48" s="100">
        <v>45506</v>
      </c>
      <c r="F48" s="102">
        <f>VLOOKUP(E48,환율!$A$1798:$B$2194,2,)</f>
        <v>1365.9</v>
      </c>
      <c r="G48" s="138">
        <v>8540</v>
      </c>
      <c r="H48" s="104">
        <f t="shared" si="1"/>
        <v>11664786</v>
      </c>
      <c r="I48" s="139"/>
      <c r="J48" s="258"/>
      <c r="K48" s="364"/>
    </row>
    <row r="49" spans="1:11" s="97" customFormat="1" ht="25.5" customHeight="1">
      <c r="A49" s="2019"/>
      <c r="B49" s="378" t="s">
        <v>1671</v>
      </c>
      <c r="C49" s="379"/>
      <c r="D49" s="380"/>
      <c r="E49" s="381">
        <v>45482</v>
      </c>
      <c r="F49" s="382">
        <f>VLOOKUP(E49,환율!$A$1798:$B$2194,2,)</f>
        <v>1379.4</v>
      </c>
      <c r="G49" s="383">
        <v>82800</v>
      </c>
      <c r="H49" s="384">
        <f t="shared" ref="H49" si="4">ROUNDDOWN(G49*F49,0)</f>
        <v>114214320</v>
      </c>
      <c r="I49" s="385"/>
      <c r="J49" s="386"/>
      <c r="K49" s="364"/>
    </row>
    <row r="50" spans="1:11" s="97" customFormat="1" ht="25.5" customHeight="1">
      <c r="A50" s="2035" t="s">
        <v>10</v>
      </c>
      <c r="B50" s="2036"/>
      <c r="C50" s="2036"/>
      <c r="D50" s="2036"/>
      <c r="E50" s="2036"/>
      <c r="F50" s="2037"/>
      <c r="G50" s="127">
        <f>SUM(G33:G49)</f>
        <v>629060.90999999992</v>
      </c>
      <c r="H50" s="127">
        <f>SUM(H33:H49)</f>
        <v>867380842</v>
      </c>
      <c r="I50" s="116">
        <v>927262870</v>
      </c>
      <c r="J50" s="260">
        <f>+H50-I50</f>
        <v>-59882028</v>
      </c>
      <c r="K50" s="364"/>
    </row>
    <row r="51" spans="1:11" s="97" customFormat="1" ht="25.5" customHeight="1">
      <c r="A51" s="2010" t="s">
        <v>13</v>
      </c>
      <c r="B51" s="313" t="s">
        <v>1608</v>
      </c>
      <c r="C51" s="142" t="s">
        <v>1639</v>
      </c>
      <c r="D51" s="90"/>
      <c r="E51" s="89">
        <v>45481</v>
      </c>
      <c r="F51" s="91">
        <f>VLOOKUP(E51,환율!$A$1798:$B$2033,2,)</f>
        <v>1379</v>
      </c>
      <c r="G51" s="92">
        <v>109345.64</v>
      </c>
      <c r="H51" s="93">
        <f t="shared" si="1"/>
        <v>150787637</v>
      </c>
      <c r="I51" s="142"/>
      <c r="J51" s="321"/>
      <c r="K51" s="364"/>
    </row>
    <row r="52" spans="1:11" s="97" customFormat="1" ht="25.5" customHeight="1">
      <c r="A52" s="2011"/>
      <c r="B52" s="313" t="s">
        <v>1609</v>
      </c>
      <c r="C52" s="142" t="s">
        <v>1640</v>
      </c>
      <c r="D52" s="90"/>
      <c r="E52" s="89">
        <v>45487</v>
      </c>
      <c r="F52" s="91">
        <f>VLOOKUP(E52,환율!$A$1798:$B$2033,2,)</f>
        <v>1380.1</v>
      </c>
      <c r="G52" s="92">
        <v>5778</v>
      </c>
      <c r="H52" s="93">
        <f t="shared" si="1"/>
        <v>7974217</v>
      </c>
      <c r="I52" s="142"/>
      <c r="J52" s="321"/>
      <c r="K52" s="364"/>
    </row>
    <row r="53" spans="1:11" s="97" customFormat="1" ht="25.5" customHeight="1">
      <c r="A53" s="2019"/>
      <c r="B53" s="313" t="s">
        <v>1610</v>
      </c>
      <c r="C53" s="142" t="s">
        <v>1641</v>
      </c>
      <c r="D53" s="90"/>
      <c r="E53" s="89">
        <v>45496</v>
      </c>
      <c r="F53" s="91">
        <f>VLOOKUP(E53,환율!$A$1798:$B$2033,2,)</f>
        <v>1388.6</v>
      </c>
      <c r="G53" s="92">
        <v>113683.44</v>
      </c>
      <c r="H53" s="93">
        <f t="shared" si="1"/>
        <v>157860824</v>
      </c>
      <c r="I53" s="142"/>
      <c r="J53" s="321"/>
      <c r="K53" s="401"/>
    </row>
    <row r="54" spans="1:11" s="97" customFormat="1" ht="25.5" customHeight="1">
      <c r="A54" s="2035" t="s">
        <v>10</v>
      </c>
      <c r="B54" s="2036"/>
      <c r="C54" s="2036"/>
      <c r="D54" s="2036"/>
      <c r="E54" s="2036"/>
      <c r="F54" s="2037"/>
      <c r="G54" s="127">
        <f>SUM(G51:G53)</f>
        <v>228807.08000000002</v>
      </c>
      <c r="H54" s="116">
        <f>SUM(H51:H53)</f>
        <v>316622678</v>
      </c>
      <c r="I54" s="116">
        <v>415715983</v>
      </c>
      <c r="J54" s="260">
        <f>+H54-I54</f>
        <v>-99093305</v>
      </c>
      <c r="K54" s="364"/>
    </row>
    <row r="55" spans="1:11" s="97" customFormat="1" ht="25.5" customHeight="1">
      <c r="A55" s="2010" t="s">
        <v>35</v>
      </c>
      <c r="B55" s="152" t="s">
        <v>1672</v>
      </c>
      <c r="C55" s="152" t="s">
        <v>1676</v>
      </c>
      <c r="D55" s="322"/>
      <c r="E55" s="125">
        <v>45516</v>
      </c>
      <c r="F55" s="102">
        <f>VLOOKUP(E55,환율!$A$1798:$B$2194,2,)</f>
        <v>1369.4</v>
      </c>
      <c r="G55" s="103">
        <f>H55/F55</f>
        <v>8564.6779611508682</v>
      </c>
      <c r="H55" s="104">
        <v>11728470</v>
      </c>
      <c r="I55" s="224"/>
      <c r="J55" s="276"/>
      <c r="K55" s="364"/>
    </row>
    <row r="56" spans="1:11" s="97" customFormat="1" ht="25.5" customHeight="1">
      <c r="A56" s="2019"/>
      <c r="B56" s="152" t="s">
        <v>1682</v>
      </c>
      <c r="C56" s="152" t="s">
        <v>1683</v>
      </c>
      <c r="D56" s="322"/>
      <c r="E56" s="125">
        <v>45526</v>
      </c>
      <c r="F56" s="102">
        <f>VLOOKUP(E56,환율!$A$1798:$B$2194,2,)</f>
        <v>1332.4</v>
      </c>
      <c r="G56" s="103">
        <f>H56/F56</f>
        <v>42958.951516061243</v>
      </c>
      <c r="H56" s="104">
        <v>57238507</v>
      </c>
      <c r="I56" s="224"/>
      <c r="J56" s="276"/>
      <c r="K56" s="364"/>
    </row>
    <row r="57" spans="1:11" s="97" customFormat="1" ht="25.5" customHeight="1">
      <c r="A57" s="2035" t="s">
        <v>10</v>
      </c>
      <c r="B57" s="2036"/>
      <c r="C57" s="2036"/>
      <c r="D57" s="2036"/>
      <c r="E57" s="2036"/>
      <c r="F57" s="2037"/>
      <c r="G57" s="127">
        <f>SUM(G55:G56)</f>
        <v>51523.629477212111</v>
      </c>
      <c r="H57" s="116">
        <f>SUM(H55:H56)</f>
        <v>68966977</v>
      </c>
      <c r="I57" s="116">
        <v>79930257</v>
      </c>
      <c r="J57" s="260">
        <f>+H57-I57</f>
        <v>-10963280</v>
      </c>
      <c r="K57" s="364"/>
    </row>
    <row r="58" spans="1:11" s="97" customFormat="1" ht="25.5" customHeight="1">
      <c r="A58" s="399" t="s">
        <v>47</v>
      </c>
      <c r="B58" s="229" t="s">
        <v>1586</v>
      </c>
      <c r="C58" s="229" t="s">
        <v>1642</v>
      </c>
      <c r="D58" s="169"/>
      <c r="E58" s="169">
        <v>45505</v>
      </c>
      <c r="F58" s="102">
        <f>VLOOKUP(E58,환율!$A$1798:$B$2194,2,)</f>
        <v>1380.1</v>
      </c>
      <c r="G58" s="122">
        <v>39476</v>
      </c>
      <c r="H58" s="104">
        <f t="shared" ref="H58" si="5">ROUNDDOWN(G58*F58,0)</f>
        <v>54480827</v>
      </c>
      <c r="I58" s="185"/>
      <c r="J58" s="277"/>
      <c r="K58" s="364"/>
    </row>
    <row r="59" spans="1:11" s="97" customFormat="1" ht="25.5" customHeight="1">
      <c r="A59" s="2035" t="s">
        <v>10</v>
      </c>
      <c r="B59" s="2036"/>
      <c r="C59" s="2036"/>
      <c r="D59" s="2036"/>
      <c r="E59" s="2036"/>
      <c r="F59" s="2037"/>
      <c r="G59" s="127">
        <f>SUM(G58:G58)</f>
        <v>39476</v>
      </c>
      <c r="H59" s="116">
        <f>SUM(H58:H58)</f>
        <v>54480827</v>
      </c>
      <c r="I59" s="116">
        <v>54840059</v>
      </c>
      <c r="J59" s="260">
        <f>+H59-I59</f>
        <v>-359232</v>
      </c>
      <c r="K59" s="364"/>
    </row>
    <row r="60" spans="1:11" s="97" customFormat="1" ht="25.5" customHeight="1">
      <c r="A60" s="399" t="s">
        <v>34</v>
      </c>
      <c r="B60" s="145" t="s">
        <v>1611</v>
      </c>
      <c r="C60" s="339" t="s">
        <v>1643</v>
      </c>
      <c r="D60" s="136"/>
      <c r="E60" s="90">
        <v>45504</v>
      </c>
      <c r="F60" s="340">
        <f>VLOOKUP(E60,환율!$A$1798:$B$2194,2,)</f>
        <v>1384.6</v>
      </c>
      <c r="G60" s="341">
        <v>13947.3</v>
      </c>
      <c r="H60" s="342">
        <f t="shared" ref="H60" si="6">ROUNDDOWN(G60*F60,0)</f>
        <v>19311431</v>
      </c>
      <c r="I60" s="343"/>
      <c r="J60" s="344"/>
      <c r="K60" s="401"/>
    </row>
    <row r="61" spans="1:11" s="97" customFormat="1" ht="25.5" customHeight="1" thickBot="1">
      <c r="A61" s="2032" t="s">
        <v>10</v>
      </c>
      <c r="B61" s="2033"/>
      <c r="C61" s="2033"/>
      <c r="D61" s="2033"/>
      <c r="E61" s="2033"/>
      <c r="F61" s="2034"/>
      <c r="G61" s="268">
        <f>SUM(G60:G60)</f>
        <v>13947.3</v>
      </c>
      <c r="H61" s="269">
        <f>SUM(H60:H60)</f>
        <v>19311431</v>
      </c>
      <c r="I61" s="269">
        <v>11683747</v>
      </c>
      <c r="J61" s="270">
        <f>+H61-I61</f>
        <v>7627684</v>
      </c>
      <c r="K61" s="364"/>
    </row>
    <row r="62" spans="1:11" s="97" customFormat="1" ht="25.5" customHeight="1">
      <c r="A62" s="2018" t="s">
        <v>14</v>
      </c>
      <c r="B62" s="247" t="s">
        <v>1567</v>
      </c>
      <c r="C62" s="248" t="s">
        <v>1644</v>
      </c>
      <c r="D62" s="248"/>
      <c r="E62" s="248">
        <v>45477</v>
      </c>
      <c r="F62" s="91">
        <f>VLOOKUP(E62,환율!$A$1798:$B$2194,2,)</f>
        <v>1389.4</v>
      </c>
      <c r="G62" s="250">
        <v>1785.3</v>
      </c>
      <c r="H62" s="251">
        <f t="shared" ref="H62:H74" si="7">ROUNDDOWN(G62*F62,0)</f>
        <v>2480495</v>
      </c>
      <c r="I62" s="252"/>
      <c r="J62" s="253"/>
      <c r="K62" s="364"/>
    </row>
    <row r="63" spans="1:11" s="97" customFormat="1" ht="25.5" customHeight="1">
      <c r="A63" s="2011"/>
      <c r="B63" s="88" t="s">
        <v>1568</v>
      </c>
      <c r="C63" s="129" t="s">
        <v>1645</v>
      </c>
      <c r="D63" s="129"/>
      <c r="E63" s="136">
        <v>45475</v>
      </c>
      <c r="F63" s="91">
        <f>VLOOKUP(E63,환율!$A$1798:$B$2194,2,)</f>
        <v>1380.8</v>
      </c>
      <c r="G63" s="92">
        <v>394.26</v>
      </c>
      <c r="H63" s="93">
        <f t="shared" si="7"/>
        <v>544394</v>
      </c>
      <c r="I63" s="165"/>
      <c r="J63" s="254"/>
      <c r="K63" s="364"/>
    </row>
    <row r="64" spans="1:11" s="97" customFormat="1" ht="25.5" customHeight="1">
      <c r="A64" s="2011"/>
      <c r="B64" s="88" t="s">
        <v>1569</v>
      </c>
      <c r="C64" s="146" t="s">
        <v>1646</v>
      </c>
      <c r="D64" s="146"/>
      <c r="E64" s="136">
        <v>45474</v>
      </c>
      <c r="F64" s="91">
        <f>VLOOKUP(E64,환율!$A$1798:$B$2194,2,)</f>
        <v>1382.4</v>
      </c>
      <c r="G64" s="118">
        <v>699.68</v>
      </c>
      <c r="H64" s="93">
        <f t="shared" si="7"/>
        <v>967237</v>
      </c>
      <c r="I64" s="147"/>
      <c r="J64" s="255"/>
      <c r="K64" s="364"/>
    </row>
    <row r="65" spans="1:11" s="97" customFormat="1" ht="25.5" customHeight="1">
      <c r="A65" s="2011"/>
      <c r="B65" s="88" t="s">
        <v>1570</v>
      </c>
      <c r="C65" s="136" t="s">
        <v>1647</v>
      </c>
      <c r="D65" s="136"/>
      <c r="E65" s="136">
        <v>45501</v>
      </c>
      <c r="F65" s="91">
        <f>VLOOKUP(E65,환율!$A$1798:$B$2194,2,)</f>
        <v>1385.4</v>
      </c>
      <c r="G65" s="92">
        <v>8626</v>
      </c>
      <c r="H65" s="93">
        <f t="shared" si="7"/>
        <v>11950460</v>
      </c>
      <c r="I65" s="167"/>
      <c r="J65" s="256"/>
      <c r="K65" s="364"/>
    </row>
    <row r="66" spans="1:11" s="97" customFormat="1" ht="25.5" customHeight="1">
      <c r="A66" s="2011"/>
      <c r="B66" s="88" t="s">
        <v>1571</v>
      </c>
      <c r="C66" s="146" t="s">
        <v>1648</v>
      </c>
      <c r="D66" s="146"/>
      <c r="E66" s="136">
        <v>45482</v>
      </c>
      <c r="F66" s="91">
        <f>VLOOKUP(E66,환율!$A$1798:$B$2194,2,)</f>
        <v>1379.4</v>
      </c>
      <c r="G66" s="92">
        <v>1831.25</v>
      </c>
      <c r="H66" s="93">
        <f t="shared" si="7"/>
        <v>2526026</v>
      </c>
      <c r="I66" s="168"/>
      <c r="J66" s="256"/>
      <c r="K66" s="364"/>
    </row>
    <row r="67" spans="1:11" s="97" customFormat="1" ht="25.5" customHeight="1">
      <c r="A67" s="2011"/>
      <c r="B67" s="88" t="s">
        <v>1572</v>
      </c>
      <c r="C67" s="146" t="s">
        <v>1649</v>
      </c>
      <c r="D67" s="146"/>
      <c r="E67" s="136">
        <v>45484</v>
      </c>
      <c r="F67" s="91">
        <f>VLOOKUP(E67,환율!$A$1798:$B$2194,2,)</f>
        <v>1385.6</v>
      </c>
      <c r="G67" s="118">
        <v>2081.7800000000002</v>
      </c>
      <c r="H67" s="93">
        <f t="shared" si="7"/>
        <v>2884514</v>
      </c>
      <c r="I67" s="147"/>
      <c r="J67" s="255"/>
      <c r="K67" s="364"/>
    </row>
    <row r="68" spans="1:11" s="97" customFormat="1" ht="25.5" customHeight="1">
      <c r="A68" s="2011"/>
      <c r="B68" s="88" t="s">
        <v>1573</v>
      </c>
      <c r="C68" s="146" t="s">
        <v>1650</v>
      </c>
      <c r="D68" s="146"/>
      <c r="E68" s="136">
        <v>45481</v>
      </c>
      <c r="F68" s="91">
        <f>VLOOKUP(E68,환율!$A$1798:$B$2194,2,)</f>
        <v>1379</v>
      </c>
      <c r="G68" s="92">
        <v>1782.1</v>
      </c>
      <c r="H68" s="93">
        <f t="shared" si="7"/>
        <v>2457515</v>
      </c>
      <c r="I68" s="168"/>
      <c r="J68" s="256"/>
      <c r="K68" s="364"/>
    </row>
    <row r="69" spans="1:11" s="97" customFormat="1" ht="25.5" customHeight="1">
      <c r="A69" s="2011"/>
      <c r="B69" s="88" t="s">
        <v>1574</v>
      </c>
      <c r="C69" s="146" t="s">
        <v>1651</v>
      </c>
      <c r="D69" s="146"/>
      <c r="E69" s="136">
        <v>45483</v>
      </c>
      <c r="F69" s="91">
        <f>VLOOKUP(E69,환율!$A$1798:$B$2194,2,)</f>
        <v>1383.4</v>
      </c>
      <c r="G69" s="92">
        <v>1210.1600000000001</v>
      </c>
      <c r="H69" s="93">
        <f t="shared" si="7"/>
        <v>1674135</v>
      </c>
      <c r="I69" s="168"/>
      <c r="J69" s="256"/>
      <c r="K69" s="364"/>
    </row>
    <row r="70" spans="1:11" s="97" customFormat="1" ht="25.5" customHeight="1">
      <c r="A70" s="2011"/>
      <c r="B70" s="88" t="s">
        <v>1575</v>
      </c>
      <c r="C70" s="146" t="s">
        <v>1652</v>
      </c>
      <c r="D70" s="146"/>
      <c r="E70" s="136">
        <v>45484</v>
      </c>
      <c r="F70" s="91">
        <f>VLOOKUP(E70,환율!$A$1798:$B$2194,2,)</f>
        <v>1385.6</v>
      </c>
      <c r="G70" s="92">
        <v>6810.3</v>
      </c>
      <c r="H70" s="93">
        <f t="shared" si="7"/>
        <v>9436351</v>
      </c>
      <c r="I70" s="168"/>
      <c r="J70" s="256"/>
      <c r="K70" s="401"/>
    </row>
    <row r="71" spans="1:11" s="97" customFormat="1" ht="25.5" customHeight="1">
      <c r="A71" s="2011"/>
      <c r="B71" s="99" t="s">
        <v>1588</v>
      </c>
      <c r="C71" s="169" t="s">
        <v>1653</v>
      </c>
      <c r="D71" s="169"/>
      <c r="E71" s="125">
        <v>45505</v>
      </c>
      <c r="F71" s="102">
        <f>VLOOKUP(E71,환율!$A$1798:$B$2194,2,)</f>
        <v>1380.1</v>
      </c>
      <c r="G71" s="103">
        <v>1740.8</v>
      </c>
      <c r="H71" s="104">
        <f t="shared" si="7"/>
        <v>2402478</v>
      </c>
      <c r="I71" s="170"/>
      <c r="J71" s="257"/>
      <c r="K71" s="408">
        <v>45495</v>
      </c>
    </row>
    <row r="72" spans="1:11" s="97" customFormat="1" ht="25.5" customHeight="1">
      <c r="A72" s="2019"/>
      <c r="B72" s="99" t="s">
        <v>1589</v>
      </c>
      <c r="C72" s="169" t="s">
        <v>1654</v>
      </c>
      <c r="D72" s="169"/>
      <c r="E72" s="125">
        <v>45514</v>
      </c>
      <c r="F72" s="102">
        <f>VLOOKUP(E72,환율!$A$1798:$B$2194,2,)</f>
        <v>1377.7</v>
      </c>
      <c r="G72" s="122">
        <v>12610</v>
      </c>
      <c r="H72" s="104">
        <f t="shared" si="7"/>
        <v>17372797</v>
      </c>
      <c r="I72" s="170"/>
      <c r="J72" s="257"/>
      <c r="K72" s="364"/>
    </row>
    <row r="73" spans="1:11" s="97" customFormat="1" ht="25.5" customHeight="1">
      <c r="A73" s="2035" t="s">
        <v>10</v>
      </c>
      <c r="B73" s="2036"/>
      <c r="C73" s="2036"/>
      <c r="D73" s="2036"/>
      <c r="E73" s="2036"/>
      <c r="F73" s="2037"/>
      <c r="G73" s="127">
        <f>SUM(G62:G72)</f>
        <v>39571.629999999997</v>
      </c>
      <c r="H73" s="116">
        <f>SUM(H62:H72)</f>
        <v>54696402</v>
      </c>
      <c r="I73" s="116">
        <v>79340673</v>
      </c>
      <c r="J73" s="260">
        <f>+H73-I73</f>
        <v>-24644271</v>
      </c>
      <c r="K73" s="364"/>
    </row>
    <row r="74" spans="1:11" s="97" customFormat="1" ht="25.5" customHeight="1">
      <c r="A74" s="399" t="s">
        <v>15</v>
      </c>
      <c r="B74" s="145" t="s">
        <v>1587</v>
      </c>
      <c r="C74" s="145" t="s">
        <v>1655</v>
      </c>
      <c r="D74" s="288"/>
      <c r="E74" s="288">
        <v>45489</v>
      </c>
      <c r="F74" s="340">
        <f>VLOOKUP(E74,환율!$A$1798:$B$2033,2,)</f>
        <v>1381.9</v>
      </c>
      <c r="G74" s="92">
        <v>1773.69</v>
      </c>
      <c r="H74" s="93">
        <f t="shared" si="7"/>
        <v>2451062</v>
      </c>
      <c r="I74" s="173"/>
      <c r="J74" s="262"/>
      <c r="K74" s="401"/>
    </row>
    <row r="75" spans="1:11" s="97" customFormat="1" ht="25.5" customHeight="1">
      <c r="A75" s="2035" t="s">
        <v>10</v>
      </c>
      <c r="B75" s="2036"/>
      <c r="C75" s="2036"/>
      <c r="D75" s="2036"/>
      <c r="E75" s="2036"/>
      <c r="F75" s="2037"/>
      <c r="G75" s="127">
        <f>SUM(G74:G74)</f>
        <v>1773.69</v>
      </c>
      <c r="H75" s="116">
        <f>SUM(H74:H74)</f>
        <v>2451062</v>
      </c>
      <c r="I75" s="116">
        <v>78300608</v>
      </c>
      <c r="J75" s="260">
        <f>+H75-I75</f>
        <v>-75849546</v>
      </c>
      <c r="K75" s="366"/>
    </row>
    <row r="76" spans="1:11" s="97" customFormat="1" ht="25.5" customHeight="1">
      <c r="A76" s="2010" t="s">
        <v>726</v>
      </c>
      <c r="B76" s="136" t="s">
        <v>1591</v>
      </c>
      <c r="C76" s="136" t="s">
        <v>1656</v>
      </c>
      <c r="D76" s="136"/>
      <c r="E76" s="136">
        <v>45479</v>
      </c>
      <c r="F76" s="397">
        <v>8.5686</v>
      </c>
      <c r="G76" s="177">
        <v>14408030</v>
      </c>
      <c r="H76" s="93">
        <f t="shared" ref="H76:H80" si="8">ROUNDDOWN(G76*F76,0)</f>
        <v>123456645</v>
      </c>
      <c r="I76" s="156"/>
      <c r="J76" s="263"/>
      <c r="K76" s="364"/>
    </row>
    <row r="77" spans="1:11" s="97" customFormat="1" ht="25.5" customHeight="1">
      <c r="A77" s="2011"/>
      <c r="B77" s="146" t="s">
        <v>1592</v>
      </c>
      <c r="C77" s="146" t="s">
        <v>1657</v>
      </c>
      <c r="D77" s="136"/>
      <c r="E77" s="136">
        <v>45486</v>
      </c>
      <c r="F77" s="176">
        <v>8.6594999999999995</v>
      </c>
      <c r="G77" s="177">
        <v>9019940</v>
      </c>
      <c r="H77" s="93">
        <f t="shared" si="8"/>
        <v>78108170</v>
      </c>
      <c r="I77" s="156"/>
      <c r="J77" s="263"/>
      <c r="K77" s="366"/>
    </row>
    <row r="78" spans="1:11" s="97" customFormat="1" ht="25.5" customHeight="1">
      <c r="A78" s="2011"/>
      <c r="B78" s="146" t="s">
        <v>1593</v>
      </c>
      <c r="C78" s="146" t="s">
        <v>1658</v>
      </c>
      <c r="D78" s="136"/>
      <c r="E78" s="136">
        <v>45486</v>
      </c>
      <c r="F78" s="176">
        <v>8.6594999999999995</v>
      </c>
      <c r="G78" s="177">
        <v>6003164</v>
      </c>
      <c r="H78" s="93">
        <f t="shared" si="8"/>
        <v>51984398</v>
      </c>
      <c r="I78" s="156"/>
      <c r="J78" s="263"/>
      <c r="K78" s="366"/>
    </row>
    <row r="79" spans="1:11" s="97" customFormat="1" ht="25.5" customHeight="1">
      <c r="A79" s="2011"/>
      <c r="B79" s="146" t="s">
        <v>1594</v>
      </c>
      <c r="C79" s="146" t="s">
        <v>1659</v>
      </c>
      <c r="D79" s="136"/>
      <c r="E79" s="136">
        <v>45493</v>
      </c>
      <c r="F79" s="176">
        <v>8.7744</v>
      </c>
      <c r="G79" s="177">
        <v>5668034</v>
      </c>
      <c r="H79" s="93">
        <f t="shared" si="8"/>
        <v>49733597</v>
      </c>
      <c r="I79" s="156"/>
      <c r="J79" s="263"/>
      <c r="K79" s="366"/>
    </row>
    <row r="80" spans="1:11" s="97" customFormat="1" ht="25.5" customHeight="1">
      <c r="A80" s="2019"/>
      <c r="B80" s="146" t="s">
        <v>1660</v>
      </c>
      <c r="C80" s="146" t="s">
        <v>1661</v>
      </c>
      <c r="D80" s="136"/>
      <c r="E80" s="136">
        <v>45500</v>
      </c>
      <c r="F80" s="176">
        <v>9.0191999999999997</v>
      </c>
      <c r="G80" s="177">
        <v>6710780</v>
      </c>
      <c r="H80" s="93">
        <f t="shared" si="8"/>
        <v>60525866</v>
      </c>
      <c r="I80" s="156"/>
      <c r="J80" s="263"/>
      <c r="K80" s="401"/>
    </row>
    <row r="81" spans="1:11" s="97" customFormat="1" ht="25.5" customHeight="1">
      <c r="A81" s="2035" t="s">
        <v>10</v>
      </c>
      <c r="B81" s="2036"/>
      <c r="C81" s="2036"/>
      <c r="D81" s="2036"/>
      <c r="E81" s="2036"/>
      <c r="F81" s="2037"/>
      <c r="G81" s="398">
        <f>SUM(G76:G80)</f>
        <v>41809948</v>
      </c>
      <c r="H81" s="116">
        <f>SUM(H76:H80)</f>
        <v>363808676</v>
      </c>
      <c r="I81" s="116">
        <v>532658241</v>
      </c>
      <c r="J81" s="260">
        <f>+H81-I81</f>
        <v>-168849565</v>
      </c>
      <c r="K81" s="364"/>
    </row>
    <row r="82" spans="1:11" s="310" customFormat="1" ht="25.5" customHeight="1">
      <c r="A82" s="2041" t="s">
        <v>992</v>
      </c>
      <c r="B82" s="332" t="s">
        <v>1674</v>
      </c>
      <c r="C82" s="303"/>
      <c r="D82" s="303"/>
      <c r="E82" s="303">
        <v>45474</v>
      </c>
      <c r="F82" s="91">
        <f>VLOOKUP(E82,환율!$A$1798:$B$2194,2,)</f>
        <v>1382.4</v>
      </c>
      <c r="G82" s="334">
        <f>H82/F82</f>
        <v>15571.759259259259</v>
      </c>
      <c r="H82" s="335">
        <v>21526400</v>
      </c>
      <c r="I82" s="336"/>
      <c r="J82" s="337"/>
      <c r="K82" s="367"/>
    </row>
    <row r="83" spans="1:11" s="310" customFormat="1" ht="25.5" customHeight="1">
      <c r="A83" s="2042"/>
      <c r="B83" s="332" t="s">
        <v>1675</v>
      </c>
      <c r="C83" s="303"/>
      <c r="D83" s="303"/>
      <c r="E83" s="303">
        <v>45474</v>
      </c>
      <c r="F83" s="91">
        <f>VLOOKUP(E83,환율!$A$1798:$B$2194,2,)</f>
        <v>1382.4</v>
      </c>
      <c r="G83" s="334">
        <f>H83/F83</f>
        <v>15571.759259259259</v>
      </c>
      <c r="H83" s="335">
        <v>21526400</v>
      </c>
      <c r="I83" s="336"/>
      <c r="J83" s="337"/>
      <c r="K83" s="367"/>
    </row>
    <row r="84" spans="1:11" s="310" customFormat="1" ht="25.5" customHeight="1">
      <c r="A84" s="2042"/>
      <c r="B84" s="332" t="s">
        <v>1677</v>
      </c>
      <c r="C84" s="303"/>
      <c r="D84" s="303"/>
      <c r="E84" s="303">
        <v>45474</v>
      </c>
      <c r="F84" s="91">
        <f>VLOOKUP(E84,환율!$A$1798:$B$2194,2,)</f>
        <v>1382.4</v>
      </c>
      <c r="G84" s="334">
        <f>H84/F84</f>
        <v>15571.759259259259</v>
      </c>
      <c r="H84" s="335">
        <v>21526400</v>
      </c>
      <c r="I84" s="336"/>
      <c r="J84" s="337"/>
      <c r="K84" s="367"/>
    </row>
    <row r="85" spans="1:11" s="310" customFormat="1" ht="25.5" customHeight="1">
      <c r="A85" s="2042"/>
      <c r="B85" s="332" t="s">
        <v>1678</v>
      </c>
      <c r="C85" s="303"/>
      <c r="D85" s="303"/>
      <c r="E85" s="303">
        <v>45497</v>
      </c>
      <c r="F85" s="91">
        <f>VLOOKUP(E85,환율!$A$1798:$B$2194,2,)</f>
        <v>1385.1</v>
      </c>
      <c r="G85" s="334">
        <f t="shared" ref="G85:G86" si="9">H85/F85</f>
        <v>15541.404952710996</v>
      </c>
      <c r="H85" s="335">
        <v>21526400</v>
      </c>
      <c r="I85" s="336"/>
      <c r="J85" s="337"/>
      <c r="K85" s="367"/>
    </row>
    <row r="86" spans="1:11" s="310" customFormat="1" ht="25.5" customHeight="1">
      <c r="A86" s="2043"/>
      <c r="B86" s="332" t="s">
        <v>1679</v>
      </c>
      <c r="C86" s="303"/>
      <c r="D86" s="303"/>
      <c r="E86" s="303">
        <v>45497</v>
      </c>
      <c r="F86" s="91">
        <f>VLOOKUP(E86,환율!$A$1798:$B$2194,2,)</f>
        <v>1385.1</v>
      </c>
      <c r="G86" s="334">
        <f t="shared" si="9"/>
        <v>1188.6463071258393</v>
      </c>
      <c r="H86" s="335">
        <v>1646394</v>
      </c>
      <c r="I86" s="336"/>
      <c r="J86" s="337"/>
      <c r="K86" s="367"/>
    </row>
    <row r="87" spans="1:11" s="97" customFormat="1" ht="25.5" customHeight="1">
      <c r="A87" s="2035" t="s">
        <v>10</v>
      </c>
      <c r="B87" s="2036"/>
      <c r="C87" s="2036"/>
      <c r="D87" s="2036"/>
      <c r="E87" s="2036"/>
      <c r="F87" s="2037"/>
      <c r="G87" s="116">
        <f>SUM(G82:G86)</f>
        <v>63445.329037614618</v>
      </c>
      <c r="H87" s="116">
        <f>SUM(H82:H86)</f>
        <v>87751994</v>
      </c>
      <c r="I87" s="116">
        <v>47358080</v>
      </c>
      <c r="J87" s="260">
        <f>+H87-I87</f>
        <v>40393914</v>
      </c>
      <c r="K87" s="402"/>
    </row>
    <row r="88" spans="1:11" s="97" customFormat="1" ht="23.25" customHeight="1" thickBot="1">
      <c r="A88" s="2044" t="s">
        <v>1176</v>
      </c>
      <c r="B88" s="2045"/>
      <c r="C88" s="2045"/>
      <c r="D88" s="2045"/>
      <c r="E88" s="2046"/>
      <c r="F88" s="1997" t="s">
        <v>31</v>
      </c>
      <c r="G88" s="232" t="s">
        <v>17</v>
      </c>
      <c r="H88" s="210">
        <f>+H90-H89</f>
        <v>3027674964</v>
      </c>
      <c r="I88" s="210">
        <v>4115844904</v>
      </c>
      <c r="J88" s="219">
        <f>+H88-I88</f>
        <v>-1088169940</v>
      </c>
      <c r="K88" s="401"/>
    </row>
    <row r="89" spans="1:11" s="97" customFormat="1" ht="23.25" customHeight="1">
      <c r="A89" s="239" t="s">
        <v>20</v>
      </c>
      <c r="B89" s="195" t="s">
        <v>21</v>
      </c>
      <c r="C89" s="196" t="s">
        <v>20</v>
      </c>
      <c r="D89" s="314"/>
      <c r="E89" s="197" t="s">
        <v>21</v>
      </c>
      <c r="F89" s="1997"/>
      <c r="G89" s="198" t="s">
        <v>18</v>
      </c>
      <c r="H89" s="210">
        <f>SUM(H49,H25:H31)</f>
        <v>201571573</v>
      </c>
      <c r="I89" s="199">
        <v>13735871</v>
      </c>
      <c r="J89" s="201">
        <f>+H89-I89</f>
        <v>187835702</v>
      </c>
      <c r="K89" s="401"/>
    </row>
    <row r="90" spans="1:11" s="97" customFormat="1" ht="23.25" customHeight="1" thickBot="1">
      <c r="A90" s="240" t="s">
        <v>9</v>
      </c>
      <c r="B90" s="199">
        <v>0</v>
      </c>
      <c r="C90" s="200" t="s">
        <v>721</v>
      </c>
      <c r="D90" s="315"/>
      <c r="E90" s="201">
        <v>0</v>
      </c>
      <c r="F90" s="1998"/>
      <c r="G90" s="202" t="s">
        <v>19</v>
      </c>
      <c r="H90" s="203">
        <f>SUM(H15,H32,H50,H54,H57,H59,H61,H73,H75,H81,H87)</f>
        <v>3229246537</v>
      </c>
      <c r="I90" s="203">
        <v>4129580775</v>
      </c>
      <c r="J90" s="233">
        <f>+H90-I90</f>
        <v>-900334238</v>
      </c>
      <c r="K90" s="364"/>
    </row>
    <row r="91" spans="1:11" s="97" customFormat="1" ht="23.25" customHeight="1">
      <c r="A91" s="240" t="s">
        <v>11</v>
      </c>
      <c r="B91" s="199">
        <f>SUM(H23:H24)</f>
        <v>38750425</v>
      </c>
      <c r="C91" s="200" t="s">
        <v>722</v>
      </c>
      <c r="D91" s="315"/>
      <c r="E91" s="201">
        <v>0</v>
      </c>
      <c r="F91" s="296" t="s">
        <v>20</v>
      </c>
      <c r="G91" s="297" t="s">
        <v>1668</v>
      </c>
      <c r="H91" s="298" t="s">
        <v>1669</v>
      </c>
      <c r="I91" s="298" t="s">
        <v>1670</v>
      </c>
      <c r="J91" s="234" t="s">
        <v>32</v>
      </c>
      <c r="K91" s="401"/>
    </row>
    <row r="92" spans="1:11" s="97" customFormat="1" ht="23.25" customHeight="1">
      <c r="A92" s="241" t="s">
        <v>114</v>
      </c>
      <c r="B92" s="199">
        <f>SUM(H44:H48)</f>
        <v>209476467</v>
      </c>
      <c r="C92" s="293" t="s">
        <v>14</v>
      </c>
      <c r="D92" s="316"/>
      <c r="E92" s="294">
        <f>SUM(H71:H72)</f>
        <v>19775275</v>
      </c>
      <c r="F92" s="211" t="s">
        <v>22</v>
      </c>
      <c r="G92" s="199">
        <v>217444801</v>
      </c>
      <c r="H92" s="199">
        <f>SUM(H76:H80)</f>
        <v>363808676</v>
      </c>
      <c r="I92" s="199">
        <v>0</v>
      </c>
      <c r="J92" s="201">
        <f>SUM(G92:H92)</f>
        <v>581253477</v>
      </c>
      <c r="K92" s="364"/>
    </row>
    <row r="93" spans="1:11" s="97" customFormat="1" ht="23.25" customHeight="1">
      <c r="A93" s="241" t="s">
        <v>153</v>
      </c>
      <c r="B93" s="199">
        <v>0</v>
      </c>
      <c r="C93" s="293" t="s">
        <v>15</v>
      </c>
      <c r="D93" s="317"/>
      <c r="E93" s="295">
        <v>0</v>
      </c>
      <c r="F93" s="211" t="s">
        <v>23</v>
      </c>
      <c r="G93" s="199">
        <f>531266007+15503250</f>
        <v>546769257</v>
      </c>
      <c r="H93" s="199">
        <f>SUM(H16:H22,H33:H43,H51:H53,H60,H25:H31,H49)</f>
        <v>1284314906</v>
      </c>
      <c r="I93" s="199">
        <f>SUM(H55:H56,H44:H48,H23:H24)</f>
        <v>317193869</v>
      </c>
      <c r="J93" s="201">
        <f>SUM(G93:H93)</f>
        <v>1831084163</v>
      </c>
      <c r="K93" s="366"/>
    </row>
    <row r="94" spans="1:11" s="126" customFormat="1" ht="23.25" customHeight="1">
      <c r="A94" s="241" t="s">
        <v>719</v>
      </c>
      <c r="B94" s="199">
        <v>0</v>
      </c>
      <c r="C94" s="293" t="s">
        <v>53</v>
      </c>
      <c r="D94" s="316"/>
      <c r="E94" s="294">
        <f>H58</f>
        <v>54480827</v>
      </c>
      <c r="F94" s="211" t="s">
        <v>24</v>
      </c>
      <c r="G94" s="199">
        <v>377173075</v>
      </c>
      <c r="H94" s="199">
        <f>SUM(H13:H14)</f>
        <v>1064548801</v>
      </c>
      <c r="I94" s="199">
        <v>0</v>
      </c>
      <c r="J94" s="201">
        <f>SUM(G94:H94)</f>
        <v>1441721876</v>
      </c>
      <c r="K94" s="366"/>
    </row>
    <row r="95" spans="1:11" s="126" customFormat="1" ht="23.25" customHeight="1">
      <c r="A95" s="241" t="s">
        <v>35</v>
      </c>
      <c r="B95" s="199">
        <f>SUM(H55:H56)</f>
        <v>68966977</v>
      </c>
      <c r="C95" s="200" t="s">
        <v>252</v>
      </c>
      <c r="D95" s="216"/>
      <c r="E95" s="219">
        <v>0</v>
      </c>
      <c r="F95" s="211" t="s">
        <v>723</v>
      </c>
      <c r="G95" s="199">
        <v>5331778</v>
      </c>
      <c r="H95" s="199">
        <f>SUM(H74:H74,H62:H70)</f>
        <v>37372189</v>
      </c>
      <c r="I95" s="199">
        <f>SUM(H71:H72,H58)</f>
        <v>74256102</v>
      </c>
      <c r="J95" s="201">
        <f>SUM(G95:H95)</f>
        <v>42703967</v>
      </c>
      <c r="K95" s="364"/>
    </row>
    <row r="96" spans="1:11" s="126" customFormat="1" ht="23.25" customHeight="1" thickBot="1">
      <c r="A96" s="215" t="s">
        <v>724</v>
      </c>
      <c r="B96" s="213">
        <f>H84</f>
        <v>21526400</v>
      </c>
      <c r="C96" s="214"/>
      <c r="D96" s="318"/>
      <c r="E96" s="242"/>
      <c r="F96" s="299" t="s">
        <v>1177</v>
      </c>
      <c r="G96" s="311">
        <v>47358080</v>
      </c>
      <c r="H96" s="311">
        <f>H87</f>
        <v>87751994</v>
      </c>
      <c r="I96" s="311">
        <v>0</v>
      </c>
      <c r="J96" s="312">
        <f>SUM(G96:H96)</f>
        <v>135110074</v>
      </c>
      <c r="K96" s="364"/>
    </row>
    <row r="97" spans="1:11" s="126" customFormat="1" ht="23.25" customHeight="1" thickTop="1" thickBot="1">
      <c r="A97" s="243"/>
      <c r="B97" s="244" t="s">
        <v>49</v>
      </c>
      <c r="C97" s="245"/>
      <c r="D97" s="244"/>
      <c r="E97" s="246">
        <f>SUM(B90:B96,E90:E96)</f>
        <v>412976371</v>
      </c>
      <c r="F97" s="236" t="s">
        <v>16</v>
      </c>
      <c r="G97" s="237">
        <f>SUM(G92:G96)</f>
        <v>1194076991</v>
      </c>
      <c r="H97" s="237">
        <f>SUM(H92:H96)</f>
        <v>2837796566</v>
      </c>
      <c r="I97" s="237">
        <f>SUM(I92:I96)</f>
        <v>391449971</v>
      </c>
      <c r="J97" s="238">
        <f>+G97+H97</f>
        <v>4031873557</v>
      </c>
      <c r="K97" s="364"/>
    </row>
    <row r="98" spans="1:11" s="19" customFormat="1" ht="23.25" customHeight="1" thickBot="1">
      <c r="A98"/>
      <c r="B98"/>
      <c r="C98"/>
      <c r="D98"/>
      <c r="E98"/>
      <c r="F98" s="2047" t="s">
        <v>1685</v>
      </c>
      <c r="G98" s="2048"/>
      <c r="H98" s="2048"/>
      <c r="I98" s="2049"/>
      <c r="J98" s="404">
        <f>J97-J96</f>
        <v>3896763483</v>
      </c>
      <c r="K98" s="24"/>
    </row>
    <row r="99" spans="1:11" ht="19.2">
      <c r="B99" s="291"/>
      <c r="C99" s="290"/>
      <c r="D99" s="290"/>
      <c r="E99" s="26"/>
      <c r="F99" s="292"/>
      <c r="H99" s="26"/>
    </row>
    <row r="100" spans="1:11" ht="19.2">
      <c r="C100" s="290"/>
      <c r="D100" s="290"/>
      <c r="E100" s="26"/>
      <c r="F100" s="292"/>
      <c r="H100" s="26"/>
    </row>
    <row r="101" spans="1:11" ht="19.2">
      <c r="C101" s="290"/>
      <c r="D101" s="290"/>
      <c r="E101" s="26"/>
      <c r="F101" s="292"/>
      <c r="H101" s="26"/>
      <c r="J101" s="26"/>
    </row>
    <row r="102" spans="1:11" ht="19.2">
      <c r="C102" s="290"/>
      <c r="D102" s="290"/>
      <c r="E102" s="26"/>
      <c r="F102" s="292"/>
      <c r="H102" s="26"/>
    </row>
    <row r="103" spans="1:11" ht="19.2">
      <c r="C103" s="290"/>
      <c r="D103" s="290"/>
      <c r="F103" s="13"/>
      <c r="H103" s="26"/>
    </row>
    <row r="104" spans="1:11">
      <c r="F104" s="13"/>
    </row>
  </sheetData>
  <autoFilter ref="A11:F97" xr:uid="{00000000-0009-0000-0000-00004A000000}"/>
  <mergeCells count="30">
    <mergeCell ref="A16:A31"/>
    <mergeCell ref="F98:I98"/>
    <mergeCell ref="A6:G10"/>
    <mergeCell ref="A11:A12"/>
    <mergeCell ref="B11:B12"/>
    <mergeCell ref="C11:C12"/>
    <mergeCell ref="D11:D12"/>
    <mergeCell ref="E11:E12"/>
    <mergeCell ref="F11:F12"/>
    <mergeCell ref="G11:J11"/>
    <mergeCell ref="A13:A14"/>
    <mergeCell ref="A51:A53"/>
    <mergeCell ref="A62:A72"/>
    <mergeCell ref="A15:F15"/>
    <mergeCell ref="A32:F32"/>
    <mergeCell ref="A50:F50"/>
    <mergeCell ref="A82:A86"/>
    <mergeCell ref="A33:A49"/>
    <mergeCell ref="A88:E88"/>
    <mergeCell ref="F88:F90"/>
    <mergeCell ref="A73:F73"/>
    <mergeCell ref="A75:F75"/>
    <mergeCell ref="A81:F81"/>
    <mergeCell ref="A87:F87"/>
    <mergeCell ref="A76:A80"/>
    <mergeCell ref="A57:F57"/>
    <mergeCell ref="A59:F59"/>
    <mergeCell ref="A61:F61"/>
    <mergeCell ref="A55:A56"/>
    <mergeCell ref="A54:F54"/>
  </mergeCells>
  <phoneticPr fontId="2" type="noConversion"/>
  <conditionalFormatting sqref="A13:A15 G39:J42 G45:J48">
    <cfRule type="expression" dxfId="1502" priority="89">
      <formula>#REF!="*01월*"</formula>
    </cfRule>
  </conditionalFormatting>
  <conditionalFormatting sqref="A50:A52">
    <cfRule type="expression" dxfId="1501" priority="1">
      <formula>#REF!="*01월*"</formula>
    </cfRule>
  </conditionalFormatting>
  <conditionalFormatting sqref="A73">
    <cfRule type="expression" dxfId="1500" priority="55">
      <formula>#REF!="*01월*"</formula>
    </cfRule>
  </conditionalFormatting>
  <conditionalFormatting sqref="A75">
    <cfRule type="expression" dxfId="1499" priority="54">
      <formula>#REF!="*01월*"</formula>
    </cfRule>
  </conditionalFormatting>
  <conditionalFormatting sqref="A16:E16">
    <cfRule type="expression" dxfId="1498" priority="535">
      <formula>#REF!="*01월*"</formula>
    </cfRule>
  </conditionalFormatting>
  <conditionalFormatting sqref="A76:E76">
    <cfRule type="expression" dxfId="1497" priority="90">
      <formula>#REF!="*01월*"</formula>
    </cfRule>
  </conditionalFormatting>
  <conditionalFormatting sqref="A11:J12 A32 G32:J32 A33:C33 D33:J36 C34:C36 B34:B39 E55:E56 A57 H57:J57 A58:E58 G58:J59 A59 A62:C62 D62:E66 G62:J66 B63:C63 C64:C66 B64:B69 B71:B72 A74 H74 G75:J75 G87:I87 A87:A88 F88:J88 A89:J97 J98 F98:F102">
    <cfRule type="expression" dxfId="1496" priority="82">
      <formula>$E13="*01월*"</formula>
    </cfRule>
  </conditionalFormatting>
  <conditionalFormatting sqref="B13:B14">
    <cfRule type="expression" dxfId="1495" priority="61">
      <formula>#REF!="*01월*"</formula>
    </cfRule>
  </conditionalFormatting>
  <conditionalFormatting sqref="B19:B20">
    <cfRule type="expression" dxfId="1494" priority="547">
      <formula>$E32="*01월*"</formula>
    </cfRule>
  </conditionalFormatting>
  <conditionalFormatting sqref="B21 B49">
    <cfRule type="expression" dxfId="1493" priority="555">
      <formula>$E35="*01월*"</formula>
    </cfRule>
  </conditionalFormatting>
  <conditionalFormatting sqref="B22:B23">
    <cfRule type="expression" dxfId="1492" priority="538">
      <formula>$E37="*01월*"</formula>
    </cfRule>
  </conditionalFormatting>
  <conditionalFormatting sqref="B23 B25:B31 G49:H49">
    <cfRule type="expression" dxfId="1491" priority="559">
      <formula>$E34="*01월*"</formula>
    </cfRule>
  </conditionalFormatting>
  <conditionalFormatting sqref="B41 B44 B74:F74 I74:J74">
    <cfRule type="expression" dxfId="1490" priority="64">
      <formula>$E42="*01월*"</formula>
    </cfRule>
  </conditionalFormatting>
  <conditionalFormatting sqref="B42">
    <cfRule type="expression" dxfId="1489" priority="114">
      <formula>$E50="*01월*"</formula>
    </cfRule>
  </conditionalFormatting>
  <conditionalFormatting sqref="B43">
    <cfRule type="expression" dxfId="1488" priority="7">
      <formula>$E55="*01월*"</formula>
    </cfRule>
  </conditionalFormatting>
  <conditionalFormatting sqref="B51:B53">
    <cfRule type="expression" dxfId="1487" priority="56">
      <formula>$E53="*01월*"</formula>
    </cfRule>
  </conditionalFormatting>
  <conditionalFormatting sqref="B55:B56">
    <cfRule type="expression" dxfId="1486" priority="29">
      <formula>$E57="*01월*"</formula>
    </cfRule>
  </conditionalFormatting>
  <conditionalFormatting sqref="B17:E17 B18">
    <cfRule type="expression" dxfId="1485" priority="110">
      <formula>#REF!="*01월*"</formula>
    </cfRule>
  </conditionalFormatting>
  <conditionalFormatting sqref="B70:E70 G70:G71 I70:J71">
    <cfRule type="expression" dxfId="1484" priority="109">
      <formula>#REF!="*01월*"</formula>
    </cfRule>
  </conditionalFormatting>
  <conditionalFormatting sqref="B55:F56">
    <cfRule type="expression" dxfId="1483" priority="27">
      <formula>#REF!="*01월*"</formula>
    </cfRule>
  </conditionalFormatting>
  <conditionalFormatting sqref="C19 G19 I19:J19 B40">
    <cfRule type="expression" dxfId="1482" priority="63">
      <formula>$E23="*01월*"</formula>
    </cfRule>
  </conditionalFormatting>
  <conditionalFormatting sqref="C18:D18 I18:J18">
    <cfRule type="expression" dxfId="1481" priority="536">
      <formula>$E23="*01월*"</formula>
    </cfRule>
  </conditionalFormatting>
  <conditionalFormatting sqref="C21:D26">
    <cfRule type="expression" dxfId="1480" priority="39">
      <formula>#REF!="*01월*"</formula>
    </cfRule>
  </conditionalFormatting>
  <conditionalFormatting sqref="C99:D103">
    <cfRule type="expression" dxfId="1479" priority="79">
      <formula>$E101="*01월*"</formula>
    </cfRule>
  </conditionalFormatting>
  <conditionalFormatting sqref="C20:E20 G20:J20">
    <cfRule type="expression" dxfId="1478" priority="113">
      <formula>#REF!="*01월*"</formula>
    </cfRule>
  </conditionalFormatting>
  <conditionalFormatting sqref="C38:E38">
    <cfRule type="expression" dxfId="1477" priority="85">
      <formula>$E44="*01월*"</formula>
    </cfRule>
  </conditionalFormatting>
  <conditionalFormatting sqref="C39:E49">
    <cfRule type="expression" dxfId="1476" priority="4">
      <formula>#REF!="*01월*"</formula>
    </cfRule>
  </conditionalFormatting>
  <conditionalFormatting sqref="C67:E69 G67:J69">
    <cfRule type="expression" dxfId="1475" priority="105">
      <formula>#REF!="*01월*"</formula>
    </cfRule>
  </conditionalFormatting>
  <conditionalFormatting sqref="C71:E72">
    <cfRule type="expression" dxfId="1474" priority="65">
      <formula>#REF!="*01월*"</formula>
    </cfRule>
  </conditionalFormatting>
  <conditionalFormatting sqref="C14:F14">
    <cfRule type="expression" dxfId="1473" priority="41">
      <formula>#REF!="*01월*"</formula>
    </cfRule>
  </conditionalFormatting>
  <conditionalFormatting sqref="C13:J13">
    <cfRule type="expression" dxfId="1472" priority="96">
      <formula>#REF!="*01월*"</formula>
    </cfRule>
  </conditionalFormatting>
  <conditionalFormatting sqref="C37:J37 A60:J60">
    <cfRule type="expression" dxfId="1471" priority="87">
      <formula>#REF!="*01월*"</formula>
    </cfRule>
  </conditionalFormatting>
  <conditionalFormatting sqref="C51:J53">
    <cfRule type="expression" dxfId="1470" priority="86">
      <formula>#REF!="*01월*"</formula>
    </cfRule>
  </conditionalFormatting>
  <conditionalFormatting sqref="D19:E19">
    <cfRule type="expression" dxfId="1469" priority="76">
      <formula>#REF!="*01월*"</formula>
    </cfRule>
  </conditionalFormatting>
  <conditionalFormatting sqref="E18 G18:H18">
    <cfRule type="expression" dxfId="1468" priority="103">
      <formula>#REF!="*01월*"</formula>
    </cfRule>
  </conditionalFormatting>
  <conditionalFormatting sqref="E21 B24">
    <cfRule type="expression" dxfId="1467" priority="537">
      <formula>$E33="*01월*"</formula>
    </cfRule>
  </conditionalFormatting>
  <conditionalFormatting sqref="E22:E23">
    <cfRule type="expression" dxfId="1466" priority="540">
      <formula>$E35="*01월*"</formula>
    </cfRule>
  </conditionalFormatting>
  <conditionalFormatting sqref="E23 E25:E26">
    <cfRule type="expression" dxfId="1465" priority="78">
      <formula>$E32="*01월*"</formula>
    </cfRule>
  </conditionalFormatting>
  <conditionalFormatting sqref="E24 F49">
    <cfRule type="expression" dxfId="1464" priority="591">
      <formula>$E34="*01월*"</formula>
    </cfRule>
  </conditionalFormatting>
  <conditionalFormatting sqref="F16:F24">
    <cfRule type="expression" dxfId="1463" priority="36">
      <formula>#REF!="*01월*"</formula>
    </cfRule>
  </conditionalFormatting>
  <conditionalFormatting sqref="F26:F31">
    <cfRule type="expression" dxfId="1462" priority="35">
      <formula>$E33="*01월*"</formula>
    </cfRule>
  </conditionalFormatting>
  <conditionalFormatting sqref="F38:F42 F44:F48">
    <cfRule type="expression" dxfId="1461" priority="43">
      <formula>#REF!="*01월*"</formula>
    </cfRule>
  </conditionalFormatting>
  <conditionalFormatting sqref="F43">
    <cfRule type="expression" dxfId="1460" priority="5">
      <formula>$E51="*01월*"</formula>
    </cfRule>
  </conditionalFormatting>
  <conditionalFormatting sqref="F58">
    <cfRule type="expression" dxfId="1459" priority="42">
      <formula>#REF!="*01월*"</formula>
    </cfRule>
  </conditionalFormatting>
  <conditionalFormatting sqref="F62:F71">
    <cfRule type="expression" dxfId="1458" priority="25">
      <formula>#REF!="*01월*"</formula>
    </cfRule>
  </conditionalFormatting>
  <conditionalFormatting sqref="F78:F80">
    <cfRule type="expression" dxfId="1457" priority="557">
      <formula>#REF!="*01월*"</formula>
    </cfRule>
  </conditionalFormatting>
  <conditionalFormatting sqref="F82:G86">
    <cfRule type="expression" dxfId="1456" priority="9">
      <formula>#REF!="*01월*"</formula>
    </cfRule>
  </conditionalFormatting>
  <conditionalFormatting sqref="F25:H25">
    <cfRule type="expression" dxfId="1455" priority="570">
      <formula>$E32="*01월*"</formula>
    </cfRule>
  </conditionalFormatting>
  <conditionalFormatting sqref="F72:J72">
    <cfRule type="expression" dxfId="1454" priority="24">
      <formula>#REF!="*01월*"</formula>
    </cfRule>
  </conditionalFormatting>
  <conditionalFormatting sqref="G57">
    <cfRule type="expression" dxfId="1453" priority="107">
      <formula>#REF!="*01월*"</formula>
    </cfRule>
  </conditionalFormatting>
  <conditionalFormatting sqref="G74">
    <cfRule type="expression" dxfId="1452" priority="100">
      <formula>$E77="*01월*"</formula>
    </cfRule>
  </conditionalFormatting>
  <conditionalFormatting sqref="G21:H24">
    <cfRule type="expression" dxfId="1451" priority="101">
      <formula>#REF!="*01월*"</formula>
    </cfRule>
  </conditionalFormatting>
  <conditionalFormatting sqref="G26:H26">
    <cfRule type="expression" dxfId="1450" priority="40">
      <formula>$E33="*01월*"</formula>
    </cfRule>
  </conditionalFormatting>
  <conditionalFormatting sqref="G26:H31">
    <cfRule type="expression" dxfId="1449" priority="578">
      <formula>$E34="*01월*"</formula>
    </cfRule>
  </conditionalFormatting>
  <conditionalFormatting sqref="G43:H43">
    <cfRule type="expression" dxfId="1448" priority="8">
      <formula>$E52="*01월*"</formula>
    </cfRule>
  </conditionalFormatting>
  <conditionalFormatting sqref="G44:H44">
    <cfRule type="expression" dxfId="1447" priority="92">
      <formula>#REF!="*01월*"</formula>
    </cfRule>
  </conditionalFormatting>
  <conditionalFormatting sqref="G14:J17">
    <cfRule type="expression" dxfId="1446" priority="50">
      <formula>#REF!="*01월*"</formula>
    </cfRule>
  </conditionalFormatting>
  <conditionalFormatting sqref="G38:J38 B45:B48 A81:A82 B82:E86 H82:J86">
    <cfRule type="expression" dxfId="1445" priority="592">
      <formula>$E44="*01월*"</formula>
    </cfRule>
  </conditionalFormatting>
  <conditionalFormatting sqref="G50:J50 A55 C55:D56 G55:G56 F76:F77">
    <cfRule type="expression" dxfId="1444" priority="83">
      <formula>$E53="*01월*"</formula>
    </cfRule>
  </conditionalFormatting>
  <conditionalFormatting sqref="G54:J56">
    <cfRule type="expression" dxfId="1443" priority="81">
      <formula>#REF!="*01월*"</formula>
    </cfRule>
  </conditionalFormatting>
  <conditionalFormatting sqref="G73:J73">
    <cfRule type="expression" dxfId="1442" priority="84">
      <formula>$E75="*01월*"</formula>
    </cfRule>
  </conditionalFormatting>
  <conditionalFormatting sqref="G76:J80 B77:E80">
    <cfRule type="expression" dxfId="1441" priority="88">
      <formula>#REF!="*01월*"</formula>
    </cfRule>
  </conditionalFormatting>
  <conditionalFormatting sqref="G81:J81">
    <cfRule type="expression" dxfId="1440" priority="80">
      <formula>$E87="*01월*"</formula>
    </cfRule>
  </conditionalFormatting>
  <conditionalFormatting sqref="H19">
    <cfRule type="expression" dxfId="1439" priority="74">
      <formula>#REF!="*01월*"</formula>
    </cfRule>
  </conditionalFormatting>
  <conditionalFormatting sqref="H70">
    <cfRule type="expression" dxfId="1438" priority="108">
      <formula>#REF!="*01월*"</formula>
    </cfRule>
  </conditionalFormatting>
  <conditionalFormatting sqref="H71">
    <cfRule type="expression" dxfId="1437" priority="69">
      <formula>$E73="*01월*"</formula>
    </cfRule>
  </conditionalFormatting>
  <conditionalFormatting sqref="I21:J31 C26:E31">
    <cfRule type="expression" dxfId="1436" priority="67">
      <formula>#REF!="*01월*"</formula>
    </cfRule>
  </conditionalFormatting>
  <conditionalFormatting sqref="I43:J44">
    <cfRule type="expression" dxfId="1435" priority="6">
      <formula>#REF!="*01월*"</formula>
    </cfRule>
  </conditionalFormatting>
  <conditionalFormatting sqref="I49:J49 A54 A61 G61:J61">
    <cfRule type="expression" dxfId="1434" priority="99">
      <formula>#REF!="*01월*"</formula>
    </cfRule>
  </conditionalFormatting>
  <conditionalFormatting sqref="J87">
    <cfRule type="expression" dxfId="1433" priority="3">
      <formula>$E93="*01월*"</formula>
    </cfRule>
  </conditionalFormatting>
  <printOptions horizontalCentered="1"/>
  <pageMargins left="0" right="0" top="0.72" bottom="1.34" header="0" footer="0"/>
  <pageSetup paperSize="9" scale="43" fitToHeight="0" orientation="portrait" r:id="rId1"/>
  <rowBreaks count="1" manualBreakCount="1">
    <brk id="61" max="9" man="1"/>
  </rowBreaks>
  <colBreaks count="1" manualBreakCount="1">
    <brk id="9" max="97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pageSetUpPr fitToPage="1"/>
  </sheetPr>
  <dimension ref="A5:K89"/>
  <sheetViews>
    <sheetView view="pageBreakPreview" zoomScale="70" zoomScaleNormal="70" zoomScaleSheetLayoutView="70" workbookViewId="0">
      <pane xSplit="1" ySplit="12" topLeftCell="B49" activePane="bottomRight" state="frozen"/>
      <selection pane="topRight" activeCell="B1" sqref="B1"/>
      <selection pane="bottomLeft" activeCell="A9" sqref="A9"/>
      <selection pane="bottomRight" activeCell="A62" sqref="A62:F62"/>
    </sheetView>
  </sheetViews>
  <sheetFormatPr defaultRowHeight="17.399999999999999"/>
  <cols>
    <col min="1" max="1" width="23.3984375" customWidth="1"/>
    <col min="2" max="2" width="22.8984375" customWidth="1"/>
    <col min="3" max="3" width="29.09765625" customWidth="1"/>
    <col min="4" max="4" width="29.09765625" hidden="1" customWidth="1"/>
    <col min="5" max="5" width="21" customWidth="1"/>
    <col min="6" max="6" width="18.69921875" customWidth="1"/>
    <col min="7" max="7" width="25.69921875" style="47" customWidth="1"/>
    <col min="8" max="8" width="26.5" customWidth="1"/>
    <col min="9" max="9" width="25.09765625" customWidth="1"/>
    <col min="10" max="10" width="29.19921875" customWidth="1"/>
    <col min="11" max="11" width="17.59765625" style="24" bestFit="1" customWidth="1"/>
  </cols>
  <sheetData>
    <row r="5" spans="1:11" ht="19.5" customHeight="1"/>
    <row r="6" spans="1:11" ht="19.5" customHeight="1">
      <c r="A6" s="2020" t="s">
        <v>1684</v>
      </c>
      <c r="B6" s="2020"/>
      <c r="C6" s="2020"/>
      <c r="D6" s="2020"/>
      <c r="E6" s="2020"/>
      <c r="F6" s="2020"/>
      <c r="G6" s="2020"/>
      <c r="H6" s="1"/>
      <c r="I6" s="1"/>
      <c r="J6" s="1"/>
    </row>
    <row r="7" spans="1:11" ht="19.5" customHeight="1">
      <c r="A7" s="2020"/>
      <c r="B7" s="2020"/>
      <c r="C7" s="2020"/>
      <c r="D7" s="2020"/>
      <c r="E7" s="2020"/>
      <c r="F7" s="2020"/>
      <c r="G7" s="2020"/>
      <c r="H7" s="1"/>
      <c r="I7" s="1"/>
      <c r="J7" s="1"/>
    </row>
    <row r="8" spans="1:11" ht="19.5" customHeight="1">
      <c r="A8" s="2020"/>
      <c r="B8" s="2020"/>
      <c r="C8" s="2020"/>
      <c r="D8" s="2020"/>
      <c r="E8" s="2020"/>
      <c r="F8" s="2020"/>
      <c r="G8" s="2020"/>
      <c r="H8" s="1"/>
      <c r="I8" s="1"/>
      <c r="J8" s="1"/>
    </row>
    <row r="9" spans="1:11" ht="19.5" customHeight="1">
      <c r="A9" s="2020"/>
      <c r="B9" s="2020"/>
      <c r="C9" s="2020"/>
      <c r="D9" s="2020"/>
      <c r="E9" s="2020"/>
      <c r="F9" s="2020"/>
      <c r="G9" s="2020"/>
      <c r="H9" s="2"/>
      <c r="I9" s="2"/>
      <c r="J9" s="2"/>
    </row>
    <row r="10" spans="1:11" ht="19.5" customHeight="1" thickBot="1">
      <c r="A10" s="2052"/>
      <c r="B10" s="2052"/>
      <c r="C10" s="2052"/>
      <c r="D10" s="2052"/>
      <c r="E10" s="2052"/>
      <c r="F10" s="2052"/>
      <c r="G10" s="2052"/>
      <c r="H10" s="2"/>
      <c r="I10" s="2"/>
      <c r="J10" s="2"/>
    </row>
    <row r="11" spans="1:11" ht="23.25" customHeight="1">
      <c r="A11" s="2021" t="s">
        <v>0</v>
      </c>
      <c r="B11" s="2023" t="s">
        <v>1</v>
      </c>
      <c r="C11" s="2024" t="s">
        <v>2</v>
      </c>
      <c r="D11" s="2024" t="s">
        <v>1222</v>
      </c>
      <c r="E11" s="2024" t="s">
        <v>3</v>
      </c>
      <c r="F11" s="2025" t="s">
        <v>4</v>
      </c>
      <c r="G11" s="2026" t="s">
        <v>5</v>
      </c>
      <c r="H11" s="2027"/>
      <c r="I11" s="2027"/>
      <c r="J11" s="2028"/>
    </row>
    <row r="12" spans="1:11" ht="23.25" customHeight="1">
      <c r="A12" s="2022"/>
      <c r="B12" s="2003"/>
      <c r="C12" s="2004"/>
      <c r="D12" s="2004"/>
      <c r="E12" s="2004"/>
      <c r="F12" s="2005"/>
      <c r="G12" s="82" t="s">
        <v>6</v>
      </c>
      <c r="H12" s="3" t="s">
        <v>7</v>
      </c>
      <c r="I12" s="3" t="s">
        <v>101</v>
      </c>
      <c r="J12" s="271" t="s">
        <v>8</v>
      </c>
    </row>
    <row r="13" spans="1:11" s="97" customFormat="1" ht="27" customHeight="1">
      <c r="A13" s="2010" t="s">
        <v>9</v>
      </c>
      <c r="B13" s="88" t="s">
        <v>1688</v>
      </c>
      <c r="C13" s="89" t="s">
        <v>1689</v>
      </c>
      <c r="D13" s="89"/>
      <c r="E13" s="90">
        <v>45525</v>
      </c>
      <c r="F13" s="91">
        <f>VLOOKUP(E13,환율!$A$1798:$B$2194,2,)</f>
        <v>1332</v>
      </c>
      <c r="G13" s="92">
        <v>406494.08</v>
      </c>
      <c r="H13" s="93">
        <f t="shared" ref="H13:H18" si="0">ROUNDDOWN(G13*F13,0)</f>
        <v>541450114</v>
      </c>
      <c r="I13" s="94" ph="1"/>
      <c r="J13" s="254"/>
      <c r="K13" s="364"/>
    </row>
    <row r="14" spans="1:11" s="97" customFormat="1" ht="27" customHeight="1">
      <c r="A14" s="2011"/>
      <c r="B14" s="88" t="s">
        <v>1690</v>
      </c>
      <c r="C14" s="89" t="s">
        <v>1691</v>
      </c>
      <c r="D14" s="89"/>
      <c r="E14" s="90">
        <v>45526</v>
      </c>
      <c r="F14" s="91">
        <f>VLOOKUP(E14,환율!$A$1798:$B$2194,2,)</f>
        <v>1332.4</v>
      </c>
      <c r="G14" s="92">
        <v>168424.08</v>
      </c>
      <c r="H14" s="93">
        <f t="shared" si="0"/>
        <v>224408244</v>
      </c>
      <c r="I14" s="363" ph="1"/>
      <c r="J14" s="254"/>
      <c r="K14" s="401"/>
    </row>
    <row r="15" spans="1:11" s="97" customFormat="1" ht="27" customHeight="1">
      <c r="A15" s="2011"/>
      <c r="B15" s="88" t="s">
        <v>1731</v>
      </c>
      <c r="C15" s="89" t="s">
        <v>1761</v>
      </c>
      <c r="D15" s="89"/>
      <c r="E15" s="90">
        <v>45534</v>
      </c>
      <c r="F15" s="91">
        <f>VLOOKUP(E15,환율!$A$1798:$B$2194,2,)</f>
        <v>1335.3</v>
      </c>
      <c r="G15" s="92">
        <v>330742.14</v>
      </c>
      <c r="H15" s="93">
        <f t="shared" si="0"/>
        <v>441639979</v>
      </c>
      <c r="I15" s="363" ph="1"/>
      <c r="J15" s="254"/>
      <c r="K15" s="401"/>
    </row>
    <row r="16" spans="1:11" s="97" customFormat="1" ht="27" customHeight="1">
      <c r="A16" s="2011"/>
      <c r="B16" s="99" t="s">
        <v>1766</v>
      </c>
      <c r="C16" s="100" t="s">
        <v>1768</v>
      </c>
      <c r="D16" s="100"/>
      <c r="E16" s="125">
        <v>45545</v>
      </c>
      <c r="F16" s="102">
        <f>VLOOKUP(E16,환율!$A$1798:$B$2194,2,)</f>
        <v>1339.5</v>
      </c>
      <c r="G16" s="103">
        <v>378904.12</v>
      </c>
      <c r="H16" s="104">
        <f t="shared" si="0"/>
        <v>507542068</v>
      </c>
      <c r="I16" s="353" ph="1"/>
      <c r="J16" s="272"/>
      <c r="K16" s="411"/>
    </row>
    <row r="17" spans="1:11" s="97" customFormat="1" ht="27" customHeight="1">
      <c r="A17" s="2011"/>
      <c r="B17" s="405" t="s">
        <v>1772</v>
      </c>
      <c r="C17" s="379"/>
      <c r="D17" s="379"/>
      <c r="E17" s="381">
        <v>45527</v>
      </c>
      <c r="F17" s="382">
        <f>VLOOKUP(E17,환율!$A$1798:$B$2194,2,)</f>
        <v>1335.9</v>
      </c>
      <c r="G17" s="406">
        <v>75600</v>
      </c>
      <c r="H17" s="384">
        <f t="shared" si="0"/>
        <v>100994040</v>
      </c>
      <c r="I17" s="407" ph="1"/>
      <c r="J17" s="386"/>
      <c r="K17" s="401"/>
    </row>
    <row r="18" spans="1:11" s="97" customFormat="1" ht="27" customHeight="1">
      <c r="A18" s="2019"/>
      <c r="B18" s="405" t="s">
        <v>1773</v>
      </c>
      <c r="C18" s="379"/>
      <c r="D18" s="379"/>
      <c r="E18" s="381">
        <v>45527</v>
      </c>
      <c r="F18" s="382">
        <f>VLOOKUP(E18,환율!$A$1798:$B$2194,2,)</f>
        <v>1335.9</v>
      </c>
      <c r="G18" s="406">
        <v>15400</v>
      </c>
      <c r="H18" s="384">
        <f t="shared" si="0"/>
        <v>20572860</v>
      </c>
      <c r="I18" s="407" ph="1"/>
      <c r="J18" s="386"/>
      <c r="K18" s="401"/>
    </row>
    <row r="19" spans="1:11" s="97" customFormat="1" ht="27" customHeight="1">
      <c r="A19" s="2035" t="s">
        <v>10</v>
      </c>
      <c r="B19" s="2036"/>
      <c r="C19" s="2036"/>
      <c r="D19" s="2036"/>
      <c r="E19" s="2036"/>
      <c r="F19" s="2037"/>
      <c r="G19" s="115">
        <f>SUM(G13:G18)</f>
        <v>1375564.42</v>
      </c>
      <c r="H19" s="116">
        <f>SUM(H13:H18)</f>
        <v>1836607305</v>
      </c>
      <c r="I19" s="116">
        <v>1064548801</v>
      </c>
      <c r="J19" s="260">
        <f>+H19-I19</f>
        <v>772058504</v>
      </c>
      <c r="K19" s="364"/>
    </row>
    <row r="20" spans="1:11" s="120" customFormat="1" ht="27" customHeight="1">
      <c r="A20" s="2010" t="s">
        <v>11</v>
      </c>
      <c r="B20" s="117" t="s">
        <v>1692</v>
      </c>
      <c r="C20" s="89" t="s">
        <v>1693</v>
      </c>
      <c r="D20" s="319"/>
      <c r="E20" s="90">
        <v>45528</v>
      </c>
      <c r="F20" s="91">
        <f>VLOOKUP(E20,환율!$A$1798:$B$2194,2,)</f>
        <v>1335.9</v>
      </c>
      <c r="G20" s="118">
        <v>73749.42</v>
      </c>
      <c r="H20" s="93">
        <f t="shared" ref="H20:H41" si="1">ROUNDDOWN(G20*F20,0)</f>
        <v>98521850</v>
      </c>
      <c r="I20" s="119"/>
      <c r="J20" s="254"/>
      <c r="K20" s="365"/>
    </row>
    <row r="21" spans="1:11" s="120" customFormat="1" ht="27" customHeight="1">
      <c r="A21" s="2011"/>
      <c r="B21" s="117" t="s">
        <v>1694</v>
      </c>
      <c r="C21" s="89" t="s">
        <v>1695</v>
      </c>
      <c r="D21" s="319"/>
      <c r="E21" s="90">
        <v>45525</v>
      </c>
      <c r="F21" s="91">
        <f>VLOOKUP(E21,환율!$A$1798:$B$2194,2,)</f>
        <v>1332</v>
      </c>
      <c r="G21" s="118">
        <v>34925.760000000002</v>
      </c>
      <c r="H21" s="93">
        <f t="shared" si="1"/>
        <v>46521112</v>
      </c>
      <c r="I21" s="119"/>
      <c r="J21" s="254"/>
      <c r="K21" s="365"/>
    </row>
    <row r="22" spans="1:11" s="120" customFormat="1" ht="27" customHeight="1">
      <c r="A22" s="2011"/>
      <c r="B22" s="117" t="s">
        <v>1696</v>
      </c>
      <c r="C22" s="89" t="s">
        <v>1697</v>
      </c>
      <c r="D22" s="319"/>
      <c r="E22" s="90">
        <v>45528</v>
      </c>
      <c r="F22" s="91">
        <f>VLOOKUP(E22,환율!$A$1798:$B$2194,2,)</f>
        <v>1335.9</v>
      </c>
      <c r="G22" s="118">
        <v>554.27</v>
      </c>
      <c r="H22" s="93">
        <f t="shared" si="1"/>
        <v>740449</v>
      </c>
      <c r="I22" s="119"/>
      <c r="J22" s="254"/>
      <c r="K22" s="365"/>
    </row>
    <row r="23" spans="1:11" s="97" customFormat="1" ht="27" customHeight="1">
      <c r="A23" s="2011"/>
      <c r="B23" s="117" t="s">
        <v>1698</v>
      </c>
      <c r="C23" s="89" t="s">
        <v>1699</v>
      </c>
      <c r="D23" s="319"/>
      <c r="E23" s="90">
        <v>45528</v>
      </c>
      <c r="F23" s="91">
        <f>VLOOKUP(E23,환율!$A$1798:$B$2194,2,)</f>
        <v>1335.9</v>
      </c>
      <c r="G23" s="118">
        <v>945.12</v>
      </c>
      <c r="H23" s="93">
        <f t="shared" si="1"/>
        <v>1262585</v>
      </c>
      <c r="I23" s="119"/>
      <c r="J23" s="254"/>
      <c r="K23" s="364"/>
    </row>
    <row r="24" spans="1:11" s="120" customFormat="1" ht="27" customHeight="1">
      <c r="A24" s="2011"/>
      <c r="B24" s="117" t="s">
        <v>1700</v>
      </c>
      <c r="C24" s="89" t="s">
        <v>1701</v>
      </c>
      <c r="D24" s="319"/>
      <c r="E24" s="90">
        <v>45528</v>
      </c>
      <c r="F24" s="91">
        <f>VLOOKUP(E24,환율!$A$1798:$B$2194,2,)</f>
        <v>1335.9</v>
      </c>
      <c r="G24" s="118">
        <v>1438.66</v>
      </c>
      <c r="H24" s="93">
        <f t="shared" si="1"/>
        <v>1921905</v>
      </c>
      <c r="I24" s="119"/>
      <c r="J24" s="254"/>
      <c r="K24" s="365"/>
    </row>
    <row r="25" spans="1:11" s="120" customFormat="1" ht="27" customHeight="1">
      <c r="A25" s="2011"/>
      <c r="B25" s="391" t="s">
        <v>1743</v>
      </c>
      <c r="C25" s="89" t="s">
        <v>1744</v>
      </c>
      <c r="D25" s="319"/>
      <c r="E25" s="90">
        <v>45527</v>
      </c>
      <c r="F25" s="91">
        <f>VLOOKUP(E25,환율!$A$1798:$B$2194,2,)</f>
        <v>1335.9</v>
      </c>
      <c r="G25" s="118">
        <v>219.36</v>
      </c>
      <c r="H25" s="93">
        <f>ROUNDDOWN(G25*F25,0)</f>
        <v>293043</v>
      </c>
      <c r="I25" s="119"/>
      <c r="J25" s="254"/>
      <c r="K25" s="365"/>
    </row>
    <row r="26" spans="1:11" s="120" customFormat="1" ht="27" customHeight="1">
      <c r="A26" s="2011"/>
      <c r="B26" s="391" t="s">
        <v>1745</v>
      </c>
      <c r="C26" s="89" t="s">
        <v>1746</v>
      </c>
      <c r="D26" s="319"/>
      <c r="E26" s="136">
        <v>45527</v>
      </c>
      <c r="F26" s="91">
        <f>VLOOKUP(E26,환율!$A$1798:$B$2194,2,)</f>
        <v>1335.9</v>
      </c>
      <c r="G26" s="118">
        <v>219.36</v>
      </c>
      <c r="H26" s="93">
        <f>ROUNDDOWN(G26*F26,0)</f>
        <v>293043</v>
      </c>
      <c r="I26" s="119"/>
      <c r="J26" s="254"/>
      <c r="K26" s="401"/>
    </row>
    <row r="27" spans="1:11" s="120" customFormat="1" ht="27" customHeight="1">
      <c r="A27" s="2011"/>
      <c r="B27" s="391" t="s">
        <v>1747</v>
      </c>
      <c r="C27" s="89" t="s">
        <v>1748</v>
      </c>
      <c r="D27" s="319"/>
      <c r="E27" s="136">
        <v>45527</v>
      </c>
      <c r="F27" s="91">
        <f>VLOOKUP(E27,환율!$A$1798:$B$2194,2,)</f>
        <v>1335.9</v>
      </c>
      <c r="G27" s="118">
        <v>191.94</v>
      </c>
      <c r="H27" s="93">
        <f>ROUNDDOWN(G27*F27,0)</f>
        <v>256412</v>
      </c>
      <c r="I27" s="119"/>
      <c r="J27" s="254"/>
      <c r="K27" s="365"/>
    </row>
    <row r="28" spans="1:11" s="120" customFormat="1" ht="27" customHeight="1">
      <c r="A28" s="2011"/>
      <c r="B28" s="391" t="s">
        <v>1749</v>
      </c>
      <c r="C28" s="89" t="s">
        <v>1763</v>
      </c>
      <c r="D28" s="319"/>
      <c r="E28" s="90">
        <v>45531</v>
      </c>
      <c r="F28" s="91">
        <f>VLOOKUP(E28,환율!$A$1798:$B$2194,2,)</f>
        <v>1323.9</v>
      </c>
      <c r="G28" s="118">
        <v>370.04</v>
      </c>
      <c r="H28" s="93">
        <f>ROUNDDOWN(G28*F28,0)</f>
        <v>489895</v>
      </c>
      <c r="I28" s="119"/>
      <c r="J28" s="254"/>
      <c r="K28" s="365"/>
    </row>
    <row r="29" spans="1:11" s="120" customFormat="1" ht="27" customHeight="1">
      <c r="A29" s="2011"/>
      <c r="B29" s="121" t="s">
        <v>1721</v>
      </c>
      <c r="C29" s="100" t="s">
        <v>1742</v>
      </c>
      <c r="D29" s="320"/>
      <c r="E29" s="101">
        <v>45536</v>
      </c>
      <c r="F29" s="102">
        <f>VLOOKUP(E29,환율!$A$1798:$B$2194,2,)</f>
        <v>1335.3</v>
      </c>
      <c r="G29" s="122">
        <v>6663.3</v>
      </c>
      <c r="H29" s="104">
        <f t="shared" ref="H29" si="2">ROUNDDOWN(G29*F29,0)</f>
        <v>8897504</v>
      </c>
      <c r="I29" s="123"/>
      <c r="J29" s="272"/>
      <c r="K29" s="365"/>
    </row>
    <row r="30" spans="1:11" s="97" customFormat="1" ht="27" customHeight="1">
      <c r="A30" s="2035" t="s">
        <v>10</v>
      </c>
      <c r="B30" s="2036"/>
      <c r="C30" s="2036"/>
      <c r="D30" s="2036"/>
      <c r="E30" s="2036"/>
      <c r="F30" s="2037"/>
      <c r="G30" s="127">
        <f>SUM(G20:G29)</f>
        <v>119277.23</v>
      </c>
      <c r="H30" s="127">
        <f>SUM(H20:H29)</f>
        <v>159197798</v>
      </c>
      <c r="I30" s="116">
        <v>329226847</v>
      </c>
      <c r="J30" s="260">
        <f>+H30-I30</f>
        <v>-170029049</v>
      </c>
      <c r="K30" s="364"/>
    </row>
    <row r="31" spans="1:11" s="126" customFormat="1" ht="27" customHeight="1">
      <c r="A31" s="2010" t="s">
        <v>12</v>
      </c>
      <c r="B31" s="313" t="s">
        <v>1722</v>
      </c>
      <c r="C31" s="129" t="s">
        <v>1723</v>
      </c>
      <c r="D31" s="129"/>
      <c r="E31" s="136">
        <v>45526</v>
      </c>
      <c r="F31" s="91">
        <f>VLOOKUP(E31,환율!$A$1798:$B$2194,2,)</f>
        <v>1332.4</v>
      </c>
      <c r="G31" s="134">
        <v>78708</v>
      </c>
      <c r="H31" s="93">
        <f t="shared" si="1"/>
        <v>104870539</v>
      </c>
      <c r="I31" s="135"/>
      <c r="J31" s="255"/>
      <c r="K31" s="364"/>
    </row>
    <row r="32" spans="1:11" s="126" customFormat="1" ht="27" customHeight="1">
      <c r="A32" s="2011"/>
      <c r="B32" s="313" t="s">
        <v>1724</v>
      </c>
      <c r="C32" s="129" t="s">
        <v>1725</v>
      </c>
      <c r="D32" s="129"/>
      <c r="E32" s="136">
        <v>45526</v>
      </c>
      <c r="F32" s="91">
        <f>VLOOKUP(E32,환율!$A$1798:$B$2194,2,)</f>
        <v>1332.4</v>
      </c>
      <c r="G32" s="389">
        <v>23786</v>
      </c>
      <c r="H32" s="93">
        <f t="shared" si="1"/>
        <v>31692466</v>
      </c>
      <c r="I32" s="135"/>
      <c r="J32" s="255"/>
      <c r="K32" s="364"/>
    </row>
    <row r="33" spans="1:11" s="126" customFormat="1" ht="27" customHeight="1">
      <c r="A33" s="2011"/>
      <c r="B33" s="313" t="s">
        <v>1732</v>
      </c>
      <c r="C33" s="390" t="s">
        <v>1733</v>
      </c>
      <c r="D33" s="129"/>
      <c r="E33" s="136">
        <v>45534</v>
      </c>
      <c r="F33" s="91">
        <f>VLOOKUP(E33,환율!$A$1798:$B$2194,2,)</f>
        <v>1335.3</v>
      </c>
      <c r="G33" s="134">
        <v>52472</v>
      </c>
      <c r="H33" s="93">
        <f t="shared" si="1"/>
        <v>70065861</v>
      </c>
      <c r="I33" s="135"/>
      <c r="J33" s="255"/>
      <c r="K33" s="364"/>
    </row>
    <row r="34" spans="1:11" s="126" customFormat="1" ht="27" customHeight="1">
      <c r="A34" s="2011"/>
      <c r="B34" s="313" t="s">
        <v>1734</v>
      </c>
      <c r="C34" s="129" t="s">
        <v>1735</v>
      </c>
      <c r="D34" s="129"/>
      <c r="E34" s="136">
        <v>45534</v>
      </c>
      <c r="F34" s="91">
        <f>VLOOKUP(E34,환율!$A$1798:$B$2194,2,)</f>
        <v>1335.3</v>
      </c>
      <c r="G34" s="134">
        <v>23786</v>
      </c>
      <c r="H34" s="93">
        <f t="shared" si="1"/>
        <v>31761445</v>
      </c>
      <c r="I34" s="135"/>
      <c r="J34" s="255"/>
      <c r="K34" s="364"/>
    </row>
    <row r="35" spans="1:11" s="97" customFormat="1" ht="27" customHeight="1">
      <c r="A35" s="2011"/>
      <c r="B35" s="313" t="s">
        <v>1736</v>
      </c>
      <c r="C35" s="129" t="s">
        <v>1737</v>
      </c>
      <c r="D35" s="129"/>
      <c r="E35" s="136">
        <v>45530</v>
      </c>
      <c r="F35" s="91">
        <f>VLOOKUP(E35,환율!$A$1798:$B$2194,2,)</f>
        <v>1340.1</v>
      </c>
      <c r="G35" s="134">
        <v>5957.16</v>
      </c>
      <c r="H35" s="93">
        <f t="shared" si="1"/>
        <v>7983190</v>
      </c>
      <c r="I35" s="135"/>
      <c r="J35" s="255"/>
      <c r="K35" s="364"/>
    </row>
    <row r="36" spans="1:11" s="97" customFormat="1" ht="27" customHeight="1">
      <c r="A36" s="2011"/>
      <c r="B36" s="313" t="s">
        <v>1738</v>
      </c>
      <c r="C36" s="129" t="s">
        <v>1739</v>
      </c>
      <c r="D36" s="129"/>
      <c r="E36" s="136">
        <v>45535</v>
      </c>
      <c r="F36" s="91">
        <f>VLOOKUP(E36,환율!$A$1798:$B$2194,2,)</f>
        <v>1335.3</v>
      </c>
      <c r="G36" s="134">
        <v>8281.6</v>
      </c>
      <c r="H36" s="93">
        <f t="shared" si="1"/>
        <v>11058420</v>
      </c>
      <c r="I36" s="135"/>
      <c r="J36" s="255"/>
      <c r="K36" s="364"/>
    </row>
    <row r="37" spans="1:11" s="97" customFormat="1" ht="27" customHeight="1">
      <c r="A37" s="2011"/>
      <c r="B37" s="330" t="s">
        <v>1740</v>
      </c>
      <c r="C37" s="137" t="s">
        <v>1741</v>
      </c>
      <c r="D37" s="137"/>
      <c r="E37" s="125">
        <v>45542</v>
      </c>
      <c r="F37" s="102">
        <f>VLOOKUP(E37,환율!$A$1798:$B$2194,2,)</f>
        <v>1335.8</v>
      </c>
      <c r="G37" s="138">
        <v>25298</v>
      </c>
      <c r="H37" s="104">
        <f t="shared" si="1"/>
        <v>33793068</v>
      </c>
      <c r="I37" s="139"/>
      <c r="J37" s="258"/>
      <c r="K37" s="364"/>
    </row>
    <row r="38" spans="1:11" s="97" customFormat="1" ht="27" customHeight="1">
      <c r="A38" s="2019"/>
      <c r="B38" s="330" t="s">
        <v>1769</v>
      </c>
      <c r="C38" s="137" t="s">
        <v>1770</v>
      </c>
      <c r="D38" s="137"/>
      <c r="E38" s="125">
        <v>45542</v>
      </c>
      <c r="F38" s="102">
        <f>VLOOKUP(E38,환율!$A$1798:$B$2194,2,)</f>
        <v>1335.8</v>
      </c>
      <c r="G38" s="138">
        <v>1575.2</v>
      </c>
      <c r="H38" s="104">
        <f t="shared" ref="H38" si="3">ROUNDDOWN(G38*F38,0)</f>
        <v>2104152</v>
      </c>
      <c r="I38" s="139"/>
      <c r="J38" s="258"/>
      <c r="K38" s="364"/>
    </row>
    <row r="39" spans="1:11" s="97" customFormat="1" ht="27" customHeight="1">
      <c r="A39" s="2035" t="s">
        <v>10</v>
      </c>
      <c r="B39" s="2036"/>
      <c r="C39" s="2036"/>
      <c r="D39" s="2036"/>
      <c r="E39" s="2036"/>
      <c r="F39" s="2037"/>
      <c r="G39" s="127">
        <f>SUM(G31:G38)</f>
        <v>219863.96000000002</v>
      </c>
      <c r="H39" s="127">
        <f>SUM(H31:H38)</f>
        <v>293329141</v>
      </c>
      <c r="I39" s="116">
        <v>867380842</v>
      </c>
      <c r="J39" s="260">
        <f>+H39-I39</f>
        <v>-574051701</v>
      </c>
      <c r="K39" s="364"/>
    </row>
    <row r="40" spans="1:11" s="97" customFormat="1" ht="27" customHeight="1">
      <c r="A40" s="2010" t="s">
        <v>13</v>
      </c>
      <c r="B40" s="313" t="s">
        <v>1727</v>
      </c>
      <c r="C40" s="142" t="s">
        <v>1728</v>
      </c>
      <c r="D40" s="90"/>
      <c r="E40" s="89">
        <v>45514</v>
      </c>
      <c r="F40" s="91">
        <f>VLOOKUP(E40,환율!$A$1798:$B$2194,2,)</f>
        <v>1377.7</v>
      </c>
      <c r="G40" s="92">
        <v>123932.22</v>
      </c>
      <c r="H40" s="93">
        <f t="shared" si="1"/>
        <v>170741419</v>
      </c>
      <c r="I40" s="142"/>
      <c r="J40" s="321"/>
      <c r="K40" s="364"/>
    </row>
    <row r="41" spans="1:11" s="97" customFormat="1" ht="27" customHeight="1">
      <c r="A41" s="2011"/>
      <c r="B41" s="313" t="s">
        <v>1729</v>
      </c>
      <c r="C41" s="142" t="s">
        <v>1730</v>
      </c>
      <c r="D41" s="90"/>
      <c r="E41" s="89">
        <v>45527</v>
      </c>
      <c r="F41" s="91">
        <f>VLOOKUP(E41,환율!$A$1798:$B$2194,2,)</f>
        <v>1335.9</v>
      </c>
      <c r="G41" s="92">
        <v>105506.46</v>
      </c>
      <c r="H41" s="93">
        <f t="shared" si="1"/>
        <v>140946079</v>
      </c>
      <c r="I41" s="142"/>
      <c r="J41" s="321"/>
      <c r="K41" s="364"/>
    </row>
    <row r="42" spans="1:11" s="97" customFormat="1" ht="27" customHeight="1">
      <c r="A42" s="2035" t="s">
        <v>10</v>
      </c>
      <c r="B42" s="2036"/>
      <c r="C42" s="2036"/>
      <c r="D42" s="2036"/>
      <c r="E42" s="2036"/>
      <c r="F42" s="2037"/>
      <c r="G42" s="127">
        <f>SUM(G40:G41)</f>
        <v>229438.68</v>
      </c>
      <c r="H42" s="116">
        <f>SUM(H40:H41)</f>
        <v>311687498</v>
      </c>
      <c r="I42" s="116">
        <v>316622678</v>
      </c>
      <c r="J42" s="260">
        <f>+H42-I42</f>
        <v>-4935180</v>
      </c>
      <c r="K42" s="364"/>
    </row>
    <row r="43" spans="1:11" s="97" customFormat="1" ht="27" customHeight="1">
      <c r="A43" s="2010" t="s">
        <v>35</v>
      </c>
      <c r="B43" s="152" t="s">
        <v>1764</v>
      </c>
      <c r="C43" s="152" t="s">
        <v>1780</v>
      </c>
      <c r="D43" s="322"/>
      <c r="E43" s="125">
        <v>45549</v>
      </c>
      <c r="F43" s="102">
        <f>VLOOKUP(E43,환율!$A$1798:$B$2194,2,)</f>
        <v>1339.6</v>
      </c>
      <c r="G43" s="103">
        <f>H43/F43</f>
        <v>9583.3047178262168</v>
      </c>
      <c r="H43" s="104">
        <v>12837795</v>
      </c>
      <c r="I43" s="224"/>
      <c r="J43" s="276"/>
      <c r="K43" s="364"/>
    </row>
    <row r="44" spans="1:11" s="97" customFormat="1" ht="27" customHeight="1">
      <c r="A44" s="2019"/>
      <c r="B44" s="152" t="s">
        <v>1765</v>
      </c>
      <c r="C44" s="152" t="s">
        <v>1781</v>
      </c>
      <c r="D44" s="322"/>
      <c r="E44" s="125">
        <v>45569</v>
      </c>
      <c r="F44" s="102">
        <v>1180</v>
      </c>
      <c r="G44" s="103">
        <f>H44/F44</f>
        <v>37337.433898305084</v>
      </c>
      <c r="H44" s="104">
        <v>44058172</v>
      </c>
      <c r="I44" s="224"/>
      <c r="J44" s="276"/>
      <c r="K44" s="364"/>
    </row>
    <row r="45" spans="1:11" s="97" customFormat="1" ht="27" customHeight="1">
      <c r="A45" s="2035" t="s">
        <v>10</v>
      </c>
      <c r="B45" s="2036"/>
      <c r="C45" s="2036"/>
      <c r="D45" s="2036"/>
      <c r="E45" s="2036"/>
      <c r="F45" s="2037"/>
      <c r="G45" s="127">
        <f>SUM(G43:G44)</f>
        <v>46920.738616131304</v>
      </c>
      <c r="H45" s="116">
        <f>SUM(H43:H44)</f>
        <v>56895967</v>
      </c>
      <c r="I45" s="116">
        <v>68966977</v>
      </c>
      <c r="J45" s="260">
        <f>+H45-I45</f>
        <v>-12071010</v>
      </c>
      <c r="K45" s="364"/>
    </row>
    <row r="46" spans="1:11" s="97" customFormat="1" ht="27" customHeight="1">
      <c r="A46" s="2010" t="s">
        <v>47</v>
      </c>
      <c r="B46" s="88" t="s">
        <v>1717</v>
      </c>
      <c r="C46" s="155" t="s">
        <v>1718</v>
      </c>
      <c r="D46" s="146"/>
      <c r="E46" s="146">
        <v>45523</v>
      </c>
      <c r="F46" s="91">
        <f>VLOOKUP(E46,환율!$A$1798:$B$2194,2,)</f>
        <v>1360.1</v>
      </c>
      <c r="G46" s="118">
        <v>39476</v>
      </c>
      <c r="H46" s="93">
        <f t="shared" ref="H46:H47" si="4">ROUNDDOWN(G46*F46,0)</f>
        <v>53691307</v>
      </c>
      <c r="I46" s="156"/>
      <c r="J46" s="263"/>
      <c r="K46" s="364"/>
    </row>
    <row r="47" spans="1:11" s="97" customFormat="1" ht="27" customHeight="1">
      <c r="A47" s="2011"/>
      <c r="B47" s="88" t="s">
        <v>1719</v>
      </c>
      <c r="C47" s="155" t="s">
        <v>1750</v>
      </c>
      <c r="D47" s="146"/>
      <c r="E47" s="146">
        <v>45530</v>
      </c>
      <c r="F47" s="91">
        <f>VLOOKUP(E47,환율!$A$1798:$B$2194,2,)</f>
        <v>1340.1</v>
      </c>
      <c r="G47" s="118">
        <v>39476</v>
      </c>
      <c r="H47" s="93">
        <f t="shared" si="4"/>
        <v>52901787</v>
      </c>
      <c r="I47" s="156"/>
      <c r="J47" s="263"/>
      <c r="K47" s="364"/>
    </row>
    <row r="48" spans="1:11" s="97" customFormat="1" ht="27" customHeight="1">
      <c r="A48" s="2019"/>
      <c r="B48" s="88" t="s">
        <v>1379</v>
      </c>
      <c r="C48" s="146" t="s">
        <v>1381</v>
      </c>
      <c r="D48" s="146">
        <v>45419</v>
      </c>
      <c r="E48" s="146">
        <v>45434</v>
      </c>
      <c r="F48" s="91">
        <f>VLOOKUP(E48,환율!$A$1798:$B$2033,2,)</f>
        <v>1364.4</v>
      </c>
      <c r="G48" s="118">
        <v>13816.6</v>
      </c>
      <c r="H48" s="93">
        <v>-20148488</v>
      </c>
      <c r="I48" s="2050" t="s">
        <v>1777</v>
      </c>
      <c r="J48" s="2051"/>
      <c r="K48" s="364"/>
    </row>
    <row r="49" spans="1:11" s="97" customFormat="1" ht="27" customHeight="1">
      <c r="A49" s="2035" t="s">
        <v>10</v>
      </c>
      <c r="B49" s="2036"/>
      <c r="C49" s="2036"/>
      <c r="D49" s="2036"/>
      <c r="E49" s="2036"/>
      <c r="F49" s="2037"/>
      <c r="G49" s="127">
        <f>SUM(G46:G48)</f>
        <v>92768.6</v>
      </c>
      <c r="H49" s="116">
        <f>SUM(H46:H48)</f>
        <v>86444606</v>
      </c>
      <c r="I49" s="116">
        <v>54480827</v>
      </c>
      <c r="J49" s="260">
        <f>+H49-I49</f>
        <v>31963779</v>
      </c>
      <c r="K49" s="364"/>
    </row>
    <row r="50" spans="1:11" s="97" customFormat="1" ht="27" customHeight="1">
      <c r="A50" s="399" t="s">
        <v>34</v>
      </c>
      <c r="B50" s="145"/>
      <c r="C50" s="339"/>
      <c r="D50" s="136"/>
      <c r="E50" s="90"/>
      <c r="F50" s="340"/>
      <c r="G50" s="341"/>
      <c r="H50" s="342">
        <f t="shared" ref="H50" si="5">ROUNDDOWN(G50*F50,0)</f>
        <v>0</v>
      </c>
      <c r="I50" s="343"/>
      <c r="J50" s="344"/>
      <c r="K50" s="401"/>
    </row>
    <row r="51" spans="1:11" s="97" customFormat="1" ht="27" customHeight="1" thickBot="1">
      <c r="A51" s="2032" t="s">
        <v>10</v>
      </c>
      <c r="B51" s="2033"/>
      <c r="C51" s="2033"/>
      <c r="D51" s="2033"/>
      <c r="E51" s="2033"/>
      <c r="F51" s="2034"/>
      <c r="G51" s="268">
        <f>SUM(G50:G50)</f>
        <v>0</v>
      </c>
      <c r="H51" s="269">
        <f>SUM(H50:H50)</f>
        <v>0</v>
      </c>
      <c r="I51" s="269">
        <v>19311431</v>
      </c>
      <c r="J51" s="270">
        <f>+H51-I51</f>
        <v>-19311431</v>
      </c>
      <c r="K51" s="364"/>
    </row>
    <row r="52" spans="1:11" s="97" customFormat="1" ht="27" customHeight="1">
      <c r="A52" s="2018" t="s">
        <v>14</v>
      </c>
      <c r="B52" s="247" t="s">
        <v>1702</v>
      </c>
      <c r="C52" s="248" t="s">
        <v>1703</v>
      </c>
      <c r="D52" s="248"/>
      <c r="E52" s="248">
        <v>45512</v>
      </c>
      <c r="F52" s="91">
        <f>VLOOKUP(E52,환율!$A$1798:$B$2194,2,)</f>
        <v>1376.4</v>
      </c>
      <c r="G52" s="250">
        <v>10789.92</v>
      </c>
      <c r="H52" s="251">
        <f t="shared" ref="H52:H63" si="6">ROUNDDOWN(G52*F52,0)</f>
        <v>14851245</v>
      </c>
      <c r="I52" s="252"/>
      <c r="J52" s="253"/>
      <c r="K52" s="364"/>
    </row>
    <row r="53" spans="1:11" s="97" customFormat="1" ht="27" customHeight="1">
      <c r="A53" s="2011"/>
      <c r="B53" s="88" t="s">
        <v>1704</v>
      </c>
      <c r="C53" s="129" t="s">
        <v>1705</v>
      </c>
      <c r="D53" s="129"/>
      <c r="E53" s="136">
        <v>45510</v>
      </c>
      <c r="F53" s="91">
        <f>VLOOKUP(E53,환율!$A$1798:$B$2194,2,)</f>
        <v>1360.6</v>
      </c>
      <c r="G53" s="92">
        <v>225.54</v>
      </c>
      <c r="H53" s="93">
        <f t="shared" si="6"/>
        <v>306869</v>
      </c>
      <c r="I53" s="165"/>
      <c r="J53" s="254"/>
      <c r="K53" s="364"/>
    </row>
    <row r="54" spans="1:11" s="97" customFormat="1" ht="27" customHeight="1">
      <c r="A54" s="2011"/>
      <c r="B54" s="88" t="s">
        <v>1706</v>
      </c>
      <c r="C54" s="146" t="s">
        <v>1707</v>
      </c>
      <c r="D54" s="146"/>
      <c r="E54" s="136">
        <v>45510</v>
      </c>
      <c r="F54" s="91">
        <f>VLOOKUP(E54,환율!$A$1798:$B$2194,2,)</f>
        <v>1360.6</v>
      </c>
      <c r="G54" s="118">
        <v>3025.15</v>
      </c>
      <c r="H54" s="93">
        <f t="shared" si="6"/>
        <v>4116019</v>
      </c>
      <c r="I54" s="147"/>
      <c r="J54" s="255"/>
      <c r="K54" s="364"/>
    </row>
    <row r="55" spans="1:11" s="97" customFormat="1" ht="27" customHeight="1">
      <c r="A55" s="2011"/>
      <c r="B55" s="88" t="s">
        <v>1708</v>
      </c>
      <c r="C55" s="136" t="s">
        <v>1709</v>
      </c>
      <c r="D55" s="136"/>
      <c r="E55" s="136">
        <v>45510</v>
      </c>
      <c r="F55" s="91">
        <f>VLOOKUP(E55,환율!$A$1798:$B$2194,2,)</f>
        <v>1360.6</v>
      </c>
      <c r="G55" s="92">
        <v>1469.15</v>
      </c>
      <c r="H55" s="93">
        <f t="shared" si="6"/>
        <v>1998925</v>
      </c>
      <c r="I55" s="167"/>
      <c r="J55" s="256"/>
      <c r="K55" s="364"/>
    </row>
    <row r="56" spans="1:11" s="97" customFormat="1" ht="27" customHeight="1">
      <c r="A56" s="2011"/>
      <c r="B56" s="88" t="s">
        <v>1713</v>
      </c>
      <c r="C56" s="146" t="s">
        <v>1714</v>
      </c>
      <c r="D56" s="146"/>
      <c r="E56" s="136">
        <v>45520</v>
      </c>
      <c r="F56" s="91">
        <f>VLOOKUP(E56,환율!$A$1798:$B$2194,2,)</f>
        <v>1361.4</v>
      </c>
      <c r="G56" s="92">
        <v>864.4</v>
      </c>
      <c r="H56" s="93">
        <f t="shared" si="6"/>
        <v>1176794</v>
      </c>
      <c r="I56" s="168"/>
      <c r="J56" s="256"/>
      <c r="K56" s="364"/>
    </row>
    <row r="57" spans="1:11" s="97" customFormat="1" ht="27" customHeight="1">
      <c r="A57" s="2011"/>
      <c r="B57" s="88" t="s">
        <v>1715</v>
      </c>
      <c r="C57" s="146" t="s">
        <v>1716</v>
      </c>
      <c r="D57" s="146"/>
      <c r="E57" s="136">
        <v>45520</v>
      </c>
      <c r="F57" s="91">
        <f>VLOOKUP(E57,환율!$A$1798:$B$2194,2,)</f>
        <v>1361.4</v>
      </c>
      <c r="G57" s="92">
        <v>1054.75</v>
      </c>
      <c r="H57" s="93">
        <f t="shared" si="6"/>
        <v>1435936</v>
      </c>
      <c r="I57" s="168"/>
      <c r="J57" s="256"/>
      <c r="K57" s="364"/>
    </row>
    <row r="58" spans="1:11" s="97" customFormat="1" ht="27" customHeight="1">
      <c r="A58" s="2011"/>
      <c r="B58" s="88" t="s">
        <v>1751</v>
      </c>
      <c r="C58" s="146" t="s">
        <v>1752</v>
      </c>
      <c r="D58" s="146"/>
      <c r="E58" s="136">
        <v>45533</v>
      </c>
      <c r="F58" s="91">
        <f>VLOOKUP(E58,환율!$A$1798:$B$2194,2,)</f>
        <v>1334.7</v>
      </c>
      <c r="G58" s="92">
        <v>3073.39</v>
      </c>
      <c r="H58" s="93">
        <f t="shared" si="6"/>
        <v>4102053</v>
      </c>
      <c r="I58" s="168"/>
      <c r="J58" s="256"/>
      <c r="K58" s="401"/>
    </row>
    <row r="59" spans="1:11" s="97" customFormat="1" ht="27" customHeight="1">
      <c r="A59" s="2011"/>
      <c r="B59" s="88" t="s">
        <v>1753</v>
      </c>
      <c r="C59" s="146" t="s">
        <v>1754</v>
      </c>
      <c r="D59" s="146"/>
      <c r="E59" s="136">
        <v>45531</v>
      </c>
      <c r="F59" s="91">
        <f>VLOOKUP(E59,환율!$A$1798:$B$2194,2,)</f>
        <v>1323.9</v>
      </c>
      <c r="G59" s="92">
        <v>1102.1500000000001</v>
      </c>
      <c r="H59" s="93">
        <f t="shared" si="6"/>
        <v>1459136</v>
      </c>
      <c r="I59" s="168"/>
      <c r="J59" s="256"/>
      <c r="K59" s="364"/>
    </row>
    <row r="60" spans="1:11" s="97" customFormat="1" ht="27" customHeight="1">
      <c r="A60" s="2011"/>
      <c r="B60" s="99" t="s">
        <v>1710</v>
      </c>
      <c r="C60" s="169" t="s">
        <v>1711</v>
      </c>
      <c r="D60" s="169"/>
      <c r="E60" s="125">
        <v>45545</v>
      </c>
      <c r="F60" s="102">
        <f>VLOOKUP(E60,환율!$A$1798:$B$2194,2,)</f>
        <v>1339.5</v>
      </c>
      <c r="G60" s="103">
        <v>31031.5</v>
      </c>
      <c r="H60" s="104">
        <f t="shared" ref="H60" si="7">ROUNDDOWN(G60*F60,0)</f>
        <v>41566694</v>
      </c>
      <c r="I60" s="170"/>
      <c r="J60" s="257"/>
      <c r="K60" s="364"/>
    </row>
    <row r="61" spans="1:11" s="97" customFormat="1" ht="27" customHeight="1">
      <c r="A61" s="2019"/>
      <c r="B61" s="99" t="s">
        <v>1712</v>
      </c>
      <c r="C61" s="169" t="s">
        <v>1726</v>
      </c>
      <c r="D61" s="169"/>
      <c r="E61" s="125">
        <v>45538</v>
      </c>
      <c r="F61" s="102">
        <f>VLOOKUP(E61,환율!$A$1798:$B$2194,2,)</f>
        <v>1338.8</v>
      </c>
      <c r="G61" s="122">
        <v>21492.78</v>
      </c>
      <c r="H61" s="104">
        <f t="shared" ref="H61" si="8">ROUNDDOWN(G61*F61,0)</f>
        <v>28774533</v>
      </c>
      <c r="I61" s="154"/>
      <c r="J61" s="258"/>
      <c r="K61" s="364"/>
    </row>
    <row r="62" spans="1:11" s="97" customFormat="1" ht="27" customHeight="1">
      <c r="A62" s="2035" t="s">
        <v>10</v>
      </c>
      <c r="B62" s="2036"/>
      <c r="C62" s="2036"/>
      <c r="D62" s="2036"/>
      <c r="E62" s="2036"/>
      <c r="F62" s="2037"/>
      <c r="G62" s="127">
        <f>SUM(G52:G61)</f>
        <v>74128.73</v>
      </c>
      <c r="H62" s="127">
        <f>SUM(H52:H61)</f>
        <v>99788204</v>
      </c>
      <c r="I62" s="116">
        <v>54696402</v>
      </c>
      <c r="J62" s="260">
        <f>+H62-I62</f>
        <v>45091802</v>
      </c>
      <c r="K62" s="364"/>
    </row>
    <row r="63" spans="1:11" s="97" customFormat="1" ht="27" customHeight="1">
      <c r="A63" s="399" t="s">
        <v>15</v>
      </c>
      <c r="B63" s="409" t="s">
        <v>1762</v>
      </c>
      <c r="C63" s="409" t="s">
        <v>1767</v>
      </c>
      <c r="D63" s="322"/>
      <c r="E63" s="322">
        <v>45539</v>
      </c>
      <c r="F63" s="102">
        <f>VLOOKUP(E63,환율!$A$1798:$B$2194,2,)</f>
        <v>1341</v>
      </c>
      <c r="G63" s="103">
        <v>78472.2</v>
      </c>
      <c r="H63" s="104">
        <f t="shared" si="6"/>
        <v>105231220</v>
      </c>
      <c r="I63" s="152"/>
      <c r="J63" s="323"/>
      <c r="K63" s="401"/>
    </row>
    <row r="64" spans="1:11" s="97" customFormat="1" ht="27" customHeight="1">
      <c r="A64" s="2035" t="s">
        <v>10</v>
      </c>
      <c r="B64" s="2036"/>
      <c r="C64" s="2036"/>
      <c r="D64" s="2036"/>
      <c r="E64" s="2036"/>
      <c r="F64" s="2037"/>
      <c r="G64" s="127">
        <f>SUM(G63:G63)</f>
        <v>78472.2</v>
      </c>
      <c r="H64" s="116">
        <f>SUM(H63:H63)</f>
        <v>105231220</v>
      </c>
      <c r="I64" s="116">
        <v>2451062</v>
      </c>
      <c r="J64" s="260">
        <f>+H64-I64</f>
        <v>102780158</v>
      </c>
      <c r="K64" s="366"/>
    </row>
    <row r="65" spans="1:11" s="97" customFormat="1" ht="27" customHeight="1">
      <c r="A65" s="2010" t="s">
        <v>726</v>
      </c>
      <c r="B65" s="136" t="s">
        <v>1755</v>
      </c>
      <c r="C65" s="136" t="s">
        <v>1756</v>
      </c>
      <c r="D65" s="136"/>
      <c r="E65" s="136">
        <v>45515</v>
      </c>
      <c r="F65" s="397">
        <v>9.3431999999999995</v>
      </c>
      <c r="G65" s="177">
        <v>3468180</v>
      </c>
      <c r="H65" s="93">
        <f t="shared" ref="H65:H67" si="9">ROUNDDOWN(G65*F65,0)</f>
        <v>32403899</v>
      </c>
      <c r="I65" s="156"/>
      <c r="J65" s="263"/>
      <c r="K65" s="364"/>
    </row>
    <row r="66" spans="1:11" s="97" customFormat="1" ht="27" customHeight="1">
      <c r="A66" s="2011"/>
      <c r="B66" s="136" t="s">
        <v>1757</v>
      </c>
      <c r="C66" s="146" t="s">
        <v>1759</v>
      </c>
      <c r="D66" s="136"/>
      <c r="E66" s="136">
        <v>45522</v>
      </c>
      <c r="F66" s="176">
        <v>9.1243999999999996</v>
      </c>
      <c r="G66" s="177">
        <v>14944466</v>
      </c>
      <c r="H66" s="93">
        <f t="shared" si="9"/>
        <v>136359285</v>
      </c>
      <c r="I66" s="156"/>
      <c r="J66" s="263"/>
      <c r="K66" s="366"/>
    </row>
    <row r="67" spans="1:11" s="97" customFormat="1" ht="27" customHeight="1">
      <c r="A67" s="2011"/>
      <c r="B67" s="136" t="s">
        <v>1758</v>
      </c>
      <c r="C67" s="146" t="s">
        <v>1760</v>
      </c>
      <c r="D67" s="136"/>
      <c r="E67" s="136">
        <v>45529</v>
      </c>
      <c r="F67" s="176">
        <v>9.1433999999999997</v>
      </c>
      <c r="G67" s="177">
        <v>11792250</v>
      </c>
      <c r="H67" s="93">
        <f t="shared" si="9"/>
        <v>107821258</v>
      </c>
      <c r="I67" s="156"/>
      <c r="J67" s="263"/>
      <c r="K67" s="366"/>
    </row>
    <row r="68" spans="1:11" s="97" customFormat="1" ht="27" customHeight="1">
      <c r="A68" s="2019"/>
      <c r="B68" s="125" t="s">
        <v>1776</v>
      </c>
      <c r="C68" s="169" t="s">
        <v>1778</v>
      </c>
      <c r="D68" s="125"/>
      <c r="E68" s="125">
        <v>45536</v>
      </c>
      <c r="F68" s="183">
        <v>9.2174999999999994</v>
      </c>
      <c r="G68" s="184">
        <v>14492943</v>
      </c>
      <c r="H68" s="104">
        <f t="shared" ref="H68" si="10">ROUNDDOWN(G68*F68,0)</f>
        <v>133588702</v>
      </c>
      <c r="I68" s="185"/>
      <c r="J68" s="277"/>
      <c r="K68" s="366"/>
    </row>
    <row r="69" spans="1:11" s="97" customFormat="1" ht="27" customHeight="1">
      <c r="A69" s="2035" t="s">
        <v>10</v>
      </c>
      <c r="B69" s="2036"/>
      <c r="C69" s="2036"/>
      <c r="D69" s="2036"/>
      <c r="E69" s="2036"/>
      <c r="F69" s="2037"/>
      <c r="G69" s="398">
        <f>SUM(G65:G68)</f>
        <v>44697839</v>
      </c>
      <c r="H69" s="116">
        <f>SUM(H65:H68)</f>
        <v>410173144</v>
      </c>
      <c r="I69" s="116">
        <v>363808676</v>
      </c>
      <c r="J69" s="260">
        <f>+H69-I69</f>
        <v>46364468</v>
      </c>
      <c r="K69" s="364"/>
    </row>
    <row r="70" spans="1:11" s="310" customFormat="1" ht="27" customHeight="1">
      <c r="A70" s="2041" t="s">
        <v>992</v>
      </c>
      <c r="B70" s="332" t="s">
        <v>1774</v>
      </c>
      <c r="C70" s="303"/>
      <c r="D70" s="303"/>
      <c r="E70" s="303">
        <v>45518</v>
      </c>
      <c r="F70" s="91">
        <f>VLOOKUP(E70,환율!$A$1798:$B$2194,2,)</f>
        <v>1370.3</v>
      </c>
      <c r="G70" s="334">
        <f>H70/F70</f>
        <v>17280.186820404291</v>
      </c>
      <c r="H70" s="335">
        <v>23679040</v>
      </c>
      <c r="I70" s="336"/>
      <c r="J70" s="337"/>
      <c r="K70" s="367"/>
    </row>
    <row r="71" spans="1:11" s="310" customFormat="1" ht="27" customHeight="1">
      <c r="A71" s="2042"/>
      <c r="B71" s="332" t="s">
        <v>1775</v>
      </c>
      <c r="C71" s="303"/>
      <c r="D71" s="303"/>
      <c r="E71" s="303">
        <v>45518</v>
      </c>
      <c r="F71" s="91">
        <f>VLOOKUP(E71,환율!$A$1798:$B$2194,2,)</f>
        <v>1370.3</v>
      </c>
      <c r="G71" s="334">
        <f>H71/F71</f>
        <v>662.42428665255784</v>
      </c>
      <c r="H71" s="335">
        <v>907720</v>
      </c>
      <c r="I71" s="336"/>
      <c r="J71" s="337"/>
      <c r="K71" s="367"/>
    </row>
    <row r="72" spans="1:11" s="97" customFormat="1" ht="27" customHeight="1">
      <c r="A72" s="2035" t="s">
        <v>10</v>
      </c>
      <c r="B72" s="2036"/>
      <c r="C72" s="2036"/>
      <c r="D72" s="2036"/>
      <c r="E72" s="2036"/>
      <c r="F72" s="2037"/>
      <c r="G72" s="116">
        <f>SUM(G70:G71)</f>
        <v>17942.611107056848</v>
      </c>
      <c r="H72" s="116">
        <f>SUM(H70:H71)</f>
        <v>24586760</v>
      </c>
      <c r="I72" s="116">
        <v>87751994</v>
      </c>
      <c r="J72" s="260">
        <f>+H72-I72</f>
        <v>-63165234</v>
      </c>
      <c r="K72" s="402"/>
    </row>
    <row r="73" spans="1:11" s="97" customFormat="1" ht="27" customHeight="1" thickBot="1">
      <c r="A73" s="2044" t="s">
        <v>1176</v>
      </c>
      <c r="B73" s="2045"/>
      <c r="C73" s="2045"/>
      <c r="D73" s="2045"/>
      <c r="E73" s="2046"/>
      <c r="F73" s="1997" t="s">
        <v>31</v>
      </c>
      <c r="G73" s="232" t="s">
        <v>17</v>
      </c>
      <c r="H73" s="210">
        <f>+H75-H74</f>
        <v>3262374743</v>
      </c>
      <c r="I73" s="210">
        <v>3027674964</v>
      </c>
      <c r="J73" s="219">
        <f>+H73-I73</f>
        <v>234699779</v>
      </c>
      <c r="K73" s="401"/>
    </row>
    <row r="74" spans="1:11" s="97" customFormat="1" ht="27" customHeight="1">
      <c r="A74" s="239" t="s">
        <v>20</v>
      </c>
      <c r="B74" s="195" t="s">
        <v>21</v>
      </c>
      <c r="C74" s="196" t="s">
        <v>20</v>
      </c>
      <c r="D74" s="314"/>
      <c r="E74" s="197" t="s">
        <v>21</v>
      </c>
      <c r="F74" s="1997"/>
      <c r="G74" s="198" t="s">
        <v>18</v>
      </c>
      <c r="H74" s="210">
        <f>SUM(H17:H18)</f>
        <v>121566900</v>
      </c>
      <c r="I74" s="199">
        <v>201571573</v>
      </c>
      <c r="J74" s="201">
        <f>+H74-I74</f>
        <v>-80004673</v>
      </c>
      <c r="K74" s="401"/>
    </row>
    <row r="75" spans="1:11" s="97" customFormat="1" ht="27" customHeight="1" thickBot="1">
      <c r="A75" s="240" t="s">
        <v>9</v>
      </c>
      <c r="B75" s="199">
        <f>H16</f>
        <v>507542068</v>
      </c>
      <c r="C75" s="200" t="s">
        <v>721</v>
      </c>
      <c r="D75" s="315"/>
      <c r="E75" s="201">
        <v>0</v>
      </c>
      <c r="F75" s="1998"/>
      <c r="G75" s="202" t="s">
        <v>19</v>
      </c>
      <c r="H75" s="203">
        <f>SUM(H19,H30,H39,H42,H45,H49,H51,H62,H64,H69,H72)</f>
        <v>3383941643</v>
      </c>
      <c r="I75" s="203">
        <v>3229246537</v>
      </c>
      <c r="J75" s="233">
        <f>+H75-I75</f>
        <v>154695106</v>
      </c>
      <c r="K75" s="364"/>
    </row>
    <row r="76" spans="1:11" s="97" customFormat="1" ht="27" customHeight="1">
      <c r="A76" s="240" t="s">
        <v>11</v>
      </c>
      <c r="B76" s="199">
        <f>SUM(H29)</f>
        <v>8897504</v>
      </c>
      <c r="C76" s="200" t="s">
        <v>722</v>
      </c>
      <c r="D76" s="315"/>
      <c r="E76" s="201">
        <v>0</v>
      </c>
      <c r="F76" s="296" t="s">
        <v>20</v>
      </c>
      <c r="G76" s="297" t="s">
        <v>1686</v>
      </c>
      <c r="H76" s="298" t="s">
        <v>1720</v>
      </c>
      <c r="I76" s="298" t="s">
        <v>1687</v>
      </c>
      <c r="J76" s="234" t="s">
        <v>32</v>
      </c>
      <c r="K76" s="401"/>
    </row>
    <row r="77" spans="1:11" s="97" customFormat="1" ht="27" customHeight="1">
      <c r="A77" s="241" t="s">
        <v>114</v>
      </c>
      <c r="B77" s="199">
        <f>SUM(H37:H38)</f>
        <v>35897220</v>
      </c>
      <c r="C77" s="293" t="s">
        <v>14</v>
      </c>
      <c r="D77" s="316"/>
      <c r="E77" s="294">
        <f>SUM(H60:H61)</f>
        <v>70341227</v>
      </c>
      <c r="F77" s="211" t="s">
        <v>22</v>
      </c>
      <c r="G77" s="199">
        <v>0</v>
      </c>
      <c r="H77" s="199">
        <f>SUM(H65:H67)</f>
        <v>276584442</v>
      </c>
      <c r="I77" s="199">
        <f>H68</f>
        <v>133588702</v>
      </c>
      <c r="J77" s="201">
        <f>SUM(G77:H77)</f>
        <v>276584442</v>
      </c>
      <c r="K77" s="364"/>
    </row>
    <row r="78" spans="1:11" s="97" customFormat="1" ht="27" customHeight="1">
      <c r="A78" s="241" t="s">
        <v>153</v>
      </c>
      <c r="B78" s="199">
        <v>0</v>
      </c>
      <c r="C78" s="293" t="s">
        <v>15</v>
      </c>
      <c r="D78" s="317"/>
      <c r="E78" s="295">
        <f>H63</f>
        <v>105231220</v>
      </c>
      <c r="F78" s="211" t="s">
        <v>23</v>
      </c>
      <c r="G78" s="199">
        <v>317193869</v>
      </c>
      <c r="H78" s="199">
        <f>SUM(H40:H41,H31:H36,H20:H28)</f>
        <v>719419713</v>
      </c>
      <c r="I78" s="199">
        <f>SUM(H37:H38,H29,H43)</f>
        <v>57632519</v>
      </c>
      <c r="J78" s="201">
        <f>SUM(G78:H78)</f>
        <v>1036613582</v>
      </c>
      <c r="K78" s="175"/>
    </row>
    <row r="79" spans="1:11" s="126" customFormat="1" ht="27" customHeight="1">
      <c r="A79" s="241" t="s">
        <v>719</v>
      </c>
      <c r="B79" s="199">
        <v>0</v>
      </c>
      <c r="C79" s="293" t="s">
        <v>53</v>
      </c>
      <c r="D79" s="316"/>
      <c r="E79" s="294">
        <v>0</v>
      </c>
      <c r="F79" s="211" t="s">
        <v>24</v>
      </c>
      <c r="G79" s="199">
        <v>0</v>
      </c>
      <c r="H79" s="199">
        <f>SUM(H13:H15,H17:H18)</f>
        <v>1329065237</v>
      </c>
      <c r="I79" s="199">
        <f>H16</f>
        <v>507542068</v>
      </c>
      <c r="J79" s="201">
        <f>SUM(G79:H79)</f>
        <v>1329065237</v>
      </c>
      <c r="K79" s="175"/>
    </row>
    <row r="80" spans="1:11" s="126" customFormat="1" ht="27" customHeight="1">
      <c r="A80" s="241" t="s">
        <v>35</v>
      </c>
      <c r="B80" s="199">
        <f>SUM(H43:H44)</f>
        <v>56895967</v>
      </c>
      <c r="C80" s="200" t="s">
        <v>252</v>
      </c>
      <c r="D80" s="216"/>
      <c r="E80" s="219">
        <f>H68</f>
        <v>133588702</v>
      </c>
      <c r="F80" s="211" t="s">
        <v>723</v>
      </c>
      <c r="G80" s="199">
        <v>74256102</v>
      </c>
      <c r="H80" s="199">
        <f>SUM(H52:H59,H46:H48)</f>
        <v>115891583</v>
      </c>
      <c r="I80" s="199">
        <f>SUM(H63,H60:H61)</f>
        <v>175572447</v>
      </c>
      <c r="J80" s="201">
        <f>SUM(G80:H80)</f>
        <v>190147685</v>
      </c>
      <c r="K80" s="366"/>
    </row>
    <row r="81" spans="1:11" s="126" customFormat="1" ht="27" customHeight="1" thickBot="1">
      <c r="A81" s="215" t="s">
        <v>724</v>
      </c>
      <c r="B81" s="213">
        <v>0</v>
      </c>
      <c r="C81" s="214"/>
      <c r="D81" s="318"/>
      <c r="E81" s="242"/>
      <c r="F81" s="299" t="s">
        <v>1177</v>
      </c>
      <c r="G81" s="311">
        <v>0</v>
      </c>
      <c r="H81" s="311">
        <f>H72</f>
        <v>24586760</v>
      </c>
      <c r="I81" s="311">
        <v>0</v>
      </c>
      <c r="J81" s="312">
        <f>SUM(G81:H81)</f>
        <v>24586760</v>
      </c>
      <c r="K81" s="364" t="b">
        <f>I82=E82</f>
        <v>0</v>
      </c>
    </row>
    <row r="82" spans="1:11" s="126" customFormat="1" ht="27" customHeight="1" thickTop="1" thickBot="1">
      <c r="A82" s="243"/>
      <c r="B82" s="244" t="s">
        <v>49</v>
      </c>
      <c r="C82" s="245"/>
      <c r="D82" s="244"/>
      <c r="E82" s="246">
        <f>SUM(B75:B81,E75:E81)</f>
        <v>918393908</v>
      </c>
      <c r="F82" s="236" t="s">
        <v>16</v>
      </c>
      <c r="G82" s="237">
        <f>SUM(G77:G81)</f>
        <v>391449971</v>
      </c>
      <c r="H82" s="237">
        <f>SUM(H77:H81)</f>
        <v>2465547735</v>
      </c>
      <c r="I82" s="237">
        <f>SUM(I77:I81)</f>
        <v>874335736</v>
      </c>
      <c r="J82" s="238">
        <f>+G82+H82</f>
        <v>2856997706</v>
      </c>
      <c r="K82" s="364" t="b">
        <f>H75=H82+I82</f>
        <v>0</v>
      </c>
    </row>
    <row r="83" spans="1:11" s="19" customFormat="1" ht="27" customHeight="1" thickBot="1">
      <c r="A83"/>
      <c r="B83"/>
      <c r="C83"/>
      <c r="D83"/>
      <c r="E83"/>
      <c r="F83" s="2047" t="s">
        <v>1685</v>
      </c>
      <c r="G83" s="2048"/>
      <c r="H83" s="2048"/>
      <c r="I83" s="2049"/>
      <c r="J83" s="404">
        <f>J82-J81</f>
        <v>2832410946</v>
      </c>
      <c r="K83" s="410"/>
    </row>
    <row r="84" spans="1:11" ht="19.2">
      <c r="B84" s="291"/>
      <c r="C84" s="290"/>
      <c r="D84" s="290"/>
      <c r="E84" s="26"/>
      <c r="F84" s="292"/>
      <c r="H84" s="26"/>
      <c r="J84" s="13">
        <v>2832410946</v>
      </c>
    </row>
    <row r="85" spans="1:11" ht="19.2">
      <c r="C85" s="290"/>
      <c r="D85" s="290"/>
      <c r="E85" s="26"/>
      <c r="F85" s="292"/>
      <c r="H85" s="26"/>
      <c r="J85" s="412">
        <f>J83-J84</f>
        <v>0</v>
      </c>
    </row>
    <row r="86" spans="1:11" ht="19.2">
      <c r="C86" s="290"/>
      <c r="D86" s="290"/>
      <c r="E86" s="26"/>
      <c r="F86" s="292"/>
      <c r="H86" s="26"/>
      <c r="J86" s="26"/>
    </row>
    <row r="87" spans="1:11" ht="19.2">
      <c r="C87" s="290"/>
      <c r="D87" s="290"/>
      <c r="E87" s="26"/>
      <c r="F87" s="292"/>
      <c r="H87" s="26"/>
    </row>
    <row r="88" spans="1:11" ht="19.2">
      <c r="C88" s="290"/>
      <c r="D88" s="290"/>
      <c r="F88" s="13"/>
      <c r="H88" s="26"/>
    </row>
    <row r="89" spans="1:11">
      <c r="F89" s="13"/>
    </row>
  </sheetData>
  <autoFilter ref="A11:F82" xr:uid="{00000000-0009-0000-0000-00004B000000}"/>
  <mergeCells count="32">
    <mergeCell ref="A72:F72"/>
    <mergeCell ref="A73:E73"/>
    <mergeCell ref="F73:F75"/>
    <mergeCell ref="F83:I83"/>
    <mergeCell ref="A69:F69"/>
    <mergeCell ref="A70:A71"/>
    <mergeCell ref="A6:G10"/>
    <mergeCell ref="G11:J11"/>
    <mergeCell ref="A19:F19"/>
    <mergeCell ref="A20:A29"/>
    <mergeCell ref="A30:F30"/>
    <mergeCell ref="A13:A18"/>
    <mergeCell ref="A11:A12"/>
    <mergeCell ref="B11:B12"/>
    <mergeCell ref="C11:C12"/>
    <mergeCell ref="D11:D12"/>
    <mergeCell ref="E11:E12"/>
    <mergeCell ref="F11:F12"/>
    <mergeCell ref="I48:J48"/>
    <mergeCell ref="A42:F42"/>
    <mergeCell ref="A43:A44"/>
    <mergeCell ref="A31:A38"/>
    <mergeCell ref="A65:A68"/>
    <mergeCell ref="A45:F45"/>
    <mergeCell ref="A39:F39"/>
    <mergeCell ref="A40:A41"/>
    <mergeCell ref="A46:A48"/>
    <mergeCell ref="A62:F62"/>
    <mergeCell ref="A64:F64"/>
    <mergeCell ref="A51:F51"/>
    <mergeCell ref="A52:A61"/>
    <mergeCell ref="A49:F49"/>
  </mergeCells>
  <phoneticPr fontId="2" type="noConversion"/>
  <conditionalFormatting sqref="A13">
    <cfRule type="expression" dxfId="1432" priority="85">
      <formula>#REF!="*01월*"</formula>
    </cfRule>
  </conditionalFormatting>
  <conditionalFormatting sqref="A19">
    <cfRule type="expression" dxfId="1431" priority="89">
      <formula>#REF!="*01월*"</formula>
    </cfRule>
  </conditionalFormatting>
  <conditionalFormatting sqref="A39:A42">
    <cfRule type="expression" dxfId="1430" priority="22">
      <formula>#REF!="*01월*"</formula>
    </cfRule>
  </conditionalFormatting>
  <conditionalFormatting sqref="A50:A51">
    <cfRule type="expression" dxfId="1429" priority="77">
      <formula>#REF!="*01월*"</formula>
    </cfRule>
  </conditionalFormatting>
  <conditionalFormatting sqref="A64:A65">
    <cfRule type="expression" dxfId="1428" priority="53">
      <formula>#REF!="*01월*"</formula>
    </cfRule>
  </conditionalFormatting>
  <conditionalFormatting sqref="A69:A70 H70:J71">
    <cfRule type="expression" dxfId="1427" priority="110">
      <formula>$E72="*01월*"</formula>
    </cfRule>
  </conditionalFormatting>
  <conditionalFormatting sqref="A20:E20">
    <cfRule type="expression" dxfId="1426" priority="98">
      <formula>#REF!="*01월*"</formula>
    </cfRule>
  </conditionalFormatting>
  <conditionalFormatting sqref="A11:J12 A30 G30:J34 A31:C31 D31:E34 C32:C34 B32:B35 E43:E44 A49 G49:J49 A52:C52 D52:E53 G52:J53 B53:C53 B56:B57 B61 A63 H63 G64:J64 G72:I72 A72:A73 F73:J73 A74:J82">
    <cfRule type="expression" dxfId="1425" priority="72">
      <formula>$E13="*01월*"</formula>
    </cfRule>
  </conditionalFormatting>
  <conditionalFormatting sqref="B23:B24 F41">
    <cfRule type="expression" dxfId="1424" priority="103">
      <formula>$E30="*01월*"</formula>
    </cfRule>
  </conditionalFormatting>
  <conditionalFormatting sqref="B25:B28">
    <cfRule type="expression" dxfId="1423" priority="619">
      <formula>$E34="*01월*"</formula>
    </cfRule>
  </conditionalFormatting>
  <conditionalFormatting sqref="B29">
    <cfRule type="expression" dxfId="1422" priority="625">
      <formula>#REF!="*01월*"</formula>
    </cfRule>
  </conditionalFormatting>
  <conditionalFormatting sqref="B36:B38">
    <cfRule type="expression" dxfId="1421" priority="621">
      <formula>#REF!="*01월*"</formula>
    </cfRule>
  </conditionalFormatting>
  <conditionalFormatting sqref="B40 B54:E55 B58">
    <cfRule type="expression" dxfId="1420" priority="609">
      <formula>#REF!="*01월*"</formula>
    </cfRule>
  </conditionalFormatting>
  <conditionalFormatting sqref="B41 B63:E63 I63:J63">
    <cfRule type="expression" dxfId="1419" priority="61">
      <formula>$E42="*01월*"</formula>
    </cfRule>
  </conditionalFormatting>
  <conditionalFormatting sqref="B43:B44">
    <cfRule type="expression" dxfId="1418" priority="43">
      <formula>$E45="*01월*"</formula>
    </cfRule>
  </conditionalFormatting>
  <conditionalFormatting sqref="B21:E21 B22">
    <cfRule type="expression" dxfId="1417" priority="95">
      <formula>#REF!="*01월*"</formula>
    </cfRule>
  </conditionalFormatting>
  <conditionalFormatting sqref="B47:E47">
    <cfRule type="expression" dxfId="1416" priority="5">
      <formula>$E50="*01월*"</formula>
    </cfRule>
  </conditionalFormatting>
  <conditionalFormatting sqref="B60:E60 G60:J60">
    <cfRule type="expression" dxfId="1415" priority="8">
      <formula>$E61="*01월*"</formula>
    </cfRule>
  </conditionalFormatting>
  <conditionalFormatting sqref="B70:E71">
    <cfRule type="expression" dxfId="1414" priority="7">
      <formula>$E73="*01월*"</formula>
    </cfRule>
  </conditionalFormatting>
  <conditionalFormatting sqref="B13:F18">
    <cfRule type="expression" dxfId="1413" priority="25">
      <formula>#REF!="*01월*"</formula>
    </cfRule>
  </conditionalFormatting>
  <conditionalFormatting sqref="B43:F44">
    <cfRule type="expression" dxfId="1412" priority="1">
      <formula>#REF!="*01월*"</formula>
    </cfRule>
  </conditionalFormatting>
  <conditionalFormatting sqref="B48:I48">
    <cfRule type="expression" dxfId="1411" priority="2">
      <formula>$E51="*01월*"</formula>
    </cfRule>
  </conditionalFormatting>
  <conditionalFormatting sqref="B50:J50">
    <cfRule type="expression" dxfId="1410" priority="24">
      <formula>#REF!="*01월*"</formula>
    </cfRule>
  </conditionalFormatting>
  <conditionalFormatting sqref="B65:J68">
    <cfRule type="expression" dxfId="1409" priority="23">
      <formula>#REF!="*01월*"</formula>
    </cfRule>
  </conditionalFormatting>
  <conditionalFormatting sqref="C23 G23 I23:J23 A43 C43:D43 G43 B59">
    <cfRule type="expression" dxfId="1408" priority="73">
      <formula>$E26="*01월*"</formula>
    </cfRule>
  </conditionalFormatting>
  <conditionalFormatting sqref="C27:C28">
    <cfRule type="expression" dxfId="1407" priority="20">
      <formula>#REF!="*01월*"</formula>
    </cfRule>
  </conditionalFormatting>
  <conditionalFormatting sqref="C22:D22 I22:J22 A45 H45:J45 A46:E46 G46:J46 A47">
    <cfRule type="expression" dxfId="1406" priority="60">
      <formula>$E26="*01월*"</formula>
    </cfRule>
  </conditionalFormatting>
  <conditionalFormatting sqref="C25:D29 I25:J29 G35:J44 A62">
    <cfRule type="expression" dxfId="1405" priority="54">
      <formula>#REF!="*01월*"</formula>
    </cfRule>
  </conditionalFormatting>
  <conditionalFormatting sqref="C84:D88">
    <cfRule type="expression" dxfId="1404" priority="69">
      <formula>$E86="*01월*"</formula>
    </cfRule>
  </conditionalFormatting>
  <conditionalFormatting sqref="C24:E24 G24:J24">
    <cfRule type="expression" dxfId="1403" priority="96">
      <formula>#REF!="*01월*"</formula>
    </cfRule>
  </conditionalFormatting>
  <conditionalFormatting sqref="C35:E38">
    <cfRule type="expression" dxfId="1402" priority="56">
      <formula>#REF!="*01월*"</formula>
    </cfRule>
  </conditionalFormatting>
  <conditionalFormatting sqref="C40:E41">
    <cfRule type="expression" dxfId="1401" priority="76">
      <formula>#REF!="*01월*"</formula>
    </cfRule>
  </conditionalFormatting>
  <conditionalFormatting sqref="C61:J61">
    <cfRule type="expression" dxfId="1400" priority="14">
      <formula>#REF!="*01월*"</formula>
    </cfRule>
  </conditionalFormatting>
  <conditionalFormatting sqref="D23:E23">
    <cfRule type="expression" dxfId="1399" priority="67">
      <formula>#REF!="*01월*"</formula>
    </cfRule>
  </conditionalFormatting>
  <conditionalFormatting sqref="E22 G22:H22">
    <cfRule type="expression" dxfId="1398" priority="90">
      <formula>#REF!="*01월*"</formula>
    </cfRule>
  </conditionalFormatting>
  <conditionalFormatting sqref="E25:E26">
    <cfRule type="expression" dxfId="1397" priority="102">
      <formula>$E33="*01월*"</formula>
    </cfRule>
  </conditionalFormatting>
  <conditionalFormatting sqref="E26">
    <cfRule type="expression" dxfId="1396" priority="68">
      <formula>$E30="*01월*"</formula>
    </cfRule>
  </conditionalFormatting>
  <conditionalFormatting sqref="E27 C44:D44 G44">
    <cfRule type="expression" dxfId="1395" priority="109">
      <formula>$E32="*01월*"</formula>
    </cfRule>
  </conditionalFormatting>
  <conditionalFormatting sqref="E28">
    <cfRule type="expression" dxfId="1394" priority="19">
      <formula>#REF!="*01월*"</formula>
    </cfRule>
  </conditionalFormatting>
  <conditionalFormatting sqref="E29">
    <cfRule type="expression" dxfId="1393" priority="13">
      <formula>$E36="*01월*"</formula>
    </cfRule>
  </conditionalFormatting>
  <conditionalFormatting sqref="F20:F27">
    <cfRule type="expression" dxfId="1392" priority="45">
      <formula>#REF!="*01월*"</formula>
    </cfRule>
  </conditionalFormatting>
  <conditionalFormatting sqref="F40">
    <cfRule type="expression" dxfId="1391" priority="28">
      <formula>$E46="*01월*"</formula>
    </cfRule>
  </conditionalFormatting>
  <conditionalFormatting sqref="F46:F47">
    <cfRule type="expression" dxfId="1390" priority="49">
      <formula>#REF!="*01월*"</formula>
    </cfRule>
  </conditionalFormatting>
  <conditionalFormatting sqref="F52:F60">
    <cfRule type="expression" dxfId="1389" priority="9">
      <formula>#REF!="*01월*"</formula>
    </cfRule>
  </conditionalFormatting>
  <conditionalFormatting sqref="F63">
    <cfRule type="expression" dxfId="1388" priority="27">
      <formula>#REF!="*01월*"</formula>
    </cfRule>
  </conditionalFormatting>
  <conditionalFormatting sqref="F70:G71">
    <cfRule type="expression" dxfId="1387" priority="38">
      <formula>#REF!="*01월*"</formula>
    </cfRule>
  </conditionalFormatting>
  <conditionalFormatting sqref="F28:H28">
    <cfRule type="expression" dxfId="1386" priority="107">
      <formula>$E30="*01월*"</formula>
    </cfRule>
  </conditionalFormatting>
  <conditionalFormatting sqref="F29:H29">
    <cfRule type="expression" dxfId="1385" priority="11">
      <formula>#REF!="*01월*"</formula>
    </cfRule>
  </conditionalFormatting>
  <conditionalFormatting sqref="G26:G27 F31:F38">
    <cfRule type="expression" dxfId="1384" priority="611">
      <formula>#REF!="*01월*"</formula>
    </cfRule>
  </conditionalFormatting>
  <conditionalFormatting sqref="G27:G28">
    <cfRule type="expression" dxfId="1383" priority="18">
      <formula>$E30="*01월*"</formula>
    </cfRule>
  </conditionalFormatting>
  <conditionalFormatting sqref="G45">
    <cfRule type="expression" dxfId="1382" priority="92">
      <formula>#REF!="*01월*"</formula>
    </cfRule>
  </conditionalFormatting>
  <conditionalFormatting sqref="G58:G59 I58:J59">
    <cfRule type="expression" dxfId="1381" priority="94">
      <formula>#REF!="*01월*"</formula>
    </cfRule>
  </conditionalFormatting>
  <conditionalFormatting sqref="G63">
    <cfRule type="expression" dxfId="1380" priority="87">
      <formula>$E66="*01월*"</formula>
    </cfRule>
  </conditionalFormatting>
  <conditionalFormatting sqref="G25:H27">
    <cfRule type="expression" dxfId="1379" priority="88">
      <formula>#REF!="*01월*"</formula>
    </cfRule>
  </conditionalFormatting>
  <conditionalFormatting sqref="G13:J21">
    <cfRule type="expression" dxfId="1378" priority="52">
      <formula>#REF!="*01월*"</formula>
    </cfRule>
  </conditionalFormatting>
  <conditionalFormatting sqref="G47:J47">
    <cfRule type="expression" dxfId="1377" priority="6">
      <formula>$E50="*01월*"</formula>
    </cfRule>
  </conditionalFormatting>
  <conditionalFormatting sqref="G51:J51">
    <cfRule type="expression" dxfId="1376" priority="86">
      <formula>#REF!="*01월*"</formula>
    </cfRule>
  </conditionalFormatting>
  <conditionalFormatting sqref="G54:J57 C56:E59">
    <cfRule type="expression" dxfId="1375" priority="80">
      <formula>#REF!="*01월*"</formula>
    </cfRule>
  </conditionalFormatting>
  <conditionalFormatting sqref="G62:J62">
    <cfRule type="expression" dxfId="1374" priority="74">
      <formula>$E64="*01월*"</formula>
    </cfRule>
  </conditionalFormatting>
  <conditionalFormatting sqref="G69:J69">
    <cfRule type="expression" dxfId="1373" priority="70">
      <formula>$E72="*01월*"</formula>
    </cfRule>
  </conditionalFormatting>
  <conditionalFormatting sqref="H23">
    <cfRule type="expression" dxfId="1372" priority="66">
      <formula>#REF!="*01월*"</formula>
    </cfRule>
  </conditionalFormatting>
  <conditionalFormatting sqref="H58">
    <cfRule type="expression" dxfId="1371" priority="93">
      <formula>#REF!="*01월*"</formula>
    </cfRule>
  </conditionalFormatting>
  <conditionalFormatting sqref="H59">
    <cfRule type="expression" dxfId="1370" priority="64">
      <formula>$E62="*01월*"</formula>
    </cfRule>
  </conditionalFormatting>
  <conditionalFormatting sqref="J72">
    <cfRule type="expression" dxfId="1369" priority="32">
      <formula>$E78="*01월*"</formula>
    </cfRule>
  </conditionalFormatting>
  <conditionalFormatting sqref="J83 F83:F87">
    <cfRule type="expression" dxfId="1368" priority="31">
      <formula>$E85="*01월*"</formula>
    </cfRule>
  </conditionalFormatting>
  <printOptions horizontalCentered="1"/>
  <pageMargins left="0" right="0" top="0.72" bottom="0.23" header="0" footer="0"/>
  <pageSetup paperSize="9" scale="43" fitToHeight="0" orientation="portrait" r:id="rId1"/>
  <rowBreaks count="1" manualBreakCount="1">
    <brk id="69" max="9" man="1"/>
  </rowBreaks>
  <colBreaks count="1" manualBreakCount="1">
    <brk id="9" max="97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pageSetUpPr fitToPage="1"/>
  </sheetPr>
  <dimension ref="A5:L82"/>
  <sheetViews>
    <sheetView view="pageBreakPreview" zoomScale="70" zoomScaleNormal="70" zoomScaleSheetLayoutView="70" workbookViewId="0">
      <pane xSplit="1" ySplit="12" topLeftCell="B54" activePane="bottomRight" state="frozen"/>
      <selection pane="topRight" activeCell="B1" sqref="B1"/>
      <selection pane="bottomLeft" activeCell="A9" sqref="A9"/>
      <selection pane="bottomRight" activeCell="H67" sqref="H67"/>
    </sheetView>
  </sheetViews>
  <sheetFormatPr defaultRowHeight="17.399999999999999"/>
  <cols>
    <col min="1" max="1" width="23.3984375" customWidth="1"/>
    <col min="2" max="2" width="22.8984375" customWidth="1"/>
    <col min="3" max="3" width="29.09765625" customWidth="1"/>
    <col min="4" max="4" width="29.09765625" hidden="1" customWidth="1"/>
    <col min="5" max="5" width="21" customWidth="1"/>
    <col min="6" max="6" width="18.69921875" customWidth="1"/>
    <col min="7" max="7" width="25.69921875" style="47" customWidth="1"/>
    <col min="8" max="8" width="26.5" customWidth="1"/>
    <col min="9" max="9" width="25.09765625" customWidth="1"/>
    <col min="10" max="10" width="29.19921875" customWidth="1"/>
    <col min="11" max="11" width="17.59765625" style="24" bestFit="1" customWidth="1"/>
    <col min="12" max="12" width="14.5" bestFit="1" customWidth="1"/>
  </cols>
  <sheetData>
    <row r="5" spans="1:11" ht="19.5" customHeight="1"/>
    <row r="6" spans="1:11" ht="19.5" customHeight="1">
      <c r="A6" s="2020" t="s">
        <v>1779</v>
      </c>
      <c r="B6" s="2020"/>
      <c r="C6" s="2020"/>
      <c r="D6" s="2020"/>
      <c r="E6" s="2020"/>
      <c r="F6" s="2020"/>
      <c r="G6" s="2020"/>
      <c r="H6" s="1"/>
      <c r="I6" s="1"/>
      <c r="J6" s="1"/>
    </row>
    <row r="7" spans="1:11" ht="19.5" customHeight="1">
      <c r="A7" s="2020"/>
      <c r="B7" s="2020"/>
      <c r="C7" s="2020"/>
      <c r="D7" s="2020"/>
      <c r="E7" s="2020"/>
      <c r="F7" s="2020"/>
      <c r="G7" s="2020"/>
      <c r="H7" s="1"/>
      <c r="I7" s="1"/>
      <c r="J7" s="1"/>
    </row>
    <row r="8" spans="1:11" ht="19.5" customHeight="1">
      <c r="A8" s="2020"/>
      <c r="B8" s="2020"/>
      <c r="C8" s="2020"/>
      <c r="D8" s="2020"/>
      <c r="E8" s="2020"/>
      <c r="F8" s="2020"/>
      <c r="G8" s="2020"/>
      <c r="H8" s="1"/>
      <c r="I8" s="1"/>
      <c r="J8" s="1"/>
    </row>
    <row r="9" spans="1:11" ht="19.5" customHeight="1">
      <c r="A9" s="2020"/>
      <c r="B9" s="2020"/>
      <c r="C9" s="2020"/>
      <c r="D9" s="2020"/>
      <c r="E9" s="2020"/>
      <c r="F9" s="2020"/>
      <c r="G9" s="2020"/>
      <c r="H9" s="2"/>
      <c r="I9" s="2"/>
      <c r="J9" s="2"/>
    </row>
    <row r="10" spans="1:11" ht="19.5" customHeight="1" thickBot="1">
      <c r="A10" s="2052"/>
      <c r="B10" s="2052"/>
      <c r="C10" s="2052"/>
      <c r="D10" s="2052"/>
      <c r="E10" s="2052"/>
      <c r="F10" s="2052"/>
      <c r="G10" s="2052"/>
      <c r="H10" s="2"/>
      <c r="I10" s="2"/>
      <c r="J10" s="2"/>
    </row>
    <row r="11" spans="1:11" ht="23.25" customHeight="1">
      <c r="A11" s="2021" t="s">
        <v>0</v>
      </c>
      <c r="B11" s="2023" t="s">
        <v>1</v>
      </c>
      <c r="C11" s="2024" t="s">
        <v>2</v>
      </c>
      <c r="D11" s="2024" t="s">
        <v>1222</v>
      </c>
      <c r="E11" s="2024" t="s">
        <v>3</v>
      </c>
      <c r="F11" s="2025" t="s">
        <v>4</v>
      </c>
      <c r="G11" s="2026" t="s">
        <v>5</v>
      </c>
      <c r="H11" s="2027"/>
      <c r="I11" s="2027"/>
      <c r="J11" s="2028"/>
    </row>
    <row r="12" spans="1:11" ht="23.25" customHeight="1">
      <c r="A12" s="2022"/>
      <c r="B12" s="2003"/>
      <c r="C12" s="2004"/>
      <c r="D12" s="2004"/>
      <c r="E12" s="2004"/>
      <c r="F12" s="2005"/>
      <c r="G12" s="82" t="s">
        <v>6</v>
      </c>
      <c r="H12" s="3" t="s">
        <v>7</v>
      </c>
      <c r="I12" s="3" t="s">
        <v>101</v>
      </c>
      <c r="J12" s="271" t="s">
        <v>8</v>
      </c>
    </row>
    <row r="13" spans="1:11" s="97" customFormat="1" ht="27" customHeight="1">
      <c r="A13" s="2010" t="s">
        <v>9</v>
      </c>
      <c r="B13" s="88" t="s">
        <v>1782</v>
      </c>
      <c r="C13" s="89" t="s">
        <v>1783</v>
      </c>
      <c r="D13" s="89"/>
      <c r="E13" s="90">
        <v>45552</v>
      </c>
      <c r="F13" s="91">
        <f>VLOOKUP(E13,환율!$A$1798:$B$2194,2,)</f>
        <v>1339.6</v>
      </c>
      <c r="G13" s="92">
        <v>411621</v>
      </c>
      <c r="H13" s="93">
        <f t="shared" ref="H13:H15" si="0">ROUNDDOWN(G13*F13,0)</f>
        <v>551407491</v>
      </c>
      <c r="I13" s="94" ph="1"/>
      <c r="J13" s="254"/>
      <c r="K13" s="364"/>
    </row>
    <row r="14" spans="1:11" s="97" customFormat="1" ht="27" customHeight="1">
      <c r="A14" s="2011"/>
      <c r="B14" s="99" t="s">
        <v>1820</v>
      </c>
      <c r="C14" s="100" t="s">
        <v>1821</v>
      </c>
      <c r="D14" s="100"/>
      <c r="E14" s="101">
        <v>45567</v>
      </c>
      <c r="F14" s="102">
        <f>VLOOKUP(E14,환율!$A$1798:$B$2194,2,)</f>
        <v>1306.9000000000001</v>
      </c>
      <c r="G14" s="103">
        <v>356990.55</v>
      </c>
      <c r="H14" s="104">
        <f t="shared" si="0"/>
        <v>466550949</v>
      </c>
      <c r="I14" s="353" ph="1"/>
      <c r="J14" s="272"/>
      <c r="K14" s="401"/>
    </row>
    <row r="15" spans="1:11" s="97" customFormat="1" ht="27" customHeight="1">
      <c r="A15" s="2011"/>
      <c r="B15" s="99" t="s">
        <v>1838</v>
      </c>
      <c r="C15" s="100" t="s">
        <v>1839</v>
      </c>
      <c r="D15" s="100"/>
      <c r="E15" s="125">
        <v>45572</v>
      </c>
      <c r="F15" s="102">
        <f>VLOOKUP(E15,환율!$A$1798:$B$2194,2,)</f>
        <v>1333.3</v>
      </c>
      <c r="G15" s="103">
        <v>372967.57</v>
      </c>
      <c r="H15" s="104">
        <f t="shared" si="0"/>
        <v>497277661</v>
      </c>
      <c r="I15" s="353" ph="1"/>
      <c r="J15" s="272"/>
      <c r="K15" s="401"/>
    </row>
    <row r="16" spans="1:11" s="97" customFormat="1" ht="27" customHeight="1">
      <c r="A16" s="2035" t="s">
        <v>10</v>
      </c>
      <c r="B16" s="2036"/>
      <c r="C16" s="2036"/>
      <c r="D16" s="2036"/>
      <c r="E16" s="2036"/>
      <c r="F16" s="2037"/>
      <c r="G16" s="115">
        <f>SUM(G13:G15)</f>
        <v>1141579.1200000001</v>
      </c>
      <c r="H16" s="116">
        <f>SUM(H13:H15)</f>
        <v>1515236101</v>
      </c>
      <c r="I16" s="116">
        <v>1836607305</v>
      </c>
      <c r="J16" s="260">
        <f>+H16-I16</f>
        <v>-321371204</v>
      </c>
      <c r="K16" s="364"/>
    </row>
    <row r="17" spans="1:11" s="120" customFormat="1" ht="27" customHeight="1">
      <c r="A17" s="2010" t="s">
        <v>11</v>
      </c>
      <c r="B17" s="117" t="s">
        <v>1806</v>
      </c>
      <c r="C17" s="89" t="s">
        <v>1807</v>
      </c>
      <c r="D17" s="319"/>
      <c r="E17" s="90">
        <v>45551</v>
      </c>
      <c r="F17" s="91">
        <f>VLOOKUP(E17,환율!$A$1798:$B$2194,2,)</f>
        <v>1339.6</v>
      </c>
      <c r="G17" s="118">
        <v>94251.839999999997</v>
      </c>
      <c r="H17" s="93">
        <f t="shared" ref="H17:H30" si="1">ROUNDDOWN(G17*F17,0)</f>
        <v>126259764</v>
      </c>
      <c r="I17" s="119"/>
      <c r="J17" s="254"/>
      <c r="K17" s="365"/>
    </row>
    <row r="18" spans="1:11" s="120" customFormat="1" ht="27" customHeight="1">
      <c r="A18" s="2011"/>
      <c r="B18" s="117" t="s">
        <v>1808</v>
      </c>
      <c r="C18" s="89" t="s">
        <v>1809</v>
      </c>
      <c r="D18" s="319"/>
      <c r="E18" s="90">
        <v>45547</v>
      </c>
      <c r="F18" s="91">
        <f>VLOOKUP(E18,환율!$A$1798:$B$2194,2,)</f>
        <v>1340.3</v>
      </c>
      <c r="G18" s="118">
        <v>16470.72</v>
      </c>
      <c r="H18" s="93">
        <f t="shared" si="1"/>
        <v>22075706</v>
      </c>
      <c r="I18" s="119"/>
      <c r="J18" s="254"/>
      <c r="K18" s="365"/>
    </row>
    <row r="19" spans="1:11" s="120" customFormat="1" ht="27" customHeight="1">
      <c r="A19" s="2011"/>
      <c r="B19" s="117" t="s">
        <v>1814</v>
      </c>
      <c r="C19" s="89" t="s">
        <v>1815</v>
      </c>
      <c r="D19" s="319"/>
      <c r="E19" s="90">
        <v>45551</v>
      </c>
      <c r="F19" s="91">
        <f>VLOOKUP(E19,환율!$A$1798:$B$2194,2,)</f>
        <v>1339.6</v>
      </c>
      <c r="G19" s="118">
        <v>1837.44</v>
      </c>
      <c r="H19" s="93">
        <f t="shared" si="1"/>
        <v>2461434</v>
      </c>
      <c r="I19" s="119"/>
      <c r="J19" s="254"/>
      <c r="K19" s="365"/>
    </row>
    <row r="20" spans="1:11" s="120" customFormat="1" ht="27" customHeight="1">
      <c r="A20" s="2011"/>
      <c r="B20" s="117" t="s">
        <v>1816</v>
      </c>
      <c r="C20" s="89" t="s">
        <v>1817</v>
      </c>
      <c r="D20" s="319"/>
      <c r="E20" s="90">
        <v>45565</v>
      </c>
      <c r="F20" s="91">
        <f>VLOOKUP(E20,환율!$A$1798:$B$2194,2,)</f>
        <v>1319.6</v>
      </c>
      <c r="G20" s="118">
        <v>13072.32</v>
      </c>
      <c r="H20" s="93">
        <f>ROUNDDOWN(G20*F20,0)</f>
        <v>17250233</v>
      </c>
      <c r="I20" s="119"/>
      <c r="J20" s="254"/>
      <c r="K20" s="365"/>
    </row>
    <row r="21" spans="1:11" s="120" customFormat="1" ht="27" customHeight="1">
      <c r="A21" s="2011"/>
      <c r="B21" s="121" t="s">
        <v>1810</v>
      </c>
      <c r="C21" s="100" t="s">
        <v>1811</v>
      </c>
      <c r="D21" s="320"/>
      <c r="E21" s="101">
        <v>45567</v>
      </c>
      <c r="F21" s="102">
        <f>VLOOKUP(E21,환율!$A$1798:$B$2194,2,)</f>
        <v>1306.9000000000001</v>
      </c>
      <c r="G21" s="122">
        <v>29115.599999999999</v>
      </c>
      <c r="H21" s="104">
        <f t="shared" ref="H21:H22" si="2">ROUNDDOWN(G21*F21,0)</f>
        <v>38051177</v>
      </c>
      <c r="I21" s="123"/>
      <c r="J21" s="272"/>
      <c r="K21" s="365"/>
    </row>
    <row r="22" spans="1:11" s="120" customFormat="1" ht="27" customHeight="1">
      <c r="A22" s="2011"/>
      <c r="B22" s="121" t="s">
        <v>1812</v>
      </c>
      <c r="C22" s="100" t="s">
        <v>1813</v>
      </c>
      <c r="D22" s="320"/>
      <c r="E22" s="125">
        <v>45569</v>
      </c>
      <c r="F22" s="102">
        <f>VLOOKUP(E22,환율!$A$1798:$B$2194,2,)</f>
        <v>1320.1</v>
      </c>
      <c r="G22" s="122">
        <v>18470.88</v>
      </c>
      <c r="H22" s="104">
        <f t="shared" si="2"/>
        <v>24383408</v>
      </c>
      <c r="I22" s="123"/>
      <c r="J22" s="272"/>
      <c r="K22" s="365"/>
    </row>
    <row r="23" spans="1:11" s="120" customFormat="1" ht="27" customHeight="1">
      <c r="A23" s="2019"/>
      <c r="B23" s="378" t="s">
        <v>1849</v>
      </c>
      <c r="C23" s="379"/>
      <c r="D23" s="380"/>
      <c r="E23" s="381">
        <v>45537</v>
      </c>
      <c r="F23" s="382">
        <f>VLOOKUP(E23,환율!$A$1798:$B$2194,2,)</f>
        <v>1334.8</v>
      </c>
      <c r="G23" s="383">
        <v>26459.73</v>
      </c>
      <c r="H23" s="384">
        <f>ROUNDDOWN(G23*F23,0)</f>
        <v>35318447</v>
      </c>
      <c r="I23" s="385"/>
      <c r="J23" s="386"/>
      <c r="K23" s="418"/>
    </row>
    <row r="24" spans="1:11" s="97" customFormat="1" ht="27" customHeight="1">
      <c r="A24" s="2035" t="s">
        <v>10</v>
      </c>
      <c r="B24" s="2036"/>
      <c r="C24" s="2036"/>
      <c r="D24" s="2036"/>
      <c r="E24" s="2036"/>
      <c r="F24" s="2037"/>
      <c r="G24" s="127">
        <f>SUM(G17:G23)</f>
        <v>199678.53000000003</v>
      </c>
      <c r="H24" s="127">
        <f>SUM(H17:H23)</f>
        <v>265800169</v>
      </c>
      <c r="I24" s="116">
        <v>159197798</v>
      </c>
      <c r="J24" s="260">
        <f>+H24-I24</f>
        <v>106602371</v>
      </c>
      <c r="K24" s="364"/>
    </row>
    <row r="25" spans="1:11" s="126" customFormat="1" ht="27" customHeight="1">
      <c r="A25" s="2011" t="s">
        <v>114</v>
      </c>
      <c r="B25" s="313" t="s">
        <v>1823</v>
      </c>
      <c r="C25" s="129" t="s">
        <v>1824</v>
      </c>
      <c r="D25" s="129"/>
      <c r="E25" s="136">
        <v>45560</v>
      </c>
      <c r="F25" s="91">
        <f>VLOOKUP(E25,환율!$A$1798:$B$2194,2,)</f>
        <v>1334.3</v>
      </c>
      <c r="G25" s="389">
        <v>3696.07</v>
      </c>
      <c r="H25" s="93">
        <f t="shared" si="1"/>
        <v>4931666</v>
      </c>
      <c r="I25" s="135"/>
      <c r="J25" s="255"/>
      <c r="K25" s="364"/>
    </row>
    <row r="26" spans="1:11" s="126" customFormat="1" ht="27" customHeight="1">
      <c r="A26" s="2011"/>
      <c r="B26" s="330" t="s">
        <v>1822</v>
      </c>
      <c r="C26" s="137" t="s">
        <v>1852</v>
      </c>
      <c r="D26" s="137"/>
      <c r="E26" s="101">
        <v>45579</v>
      </c>
      <c r="F26" s="102">
        <f>VLOOKUP(E26,환율!$A$1798:$B$2194,2,)</f>
        <v>1348.6</v>
      </c>
      <c r="G26" s="138">
        <v>6947.5</v>
      </c>
      <c r="H26" s="104">
        <f t="shared" ref="H26" si="3">ROUNDDOWN(G26*F26,0)</f>
        <v>9369398</v>
      </c>
      <c r="I26" s="139"/>
      <c r="J26" s="258"/>
      <c r="K26" s="364"/>
    </row>
    <row r="27" spans="1:11" s="97" customFormat="1" ht="27" customHeight="1">
      <c r="A27" s="2035" t="s">
        <v>10</v>
      </c>
      <c r="B27" s="2036"/>
      <c r="C27" s="2036"/>
      <c r="D27" s="2036"/>
      <c r="E27" s="2036"/>
      <c r="F27" s="2037"/>
      <c r="G27" s="127">
        <f>SUM(G25:G26)</f>
        <v>10643.57</v>
      </c>
      <c r="H27" s="127">
        <f>SUM(H25:H26)</f>
        <v>14301064</v>
      </c>
      <c r="I27" s="116">
        <v>293329141</v>
      </c>
      <c r="J27" s="260">
        <f>+H27-I27</f>
        <v>-279028077</v>
      </c>
      <c r="K27" s="364"/>
    </row>
    <row r="28" spans="1:11" s="97" customFormat="1" ht="27" customHeight="1">
      <c r="A28" s="2010" t="s">
        <v>13</v>
      </c>
      <c r="B28" s="313" t="s">
        <v>1802</v>
      </c>
      <c r="C28" s="142" t="s">
        <v>1803</v>
      </c>
      <c r="D28" s="90"/>
      <c r="E28" s="89">
        <v>45542</v>
      </c>
      <c r="F28" s="91">
        <f>VLOOKUP(E28,환율!$A$1798:$B$2194,2,)</f>
        <v>1335.8</v>
      </c>
      <c r="G28" s="92">
        <v>114775.02</v>
      </c>
      <c r="H28" s="93">
        <f t="shared" si="1"/>
        <v>153316471</v>
      </c>
      <c r="I28" s="142"/>
      <c r="J28" s="321"/>
      <c r="K28" s="364"/>
    </row>
    <row r="29" spans="1:11" s="97" customFormat="1" ht="27" customHeight="1">
      <c r="A29" s="2011"/>
      <c r="B29" s="313" t="s">
        <v>1804</v>
      </c>
      <c r="C29" s="142" t="s">
        <v>1805</v>
      </c>
      <c r="D29" s="90"/>
      <c r="E29" s="89">
        <v>45557</v>
      </c>
      <c r="F29" s="91">
        <f>VLOOKUP(E29,환율!$A$1798:$B$2194,2,)</f>
        <v>1331.8</v>
      </c>
      <c r="G29" s="92">
        <v>110301.36</v>
      </c>
      <c r="H29" s="93">
        <f t="shared" si="1"/>
        <v>146899351</v>
      </c>
      <c r="I29" s="142"/>
      <c r="J29" s="321"/>
      <c r="K29" s="364"/>
    </row>
    <row r="30" spans="1:11" s="97" customFormat="1" ht="27" customHeight="1">
      <c r="A30" s="2019"/>
      <c r="B30" s="330" t="s">
        <v>1840</v>
      </c>
      <c r="C30" s="224" t="s">
        <v>1857</v>
      </c>
      <c r="D30" s="101"/>
      <c r="E30" s="169">
        <v>45573</v>
      </c>
      <c r="F30" s="102">
        <f>VLOOKUP(E30,환율!$A$1798:$B$2194,2,)</f>
        <v>1346.5</v>
      </c>
      <c r="G30" s="103">
        <v>125360.94</v>
      </c>
      <c r="H30" s="104">
        <f t="shared" si="1"/>
        <v>168798505</v>
      </c>
      <c r="I30" s="224"/>
      <c r="J30" s="275"/>
      <c r="K30" s="364"/>
    </row>
    <row r="31" spans="1:11" s="97" customFormat="1" ht="27" customHeight="1">
      <c r="A31" s="2035" t="s">
        <v>10</v>
      </c>
      <c r="B31" s="2036"/>
      <c r="C31" s="2036"/>
      <c r="D31" s="2036"/>
      <c r="E31" s="2036"/>
      <c r="F31" s="2037"/>
      <c r="G31" s="127">
        <f>SUM(G28:G29)</f>
        <v>225076.38</v>
      </c>
      <c r="H31" s="116">
        <f>SUM(H28:H30)</f>
        <v>469014327</v>
      </c>
      <c r="I31" s="116">
        <v>311687498</v>
      </c>
      <c r="J31" s="260">
        <f>+H31-I31</f>
        <v>157326829</v>
      </c>
      <c r="K31" s="364"/>
    </row>
    <row r="32" spans="1:11" s="97" customFormat="1" ht="27" customHeight="1">
      <c r="A32" s="2010" t="s">
        <v>35</v>
      </c>
      <c r="B32" s="152" t="s">
        <v>1847</v>
      </c>
      <c r="C32" s="152" t="s">
        <v>1863</v>
      </c>
      <c r="D32" s="322"/>
      <c r="E32" s="101">
        <v>45580</v>
      </c>
      <c r="F32" s="102">
        <f>VLOOKUP(E32,환율!$A$1798:$B$2194,2,)</f>
        <v>1354.9</v>
      </c>
      <c r="G32" s="103">
        <f>H32/F32</f>
        <v>3719.3888847885451</v>
      </c>
      <c r="H32" s="104">
        <v>5039400</v>
      </c>
      <c r="I32" s="224"/>
      <c r="J32" s="276"/>
      <c r="K32" s="364"/>
    </row>
    <row r="33" spans="1:11" s="97" customFormat="1" ht="27" customHeight="1">
      <c r="A33" s="2019"/>
      <c r="B33" s="152" t="s">
        <v>1848</v>
      </c>
      <c r="C33" s="152" t="s">
        <v>1931</v>
      </c>
      <c r="D33" s="322"/>
      <c r="E33" s="101">
        <v>45596</v>
      </c>
      <c r="F33" s="102">
        <f>VLOOKUP(E33,환율!$A$1798:$B$2194,2,)</f>
        <v>1383.3</v>
      </c>
      <c r="G33" s="103">
        <f>H33/F33</f>
        <v>34030.622424636742</v>
      </c>
      <c r="H33" s="104">
        <v>47074560</v>
      </c>
      <c r="I33" s="224"/>
      <c r="J33" s="276"/>
      <c r="K33" s="364"/>
    </row>
    <row r="34" spans="1:11" s="97" customFormat="1" ht="27" customHeight="1">
      <c r="A34" s="2035" t="s">
        <v>10</v>
      </c>
      <c r="B34" s="2036"/>
      <c r="C34" s="2036"/>
      <c r="D34" s="2036"/>
      <c r="E34" s="2036"/>
      <c r="F34" s="2037"/>
      <c r="G34" s="127">
        <f>SUM(G32:G33)</f>
        <v>37750.011309425288</v>
      </c>
      <c r="H34" s="116">
        <f>SUM(H32:H33)</f>
        <v>52113960</v>
      </c>
      <c r="I34" s="116">
        <v>56895967</v>
      </c>
      <c r="J34" s="260">
        <f>+H34-I34</f>
        <v>-4782007</v>
      </c>
      <c r="K34" s="364"/>
    </row>
    <row r="35" spans="1:11" s="97" customFormat="1" ht="27" customHeight="1">
      <c r="A35" s="261" t="s">
        <v>47</v>
      </c>
      <c r="B35" s="88" t="s">
        <v>1818</v>
      </c>
      <c r="C35" s="155" t="s">
        <v>1819</v>
      </c>
      <c r="D35" s="146"/>
      <c r="E35" s="146">
        <v>45546</v>
      </c>
      <c r="F35" s="91">
        <f>VLOOKUP(E35,환율!$A$1798:$B$2194,2,)</f>
        <v>1344.3</v>
      </c>
      <c r="G35" s="118">
        <v>39476</v>
      </c>
      <c r="H35" s="93">
        <f t="shared" ref="H35" si="4">ROUNDDOWN(G35*F35,0)</f>
        <v>53067586</v>
      </c>
      <c r="I35" s="156"/>
      <c r="J35" s="263"/>
      <c r="K35" s="364"/>
    </row>
    <row r="36" spans="1:11" s="97" customFormat="1" ht="27" customHeight="1">
      <c r="A36" s="2035" t="s">
        <v>10</v>
      </c>
      <c r="B36" s="2036"/>
      <c r="C36" s="2036"/>
      <c r="D36" s="2036"/>
      <c r="E36" s="2036"/>
      <c r="F36" s="2037"/>
      <c r="G36" s="127">
        <f>SUM(G35:G35)</f>
        <v>39476</v>
      </c>
      <c r="H36" s="116">
        <f>SUM(H35:H35)</f>
        <v>53067586</v>
      </c>
      <c r="I36" s="116">
        <v>86444606</v>
      </c>
      <c r="J36" s="260">
        <f>+H36-I36</f>
        <v>-33377020</v>
      </c>
      <c r="K36" s="364"/>
    </row>
    <row r="37" spans="1:11" s="97" customFormat="1" ht="27" customHeight="1">
      <c r="A37" s="399" t="s">
        <v>34</v>
      </c>
      <c r="B37" s="409" t="s">
        <v>1786</v>
      </c>
      <c r="C37" s="413" t="s">
        <v>1787</v>
      </c>
      <c r="D37" s="125"/>
      <c r="E37" s="101">
        <v>45567</v>
      </c>
      <c r="F37" s="102">
        <f>VLOOKUP(E37,환율!$A$1798:$B$2194,2,)</f>
        <v>1306.9000000000001</v>
      </c>
      <c r="G37" s="414">
        <v>11039.8</v>
      </c>
      <c r="H37" s="415">
        <f t="shared" ref="H37" si="5">ROUNDDOWN(G37*F37,0)</f>
        <v>14427914</v>
      </c>
      <c r="I37" s="416"/>
      <c r="J37" s="417"/>
      <c r="K37" s="401"/>
    </row>
    <row r="38" spans="1:11" s="97" customFormat="1" ht="27" customHeight="1" thickBot="1">
      <c r="A38" s="2032" t="s">
        <v>10</v>
      </c>
      <c r="B38" s="2033"/>
      <c r="C38" s="2033"/>
      <c r="D38" s="2033"/>
      <c r="E38" s="2033"/>
      <c r="F38" s="2034"/>
      <c r="G38" s="268">
        <f>SUM(G37:G37)</f>
        <v>11039.8</v>
      </c>
      <c r="H38" s="269">
        <f>SUM(H37:H37)</f>
        <v>14427914</v>
      </c>
      <c r="I38" s="269">
        <f>SUM(I37:I37)</f>
        <v>0</v>
      </c>
      <c r="J38" s="270">
        <f>+H38-I38</f>
        <v>14427914</v>
      </c>
      <c r="K38" s="364"/>
    </row>
    <row r="39" spans="1:11" s="97" customFormat="1" ht="27" customHeight="1">
      <c r="A39" s="2018" t="s">
        <v>14</v>
      </c>
      <c r="B39" s="247" t="s">
        <v>1789</v>
      </c>
      <c r="C39" s="248" t="s">
        <v>1788</v>
      </c>
      <c r="D39" s="248"/>
      <c r="E39" s="248">
        <v>45545</v>
      </c>
      <c r="F39" s="91">
        <f>VLOOKUP(E39,환율!$A$1798:$B$2194,2,)</f>
        <v>1339.5</v>
      </c>
      <c r="G39" s="250">
        <v>5394.24</v>
      </c>
      <c r="H39" s="251">
        <f t="shared" ref="H39:H49" si="6">ROUNDDOWN(G39*F39,0)</f>
        <v>7225584</v>
      </c>
      <c r="I39" s="252"/>
      <c r="J39" s="253"/>
      <c r="K39" s="364"/>
    </row>
    <row r="40" spans="1:11" s="97" customFormat="1" ht="27" customHeight="1">
      <c r="A40" s="2011"/>
      <c r="B40" s="88" t="s">
        <v>1790</v>
      </c>
      <c r="C40" s="129" t="s">
        <v>1791</v>
      </c>
      <c r="D40" s="129"/>
      <c r="E40" s="136">
        <v>45536</v>
      </c>
      <c r="F40" s="91">
        <f>VLOOKUP(E40,환율!$A$1798:$B$2194,2,)</f>
        <v>1335.3</v>
      </c>
      <c r="G40" s="92">
        <v>1636.5</v>
      </c>
      <c r="H40" s="93">
        <f t="shared" si="6"/>
        <v>2185218</v>
      </c>
      <c r="I40" s="165"/>
      <c r="J40" s="254"/>
    </row>
    <row r="41" spans="1:11" s="97" customFormat="1" ht="27" customHeight="1">
      <c r="A41" s="2011"/>
      <c r="B41" s="88" t="s">
        <v>1792</v>
      </c>
      <c r="C41" s="146" t="s">
        <v>1793</v>
      </c>
      <c r="D41" s="146"/>
      <c r="E41" s="136">
        <v>45545</v>
      </c>
      <c r="F41" s="91">
        <f>VLOOKUP(E41,환율!$A$1798:$B$2194,2,)</f>
        <v>1339.5</v>
      </c>
      <c r="G41" s="118">
        <v>17586.009999999998</v>
      </c>
      <c r="H41" s="93">
        <f t="shared" si="6"/>
        <v>23556460</v>
      </c>
      <c r="I41" s="147"/>
      <c r="J41" s="255"/>
      <c r="K41" s="364"/>
    </row>
    <row r="42" spans="1:11" s="97" customFormat="1" ht="27" customHeight="1">
      <c r="A42" s="2011"/>
      <c r="B42" s="88" t="s">
        <v>1794</v>
      </c>
      <c r="C42" s="136" t="s">
        <v>1795</v>
      </c>
      <c r="D42" s="136"/>
      <c r="E42" s="136">
        <v>45543</v>
      </c>
      <c r="F42" s="91">
        <f>VLOOKUP(E42,환율!$A$1798:$B$2194,2,)</f>
        <v>1335.8</v>
      </c>
      <c r="G42" s="92">
        <v>2564.46</v>
      </c>
      <c r="H42" s="93">
        <f t="shared" si="6"/>
        <v>3425605</v>
      </c>
      <c r="I42" s="167"/>
      <c r="J42" s="256"/>
      <c r="K42" s="364"/>
    </row>
    <row r="43" spans="1:11" s="97" customFormat="1" ht="27" customHeight="1">
      <c r="A43" s="2011"/>
      <c r="B43" s="88" t="s">
        <v>1796</v>
      </c>
      <c r="C43" s="146" t="s">
        <v>1797</v>
      </c>
      <c r="D43" s="146"/>
      <c r="E43" s="136">
        <v>45550</v>
      </c>
      <c r="F43" s="91">
        <f>VLOOKUP(E43,환율!$A$1798:$B$2194,2,)</f>
        <v>1339.6</v>
      </c>
      <c r="G43" s="92">
        <v>37501</v>
      </c>
      <c r="H43" s="93">
        <f t="shared" si="6"/>
        <v>50236339</v>
      </c>
      <c r="I43" s="168"/>
      <c r="J43" s="256"/>
      <c r="K43" s="364"/>
    </row>
    <row r="44" spans="1:11" s="97" customFormat="1" ht="27" customHeight="1">
      <c r="A44" s="2011"/>
      <c r="B44" s="88" t="s">
        <v>1798</v>
      </c>
      <c r="C44" s="146" t="s">
        <v>1799</v>
      </c>
      <c r="D44" s="146"/>
      <c r="E44" s="136">
        <v>45551</v>
      </c>
      <c r="F44" s="91">
        <f>VLOOKUP(E44,환율!$A$1798:$B$2194,2,)</f>
        <v>1339.6</v>
      </c>
      <c r="G44" s="92">
        <v>3354.78</v>
      </c>
      <c r="H44" s="93">
        <f t="shared" si="6"/>
        <v>4494063</v>
      </c>
      <c r="I44" s="168"/>
      <c r="J44" s="256"/>
      <c r="K44" s="364"/>
    </row>
    <row r="45" spans="1:11" s="97" customFormat="1" ht="27" customHeight="1">
      <c r="A45" s="2011"/>
      <c r="B45" s="88" t="s">
        <v>1800</v>
      </c>
      <c r="C45" s="146" t="s">
        <v>1801</v>
      </c>
      <c r="D45" s="146"/>
      <c r="E45" s="136">
        <v>45545</v>
      </c>
      <c r="F45" s="91">
        <f>VLOOKUP(E45,환율!$A$1798:$B$2194,2,)</f>
        <v>1339.5</v>
      </c>
      <c r="G45" s="92">
        <v>282.04000000000002</v>
      </c>
      <c r="H45" s="93">
        <f t="shared" si="6"/>
        <v>377792</v>
      </c>
      <c r="I45" s="168"/>
      <c r="J45" s="419"/>
      <c r="K45" s="364"/>
    </row>
    <row r="46" spans="1:11" s="97" customFormat="1" ht="27" customHeight="1">
      <c r="A46" s="2011"/>
      <c r="B46" s="88" t="s">
        <v>1825</v>
      </c>
      <c r="C46" s="146" t="s">
        <v>1826</v>
      </c>
      <c r="D46" s="146"/>
      <c r="E46" s="136">
        <v>45561</v>
      </c>
      <c r="F46" s="91">
        <f>VLOOKUP(E46,환율!$A$1798:$B$2194,2,)</f>
        <v>1328.4</v>
      </c>
      <c r="G46" s="92">
        <v>511.1</v>
      </c>
      <c r="H46" s="93">
        <f t="shared" si="6"/>
        <v>678945</v>
      </c>
      <c r="I46" s="168"/>
      <c r="J46" s="256"/>
      <c r="K46" s="364" t="s">
        <v>1851</v>
      </c>
    </row>
    <row r="47" spans="1:11" s="97" customFormat="1" ht="27" customHeight="1">
      <c r="A47" s="2019"/>
      <c r="B47" s="405" t="s">
        <v>1858</v>
      </c>
      <c r="C47" s="420"/>
      <c r="D47" s="420"/>
      <c r="E47" s="421">
        <v>45555</v>
      </c>
      <c r="F47" s="382">
        <f>VLOOKUP(E47,환율!$A$1798:$B$2194,2,)</f>
        <v>1331.8</v>
      </c>
      <c r="G47" s="406">
        <v>7630</v>
      </c>
      <c r="H47" s="384">
        <f t="shared" si="6"/>
        <v>10161634</v>
      </c>
      <c r="I47" s="422"/>
      <c r="J47" s="423"/>
      <c r="K47" s="364"/>
    </row>
    <row r="48" spans="1:11" s="97" customFormat="1" ht="27" customHeight="1">
      <c r="A48" s="2035" t="s">
        <v>10</v>
      </c>
      <c r="B48" s="2036"/>
      <c r="C48" s="2036"/>
      <c r="D48" s="2036"/>
      <c r="E48" s="2036"/>
      <c r="F48" s="2037"/>
      <c r="G48" s="127">
        <f>SUM(G39:G47)</f>
        <v>76460.13</v>
      </c>
      <c r="H48" s="127">
        <f>SUM(H39:H47)</f>
        <v>102341640</v>
      </c>
      <c r="I48" s="116">
        <v>99788204</v>
      </c>
      <c r="J48" s="260">
        <f>+H48-I48</f>
        <v>2553436</v>
      </c>
      <c r="K48" s="364"/>
    </row>
    <row r="49" spans="1:11" s="97" customFormat="1" ht="27" customHeight="1">
      <c r="A49" s="2010" t="s">
        <v>15</v>
      </c>
      <c r="B49" s="145" t="s">
        <v>1784</v>
      </c>
      <c r="C49" s="145" t="s">
        <v>1785</v>
      </c>
      <c r="D49" s="288"/>
      <c r="E49" s="288">
        <v>45554</v>
      </c>
      <c r="F49" s="91">
        <f>VLOOKUP(E49,환율!$A$1798:$B$2194,2,)</f>
        <v>1331</v>
      </c>
      <c r="G49" s="92">
        <v>10642.14</v>
      </c>
      <c r="H49" s="93">
        <f t="shared" si="6"/>
        <v>14164688</v>
      </c>
      <c r="I49" s="173"/>
      <c r="J49" s="262"/>
      <c r="K49" s="401"/>
    </row>
    <row r="50" spans="1:11" s="97" customFormat="1" ht="27" customHeight="1">
      <c r="A50" s="2019"/>
      <c r="B50" s="409" t="s">
        <v>1827</v>
      </c>
      <c r="C50" s="409" t="s">
        <v>1850</v>
      </c>
      <c r="D50" s="322"/>
      <c r="E50" s="352">
        <v>45571</v>
      </c>
      <c r="F50" s="102">
        <f>VLOOKUP(E50,환율!$A$1798:$B$2194,2,)</f>
        <v>1320.1</v>
      </c>
      <c r="G50" s="103">
        <v>17736.900000000001</v>
      </c>
      <c r="H50" s="104">
        <f t="shared" ref="H50" si="7">ROUNDDOWN(G50*F50,0)</f>
        <v>23414481</v>
      </c>
      <c r="I50" s="152"/>
      <c r="J50" s="323"/>
      <c r="K50" s="401"/>
    </row>
    <row r="51" spans="1:11" s="97" customFormat="1" ht="27" customHeight="1">
      <c r="A51" s="2035" t="s">
        <v>10</v>
      </c>
      <c r="B51" s="2036"/>
      <c r="C51" s="2036"/>
      <c r="D51" s="2036"/>
      <c r="E51" s="2036"/>
      <c r="F51" s="2037"/>
      <c r="G51" s="127">
        <f>SUM(G49:G49)</f>
        <v>10642.14</v>
      </c>
      <c r="H51" s="116">
        <f>SUM(H49:H50)</f>
        <v>37579169</v>
      </c>
      <c r="I51" s="116">
        <v>105231220</v>
      </c>
      <c r="J51" s="260">
        <f>+H51-I51</f>
        <v>-67652051</v>
      </c>
      <c r="K51" s="366"/>
    </row>
    <row r="52" spans="1:11" s="97" customFormat="1" ht="27" customHeight="1">
      <c r="A52" s="2012" t="s">
        <v>726</v>
      </c>
      <c r="B52" s="136" t="s">
        <v>1828</v>
      </c>
      <c r="C52" s="136" t="s">
        <v>1829</v>
      </c>
      <c r="D52" s="136"/>
      <c r="E52" s="136">
        <v>45542</v>
      </c>
      <c r="F52" s="397">
        <v>9.3180999999999994</v>
      </c>
      <c r="G52" s="177">
        <v>12752528</v>
      </c>
      <c r="H52" s="93">
        <f t="shared" ref="H52:H61" si="8">ROUNDDOWN(G52*F52,0)</f>
        <v>118829331</v>
      </c>
      <c r="I52" s="156"/>
      <c r="J52" s="263"/>
      <c r="K52" s="364"/>
    </row>
    <row r="53" spans="1:11" s="97" customFormat="1" ht="27" customHeight="1">
      <c r="A53" s="2053"/>
      <c r="B53" s="136" t="s">
        <v>1830</v>
      </c>
      <c r="C53" s="146" t="s">
        <v>1831</v>
      </c>
      <c r="D53" s="136"/>
      <c r="E53" s="136">
        <v>45550</v>
      </c>
      <c r="F53" s="176">
        <v>9.4573999999999998</v>
      </c>
      <c r="G53" s="177">
        <v>16063554</v>
      </c>
      <c r="H53" s="93">
        <f t="shared" si="8"/>
        <v>151919455</v>
      </c>
      <c r="I53" s="156"/>
      <c r="J53" s="263"/>
      <c r="K53" s="366"/>
    </row>
    <row r="54" spans="1:11" s="97" customFormat="1" ht="27" customHeight="1">
      <c r="A54" s="2053"/>
      <c r="B54" s="136" t="s">
        <v>1832</v>
      </c>
      <c r="C54" s="146" t="s">
        <v>1833</v>
      </c>
      <c r="D54" s="136"/>
      <c r="E54" s="136">
        <v>45550</v>
      </c>
      <c r="F54" s="176">
        <v>9.4573999999999998</v>
      </c>
      <c r="G54" s="177">
        <v>5280032</v>
      </c>
      <c r="H54" s="93">
        <f t="shared" si="8"/>
        <v>49935374</v>
      </c>
      <c r="I54" s="156"/>
      <c r="J54" s="263"/>
      <c r="K54" s="366"/>
    </row>
    <row r="55" spans="1:11" s="97" customFormat="1" ht="27" customHeight="1">
      <c r="A55" s="2053"/>
      <c r="B55" s="136" t="s">
        <v>1834</v>
      </c>
      <c r="C55" s="146" t="s">
        <v>1835</v>
      </c>
      <c r="D55" s="136"/>
      <c r="E55" s="136">
        <v>45556</v>
      </c>
      <c r="F55" s="176">
        <v>9.3292999999999999</v>
      </c>
      <c r="G55" s="177">
        <v>11148552</v>
      </c>
      <c r="H55" s="93">
        <f t="shared" si="8"/>
        <v>104008186</v>
      </c>
      <c r="I55" s="156"/>
      <c r="J55" s="263"/>
      <c r="K55" s="366"/>
    </row>
    <row r="56" spans="1:11" s="97" customFormat="1" ht="27" customHeight="1">
      <c r="A56" s="2053"/>
      <c r="B56" s="136" t="s">
        <v>1836</v>
      </c>
      <c r="C56" s="146" t="s">
        <v>1837</v>
      </c>
      <c r="D56" s="136"/>
      <c r="E56" s="136">
        <v>45564</v>
      </c>
      <c r="F56" s="176">
        <v>9.1729000000000003</v>
      </c>
      <c r="G56" s="177">
        <v>15196104</v>
      </c>
      <c r="H56" s="93">
        <f t="shared" si="8"/>
        <v>139392342</v>
      </c>
      <c r="I56" s="156"/>
      <c r="J56" s="263"/>
      <c r="K56" s="366"/>
    </row>
    <row r="57" spans="1:11" s="97" customFormat="1" ht="27" customHeight="1">
      <c r="A57" s="2053"/>
      <c r="B57" s="421" t="s">
        <v>1859</v>
      </c>
      <c r="C57" s="420"/>
      <c r="D57" s="421"/>
      <c r="E57" s="421">
        <v>45565</v>
      </c>
      <c r="F57" s="424">
        <v>9.2451000000000008</v>
      </c>
      <c r="G57" s="425">
        <v>541800</v>
      </c>
      <c r="H57" s="384">
        <f t="shared" si="8"/>
        <v>5008995</v>
      </c>
      <c r="I57" s="426"/>
      <c r="J57" s="427"/>
      <c r="K57" s="366"/>
    </row>
    <row r="58" spans="1:11" s="97" customFormat="1" ht="27" customHeight="1">
      <c r="A58" s="2053"/>
      <c r="B58" s="421" t="s">
        <v>1860</v>
      </c>
      <c r="C58" s="420"/>
      <c r="D58" s="421"/>
      <c r="E58" s="421">
        <v>45565</v>
      </c>
      <c r="F58" s="424">
        <v>9.2451000000000008</v>
      </c>
      <c r="G58" s="425">
        <v>524200</v>
      </c>
      <c r="H58" s="384">
        <f t="shared" si="8"/>
        <v>4846281</v>
      </c>
      <c r="I58" s="426"/>
      <c r="J58" s="427"/>
      <c r="K58" s="366"/>
    </row>
    <row r="59" spans="1:11" s="97" customFormat="1" ht="27" customHeight="1">
      <c r="A59" s="2053"/>
      <c r="B59" s="421" t="s">
        <v>1861</v>
      </c>
      <c r="C59" s="420"/>
      <c r="D59" s="421"/>
      <c r="E59" s="421">
        <v>45565</v>
      </c>
      <c r="F59" s="424">
        <v>9.2451000000000008</v>
      </c>
      <c r="G59" s="425">
        <v>456200</v>
      </c>
      <c r="H59" s="384">
        <v>4215765</v>
      </c>
      <c r="I59" s="426"/>
      <c r="J59" s="427"/>
      <c r="K59" s="366"/>
    </row>
    <row r="60" spans="1:11" s="97" customFormat="1" ht="27" customHeight="1">
      <c r="A60" s="2053"/>
      <c r="B60" s="421" t="s">
        <v>1862</v>
      </c>
      <c r="C60" s="420"/>
      <c r="D60" s="421"/>
      <c r="E60" s="421">
        <v>45565</v>
      </c>
      <c r="F60" s="424">
        <v>9.2451000000000008</v>
      </c>
      <c r="G60" s="425">
        <v>170000</v>
      </c>
      <c r="H60" s="384">
        <f t="shared" si="8"/>
        <v>1571667</v>
      </c>
      <c r="I60" s="426"/>
      <c r="J60" s="427"/>
      <c r="K60" s="366"/>
    </row>
    <row r="61" spans="1:11" s="97" customFormat="1" ht="27" customHeight="1">
      <c r="A61" s="2013"/>
      <c r="B61" s="125" t="s">
        <v>1853</v>
      </c>
      <c r="C61" s="169" t="s">
        <v>1854</v>
      </c>
      <c r="D61" s="125"/>
      <c r="E61" s="125">
        <v>45568</v>
      </c>
      <c r="F61" s="183">
        <v>9.1026000000000007</v>
      </c>
      <c r="G61" s="184">
        <v>11355034</v>
      </c>
      <c r="H61" s="104">
        <f t="shared" si="8"/>
        <v>103360332</v>
      </c>
      <c r="I61" s="185"/>
      <c r="J61" s="277"/>
      <c r="K61" s="366"/>
    </row>
    <row r="62" spans="1:11" s="97" customFormat="1" ht="27" customHeight="1">
      <c r="A62" s="2035" t="s">
        <v>10</v>
      </c>
      <c r="B62" s="2036"/>
      <c r="C62" s="2036"/>
      <c r="D62" s="2036"/>
      <c r="E62" s="2036"/>
      <c r="F62" s="2037"/>
      <c r="G62" s="398">
        <f>SUM(G52:G61)</f>
        <v>73488004</v>
      </c>
      <c r="H62" s="116">
        <f>SUM(H52:H61)</f>
        <v>683087728</v>
      </c>
      <c r="I62" s="116">
        <v>410173144</v>
      </c>
      <c r="J62" s="260">
        <f>+H62-I62</f>
        <v>272914584</v>
      </c>
      <c r="K62" s="364"/>
    </row>
    <row r="63" spans="1:11" s="310" customFormat="1" ht="27" customHeight="1">
      <c r="A63" s="2041" t="s">
        <v>992</v>
      </c>
      <c r="B63" s="332"/>
      <c r="C63" s="303"/>
      <c r="D63" s="303"/>
      <c r="E63" s="303"/>
      <c r="F63" s="91" t="e">
        <f>VLOOKUP(E63,환율!$A$1798:$B$2194,2,)</f>
        <v>#N/A</v>
      </c>
      <c r="G63" s="334" t="e">
        <f>H63/F63</f>
        <v>#N/A</v>
      </c>
      <c r="H63" s="335"/>
      <c r="I63" s="336"/>
      <c r="J63" s="337"/>
      <c r="K63" s="367"/>
    </row>
    <row r="64" spans="1:11" s="310" customFormat="1" ht="27" customHeight="1">
      <c r="A64" s="2042"/>
      <c r="B64" s="332"/>
      <c r="C64" s="303"/>
      <c r="D64" s="303"/>
      <c r="E64" s="303"/>
      <c r="F64" s="91" t="e">
        <f>VLOOKUP(E64,환율!$A$1798:$B$2194,2,)</f>
        <v>#N/A</v>
      </c>
      <c r="G64" s="334" t="e">
        <f>H64/F64</f>
        <v>#N/A</v>
      </c>
      <c r="H64" s="335"/>
      <c r="I64" s="336"/>
      <c r="J64" s="337"/>
      <c r="K64" s="367"/>
    </row>
    <row r="65" spans="1:12" s="97" customFormat="1" ht="27" customHeight="1">
      <c r="A65" s="2035" t="s">
        <v>10</v>
      </c>
      <c r="B65" s="2036"/>
      <c r="C65" s="2036"/>
      <c r="D65" s="2036"/>
      <c r="E65" s="2036"/>
      <c r="F65" s="2037"/>
      <c r="G65" s="116" t="e">
        <f>SUM(G63:G64)</f>
        <v>#N/A</v>
      </c>
      <c r="H65" s="116">
        <f>SUM(H63:H64)</f>
        <v>0</v>
      </c>
      <c r="I65" s="116">
        <v>24586760</v>
      </c>
      <c r="J65" s="260">
        <f>+H65-I65</f>
        <v>-24586760</v>
      </c>
      <c r="K65" s="402"/>
    </row>
    <row r="66" spans="1:12" s="97" customFormat="1" ht="27" customHeight="1" thickBot="1">
      <c r="A66" s="2044" t="s">
        <v>1176</v>
      </c>
      <c r="B66" s="2045"/>
      <c r="C66" s="2045"/>
      <c r="D66" s="2045"/>
      <c r="E66" s="2046"/>
      <c r="F66" s="1997" t="s">
        <v>31</v>
      </c>
      <c r="G66" s="232" t="s">
        <v>17</v>
      </c>
      <c r="H66" s="210">
        <f>+H68-H67</f>
        <v>3161489577</v>
      </c>
      <c r="I66" s="210">
        <v>3262374743</v>
      </c>
      <c r="J66" s="219">
        <f>+H66-I66</f>
        <v>-100885166</v>
      </c>
      <c r="K66" s="401"/>
    </row>
    <row r="67" spans="1:12" s="97" customFormat="1" ht="27" customHeight="1">
      <c r="A67" s="239" t="s">
        <v>20</v>
      </c>
      <c r="B67" s="195" t="s">
        <v>21</v>
      </c>
      <c r="C67" s="196" t="s">
        <v>20</v>
      </c>
      <c r="D67" s="314"/>
      <c r="E67" s="197" t="s">
        <v>21</v>
      </c>
      <c r="F67" s="1997"/>
      <c r="G67" s="198" t="s">
        <v>18</v>
      </c>
      <c r="H67" s="210">
        <f>SUM(H23,H47)</f>
        <v>45480081</v>
      </c>
      <c r="I67" s="199">
        <v>121566900</v>
      </c>
      <c r="J67" s="201">
        <f>+H67-I67</f>
        <v>-76086819</v>
      </c>
      <c r="K67" s="401"/>
    </row>
    <row r="68" spans="1:12" s="97" customFormat="1" ht="27" customHeight="1" thickBot="1">
      <c r="A68" s="240" t="s">
        <v>9</v>
      </c>
      <c r="B68" s="199">
        <f>H14+H15</f>
        <v>963828610</v>
      </c>
      <c r="C68" s="200" t="s">
        <v>721</v>
      </c>
      <c r="D68" s="315"/>
      <c r="E68" s="201">
        <v>0</v>
      </c>
      <c r="F68" s="1998"/>
      <c r="G68" s="202" t="s">
        <v>19</v>
      </c>
      <c r="H68" s="203">
        <f>SUM(H16,H24,H27,H31,H34,H36,H38,H48,H51,H62,H65)</f>
        <v>3206969658</v>
      </c>
      <c r="I68" s="203">
        <v>3383941643</v>
      </c>
      <c r="J68" s="233">
        <f>+H68-I68</f>
        <v>-176971985</v>
      </c>
      <c r="K68" s="364"/>
    </row>
    <row r="69" spans="1:12" s="97" customFormat="1" ht="27" customHeight="1">
      <c r="A69" s="240" t="s">
        <v>11</v>
      </c>
      <c r="B69" s="199">
        <f>SUM(H21:H22)</f>
        <v>62434585</v>
      </c>
      <c r="C69" s="200" t="s">
        <v>722</v>
      </c>
      <c r="D69" s="315"/>
      <c r="E69" s="201">
        <f>H37</f>
        <v>14427914</v>
      </c>
      <c r="F69" s="296" t="s">
        <v>20</v>
      </c>
      <c r="G69" s="297" t="s">
        <v>1855</v>
      </c>
      <c r="H69" s="298" t="s">
        <v>1856</v>
      </c>
      <c r="I69" s="298" t="s">
        <v>171</v>
      </c>
      <c r="J69" s="234" t="s">
        <v>32</v>
      </c>
      <c r="K69" s="401"/>
    </row>
    <row r="70" spans="1:12" s="97" customFormat="1" ht="27" customHeight="1">
      <c r="A70" s="241" t="s">
        <v>114</v>
      </c>
      <c r="B70" s="199">
        <f>SUM(H26)</f>
        <v>9369398</v>
      </c>
      <c r="C70" s="293" t="s">
        <v>14</v>
      </c>
      <c r="D70" s="316"/>
      <c r="E70" s="294">
        <v>0</v>
      </c>
      <c r="F70" s="211" t="s">
        <v>22</v>
      </c>
      <c r="G70" s="199">
        <v>133588702</v>
      </c>
      <c r="H70" s="199">
        <f>SUM(H52:H60)</f>
        <v>579727396</v>
      </c>
      <c r="I70" s="199">
        <f>H61</f>
        <v>103360332</v>
      </c>
      <c r="J70" s="201">
        <f>SUM(G70:H70)</f>
        <v>713316098</v>
      </c>
      <c r="K70" s="364"/>
    </row>
    <row r="71" spans="1:12" s="97" customFormat="1" ht="27" customHeight="1">
      <c r="A71" s="241" t="s">
        <v>153</v>
      </c>
      <c r="B71" s="199">
        <f>H30</f>
        <v>168798505</v>
      </c>
      <c r="C71" s="293" t="s">
        <v>15</v>
      </c>
      <c r="D71" s="317"/>
      <c r="E71" s="295">
        <f>H50</f>
        <v>23414481</v>
      </c>
      <c r="F71" s="211" t="s">
        <v>23</v>
      </c>
      <c r="G71" s="199">
        <v>57632519</v>
      </c>
      <c r="H71" s="199">
        <f>SUM(H28:H29,H25,H17:H20,H23)</f>
        <v>508513072</v>
      </c>
      <c r="I71" s="199">
        <f>SUM(H21:H22,H26,H37,H32:H33)+H30</f>
        <v>307144362</v>
      </c>
      <c r="J71" s="201">
        <f>SUM(G71:H71)</f>
        <v>566145591</v>
      </c>
      <c r="K71" s="175"/>
      <c r="L71" s="403"/>
    </row>
    <row r="72" spans="1:12" s="126" customFormat="1" ht="27" customHeight="1">
      <c r="A72" s="241" t="s">
        <v>719</v>
      </c>
      <c r="B72" s="199">
        <v>0</v>
      </c>
      <c r="C72" s="293" t="s">
        <v>53</v>
      </c>
      <c r="D72" s="316"/>
      <c r="E72" s="294">
        <v>0</v>
      </c>
      <c r="F72" s="211" t="s">
        <v>24</v>
      </c>
      <c r="G72" s="199">
        <v>507542068</v>
      </c>
      <c r="H72" s="199">
        <f>SUM(H13)</f>
        <v>551407491</v>
      </c>
      <c r="I72" s="199">
        <f>H14+H15</f>
        <v>963828610</v>
      </c>
      <c r="J72" s="201">
        <f>SUM(G72:H72)</f>
        <v>1058949559</v>
      </c>
      <c r="K72" s="175"/>
      <c r="L72" s="403"/>
    </row>
    <row r="73" spans="1:12" s="126" customFormat="1" ht="27" customHeight="1">
      <c r="A73" s="241" t="s">
        <v>35</v>
      </c>
      <c r="B73" s="199">
        <f>SUM(H32:H33)</f>
        <v>52113960</v>
      </c>
      <c r="C73" s="200" t="s">
        <v>252</v>
      </c>
      <c r="D73" s="216"/>
      <c r="E73" s="219">
        <f>H61</f>
        <v>103360332</v>
      </c>
      <c r="F73" s="211" t="s">
        <v>723</v>
      </c>
      <c r="G73" s="199">
        <v>175572447</v>
      </c>
      <c r="H73" s="199">
        <f>SUM(H39:H47,H35:H35,H49)</f>
        <v>169573914</v>
      </c>
      <c r="I73" s="199">
        <f>SUM(H50)</f>
        <v>23414481</v>
      </c>
      <c r="J73" s="201">
        <f>SUM(G73:H73)</f>
        <v>345146361</v>
      </c>
      <c r="K73" s="366"/>
      <c r="L73" s="175"/>
    </row>
    <row r="74" spans="1:12" s="126" customFormat="1" ht="27" customHeight="1" thickBot="1">
      <c r="A74" s="215" t="s">
        <v>724</v>
      </c>
      <c r="B74" s="213">
        <v>0</v>
      </c>
      <c r="C74" s="214"/>
      <c r="D74" s="318"/>
      <c r="E74" s="242"/>
      <c r="F74" s="299" t="s">
        <v>1177</v>
      </c>
      <c r="G74" s="311">
        <v>0</v>
      </c>
      <c r="H74" s="311">
        <f>H65</f>
        <v>0</v>
      </c>
      <c r="I74" s="311">
        <v>0</v>
      </c>
      <c r="J74" s="312">
        <f>SUM(G74:H74)</f>
        <v>0</v>
      </c>
      <c r="K74" s="364" t="b">
        <f>I75=E75</f>
        <v>1</v>
      </c>
    </row>
    <row r="75" spans="1:12" s="126" customFormat="1" ht="27" customHeight="1" thickTop="1" thickBot="1">
      <c r="A75" s="243"/>
      <c r="B75" s="244" t="s">
        <v>49</v>
      </c>
      <c r="C75" s="245"/>
      <c r="D75" s="244"/>
      <c r="E75" s="246">
        <f>SUM(B68:B74,E68:E74)</f>
        <v>1397747785</v>
      </c>
      <c r="F75" s="236" t="s">
        <v>16</v>
      </c>
      <c r="G75" s="237">
        <f>SUM(G70:G74)</f>
        <v>874335736</v>
      </c>
      <c r="H75" s="237">
        <f>SUM(H70:H74)</f>
        <v>1809221873</v>
      </c>
      <c r="I75" s="237">
        <f>SUM(I70:I74)</f>
        <v>1397747785</v>
      </c>
      <c r="J75" s="238">
        <f>+G75+H75</f>
        <v>2683557609</v>
      </c>
      <c r="K75" s="364" t="b">
        <f>H68=H75+I75</f>
        <v>1</v>
      </c>
    </row>
    <row r="76" spans="1:12" s="19" customFormat="1" ht="27" customHeight="1" thickBot="1">
      <c r="A76"/>
      <c r="B76"/>
      <c r="C76"/>
      <c r="D76"/>
      <c r="E76"/>
      <c r="F76" s="2047" t="s">
        <v>1685</v>
      </c>
      <c r="G76" s="2048"/>
      <c r="H76" s="2048"/>
      <c r="I76" s="2049"/>
      <c r="J76" s="404">
        <f>J75-J74</f>
        <v>2683557609</v>
      </c>
      <c r="K76" s="410"/>
    </row>
    <row r="77" spans="1:12" ht="19.2">
      <c r="B77" s="291"/>
      <c r="C77" s="290"/>
      <c r="D77" s="290"/>
      <c r="E77" s="26"/>
      <c r="F77" s="292"/>
      <c r="H77" s="26"/>
      <c r="J77" s="13">
        <v>2683557609</v>
      </c>
    </row>
    <row r="78" spans="1:12" ht="19.2">
      <c r="C78" s="290"/>
      <c r="D78" s="290"/>
      <c r="E78" s="26"/>
      <c r="F78" s="292"/>
      <c r="H78" s="26"/>
      <c r="J78" s="412">
        <f>J76-J77</f>
        <v>0</v>
      </c>
    </row>
    <row r="79" spans="1:12" ht="19.2">
      <c r="C79" s="290"/>
      <c r="D79" s="290"/>
      <c r="E79" s="26"/>
      <c r="F79" s="292"/>
      <c r="H79" s="26"/>
      <c r="J79" s="26"/>
    </row>
    <row r="80" spans="1:12" ht="19.2">
      <c r="C80" s="290"/>
      <c r="D80" s="290"/>
      <c r="E80" s="26"/>
      <c r="F80" s="292"/>
      <c r="H80" s="26"/>
    </row>
    <row r="81" spans="3:8" ht="19.2">
      <c r="C81" s="290"/>
      <c r="D81" s="290"/>
      <c r="F81" s="13"/>
      <c r="H81" s="26"/>
    </row>
    <row r="82" spans="3:8">
      <c r="F82" s="13"/>
    </row>
  </sheetData>
  <autoFilter ref="A11:F75" xr:uid="{00000000-0009-0000-0000-00004C000000}"/>
  <mergeCells count="31">
    <mergeCell ref="A34:F34"/>
    <mergeCell ref="A28:A30"/>
    <mergeCell ref="F76:I76"/>
    <mergeCell ref="A36:F36"/>
    <mergeCell ref="A38:F38"/>
    <mergeCell ref="A48:F48"/>
    <mergeCell ref="A51:F51"/>
    <mergeCell ref="A49:A50"/>
    <mergeCell ref="A62:F62"/>
    <mergeCell ref="A63:A64"/>
    <mergeCell ref="A65:F65"/>
    <mergeCell ref="A66:E66"/>
    <mergeCell ref="A39:A47"/>
    <mergeCell ref="F66:F68"/>
    <mergeCell ref="A52:A61"/>
    <mergeCell ref="A31:F31"/>
    <mergeCell ref="A32:A33"/>
    <mergeCell ref="A27:F27"/>
    <mergeCell ref="A6:G10"/>
    <mergeCell ref="A11:A12"/>
    <mergeCell ref="B11:B12"/>
    <mergeCell ref="C11:C12"/>
    <mergeCell ref="D11:D12"/>
    <mergeCell ref="E11:E12"/>
    <mergeCell ref="F11:F12"/>
    <mergeCell ref="G11:J11"/>
    <mergeCell ref="A13:A15"/>
    <mergeCell ref="A16:F16"/>
    <mergeCell ref="A24:F24"/>
    <mergeCell ref="A25:A26"/>
    <mergeCell ref="A17:A23"/>
  </mergeCells>
  <phoneticPr fontId="2" type="noConversion"/>
  <conditionalFormatting sqref="A13">
    <cfRule type="expression" dxfId="1367" priority="75">
      <formula>#REF!="*01월*"</formula>
    </cfRule>
  </conditionalFormatting>
  <conditionalFormatting sqref="A16">
    <cfRule type="expression" dxfId="1366" priority="79">
      <formula>#REF!="*01월*"</formula>
    </cfRule>
  </conditionalFormatting>
  <conditionalFormatting sqref="A24 G24:J24">
    <cfRule type="expression" dxfId="1365" priority="60">
      <formula>$E25="*01월*"</formula>
    </cfRule>
  </conditionalFormatting>
  <conditionalFormatting sqref="A27:A28">
    <cfRule type="expression" dxfId="1364" priority="37">
      <formula>#REF!="*01월*"</formula>
    </cfRule>
  </conditionalFormatting>
  <conditionalFormatting sqref="A31">
    <cfRule type="expression" dxfId="1363" priority="73">
      <formula>#REF!="*01월*"</formula>
    </cfRule>
  </conditionalFormatting>
  <conditionalFormatting sqref="A37:A38">
    <cfRule type="expression" dxfId="1362" priority="71">
      <formula>#REF!="*01월*"</formula>
    </cfRule>
  </conditionalFormatting>
  <conditionalFormatting sqref="A49 H49:H50 A62:A63 H63:J64">
    <cfRule type="expression" dxfId="1361" priority="92">
      <formula>$E52="*01월*"</formula>
    </cfRule>
  </conditionalFormatting>
  <conditionalFormatting sqref="A51:A52">
    <cfRule type="expression" dxfId="1360" priority="52">
      <formula>#REF!="*01월*"</formula>
    </cfRule>
  </conditionalFormatting>
  <conditionalFormatting sqref="A17:E17 I46:J47">
    <cfRule type="expression" dxfId="1359" priority="86">
      <formula>#REF!="*01월*"</formula>
    </cfRule>
  </conditionalFormatting>
  <conditionalFormatting sqref="A11:J12 I22:J22 G22:G23 E32:E33 A34 H34:J34 A35:E35 G35:J36 A36 A39:C39 D39:E40 G39:J40 C40 H46:H47 B49:E50 I49:J50 G51:J51 G65:I65 A65:A66 F66:J66 A67:J75">
    <cfRule type="expression" dxfId="1358" priority="67">
      <formula>$E13="*01월*"</formula>
    </cfRule>
  </conditionalFormatting>
  <conditionalFormatting sqref="B18:B22 B40:B47">
    <cfRule type="expression" dxfId="1357" priority="18">
      <formula>#REF!="*01월*"</formula>
    </cfRule>
  </conditionalFormatting>
  <conditionalFormatting sqref="B32:B33">
    <cfRule type="expression" dxfId="1356" priority="15">
      <formula>$E34="*01월*"</formula>
    </cfRule>
  </conditionalFormatting>
  <conditionalFormatting sqref="B28:E30">
    <cfRule type="expression" dxfId="1355" priority="70">
      <formula>#REF!="*01월*"</formula>
    </cfRule>
  </conditionalFormatting>
  <conditionalFormatting sqref="B63:E64">
    <cfRule type="expression" dxfId="1354" priority="27">
      <formula>$E66="*01월*"</formula>
    </cfRule>
  </conditionalFormatting>
  <conditionalFormatting sqref="B13:F15">
    <cfRule type="expression" dxfId="1353" priority="40">
      <formula>#REF!="*01월*"</formula>
    </cfRule>
  </conditionalFormatting>
  <conditionalFormatting sqref="B25:F26">
    <cfRule type="expression" dxfId="1352" priority="56">
      <formula>#REF!="*01월*"</formula>
    </cfRule>
  </conditionalFormatting>
  <conditionalFormatting sqref="B32:F33">
    <cfRule type="expression" dxfId="1351" priority="1">
      <formula>#REF!="*01월*"</formula>
    </cfRule>
  </conditionalFormatting>
  <conditionalFormatting sqref="B23:J23">
    <cfRule type="expression" dxfId="1350" priority="34">
      <formula>#REF!="*01월*"</formula>
    </cfRule>
  </conditionalFormatting>
  <conditionalFormatting sqref="B37:J37">
    <cfRule type="expression" dxfId="1349" priority="13">
      <formula>#REF!="*01월*"</formula>
    </cfRule>
  </conditionalFormatting>
  <conditionalFormatting sqref="C22">
    <cfRule type="expression" dxfId="1348" priority="11">
      <formula>$E24="*01월*"</formula>
    </cfRule>
  </conditionalFormatting>
  <conditionalFormatting sqref="C20:D20 I20:J20 G25:J31 A48">
    <cfRule type="expression" dxfId="1347" priority="53">
      <formula>#REF!="*01월*"</formula>
    </cfRule>
  </conditionalFormatting>
  <conditionalFormatting sqref="C21:D21">
    <cfRule type="expression" dxfId="1346" priority="7">
      <formula>$E24="*01월*"</formula>
    </cfRule>
  </conditionalFormatting>
  <conditionalFormatting sqref="C77:D81">
    <cfRule type="expression" dxfId="1345" priority="64">
      <formula>$E79="*01월*"</formula>
    </cfRule>
  </conditionalFormatting>
  <conditionalFormatting sqref="C18:E19">
    <cfRule type="expression" dxfId="1344" priority="84">
      <formula>#REF!="*01월*"</formula>
    </cfRule>
  </conditionalFormatting>
  <conditionalFormatting sqref="D22:E22">
    <cfRule type="expression" dxfId="1343" priority="9">
      <formula>#REF!="*01월*"</formula>
    </cfRule>
  </conditionalFormatting>
  <conditionalFormatting sqref="E20">
    <cfRule type="expression" dxfId="1342" priority="647">
      <formula>$E26="*01월*"</formula>
    </cfRule>
  </conditionalFormatting>
  <conditionalFormatting sqref="F17:F22 C41:E47 B52:J61">
    <cfRule type="expression" dxfId="1341" priority="16">
      <formula>#REF!="*01월*"</formula>
    </cfRule>
  </conditionalFormatting>
  <conditionalFormatting sqref="F28">
    <cfRule type="expression" dxfId="1340" priority="42">
      <formula>$E35="*01월*"</formula>
    </cfRule>
  </conditionalFormatting>
  <conditionalFormatting sqref="F29:F30">
    <cfRule type="expression" dxfId="1339" priority="646">
      <formula>#REF!="*01월*"</formula>
    </cfRule>
  </conditionalFormatting>
  <conditionalFormatting sqref="F35">
    <cfRule type="expression" dxfId="1338" priority="50">
      <formula>#REF!="*01월*"</formula>
    </cfRule>
  </conditionalFormatting>
  <conditionalFormatting sqref="F39:F47">
    <cfRule type="expression" dxfId="1337" priority="3">
      <formula>#REF!="*01월*"</formula>
    </cfRule>
  </conditionalFormatting>
  <conditionalFormatting sqref="F49:F50">
    <cfRule type="expression" dxfId="1336" priority="41">
      <formula>#REF!="*01월*"</formula>
    </cfRule>
  </conditionalFormatting>
  <conditionalFormatting sqref="F63:G64">
    <cfRule type="expression" dxfId="1335" priority="45">
      <formula>#REF!="*01월*"</formula>
    </cfRule>
  </conditionalFormatting>
  <conditionalFormatting sqref="G32:G33">
    <cfRule type="expression" dxfId="1334" priority="22">
      <formula>$E35="*01월*"</formula>
    </cfRule>
  </conditionalFormatting>
  <conditionalFormatting sqref="G32:G34">
    <cfRule type="expression" dxfId="1333" priority="21">
      <formula>#REF!="*01월*"</formula>
    </cfRule>
  </conditionalFormatting>
  <conditionalFormatting sqref="G46:G47">
    <cfRule type="expression" dxfId="1332" priority="12">
      <formula>#REF!="*01월*"</formula>
    </cfRule>
  </conditionalFormatting>
  <conditionalFormatting sqref="G49:G50">
    <cfRule type="expression" dxfId="1331" priority="77">
      <formula>$E53="*01월*"</formula>
    </cfRule>
  </conditionalFormatting>
  <conditionalFormatting sqref="G20:H21 E21">
    <cfRule type="expression" dxfId="1330" priority="10">
      <formula>#REF!="*01월*"</formula>
    </cfRule>
  </conditionalFormatting>
  <conditionalFormatting sqref="G13:J19">
    <cfRule type="expression" dxfId="1329" priority="51">
      <formula>#REF!="*01월*"</formula>
    </cfRule>
  </conditionalFormatting>
  <conditionalFormatting sqref="G38:J38">
    <cfRule type="expression" dxfId="1328" priority="20">
      <formula>#REF!="*01월*"</formula>
    </cfRule>
  </conditionalFormatting>
  <conditionalFormatting sqref="G41:J45">
    <cfRule type="expression" dxfId="1327" priority="2">
      <formula>#REF!="*01월*"</formula>
    </cfRule>
  </conditionalFormatting>
  <conditionalFormatting sqref="G48:J48">
    <cfRule type="expression" dxfId="1326" priority="69">
      <formula>$E51="*01월*"</formula>
    </cfRule>
  </conditionalFormatting>
  <conditionalFormatting sqref="G62:J62">
    <cfRule type="expression" dxfId="1325" priority="65">
      <formula>$E65="*01월*"</formula>
    </cfRule>
  </conditionalFormatting>
  <conditionalFormatting sqref="H22">
    <cfRule type="expression" dxfId="1324" priority="8">
      <formula>#REF!="*01월*"</formula>
    </cfRule>
  </conditionalFormatting>
  <conditionalFormatting sqref="H32:J33">
    <cfRule type="expression" dxfId="1323" priority="66">
      <formula>#REF!="*01월*"</formula>
    </cfRule>
  </conditionalFormatting>
  <conditionalFormatting sqref="I21:J21 A32 C32:D33">
    <cfRule type="expression" dxfId="1322" priority="68">
      <formula>$E24="*01월*"</formula>
    </cfRule>
  </conditionalFormatting>
  <conditionalFormatting sqref="J65">
    <cfRule type="expression" dxfId="1321" priority="44">
      <formula>$E71="*01월*"</formula>
    </cfRule>
  </conditionalFormatting>
  <conditionalFormatting sqref="J76 F76:F80">
    <cfRule type="expression" dxfId="1320" priority="43">
      <formula>$E78="*01월*"</formula>
    </cfRule>
  </conditionalFormatting>
  <printOptions horizontalCentered="1"/>
  <pageMargins left="0" right="0" top="0.72" bottom="0.23" header="0" footer="0"/>
  <pageSetup paperSize="9" scale="43" fitToHeight="0" orientation="portrait" r:id="rId1"/>
  <rowBreaks count="1" manualBreakCount="1">
    <brk id="62" max="9" man="1"/>
  </rowBreaks>
  <colBreaks count="1" manualBreakCount="1">
    <brk id="9" max="97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pageSetUpPr fitToPage="1"/>
  </sheetPr>
  <dimension ref="A5:L85"/>
  <sheetViews>
    <sheetView view="pageBreakPreview" zoomScale="70" zoomScaleNormal="70" zoomScaleSheetLayoutView="70" workbookViewId="0">
      <pane xSplit="1" ySplit="12" topLeftCell="B57" activePane="bottomRight" state="frozen"/>
      <selection activeCell="I26" sqref="I26"/>
      <selection pane="topRight" activeCell="I26" sqref="I26"/>
      <selection pane="bottomLeft" activeCell="I26" sqref="I26"/>
      <selection pane="bottomRight" activeCell="I52" sqref="I52"/>
    </sheetView>
  </sheetViews>
  <sheetFormatPr defaultRowHeight="17.399999999999999"/>
  <cols>
    <col min="1" max="1" width="23.3984375" customWidth="1"/>
    <col min="2" max="2" width="22.8984375" customWidth="1"/>
    <col min="3" max="3" width="29.09765625" customWidth="1"/>
    <col min="4" max="4" width="29.09765625" hidden="1" customWidth="1"/>
    <col min="5" max="5" width="21" customWidth="1"/>
    <col min="6" max="6" width="18.69921875" customWidth="1"/>
    <col min="7" max="7" width="25.69921875" style="47" customWidth="1"/>
    <col min="8" max="8" width="26.5" customWidth="1"/>
    <col min="9" max="9" width="25.09765625" customWidth="1"/>
    <col min="10" max="10" width="29.19921875" customWidth="1"/>
    <col min="11" max="11" width="17.59765625" style="24" bestFit="1" customWidth="1"/>
    <col min="12" max="12" width="14.8984375" bestFit="1" customWidth="1"/>
  </cols>
  <sheetData>
    <row r="5" spans="1:11" ht="19.5" customHeight="1"/>
    <row r="6" spans="1:11" ht="19.5" customHeight="1">
      <c r="A6" s="2020" t="s">
        <v>1870</v>
      </c>
      <c r="B6" s="2020"/>
      <c r="C6" s="2020"/>
      <c r="D6" s="2020"/>
      <c r="E6" s="2020"/>
      <c r="F6" s="2020"/>
      <c r="G6" s="2020"/>
      <c r="H6" s="1"/>
      <c r="I6" s="1"/>
      <c r="J6" s="1"/>
    </row>
    <row r="7" spans="1:11" ht="19.5" customHeight="1">
      <c r="A7" s="2020"/>
      <c r="B7" s="2020"/>
      <c r="C7" s="2020"/>
      <c r="D7" s="2020"/>
      <c r="E7" s="2020"/>
      <c r="F7" s="2020"/>
      <c r="G7" s="2020"/>
      <c r="H7" s="1"/>
      <c r="I7" s="1"/>
      <c r="J7" s="1"/>
    </row>
    <row r="8" spans="1:11" ht="19.5" customHeight="1">
      <c r="A8" s="2020"/>
      <c r="B8" s="2020"/>
      <c r="C8" s="2020"/>
      <c r="D8" s="2020"/>
      <c r="E8" s="2020"/>
      <c r="F8" s="2020"/>
      <c r="G8" s="2020"/>
      <c r="H8" s="1"/>
      <c r="I8" s="1"/>
      <c r="J8" s="1"/>
    </row>
    <row r="9" spans="1:11" ht="19.5" customHeight="1">
      <c r="A9" s="2020"/>
      <c r="B9" s="2020"/>
      <c r="C9" s="2020"/>
      <c r="D9" s="2020"/>
      <c r="E9" s="2020"/>
      <c r="F9" s="2020"/>
      <c r="G9" s="2020"/>
      <c r="H9" s="2"/>
      <c r="I9" s="2"/>
      <c r="J9" s="2"/>
    </row>
    <row r="10" spans="1:11" ht="19.5" customHeight="1" thickBot="1">
      <c r="A10" s="2052"/>
      <c r="B10" s="2052"/>
      <c r="C10" s="2052"/>
      <c r="D10" s="2052"/>
      <c r="E10" s="2052"/>
      <c r="F10" s="2052"/>
      <c r="G10" s="2052"/>
      <c r="H10" s="2"/>
      <c r="I10" s="2"/>
      <c r="J10" s="2"/>
    </row>
    <row r="11" spans="1:11" ht="23.25" customHeight="1">
      <c r="A11" s="2021" t="s">
        <v>0</v>
      </c>
      <c r="B11" s="2023" t="s">
        <v>1</v>
      </c>
      <c r="C11" s="2024" t="s">
        <v>2</v>
      </c>
      <c r="D11" s="2024" t="s">
        <v>1222</v>
      </c>
      <c r="E11" s="2024" t="s">
        <v>3</v>
      </c>
      <c r="F11" s="2025" t="s">
        <v>4</v>
      </c>
      <c r="G11" s="2026" t="s">
        <v>5</v>
      </c>
      <c r="H11" s="2027"/>
      <c r="I11" s="2027"/>
      <c r="J11" s="2028"/>
    </row>
    <row r="12" spans="1:11" ht="23.25" customHeight="1">
      <c r="A12" s="2022"/>
      <c r="B12" s="2003"/>
      <c r="C12" s="2004"/>
      <c r="D12" s="2004"/>
      <c r="E12" s="2004"/>
      <c r="F12" s="2005"/>
      <c r="G12" s="82" t="s">
        <v>6</v>
      </c>
      <c r="H12" s="3" t="s">
        <v>7</v>
      </c>
      <c r="I12" s="3" t="s">
        <v>101</v>
      </c>
      <c r="J12" s="271" t="s">
        <v>8</v>
      </c>
    </row>
    <row r="13" spans="1:11" s="97" customFormat="1" ht="27" customHeight="1">
      <c r="A13" s="2010" t="s">
        <v>9</v>
      </c>
      <c r="B13" s="88" t="s">
        <v>1864</v>
      </c>
      <c r="C13" s="89" t="s">
        <v>1867</v>
      </c>
      <c r="D13" s="89"/>
      <c r="E13" s="90">
        <v>45581</v>
      </c>
      <c r="F13" s="91">
        <f>VLOOKUP(E13,환율!$A$1798:$B$2194,2,)</f>
        <v>1360.4</v>
      </c>
      <c r="G13" s="92">
        <v>390570.69</v>
      </c>
      <c r="H13" s="93">
        <f t="shared" ref="H13:H16" si="0">ROUNDDOWN(G13*F13,0)</f>
        <v>531332366</v>
      </c>
      <c r="I13" s="94" ph="1"/>
      <c r="J13" s="254"/>
      <c r="K13" s="364"/>
    </row>
    <row r="14" spans="1:11" s="97" customFormat="1" ht="27" customHeight="1">
      <c r="A14" s="2011"/>
      <c r="B14" s="88" t="s">
        <v>1865</v>
      </c>
      <c r="C14" s="89" t="s">
        <v>1868</v>
      </c>
      <c r="D14" s="89"/>
      <c r="E14" s="90">
        <v>45588</v>
      </c>
      <c r="F14" s="91">
        <f>VLOOKUP(E14,환율!$A$1798:$B$2194,2,)</f>
        <v>1380.1</v>
      </c>
      <c r="G14" s="92">
        <v>393323.59</v>
      </c>
      <c r="H14" s="93">
        <f t="shared" si="0"/>
        <v>542825886</v>
      </c>
      <c r="I14" s="363" ph="1"/>
      <c r="J14" s="254"/>
      <c r="K14" s="401"/>
    </row>
    <row r="15" spans="1:11" s="97" customFormat="1" ht="27" customHeight="1">
      <c r="A15" s="2011"/>
      <c r="B15" s="99" t="s">
        <v>1866</v>
      </c>
      <c r="C15" s="100" t="s">
        <v>1869</v>
      </c>
      <c r="D15" s="100"/>
      <c r="E15" s="125">
        <v>45603</v>
      </c>
      <c r="F15" s="102">
        <f>VLOOKUP(E15,환율!$A$1798:$B$2194,2,)</f>
        <v>1391.5</v>
      </c>
      <c r="G15" s="103">
        <v>364428.65</v>
      </c>
      <c r="H15" s="104">
        <f t="shared" si="0"/>
        <v>507102466</v>
      </c>
      <c r="I15" s="353" ph="1"/>
      <c r="J15" s="272"/>
      <c r="K15" s="401"/>
    </row>
    <row r="16" spans="1:11" s="97" customFormat="1" ht="27" customHeight="1">
      <c r="A16" s="2019"/>
      <c r="B16" s="106" t="s">
        <v>1940</v>
      </c>
      <c r="C16" s="107"/>
      <c r="D16" s="107"/>
      <c r="E16" s="179">
        <v>45588</v>
      </c>
      <c r="F16" s="109">
        <f>VLOOKUP(E16,환율!$A$1798:$B$2194,2,)</f>
        <v>1380.1</v>
      </c>
      <c r="G16" s="110">
        <v>69000</v>
      </c>
      <c r="H16" s="111">
        <f t="shared" si="0"/>
        <v>95226900</v>
      </c>
      <c r="I16" s="431" ph="1"/>
      <c r="J16" s="273"/>
      <c r="K16" s="401"/>
    </row>
    <row r="17" spans="1:11" s="97" customFormat="1" ht="27" customHeight="1">
      <c r="A17" s="2035" t="s">
        <v>10</v>
      </c>
      <c r="B17" s="2036"/>
      <c r="C17" s="2036"/>
      <c r="D17" s="2036"/>
      <c r="E17" s="2036"/>
      <c r="F17" s="2037"/>
      <c r="G17" s="116">
        <f>SUM(G13:G16)</f>
        <v>1217322.9300000002</v>
      </c>
      <c r="H17" s="116">
        <f>SUM(H13:H16)</f>
        <v>1676487618</v>
      </c>
      <c r="I17" s="116">
        <v>1515236101</v>
      </c>
      <c r="J17" s="260">
        <f>+H17-I17</f>
        <v>161251517</v>
      </c>
      <c r="K17" s="364"/>
    </row>
    <row r="18" spans="1:11" s="120" customFormat="1" ht="27" customHeight="1">
      <c r="A18" s="2010" t="s">
        <v>11</v>
      </c>
      <c r="B18" s="117" t="s">
        <v>1841</v>
      </c>
      <c r="C18" s="89" t="s">
        <v>1842</v>
      </c>
      <c r="D18" s="319"/>
      <c r="E18" s="136">
        <v>45571</v>
      </c>
      <c r="F18" s="91">
        <f>VLOOKUP(E18,환율!$A$1798:$B$2194,2,)</f>
        <v>1320.1</v>
      </c>
      <c r="G18" s="118">
        <v>58466.879999999997</v>
      </c>
      <c r="H18" s="93">
        <f>ROUNDDOWN(G18*F18,0)</f>
        <v>77182128</v>
      </c>
      <c r="I18" s="119"/>
      <c r="J18" s="254"/>
      <c r="K18" s="365"/>
    </row>
    <row r="19" spans="1:11" s="120" customFormat="1" ht="27" customHeight="1">
      <c r="A19" s="2011"/>
      <c r="B19" s="117" t="s">
        <v>1843</v>
      </c>
      <c r="C19" s="89" t="s">
        <v>1845</v>
      </c>
      <c r="D19" s="319"/>
      <c r="E19" s="136">
        <v>45571</v>
      </c>
      <c r="F19" s="91">
        <f>VLOOKUP(E19,환율!$A$1798:$B$2194,2,)</f>
        <v>1320.1</v>
      </c>
      <c r="G19" s="118">
        <v>109.6</v>
      </c>
      <c r="H19" s="93">
        <f>ROUNDDOWN(G19*F19,0)</f>
        <v>144682</v>
      </c>
      <c r="I19" s="119"/>
      <c r="J19" s="254"/>
      <c r="K19" s="365"/>
    </row>
    <row r="20" spans="1:11" s="120" customFormat="1" ht="27" customHeight="1">
      <c r="A20" s="2011"/>
      <c r="B20" s="117" t="s">
        <v>1844</v>
      </c>
      <c r="C20" s="89" t="s">
        <v>1846</v>
      </c>
      <c r="D20" s="319"/>
      <c r="E20" s="136">
        <v>45571</v>
      </c>
      <c r="F20" s="91">
        <f>VLOOKUP(E20,환율!$A$1798:$B$2194,2,)</f>
        <v>1320.1</v>
      </c>
      <c r="G20" s="118">
        <v>726.88</v>
      </c>
      <c r="H20" s="93">
        <f>ROUNDDOWN(G20*F20,0)</f>
        <v>959554</v>
      </c>
      <c r="I20" s="119"/>
      <c r="J20" s="254"/>
      <c r="K20" s="365"/>
    </row>
    <row r="21" spans="1:11" s="120" customFormat="1" ht="27" customHeight="1">
      <c r="A21" s="2011"/>
      <c r="B21" s="117" t="s">
        <v>1871</v>
      </c>
      <c r="C21" s="89" t="s">
        <v>1874</v>
      </c>
      <c r="D21" s="319"/>
      <c r="E21" s="90">
        <v>45586</v>
      </c>
      <c r="F21" s="91">
        <f>VLOOKUP(E21,환율!$A$1798:$B$2194,2,)</f>
        <v>1371.1</v>
      </c>
      <c r="G21" s="118">
        <v>6386.88</v>
      </c>
      <c r="H21" s="93">
        <f>ROUNDDOWN(G21*F21,0)</f>
        <v>8757051</v>
      </c>
      <c r="I21" s="119"/>
      <c r="J21" s="254"/>
      <c r="K21" s="365"/>
    </row>
    <row r="22" spans="1:11" s="120" customFormat="1" ht="27" customHeight="1">
      <c r="A22" s="2011"/>
      <c r="B22" s="117" t="s">
        <v>1873</v>
      </c>
      <c r="C22" s="89" t="s">
        <v>1878</v>
      </c>
      <c r="D22" s="319"/>
      <c r="E22" s="90">
        <v>45584</v>
      </c>
      <c r="F22" s="91">
        <f>VLOOKUP(E22,환율!$A$1798:$B$2194,2,)</f>
        <v>1366.5</v>
      </c>
      <c r="G22" s="118">
        <v>13348.8</v>
      </c>
      <c r="H22" s="93">
        <f>ROUNDDOWN(G22*F22,0)</f>
        <v>18241135</v>
      </c>
      <c r="I22" s="119"/>
      <c r="J22" s="254"/>
      <c r="K22" s="365"/>
    </row>
    <row r="23" spans="1:11" s="120" customFormat="1" ht="27" customHeight="1">
      <c r="A23" s="2011"/>
      <c r="B23" s="121" t="s">
        <v>1872</v>
      </c>
      <c r="C23" s="100" t="s">
        <v>1875</v>
      </c>
      <c r="D23" s="320"/>
      <c r="E23" s="101">
        <v>45603</v>
      </c>
      <c r="F23" s="102">
        <f>VLOOKUP(E23,환율!$A$1798:$B$2194,2,)</f>
        <v>1391.5</v>
      </c>
      <c r="G23" s="122">
        <v>21430.080000000002</v>
      </c>
      <c r="H23" s="104">
        <f t="shared" ref="H23" si="1">ROUNDDOWN(G23*F23,0)</f>
        <v>29819956</v>
      </c>
      <c r="I23" s="123"/>
      <c r="J23" s="272"/>
      <c r="K23" s="365"/>
    </row>
    <row r="24" spans="1:11" s="120" customFormat="1" ht="27" customHeight="1">
      <c r="A24" s="2011"/>
      <c r="B24" s="121" t="s">
        <v>1876</v>
      </c>
      <c r="C24" s="100" t="s">
        <v>1879</v>
      </c>
      <c r="D24" s="320"/>
      <c r="E24" s="101">
        <v>45603</v>
      </c>
      <c r="F24" s="102">
        <f>VLOOKUP(E24,환율!$A$1798:$B$2194,2,)</f>
        <v>1391.5</v>
      </c>
      <c r="G24" s="122">
        <v>64822.86</v>
      </c>
      <c r="H24" s="104">
        <f>ROUNDDOWN(G24*F24,0)</f>
        <v>90201009</v>
      </c>
      <c r="I24" s="123"/>
      <c r="J24" s="272"/>
      <c r="K24" s="401"/>
    </row>
    <row r="25" spans="1:11" s="120" customFormat="1" ht="27" customHeight="1">
      <c r="A25" s="2011"/>
      <c r="B25" s="121" t="s">
        <v>1877</v>
      </c>
      <c r="C25" s="100" t="s">
        <v>1880</v>
      </c>
      <c r="D25" s="320"/>
      <c r="E25" s="101">
        <v>45604</v>
      </c>
      <c r="F25" s="102">
        <f>VLOOKUP(E25,환율!$A$1798:$B$2194,2,)</f>
        <v>1399.1</v>
      </c>
      <c r="G25" s="122">
        <v>18190.8</v>
      </c>
      <c r="H25" s="104">
        <f>ROUNDDOWN(G25*F25,0)</f>
        <v>25450748</v>
      </c>
      <c r="I25" s="123"/>
      <c r="J25" s="272"/>
      <c r="K25" s="365"/>
    </row>
    <row r="26" spans="1:11" s="97" customFormat="1" ht="27" customHeight="1">
      <c r="A26" s="2035" t="s">
        <v>10</v>
      </c>
      <c r="B26" s="2036"/>
      <c r="C26" s="2036"/>
      <c r="D26" s="2036"/>
      <c r="E26" s="2036"/>
      <c r="F26" s="2037"/>
      <c r="G26" s="127">
        <f>SUM(G18:G25)</f>
        <v>183482.77999999997</v>
      </c>
      <c r="H26" s="127">
        <f>SUM(H18:H25)</f>
        <v>250756263</v>
      </c>
      <c r="I26" s="116">
        <v>265800169</v>
      </c>
      <c r="J26" s="260">
        <f>+H26-I26</f>
        <v>-15043906</v>
      </c>
      <c r="K26" s="364"/>
    </row>
    <row r="27" spans="1:11" s="126" customFormat="1" ht="27" customHeight="1">
      <c r="A27" s="2010" t="s">
        <v>114</v>
      </c>
      <c r="B27" s="313" t="s">
        <v>1882</v>
      </c>
      <c r="C27" s="129" t="s">
        <v>1885</v>
      </c>
      <c r="D27" s="129"/>
      <c r="E27" s="136">
        <v>45590</v>
      </c>
      <c r="F27" s="91">
        <f>VLOOKUP(E27,환율!$A$1798:$B$2194,2,)</f>
        <v>1380.5</v>
      </c>
      <c r="G27" s="389">
        <v>3251.43</v>
      </c>
      <c r="H27" s="93">
        <f t="shared" ref="H27:H33" si="2">ROUNDDOWN(G27*F27,0)</f>
        <v>4488599</v>
      </c>
      <c r="I27" s="135"/>
      <c r="J27" s="255"/>
      <c r="K27" s="364"/>
    </row>
    <row r="28" spans="1:11" s="126" customFormat="1" ht="27" customHeight="1">
      <c r="A28" s="2011"/>
      <c r="B28" s="313" t="s">
        <v>1888</v>
      </c>
      <c r="C28" s="129" t="s">
        <v>1889</v>
      </c>
      <c r="D28" s="129"/>
      <c r="E28" s="136">
        <v>45573</v>
      </c>
      <c r="F28" s="91">
        <f>VLOOKUP(E28,환율!$A$1798:$B$2194,2,)</f>
        <v>1346.5</v>
      </c>
      <c r="G28" s="134">
        <v>524.72</v>
      </c>
      <c r="H28" s="93">
        <f>ROUNDDOWN(G28*F28,0)</f>
        <v>706535</v>
      </c>
      <c r="I28" s="135"/>
      <c r="J28" s="255"/>
      <c r="K28" s="364"/>
    </row>
    <row r="29" spans="1:11" s="126" customFormat="1" ht="27" customHeight="1">
      <c r="A29" s="2011"/>
      <c r="B29" s="330" t="s">
        <v>1881</v>
      </c>
      <c r="C29" s="137" t="s">
        <v>1886</v>
      </c>
      <c r="D29" s="137"/>
      <c r="E29" s="101">
        <v>45600</v>
      </c>
      <c r="F29" s="102">
        <f>VLOOKUP(E29,환율!$A$1798:$B$2194,2,)</f>
        <v>1377.9</v>
      </c>
      <c r="G29" s="138">
        <v>3225.6</v>
      </c>
      <c r="H29" s="104">
        <f t="shared" si="2"/>
        <v>4444554</v>
      </c>
      <c r="I29" s="139"/>
      <c r="J29" s="258"/>
      <c r="K29" s="364"/>
    </row>
    <row r="30" spans="1:11" s="126" customFormat="1" ht="27" customHeight="1">
      <c r="A30" s="2011"/>
      <c r="B30" s="330" t="s">
        <v>1883</v>
      </c>
      <c r="C30" s="137" t="s">
        <v>1887</v>
      </c>
      <c r="D30" s="137"/>
      <c r="E30" s="101">
        <v>45600</v>
      </c>
      <c r="F30" s="102">
        <f>VLOOKUP(E30,환율!$A$1798:$B$2194,2,)</f>
        <v>1377.9</v>
      </c>
      <c r="G30" s="138">
        <v>1928.6</v>
      </c>
      <c r="H30" s="104">
        <f t="shared" si="2"/>
        <v>2657417</v>
      </c>
      <c r="I30" s="139"/>
      <c r="J30" s="258"/>
      <c r="K30" s="364"/>
    </row>
    <row r="31" spans="1:11" s="126" customFormat="1" ht="27" customHeight="1">
      <c r="A31" s="2019"/>
      <c r="B31" s="330" t="s">
        <v>1884</v>
      </c>
      <c r="C31" s="137" t="s">
        <v>1932</v>
      </c>
      <c r="D31" s="137"/>
      <c r="E31" s="101">
        <v>45605</v>
      </c>
      <c r="F31" s="102">
        <f>VLOOKUP(E31,환율!$A$1798:$B$2194,2,)</f>
        <v>1399.1</v>
      </c>
      <c r="G31" s="138">
        <v>105993.44</v>
      </c>
      <c r="H31" s="104">
        <f t="shared" si="2"/>
        <v>148295421</v>
      </c>
      <c r="I31" s="139"/>
      <c r="J31" s="258"/>
      <c r="K31" s="364"/>
    </row>
    <row r="32" spans="1:11" s="97" customFormat="1" ht="27" customHeight="1">
      <c r="A32" s="2035" t="s">
        <v>10</v>
      </c>
      <c r="B32" s="2036"/>
      <c r="C32" s="2036"/>
      <c r="D32" s="2036"/>
      <c r="E32" s="2036"/>
      <c r="F32" s="2037"/>
      <c r="G32" s="127">
        <f>SUM(G27:G31)</f>
        <v>114923.79000000001</v>
      </c>
      <c r="H32" s="127">
        <f>SUM(H27:H31)</f>
        <v>160592526</v>
      </c>
      <c r="I32" s="116">
        <v>14301064</v>
      </c>
      <c r="J32" s="260">
        <f>+H32-I32</f>
        <v>146291462</v>
      </c>
      <c r="K32" s="364"/>
    </row>
    <row r="33" spans="1:11" s="97" customFormat="1" ht="27" customHeight="1">
      <c r="A33" s="261" t="s">
        <v>1892</v>
      </c>
      <c r="B33" s="313" t="s">
        <v>1890</v>
      </c>
      <c r="C33" s="142" t="s">
        <v>1891</v>
      </c>
      <c r="D33" s="90"/>
      <c r="E33" s="89">
        <v>45584</v>
      </c>
      <c r="F33" s="91">
        <f>VLOOKUP(E33,환율!$A$1798:$B$2194,2,)</f>
        <v>1366.5</v>
      </c>
      <c r="G33" s="92">
        <v>127343.82</v>
      </c>
      <c r="H33" s="93">
        <f t="shared" si="2"/>
        <v>174015330</v>
      </c>
      <c r="I33" s="142"/>
      <c r="J33" s="321"/>
      <c r="K33" s="364"/>
    </row>
    <row r="34" spans="1:11" s="97" customFormat="1" ht="27" customHeight="1">
      <c r="A34" s="2035" t="s">
        <v>10</v>
      </c>
      <c r="B34" s="2036"/>
      <c r="C34" s="2036"/>
      <c r="D34" s="2036"/>
      <c r="E34" s="2036"/>
      <c r="F34" s="2037"/>
      <c r="G34" s="127">
        <f>SUM(G33:G33)</f>
        <v>127343.82</v>
      </c>
      <c r="H34" s="116">
        <f>SUM(H33:H33)</f>
        <v>174015330</v>
      </c>
      <c r="I34" s="116">
        <v>469014327</v>
      </c>
      <c r="J34" s="260">
        <f>+H34-I34</f>
        <v>-294998997</v>
      </c>
      <c r="K34" s="364"/>
    </row>
    <row r="35" spans="1:11" s="97" customFormat="1" ht="27" customHeight="1">
      <c r="A35" s="2053"/>
      <c r="B35" s="152" t="s">
        <v>1893</v>
      </c>
      <c r="C35" s="152" t="s">
        <v>2012</v>
      </c>
      <c r="D35" s="322"/>
      <c r="E35" s="101">
        <v>45623</v>
      </c>
      <c r="F35" s="102">
        <f>VLOOKUP(E35,환율!$A$1798:$B$2194,2,)</f>
        <v>1401.2</v>
      </c>
      <c r="G35" s="103">
        <f>H35/F35</f>
        <v>11136.799885812161</v>
      </c>
      <c r="H35" s="104">
        <v>15604884</v>
      </c>
      <c r="I35" s="224"/>
      <c r="J35" s="276"/>
      <c r="K35" s="364"/>
    </row>
    <row r="36" spans="1:11" s="97" customFormat="1" ht="27" customHeight="1">
      <c r="A36" s="2013"/>
      <c r="B36" s="152" t="s">
        <v>1894</v>
      </c>
      <c r="C36" s="152" t="s">
        <v>2013</v>
      </c>
      <c r="D36" s="322"/>
      <c r="E36" s="101">
        <v>45618</v>
      </c>
      <c r="F36" s="102">
        <f>VLOOKUP(E36,환율!$A$1798:$B$2194,2,)</f>
        <v>1398.1</v>
      </c>
      <c r="G36" s="103">
        <f>H36/F36</f>
        <v>21760.168800514984</v>
      </c>
      <c r="H36" s="104">
        <v>30422892</v>
      </c>
      <c r="I36" s="224"/>
      <c r="J36" s="276"/>
      <c r="K36" s="364"/>
    </row>
    <row r="37" spans="1:11" s="97" customFormat="1" ht="27" customHeight="1">
      <c r="A37" s="2035" t="s">
        <v>10</v>
      </c>
      <c r="B37" s="2036"/>
      <c r="C37" s="2036"/>
      <c r="D37" s="2036"/>
      <c r="E37" s="2036"/>
      <c r="F37" s="2037"/>
      <c r="G37" s="127">
        <f>SUM(G35:G36)</f>
        <v>32896.968686327149</v>
      </c>
      <c r="H37" s="116">
        <f>SUM(H35:H36)</f>
        <v>46027776</v>
      </c>
      <c r="I37" s="116">
        <v>52113960</v>
      </c>
      <c r="J37" s="260">
        <f>+H37-I37</f>
        <v>-6086184</v>
      </c>
      <c r="K37" s="364"/>
    </row>
    <row r="38" spans="1:11" s="97" customFormat="1" ht="27" customHeight="1">
      <c r="A38" s="2010" t="s">
        <v>47</v>
      </c>
      <c r="B38" s="88" t="s">
        <v>1895</v>
      </c>
      <c r="C38" s="155" t="s">
        <v>1896</v>
      </c>
      <c r="D38" s="146"/>
      <c r="E38" s="146">
        <v>45583</v>
      </c>
      <c r="F38" s="91">
        <f>VLOOKUP(E38,환율!$A$1798:$B$2194,2,)</f>
        <v>1366.5</v>
      </c>
      <c r="G38" s="118">
        <v>39476</v>
      </c>
      <c r="H38" s="93">
        <f t="shared" ref="H38:H39" si="3">ROUNDDOWN(G38*F38,0)</f>
        <v>53943954</v>
      </c>
      <c r="I38" s="156"/>
      <c r="J38" s="263"/>
      <c r="K38" s="364"/>
    </row>
    <row r="39" spans="1:11" s="97" customFormat="1" ht="27" customHeight="1">
      <c r="A39" s="2019"/>
      <c r="B39" s="99" t="s">
        <v>1897</v>
      </c>
      <c r="C39" s="229" t="s">
        <v>1898</v>
      </c>
      <c r="D39" s="169"/>
      <c r="E39" s="100">
        <v>45607</v>
      </c>
      <c r="F39" s="102">
        <f>VLOOKUP(E39,환율!$A$1798:$B$2194,2,)</f>
        <v>1385.4</v>
      </c>
      <c r="G39" s="122">
        <v>39476</v>
      </c>
      <c r="H39" s="104">
        <f t="shared" si="3"/>
        <v>54690050</v>
      </c>
      <c r="I39" s="185"/>
      <c r="J39" s="277"/>
      <c r="K39" s="364"/>
    </row>
    <row r="40" spans="1:11" s="97" customFormat="1" ht="27" customHeight="1">
      <c r="A40" s="2035" t="s">
        <v>10</v>
      </c>
      <c r="B40" s="2036"/>
      <c r="C40" s="2036"/>
      <c r="D40" s="2036"/>
      <c r="E40" s="2036"/>
      <c r="F40" s="2037"/>
      <c r="G40" s="127">
        <f>SUM(G38:G39)</f>
        <v>78952</v>
      </c>
      <c r="H40" s="116">
        <f>SUM(H38:H39)</f>
        <v>108634004</v>
      </c>
      <c r="I40" s="116">
        <v>53067586</v>
      </c>
      <c r="J40" s="260">
        <f>+H40-I40</f>
        <v>55566418</v>
      </c>
      <c r="K40" s="364"/>
    </row>
    <row r="41" spans="1:11" s="97" customFormat="1" ht="27" hidden="1" customHeight="1">
      <c r="A41" s="399" t="s">
        <v>34</v>
      </c>
      <c r="B41" s="88"/>
      <c r="C41" s="155"/>
      <c r="D41" s="146"/>
      <c r="E41" s="146"/>
      <c r="F41" s="91">
        <v>0</v>
      </c>
      <c r="G41" s="118"/>
      <c r="H41" s="93">
        <f t="shared" ref="H41" si="4">ROUNDDOWN(G41*F41,0)</f>
        <v>0</v>
      </c>
      <c r="I41" s="156"/>
      <c r="J41" s="263"/>
      <c r="K41" s="401"/>
    </row>
    <row r="42" spans="1:11" s="97" customFormat="1" ht="27" hidden="1" customHeight="1" thickBot="1">
      <c r="A42" s="2054" t="s">
        <v>10</v>
      </c>
      <c r="B42" s="2055"/>
      <c r="C42" s="2055"/>
      <c r="D42" s="2055"/>
      <c r="E42" s="2055"/>
      <c r="F42" s="2056"/>
      <c r="G42" s="159">
        <f>SUM(G41:G41)</f>
        <v>0</v>
      </c>
      <c r="H42" s="160">
        <f>SUM(H41:H41)</f>
        <v>0</v>
      </c>
      <c r="I42" s="160">
        <f>SUM(I41:I41)</f>
        <v>0</v>
      </c>
      <c r="J42" s="264">
        <f>+H42-I42</f>
        <v>0</v>
      </c>
      <c r="K42" s="364"/>
    </row>
    <row r="43" spans="1:11" s="97" customFormat="1" ht="27" customHeight="1">
      <c r="A43" s="2010" t="s">
        <v>14</v>
      </c>
      <c r="B43" s="429" t="s">
        <v>1899</v>
      </c>
      <c r="C43" s="89" t="s">
        <v>1900</v>
      </c>
      <c r="D43" s="89"/>
      <c r="E43" s="89">
        <v>45568</v>
      </c>
      <c r="F43" s="91">
        <f>VLOOKUP(E43,환율!$A$1798:$B$2194,2,)</f>
        <v>1306.9000000000001</v>
      </c>
      <c r="G43" s="92">
        <v>1167</v>
      </c>
      <c r="H43" s="93">
        <f t="shared" ref="H43:H54" si="5">ROUNDDOWN(G43*F43,0)</f>
        <v>1525152</v>
      </c>
      <c r="I43" s="165"/>
      <c r="J43" s="254"/>
      <c r="K43" s="364"/>
    </row>
    <row r="44" spans="1:11" s="97" customFormat="1" ht="27" customHeight="1">
      <c r="A44" s="2011"/>
      <c r="B44" s="155" t="s">
        <v>1901</v>
      </c>
      <c r="C44" s="129" t="s">
        <v>1902</v>
      </c>
      <c r="D44" s="129"/>
      <c r="E44" s="136">
        <v>45573</v>
      </c>
      <c r="F44" s="91">
        <f>VLOOKUP(E44,환율!$A$1798:$B$2194,2,)</f>
        <v>1346.5</v>
      </c>
      <c r="G44" s="92">
        <v>1961.18</v>
      </c>
      <c r="H44" s="93">
        <f t="shared" si="5"/>
        <v>2640728</v>
      </c>
      <c r="I44" s="165"/>
      <c r="J44" s="254"/>
    </row>
    <row r="45" spans="1:11" s="97" customFormat="1" ht="27" customHeight="1">
      <c r="A45" s="2011"/>
      <c r="B45" s="155" t="s">
        <v>1903</v>
      </c>
      <c r="C45" s="146" t="s">
        <v>1904</v>
      </c>
      <c r="D45" s="146"/>
      <c r="E45" s="90">
        <v>45595</v>
      </c>
      <c r="F45" s="91">
        <f>VLOOKUP(E45,환율!$A$1798:$B$2194,2,)</f>
        <v>1383.1</v>
      </c>
      <c r="G45" s="118">
        <v>18750.5</v>
      </c>
      <c r="H45" s="93">
        <f t="shared" si="5"/>
        <v>25933816</v>
      </c>
      <c r="I45" s="147"/>
      <c r="J45" s="255"/>
      <c r="K45" s="364"/>
    </row>
    <row r="46" spans="1:11" s="97" customFormat="1" ht="27" customHeight="1">
      <c r="A46" s="2011"/>
      <c r="B46" s="155" t="s">
        <v>1905</v>
      </c>
      <c r="C46" s="136" t="s">
        <v>1906</v>
      </c>
      <c r="D46" s="136"/>
      <c r="E46" s="136">
        <v>45575</v>
      </c>
      <c r="F46" s="91">
        <f>VLOOKUP(E46,환율!$A$1798:$B$2194,2,)</f>
        <v>1347.8</v>
      </c>
      <c r="G46" s="92">
        <v>2310.58</v>
      </c>
      <c r="H46" s="93">
        <f t="shared" si="5"/>
        <v>3114199</v>
      </c>
      <c r="I46" s="167"/>
      <c r="J46" s="256"/>
      <c r="K46" s="364"/>
    </row>
    <row r="47" spans="1:11" s="97" customFormat="1" ht="27" customHeight="1">
      <c r="A47" s="2011"/>
      <c r="B47" s="155" t="s">
        <v>1907</v>
      </c>
      <c r="C47" s="146" t="s">
        <v>1908</v>
      </c>
      <c r="D47" s="146"/>
      <c r="E47" s="90">
        <v>45580</v>
      </c>
      <c r="F47" s="91">
        <f>VLOOKUP(E47,환율!$A$1798:$B$2194,2,)</f>
        <v>1354.9</v>
      </c>
      <c r="G47" s="92">
        <v>626</v>
      </c>
      <c r="H47" s="93">
        <f t="shared" si="5"/>
        <v>848167</v>
      </c>
      <c r="I47" s="168"/>
      <c r="J47" s="256"/>
      <c r="K47" s="364"/>
    </row>
    <row r="48" spans="1:11" s="97" customFormat="1" ht="27" customHeight="1">
      <c r="A48" s="2011"/>
      <c r="B48" s="155" t="s">
        <v>1909</v>
      </c>
      <c r="C48" s="146" t="s">
        <v>1910</v>
      </c>
      <c r="D48" s="146"/>
      <c r="E48" s="90">
        <v>45582</v>
      </c>
      <c r="F48" s="91">
        <f>VLOOKUP(E48,환율!$A$1798:$B$2194,2,)</f>
        <v>1363.7</v>
      </c>
      <c r="G48" s="92">
        <v>1818.6</v>
      </c>
      <c r="H48" s="93">
        <f t="shared" si="5"/>
        <v>2480024</v>
      </c>
      <c r="I48" s="168"/>
      <c r="J48" s="256"/>
      <c r="K48" s="364"/>
    </row>
    <row r="49" spans="1:11" s="97" customFormat="1" ht="27" customHeight="1">
      <c r="A49" s="2011"/>
      <c r="B49" s="155" t="s">
        <v>1913</v>
      </c>
      <c r="C49" s="146" t="s">
        <v>1914</v>
      </c>
      <c r="D49" s="146"/>
      <c r="E49" s="136">
        <v>45589</v>
      </c>
      <c r="F49" s="91">
        <f>VLOOKUP(E49,환율!$A$1798:$B$2194,2,)</f>
        <v>1382</v>
      </c>
      <c r="G49" s="92">
        <v>3501</v>
      </c>
      <c r="H49" s="93">
        <f>ROUNDDOWN(G49*F49,0)</f>
        <v>4838382</v>
      </c>
      <c r="I49" s="168"/>
      <c r="J49" s="256"/>
      <c r="K49" s="364"/>
    </row>
    <row r="50" spans="1:11" s="97" customFormat="1" ht="27" customHeight="1">
      <c r="A50" s="2011"/>
      <c r="B50" s="229" t="s">
        <v>1911</v>
      </c>
      <c r="C50" s="169" t="s">
        <v>1912</v>
      </c>
      <c r="D50" s="169"/>
      <c r="E50" s="101">
        <v>45603</v>
      </c>
      <c r="F50" s="102">
        <f>VLOOKUP(E50,환율!$A$1798:$B$2194,2,)</f>
        <v>1391.5</v>
      </c>
      <c r="G50" s="103">
        <v>39328.5</v>
      </c>
      <c r="H50" s="104">
        <f t="shared" si="5"/>
        <v>54725607</v>
      </c>
      <c r="I50" s="170"/>
      <c r="J50" s="428"/>
      <c r="K50" s="364" t="s">
        <v>2021</v>
      </c>
    </row>
    <row r="51" spans="1:11" s="97" customFormat="1" ht="27" customHeight="1">
      <c r="A51" s="2019"/>
      <c r="B51" s="229" t="s">
        <v>1915</v>
      </c>
      <c r="C51" s="169" t="s">
        <v>1916</v>
      </c>
      <c r="D51" s="169"/>
      <c r="E51" s="101">
        <v>45603</v>
      </c>
      <c r="F51" s="102">
        <f>VLOOKUP(E51,환율!$A$1798:$B$2194,2,)</f>
        <v>1391.5</v>
      </c>
      <c r="G51" s="103">
        <v>16594</v>
      </c>
      <c r="H51" s="104">
        <f t="shared" si="5"/>
        <v>23090551</v>
      </c>
      <c r="I51" s="170"/>
      <c r="J51" s="257"/>
      <c r="K51" s="364" t="s">
        <v>2021</v>
      </c>
    </row>
    <row r="52" spans="1:11" s="97" customFormat="1" ht="27" customHeight="1">
      <c r="A52" s="2035" t="s">
        <v>10</v>
      </c>
      <c r="B52" s="2036"/>
      <c r="C52" s="2036"/>
      <c r="D52" s="2036"/>
      <c r="E52" s="2036"/>
      <c r="F52" s="2037"/>
      <c r="G52" s="127">
        <f>SUM(G43:G51)</f>
        <v>86057.36</v>
      </c>
      <c r="H52" s="127">
        <f>SUM(H43:H51)</f>
        <v>119196626</v>
      </c>
      <c r="I52" s="116">
        <v>102341640</v>
      </c>
      <c r="J52" s="260">
        <f>+H52-I52</f>
        <v>16854986</v>
      </c>
      <c r="K52" s="364"/>
    </row>
    <row r="53" spans="1:11" s="97" customFormat="1" ht="27" customHeight="1">
      <c r="A53" s="2010" t="s">
        <v>15</v>
      </c>
      <c r="B53" s="145" t="s">
        <v>1917</v>
      </c>
      <c r="C53" s="145" t="s">
        <v>1918</v>
      </c>
      <c r="D53" s="288"/>
      <c r="E53" s="288">
        <v>45595</v>
      </c>
      <c r="F53" s="91">
        <f>VLOOKUP(E53,환율!$A$1798:$B$2194,2,)</f>
        <v>1383.1</v>
      </c>
      <c r="G53" s="92">
        <v>54195.66</v>
      </c>
      <c r="H53" s="93">
        <f t="shared" si="5"/>
        <v>74958017</v>
      </c>
      <c r="I53" s="173"/>
      <c r="J53" s="262"/>
      <c r="K53" s="401"/>
    </row>
    <row r="54" spans="1:11" s="97" customFormat="1" ht="27" customHeight="1">
      <c r="A54" s="2019"/>
      <c r="B54" s="409" t="s">
        <v>1919</v>
      </c>
      <c r="C54" s="409" t="s">
        <v>1938</v>
      </c>
      <c r="D54" s="322"/>
      <c r="E54" s="352">
        <v>45607</v>
      </c>
      <c r="F54" s="102">
        <f>VLOOKUP(E54,환율!$A$1798:$B$2194,2,)</f>
        <v>1385.4</v>
      </c>
      <c r="G54" s="103">
        <v>45229.62</v>
      </c>
      <c r="H54" s="104">
        <f t="shared" si="5"/>
        <v>62661115</v>
      </c>
      <c r="I54" s="152"/>
      <c r="J54" s="323"/>
      <c r="K54" s="401"/>
    </row>
    <row r="55" spans="1:11" s="97" customFormat="1" ht="27" customHeight="1">
      <c r="A55" s="2035" t="s">
        <v>10</v>
      </c>
      <c r="B55" s="2036"/>
      <c r="C55" s="2036"/>
      <c r="D55" s="2036"/>
      <c r="E55" s="2036"/>
      <c r="F55" s="2037"/>
      <c r="G55" s="127">
        <f>SUM(G53:G54)</f>
        <v>99425.279999999999</v>
      </c>
      <c r="H55" s="116">
        <f>SUM(H53:H54)</f>
        <v>137619132</v>
      </c>
      <c r="I55" s="116">
        <v>37579169</v>
      </c>
      <c r="J55" s="260">
        <f>+H55-I55</f>
        <v>100039963</v>
      </c>
      <c r="K55" s="366"/>
    </row>
    <row r="56" spans="1:11" s="97" customFormat="1" ht="27" customHeight="1">
      <c r="A56" s="2012" t="s">
        <v>726</v>
      </c>
      <c r="B56" s="136" t="s">
        <v>1920</v>
      </c>
      <c r="C56" s="136" t="s">
        <v>1921</v>
      </c>
      <c r="D56" s="136"/>
      <c r="E56" s="136">
        <v>45570</v>
      </c>
      <c r="F56" s="397">
        <v>8.9946999999999999</v>
      </c>
      <c r="G56" s="177">
        <v>10031540</v>
      </c>
      <c r="H56" s="93">
        <f t="shared" ref="H56:H61" si="6">ROUNDDOWN(G56*F56,0)</f>
        <v>90230692</v>
      </c>
      <c r="I56" s="156"/>
      <c r="J56" s="263"/>
      <c r="K56" s="364"/>
    </row>
    <row r="57" spans="1:11" s="97" customFormat="1" ht="27" customHeight="1">
      <c r="A57" s="2053"/>
      <c r="B57" s="136" t="s">
        <v>1922</v>
      </c>
      <c r="C57" s="146" t="s">
        <v>1923</v>
      </c>
      <c r="D57" s="136"/>
      <c r="E57" s="136">
        <v>45579</v>
      </c>
      <c r="F57" s="176">
        <v>9.0330999999999992</v>
      </c>
      <c r="G57" s="177">
        <v>16567482</v>
      </c>
      <c r="H57" s="93">
        <f t="shared" si="6"/>
        <v>149655721</v>
      </c>
      <c r="I57" s="156"/>
      <c r="J57" s="263"/>
      <c r="K57" s="366"/>
    </row>
    <row r="58" spans="1:11" s="97" customFormat="1" ht="27" customHeight="1">
      <c r="A58" s="2053"/>
      <c r="B58" s="136" t="s">
        <v>1924</v>
      </c>
      <c r="C58" s="146" t="s">
        <v>1925</v>
      </c>
      <c r="D58" s="136"/>
      <c r="E58" s="136">
        <v>45585</v>
      </c>
      <c r="F58" s="176">
        <v>9.0963999999999992</v>
      </c>
      <c r="G58" s="177">
        <v>16500226</v>
      </c>
      <c r="H58" s="93">
        <f t="shared" si="6"/>
        <v>150092655</v>
      </c>
      <c r="I58" s="156"/>
      <c r="J58" s="263"/>
      <c r="K58" s="366"/>
    </row>
    <row r="59" spans="1:11" s="97" customFormat="1" ht="27" customHeight="1">
      <c r="A59" s="2053"/>
      <c r="B59" s="136" t="s">
        <v>1926</v>
      </c>
      <c r="C59" s="146" t="s">
        <v>1927</v>
      </c>
      <c r="D59" s="136"/>
      <c r="E59" s="136">
        <v>45593</v>
      </c>
      <c r="F59" s="176">
        <v>9.0574999999999992</v>
      </c>
      <c r="G59" s="177">
        <v>13814672</v>
      </c>
      <c r="H59" s="93">
        <f t="shared" si="6"/>
        <v>125126391</v>
      </c>
      <c r="I59" s="156"/>
      <c r="J59" s="263"/>
      <c r="K59" s="366"/>
    </row>
    <row r="60" spans="1:11" s="97" customFormat="1" ht="27" customHeight="1">
      <c r="A60" s="2053"/>
      <c r="B60" s="125" t="s">
        <v>1928</v>
      </c>
      <c r="C60" s="169" t="s">
        <v>1929</v>
      </c>
      <c r="D60" s="125"/>
      <c r="E60" s="125">
        <v>45598</v>
      </c>
      <c r="F60" s="183">
        <v>9.0823999999999998</v>
      </c>
      <c r="G60" s="184">
        <v>17375082</v>
      </c>
      <c r="H60" s="104">
        <f t="shared" si="6"/>
        <v>157807444</v>
      </c>
      <c r="I60" s="185"/>
      <c r="J60" s="277"/>
      <c r="K60" s="366"/>
    </row>
    <row r="61" spans="1:11" s="97" customFormat="1" ht="27" customHeight="1">
      <c r="A61" s="2013"/>
      <c r="B61" s="179" t="s">
        <v>1939</v>
      </c>
      <c r="C61" s="178"/>
      <c r="D61" s="179"/>
      <c r="E61" s="179">
        <v>45566</v>
      </c>
      <c r="F61" s="180">
        <v>9.2451000000000008</v>
      </c>
      <c r="G61" s="181">
        <v>1017375</v>
      </c>
      <c r="H61" s="111">
        <f t="shared" si="6"/>
        <v>9405733</v>
      </c>
      <c r="I61" s="182"/>
      <c r="J61" s="283"/>
      <c r="K61" s="366"/>
    </row>
    <row r="62" spans="1:11" s="97" customFormat="1" ht="27" customHeight="1">
      <c r="A62" s="2035" t="s">
        <v>10</v>
      </c>
      <c r="B62" s="2036"/>
      <c r="C62" s="2036"/>
      <c r="D62" s="2036"/>
      <c r="E62" s="2036"/>
      <c r="F62" s="2037"/>
      <c r="G62" s="398">
        <f>SUM(G56:G61)</f>
        <v>75306377</v>
      </c>
      <c r="H62" s="116">
        <f>SUM(H56:H61)</f>
        <v>682318636</v>
      </c>
      <c r="I62" s="116">
        <v>683087728</v>
      </c>
      <c r="J62" s="260">
        <f>+H62-I62</f>
        <v>-769092</v>
      </c>
      <c r="K62" s="364"/>
    </row>
    <row r="63" spans="1:11" s="310" customFormat="1" ht="27" customHeight="1">
      <c r="A63" s="2041" t="s">
        <v>992</v>
      </c>
      <c r="B63" s="332" t="s">
        <v>1933</v>
      </c>
      <c r="C63" s="303"/>
      <c r="D63" s="303"/>
      <c r="E63" s="303">
        <v>45567</v>
      </c>
      <c r="F63" s="91">
        <f>VLOOKUP(E63,환율!$A$1798:$B$2194,2,)</f>
        <v>1306.9000000000001</v>
      </c>
      <c r="G63" s="334">
        <f>H63/F63</f>
        <v>1482.9642665850486</v>
      </c>
      <c r="H63" s="335">
        <v>1938086</v>
      </c>
      <c r="I63" s="336"/>
      <c r="J63" s="337"/>
      <c r="K63" s="367"/>
    </row>
    <row r="64" spans="1:11" s="310" customFormat="1" ht="27" customHeight="1">
      <c r="A64" s="2042"/>
      <c r="B64" s="332" t="s">
        <v>1934</v>
      </c>
      <c r="C64" s="303"/>
      <c r="D64" s="303"/>
      <c r="E64" s="303">
        <v>45567</v>
      </c>
      <c r="F64" s="91">
        <f>VLOOKUP(E64,환율!$A$1798:$B$2194,2,)</f>
        <v>1306.9000000000001</v>
      </c>
      <c r="G64" s="334">
        <f>H64/F64</f>
        <v>18118.478843063738</v>
      </c>
      <c r="H64" s="335">
        <v>23679040</v>
      </c>
      <c r="I64" s="336"/>
      <c r="J64" s="337"/>
      <c r="K64" s="367"/>
    </row>
    <row r="65" spans="1:12" s="310" customFormat="1" ht="27" customHeight="1">
      <c r="A65" s="2042"/>
      <c r="B65" s="332" t="s">
        <v>1935</v>
      </c>
      <c r="C65" s="303"/>
      <c r="D65" s="303"/>
      <c r="E65" s="303">
        <v>45573</v>
      </c>
      <c r="F65" s="91">
        <f>VLOOKUP(E65,환율!$A$1798:$B$2194,2,)</f>
        <v>1346.5</v>
      </c>
      <c r="G65" s="334">
        <f>H65/F65</f>
        <v>8792.8109914593388</v>
      </c>
      <c r="H65" s="335">
        <v>11839520</v>
      </c>
      <c r="I65" s="336"/>
      <c r="J65" s="337"/>
      <c r="K65" s="367"/>
    </row>
    <row r="66" spans="1:12" s="310" customFormat="1" ht="27" customHeight="1">
      <c r="A66" s="2042"/>
      <c r="B66" s="332" t="s">
        <v>1936</v>
      </c>
      <c r="C66" s="303"/>
      <c r="D66" s="303"/>
      <c r="E66" s="303">
        <v>45581</v>
      </c>
      <c r="F66" s="91">
        <f>VLOOKUP(E66,환율!$A$1798:$B$2194,2,)</f>
        <v>1360.4</v>
      </c>
      <c r="G66" s="334">
        <f>H66/F66</f>
        <v>8702.9697147897677</v>
      </c>
      <c r="H66" s="335">
        <v>11839520</v>
      </c>
      <c r="I66" s="336"/>
      <c r="J66" s="337"/>
      <c r="K66" s="367"/>
    </row>
    <row r="67" spans="1:12" s="310" customFormat="1" ht="27" customHeight="1">
      <c r="A67" s="2043"/>
      <c r="B67" s="332" t="s">
        <v>1937</v>
      </c>
      <c r="C67" s="303"/>
      <c r="D67" s="303"/>
      <c r="E67" s="303">
        <v>45581</v>
      </c>
      <c r="F67" s="91">
        <f>VLOOKUP(E67,환율!$A$1798:$B$2194,2,)</f>
        <v>1360.4</v>
      </c>
      <c r="G67" s="334">
        <f>H67/F67</f>
        <v>8702.9697147897677</v>
      </c>
      <c r="H67" s="335">
        <v>11839520</v>
      </c>
      <c r="I67" s="336"/>
      <c r="J67" s="337"/>
      <c r="K67" s="367"/>
    </row>
    <row r="68" spans="1:12" s="97" customFormat="1" ht="27" customHeight="1">
      <c r="A68" s="2035" t="s">
        <v>10</v>
      </c>
      <c r="B68" s="2036"/>
      <c r="C68" s="2036"/>
      <c r="D68" s="2036"/>
      <c r="E68" s="2036"/>
      <c r="F68" s="2037"/>
      <c r="G68" s="127">
        <f>SUM(G63:G67)</f>
        <v>45800.193530687662</v>
      </c>
      <c r="H68" s="116">
        <f>SUM(H63:H67)</f>
        <v>61135686</v>
      </c>
      <c r="I68" s="116">
        <v>24586760</v>
      </c>
      <c r="J68" s="260">
        <f>+H68-I68</f>
        <v>36548926</v>
      </c>
      <c r="K68" s="402"/>
    </row>
    <row r="69" spans="1:12" s="97" customFormat="1" ht="27" customHeight="1" thickBot="1">
      <c r="A69" s="2044" t="s">
        <v>1176</v>
      </c>
      <c r="B69" s="2045"/>
      <c r="C69" s="2045"/>
      <c r="D69" s="2045"/>
      <c r="E69" s="2046"/>
      <c r="F69" s="1997" t="s">
        <v>31</v>
      </c>
      <c r="G69" s="232" t="s">
        <v>17</v>
      </c>
      <c r="H69" s="210">
        <f>+H71-H70</f>
        <v>3312150964</v>
      </c>
      <c r="I69" s="210">
        <v>3262374743</v>
      </c>
      <c r="J69" s="219">
        <f>+H69-I69</f>
        <v>49776221</v>
      </c>
      <c r="K69" s="401"/>
    </row>
    <row r="70" spans="1:12" s="97" customFormat="1" ht="27" customHeight="1">
      <c r="A70" s="239" t="s">
        <v>20</v>
      </c>
      <c r="B70" s="195" t="s">
        <v>21</v>
      </c>
      <c r="C70" s="196" t="s">
        <v>20</v>
      </c>
      <c r="D70" s="314"/>
      <c r="E70" s="197" t="s">
        <v>21</v>
      </c>
      <c r="F70" s="1997"/>
      <c r="G70" s="198" t="s">
        <v>18</v>
      </c>
      <c r="H70" s="210">
        <f>H61+H16</f>
        <v>104632633</v>
      </c>
      <c r="I70" s="199">
        <v>121566900</v>
      </c>
      <c r="J70" s="201">
        <f>+H70-I70</f>
        <v>-16934267</v>
      </c>
      <c r="K70" s="401"/>
    </row>
    <row r="71" spans="1:12" s="97" customFormat="1" ht="27" customHeight="1" thickBot="1">
      <c r="A71" s="240" t="s">
        <v>9</v>
      </c>
      <c r="B71" s="199">
        <f>H15</f>
        <v>507102466</v>
      </c>
      <c r="C71" s="200" t="s">
        <v>721</v>
      </c>
      <c r="D71" s="315"/>
      <c r="E71" s="201">
        <v>0</v>
      </c>
      <c r="F71" s="1998"/>
      <c r="G71" s="202" t="s">
        <v>19</v>
      </c>
      <c r="H71" s="203">
        <f>SUM(H17,H26,H32,H34,H37,H40,H42,H52,H55,H62,H68)</f>
        <v>3416783597</v>
      </c>
      <c r="I71" s="203">
        <v>3383941643</v>
      </c>
      <c r="J71" s="233">
        <f>+H71-I71</f>
        <v>32841954</v>
      </c>
      <c r="K71" s="364"/>
    </row>
    <row r="72" spans="1:12" s="97" customFormat="1" ht="27" customHeight="1">
      <c r="A72" s="240" t="s">
        <v>11</v>
      </c>
      <c r="B72" s="199">
        <f>SUM(H23:H25)</f>
        <v>145471713</v>
      </c>
      <c r="C72" s="200" t="s">
        <v>722</v>
      </c>
      <c r="D72" s="315"/>
      <c r="E72" s="201">
        <v>0</v>
      </c>
      <c r="F72" s="296" t="s">
        <v>20</v>
      </c>
      <c r="G72" s="297" t="s">
        <v>1930</v>
      </c>
      <c r="H72" s="298" t="s">
        <v>233</v>
      </c>
      <c r="I72" s="298" t="s">
        <v>234</v>
      </c>
      <c r="J72" s="234" t="s">
        <v>32</v>
      </c>
      <c r="K72" s="401"/>
    </row>
    <row r="73" spans="1:12" s="97" customFormat="1" ht="27" customHeight="1">
      <c r="A73" s="241" t="s">
        <v>114</v>
      </c>
      <c r="B73" s="199">
        <f>SUM(H29:H31)</f>
        <v>155397392</v>
      </c>
      <c r="C73" s="293" t="s">
        <v>14</v>
      </c>
      <c r="D73" s="316"/>
      <c r="E73" s="294">
        <f>SUM(H50:H51)</f>
        <v>77816158</v>
      </c>
      <c r="F73" s="211" t="s">
        <v>22</v>
      </c>
      <c r="G73" s="199">
        <v>103360332</v>
      </c>
      <c r="H73" s="199">
        <f>SUM(H56:H59,H61)</f>
        <v>524511192</v>
      </c>
      <c r="I73" s="199">
        <f>H60</f>
        <v>157807444</v>
      </c>
      <c r="J73" s="201">
        <f>SUM(G73:H73)</f>
        <v>627871524</v>
      </c>
      <c r="K73" s="366"/>
      <c r="L73" s="403"/>
    </row>
    <row r="74" spans="1:12" s="97" customFormat="1" ht="27" customHeight="1">
      <c r="A74" s="241" t="s">
        <v>153</v>
      </c>
      <c r="B74" s="199">
        <v>0</v>
      </c>
      <c r="C74" s="293" t="s">
        <v>15</v>
      </c>
      <c r="D74" s="317"/>
      <c r="E74" s="295">
        <f>H54</f>
        <v>62661115</v>
      </c>
      <c r="F74" s="211" t="s">
        <v>23</v>
      </c>
      <c r="G74" s="199">
        <v>307144362</v>
      </c>
      <c r="H74" s="199">
        <f>SUM(H33:H33,H27,H18:H22,H28)</f>
        <v>284495014</v>
      </c>
      <c r="I74" s="199">
        <f>SUM(H23:H25,H29:H31,H41,H35:H36)</f>
        <v>346896881</v>
      </c>
      <c r="J74" s="201">
        <f>SUM(G74:H74)</f>
        <v>591639376</v>
      </c>
      <c r="K74" s="175"/>
      <c r="L74" s="403"/>
    </row>
    <row r="75" spans="1:12" s="126" customFormat="1" ht="27" customHeight="1">
      <c r="A75" s="241" t="s">
        <v>719</v>
      </c>
      <c r="B75" s="199">
        <v>0</v>
      </c>
      <c r="C75" s="293" t="s">
        <v>53</v>
      </c>
      <c r="D75" s="316"/>
      <c r="E75" s="294">
        <f>H39</f>
        <v>54690050</v>
      </c>
      <c r="F75" s="211" t="s">
        <v>24</v>
      </c>
      <c r="G75" s="199">
        <v>963828610</v>
      </c>
      <c r="H75" s="199">
        <f>SUM(H13:H14,H16)</f>
        <v>1169385152</v>
      </c>
      <c r="I75" s="199">
        <f>H15</f>
        <v>507102466</v>
      </c>
      <c r="J75" s="201">
        <f>SUM(G75:H75)</f>
        <v>2133213762</v>
      </c>
      <c r="K75" s="175"/>
      <c r="L75" s="403"/>
    </row>
    <row r="76" spans="1:12" s="126" customFormat="1" ht="27" customHeight="1">
      <c r="A76" s="241" t="s">
        <v>35</v>
      </c>
      <c r="B76" s="199">
        <f>SUM(H35:H36)</f>
        <v>46027776</v>
      </c>
      <c r="C76" s="200" t="s">
        <v>252</v>
      </c>
      <c r="D76" s="216"/>
      <c r="E76" s="219">
        <f>H60</f>
        <v>157807444</v>
      </c>
      <c r="F76" s="211" t="s">
        <v>723</v>
      </c>
      <c r="G76" s="199">
        <v>23414481</v>
      </c>
      <c r="H76" s="199">
        <f>SUM(H43:H49,H38:H38,H53)</f>
        <v>170282439</v>
      </c>
      <c r="I76" s="199">
        <f>SUM(H54,H39,H50:H51)</f>
        <v>195167323</v>
      </c>
      <c r="J76" s="201">
        <f>SUM(G76:H76)</f>
        <v>193696920</v>
      </c>
      <c r="K76" s="366"/>
      <c r="L76" s="430"/>
    </row>
    <row r="77" spans="1:12" s="126" customFormat="1" ht="27" customHeight="1" thickBot="1">
      <c r="A77" s="215" t="s">
        <v>724</v>
      </c>
      <c r="B77" s="213">
        <v>0</v>
      </c>
      <c r="C77" s="214"/>
      <c r="D77" s="318"/>
      <c r="E77" s="242"/>
      <c r="F77" s="299" t="s">
        <v>1177</v>
      </c>
      <c r="G77" s="311">
        <v>0</v>
      </c>
      <c r="H77" s="311">
        <f>H68</f>
        <v>61135686</v>
      </c>
      <c r="I77" s="311">
        <v>0</v>
      </c>
      <c r="J77" s="312">
        <f>SUM(G77:H77)</f>
        <v>61135686</v>
      </c>
      <c r="K77" s="364" t="b">
        <f>I78=E78</f>
        <v>1</v>
      </c>
    </row>
    <row r="78" spans="1:12" s="126" customFormat="1" ht="27" customHeight="1" thickTop="1" thickBot="1">
      <c r="A78" s="243"/>
      <c r="B78" s="244" t="s">
        <v>49</v>
      </c>
      <c r="C78" s="245"/>
      <c r="D78" s="244"/>
      <c r="E78" s="246">
        <f>SUM(B71:B77,E71:E77)</f>
        <v>1206974114</v>
      </c>
      <c r="F78" s="236" t="s">
        <v>16</v>
      </c>
      <c r="G78" s="237">
        <f>SUM(G73:G77)</f>
        <v>1397747785</v>
      </c>
      <c r="H78" s="237">
        <f>SUM(H73:H77)</f>
        <v>2209809483</v>
      </c>
      <c r="I78" s="237">
        <f>SUM(I73:I77)</f>
        <v>1206974114</v>
      </c>
      <c r="J78" s="238">
        <f>+G78+H78</f>
        <v>3607557268</v>
      </c>
      <c r="K78" s="364" t="b">
        <f>H71=H78+I78</f>
        <v>1</v>
      </c>
    </row>
    <row r="79" spans="1:12" s="19" customFormat="1" ht="27" customHeight="1" thickBot="1">
      <c r="A79"/>
      <c r="B79"/>
      <c r="C79"/>
      <c r="D79"/>
      <c r="E79"/>
      <c r="F79" s="2047" t="s">
        <v>1685</v>
      </c>
      <c r="G79" s="2048"/>
      <c r="H79" s="2048"/>
      <c r="I79" s="2049"/>
      <c r="J79" s="404">
        <f>J78-J77</f>
        <v>3546421582</v>
      </c>
      <c r="K79" s="410"/>
    </row>
    <row r="80" spans="1:12" ht="19.2">
      <c r="B80" s="291"/>
      <c r="C80" s="290"/>
      <c r="D80" s="290"/>
      <c r="E80" s="26"/>
      <c r="F80" s="292"/>
      <c r="H80" s="26"/>
      <c r="J80" s="13">
        <v>3546421582</v>
      </c>
    </row>
    <row r="81" spans="1:12" s="24" customFormat="1" ht="19.2">
      <c r="A81"/>
      <c r="B81"/>
      <c r="C81" s="290"/>
      <c r="D81" s="290"/>
      <c r="E81" s="26"/>
      <c r="F81" s="292"/>
      <c r="G81" s="47"/>
      <c r="H81" s="26"/>
      <c r="I81"/>
      <c r="J81" s="412">
        <f>J79-J80</f>
        <v>0</v>
      </c>
      <c r="L81"/>
    </row>
    <row r="82" spans="1:12" s="24" customFormat="1" ht="19.2">
      <c r="A82"/>
      <c r="B82"/>
      <c r="C82" s="290"/>
      <c r="D82" s="290"/>
      <c r="E82" s="26"/>
      <c r="F82" s="292"/>
      <c r="G82" s="47"/>
      <c r="H82" s="26"/>
      <c r="I82"/>
      <c r="J82" s="26"/>
      <c r="L82"/>
    </row>
    <row r="83" spans="1:12" s="24" customFormat="1" ht="19.2">
      <c r="A83"/>
      <c r="B83"/>
      <c r="C83" s="290"/>
      <c r="D83" s="290"/>
      <c r="E83" s="26"/>
      <c r="F83" s="292"/>
      <c r="G83" s="47"/>
      <c r="H83" s="26"/>
      <c r="I83"/>
      <c r="J83"/>
      <c r="L83"/>
    </row>
    <row r="84" spans="1:12" s="24" customFormat="1" ht="19.2">
      <c r="A84"/>
      <c r="B84"/>
      <c r="C84" s="290"/>
      <c r="D84" s="290"/>
      <c r="E84"/>
      <c r="F84" s="13"/>
      <c r="G84" s="47"/>
      <c r="H84" s="26"/>
      <c r="I84"/>
      <c r="J84"/>
      <c r="L84"/>
    </row>
    <row r="85" spans="1:12" s="24" customFormat="1">
      <c r="A85"/>
      <c r="B85"/>
      <c r="C85"/>
      <c r="D85"/>
      <c r="E85"/>
      <c r="F85" s="13"/>
      <c r="G85" s="47"/>
      <c r="H85"/>
      <c r="I85"/>
      <c r="J85"/>
      <c r="L85"/>
    </row>
  </sheetData>
  <autoFilter ref="A11:F78" xr:uid="{00000000-0009-0000-0000-00004D000000}"/>
  <mergeCells count="31">
    <mergeCell ref="A68:F68"/>
    <mergeCell ref="A69:E69"/>
    <mergeCell ref="F69:F71"/>
    <mergeCell ref="F79:I79"/>
    <mergeCell ref="A63:A67"/>
    <mergeCell ref="A55:F55"/>
    <mergeCell ref="A62:F62"/>
    <mergeCell ref="A34:F34"/>
    <mergeCell ref="A37:F37"/>
    <mergeCell ref="A40:F40"/>
    <mergeCell ref="A42:F42"/>
    <mergeCell ref="A38:A39"/>
    <mergeCell ref="A43:A51"/>
    <mergeCell ref="A52:F52"/>
    <mergeCell ref="A53:A54"/>
    <mergeCell ref="A56:A61"/>
    <mergeCell ref="A35:A36"/>
    <mergeCell ref="A32:F32"/>
    <mergeCell ref="A27:A31"/>
    <mergeCell ref="A6:G10"/>
    <mergeCell ref="A11:A12"/>
    <mergeCell ref="B11:B12"/>
    <mergeCell ref="C11:C12"/>
    <mergeCell ref="D11:D12"/>
    <mergeCell ref="E11:E12"/>
    <mergeCell ref="F11:F12"/>
    <mergeCell ref="G11:J11"/>
    <mergeCell ref="A13:A16"/>
    <mergeCell ref="A17:F17"/>
    <mergeCell ref="A18:A25"/>
    <mergeCell ref="A26:F26"/>
  </mergeCells>
  <phoneticPr fontId="2" type="noConversion"/>
  <conditionalFormatting sqref="A13">
    <cfRule type="expression" dxfId="1319" priority="72">
      <formula>#REF!="*01월*"</formula>
    </cfRule>
  </conditionalFormatting>
  <conditionalFormatting sqref="A17:A18">
    <cfRule type="expression" dxfId="1318" priority="75">
      <formula>#REF!="*01월*"</formula>
    </cfRule>
  </conditionalFormatting>
  <conditionalFormatting sqref="A41:A42">
    <cfRule type="expression" dxfId="1317" priority="68">
      <formula>#REF!="*01월*"</formula>
    </cfRule>
  </conditionalFormatting>
  <conditionalFormatting sqref="A55:A56">
    <cfRule type="expression" dxfId="1316" priority="54">
      <formula>#REF!="*01월*"</formula>
    </cfRule>
  </conditionalFormatting>
  <conditionalFormatting sqref="A62:A63">
    <cfRule type="expression" dxfId="1315" priority="39">
      <formula>$E68="*01월*"</formula>
    </cfRule>
  </conditionalFormatting>
  <conditionalFormatting sqref="A11:J12 B35:B36 E35:E36 A40 G40:J40 A43:C43 D43:E44 G43:J44 B44:C44 B45:B46 B51 H51 B53:E54 I53:J54 G55:J55 G68:I68 A68:A69 F69:J69 A70:J78">
    <cfRule type="expression" dxfId="1314" priority="64">
      <formula>$E13="*01월*"</formula>
    </cfRule>
  </conditionalFormatting>
  <conditionalFormatting sqref="B21:B25 B27:F31">
    <cfRule type="expression" dxfId="1313" priority="11">
      <formula>#REF!="*01월*"</formula>
    </cfRule>
  </conditionalFormatting>
  <conditionalFormatting sqref="B63:B67">
    <cfRule type="expression" dxfId="1312" priority="3">
      <formula>$E66="*01월*"</formula>
    </cfRule>
  </conditionalFormatting>
  <conditionalFormatting sqref="B18:E20">
    <cfRule type="expression" dxfId="1311" priority="15">
      <formula>#REF!="*01월*"</formula>
    </cfRule>
  </conditionalFormatting>
  <conditionalFormatting sqref="B33:E33">
    <cfRule type="expression" dxfId="1310" priority="67">
      <formula>#REF!="*01월*"</formula>
    </cfRule>
  </conditionalFormatting>
  <conditionalFormatting sqref="B41:E41 G41:J41">
    <cfRule type="expression" dxfId="1309" priority="8">
      <formula>$E44="*01월*"</formula>
    </cfRule>
  </conditionalFormatting>
  <conditionalFormatting sqref="B35:F36">
    <cfRule type="expression" dxfId="1308" priority="22">
      <formula>#REF!="*01월*"</formula>
    </cfRule>
  </conditionalFormatting>
  <conditionalFormatting sqref="B13:J16">
    <cfRule type="expression" dxfId="1307" priority="45">
      <formula>#REF!="*01월*"</formula>
    </cfRule>
  </conditionalFormatting>
  <conditionalFormatting sqref="B56:J61">
    <cfRule type="expression" dxfId="1306" priority="34">
      <formula>#REF!="*01월*"</formula>
    </cfRule>
  </conditionalFormatting>
  <conditionalFormatting sqref="C19:C20">
    <cfRule type="expression" dxfId="1305" priority="13">
      <formula>#REF!="*01월*"</formula>
    </cfRule>
  </conditionalFormatting>
  <conditionalFormatting sqref="C22 G22 I22:J22">
    <cfRule type="expression" dxfId="1304" priority="29">
      <formula>$E26="*01월*"</formula>
    </cfRule>
  </conditionalFormatting>
  <conditionalFormatting sqref="C25">
    <cfRule type="expression" dxfId="1303" priority="41">
      <formula>#REF!="*01월*"</formula>
    </cfRule>
  </conditionalFormatting>
  <conditionalFormatting sqref="C21:D22 C24:D25 G24:J25 A52">
    <cfRule type="expression" dxfId="1302" priority="55">
      <formula>#REF!="*01월*"</formula>
    </cfRule>
  </conditionalFormatting>
  <conditionalFormatting sqref="C23:D23 I23:J23 B47 B49 H49 A53 H53:H54">
    <cfRule type="expression" dxfId="1301" priority="80">
      <formula>$E26="*01월*"</formula>
    </cfRule>
  </conditionalFormatting>
  <conditionalFormatting sqref="C35:D35 G35 A37 H37:J37 A38:E38 G38:J39 B39:E39">
    <cfRule type="expression" dxfId="1300" priority="65">
      <formula>$E38="*01월*"</formula>
    </cfRule>
  </conditionalFormatting>
  <conditionalFormatting sqref="C36:D36 G36">
    <cfRule type="expression" dxfId="1299" priority="25">
      <formula>$E40="*01월*"</formula>
    </cfRule>
  </conditionalFormatting>
  <conditionalFormatting sqref="C80:D84">
    <cfRule type="expression" dxfId="1298" priority="61">
      <formula>$E82="*01월*"</formula>
    </cfRule>
  </conditionalFormatting>
  <conditionalFormatting sqref="C63:E67 H63:J67">
    <cfRule type="expression" dxfId="1297" priority="4">
      <formula>$E69="*01월*"</formula>
    </cfRule>
  </conditionalFormatting>
  <conditionalFormatting sqref="D22:E22">
    <cfRule type="expression" dxfId="1296" priority="27">
      <formula>#REF!="*01월*"</formula>
    </cfRule>
  </conditionalFormatting>
  <conditionalFormatting sqref="E18">
    <cfRule type="expression" dxfId="1295" priority="16">
      <formula>$E23="*01월*"</formula>
    </cfRule>
  </conditionalFormatting>
  <conditionalFormatting sqref="E19">
    <cfRule type="expression" dxfId="1294" priority="665">
      <formula>$E22="*01월*"</formula>
    </cfRule>
  </conditionalFormatting>
  <conditionalFormatting sqref="E20">
    <cfRule type="expression" dxfId="1293" priority="671">
      <formula>$E24="*01월*"</formula>
    </cfRule>
  </conditionalFormatting>
  <conditionalFormatting sqref="E21:E22">
    <cfRule type="expression" dxfId="1292" priority="83">
      <formula>$E29="*01월*"</formula>
    </cfRule>
  </conditionalFormatting>
  <conditionalFormatting sqref="E25">
    <cfRule type="expression" dxfId="1291" priority="60">
      <formula>$E27="*01월*"</formula>
    </cfRule>
  </conditionalFormatting>
  <conditionalFormatting sqref="F18:F19">
    <cfRule type="expression" dxfId="1290" priority="12">
      <formula>#REF!="*01월*"</formula>
    </cfRule>
  </conditionalFormatting>
  <conditionalFormatting sqref="F21:F25 A32:A34 F43:F50 C45:E50">
    <cfRule type="expression" dxfId="1289" priority="43">
      <formula>#REF!="*01월*"</formula>
    </cfRule>
  </conditionalFormatting>
  <conditionalFormatting sqref="F33">
    <cfRule type="expression" dxfId="1288" priority="47">
      <formula>$E38="*01월*"</formula>
    </cfRule>
  </conditionalFormatting>
  <conditionalFormatting sqref="F38:F39">
    <cfRule type="expression" dxfId="1287" priority="52">
      <formula>#REF!="*01월*"</formula>
    </cfRule>
  </conditionalFormatting>
  <conditionalFormatting sqref="F41">
    <cfRule type="expression" dxfId="1286" priority="7">
      <formula>#REF!="*01월*"</formula>
    </cfRule>
  </conditionalFormatting>
  <conditionalFormatting sqref="F53:F54">
    <cfRule type="expression" dxfId="1285" priority="46">
      <formula>#REF!="*01월*"</formula>
    </cfRule>
  </conditionalFormatting>
  <conditionalFormatting sqref="F63:G67">
    <cfRule type="expression" dxfId="1284" priority="50">
      <formula>#REF!="*01월*"</formula>
    </cfRule>
  </conditionalFormatting>
  <conditionalFormatting sqref="F20:H20">
    <cfRule type="expression" dxfId="1283" priority="17">
      <formula>$E23="*01월*"</formula>
    </cfRule>
  </conditionalFormatting>
  <conditionalFormatting sqref="G18:G20">
    <cfRule type="expression" dxfId="1282" priority="20">
      <formula>#REF!="*01월*"</formula>
    </cfRule>
  </conditionalFormatting>
  <conditionalFormatting sqref="G19">
    <cfRule type="expression" dxfId="1281" priority="19">
      <formula>$E23="*01월*"</formula>
    </cfRule>
  </conditionalFormatting>
  <conditionalFormatting sqref="G25 A26 G26:J26 B48 B50">
    <cfRule type="expression" dxfId="1280" priority="59">
      <formula>$E26="*01월*"</formula>
    </cfRule>
  </conditionalFormatting>
  <conditionalFormatting sqref="G35:G37">
    <cfRule type="expression" dxfId="1279" priority="37">
      <formula>#REF!="*01월*"</formula>
    </cfRule>
  </conditionalFormatting>
  <conditionalFormatting sqref="G49 C51:G51">
    <cfRule type="expression" dxfId="1278" priority="30">
      <formula>#REF!="*01월*"</formula>
    </cfRule>
  </conditionalFormatting>
  <conditionalFormatting sqref="G53:G54">
    <cfRule type="expression" dxfId="1277" priority="73">
      <formula>$E57="*01월*"</formula>
    </cfRule>
  </conditionalFormatting>
  <conditionalFormatting sqref="G17:H19">
    <cfRule type="expression" dxfId="1276" priority="18">
      <formula>#REF!="*01월*"</formula>
    </cfRule>
  </conditionalFormatting>
  <conditionalFormatting sqref="G21:H23 E23:E25">
    <cfRule type="expression" dxfId="1275" priority="28">
      <formula>#REF!="*01월*"</formula>
    </cfRule>
  </conditionalFormatting>
  <conditionalFormatting sqref="G27:J34 I49:J49 I51:J51">
    <cfRule type="expression" dxfId="1274" priority="78">
      <formula>#REF!="*01월*"</formula>
    </cfRule>
  </conditionalFormatting>
  <conditionalFormatting sqref="G42:J42">
    <cfRule type="expression" dxfId="1273" priority="36">
      <formula>#REF!="*01월*"</formula>
    </cfRule>
  </conditionalFormatting>
  <conditionalFormatting sqref="G45:J50">
    <cfRule type="expression" dxfId="1272" priority="23">
      <formula>#REF!="*01월*"</formula>
    </cfRule>
  </conditionalFormatting>
  <conditionalFormatting sqref="G52:J52">
    <cfRule type="expression" dxfId="1271" priority="66">
      <formula>$E55="*01월*"</formula>
    </cfRule>
  </conditionalFormatting>
  <conditionalFormatting sqref="G62:J62">
    <cfRule type="expression" dxfId="1270" priority="62">
      <formula>$E68="*01월*"</formula>
    </cfRule>
  </conditionalFormatting>
  <conditionalFormatting sqref="H22">
    <cfRule type="expression" dxfId="1269" priority="26">
      <formula>#REF!="*01월*"</formula>
    </cfRule>
  </conditionalFormatting>
  <conditionalFormatting sqref="H35:J36">
    <cfRule type="expression" dxfId="1268" priority="63">
      <formula>#REF!="*01월*"</formula>
    </cfRule>
  </conditionalFormatting>
  <conditionalFormatting sqref="I17:J22">
    <cfRule type="expression" dxfId="1267" priority="6">
      <formula>#REF!="*01월*"</formula>
    </cfRule>
  </conditionalFormatting>
  <conditionalFormatting sqref="J68">
    <cfRule type="expression" dxfId="1266" priority="49">
      <formula>$E74="*01월*"</formula>
    </cfRule>
  </conditionalFormatting>
  <conditionalFormatting sqref="J79 F79:F83">
    <cfRule type="expression" dxfId="1265" priority="48">
      <formula>$E81="*01월*"</formula>
    </cfRule>
  </conditionalFormatting>
  <printOptions horizontalCentered="1"/>
  <pageMargins left="0" right="0" top="0.72" bottom="0.23" header="0" footer="0"/>
  <pageSetup paperSize="9" scale="43" fitToHeight="0" orientation="portrait" r:id="rId1"/>
  <rowBreaks count="1" manualBreakCount="1">
    <brk id="62" max="9" man="1"/>
  </rowBreaks>
  <colBreaks count="1" manualBreakCount="1">
    <brk id="9" max="97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pageSetUpPr fitToPage="1"/>
  </sheetPr>
  <dimension ref="A2:Q96"/>
  <sheetViews>
    <sheetView view="pageBreakPreview" zoomScale="70" zoomScaleNormal="70" zoomScaleSheetLayoutView="70" workbookViewId="0">
      <pane xSplit="1" ySplit="11" topLeftCell="B66" activePane="bottomRight" state="frozen"/>
      <selection activeCell="I26" sqref="I26"/>
      <selection pane="topRight" activeCell="I26" sqref="I26"/>
      <selection pane="bottomLeft" activeCell="I26" sqref="I26"/>
      <selection pane="bottomRight" activeCell="H84" sqref="H84"/>
    </sheetView>
  </sheetViews>
  <sheetFormatPr defaultRowHeight="25.2"/>
  <cols>
    <col min="1" max="1" width="23.3984375" customWidth="1"/>
    <col min="2" max="2" width="22.8984375" customWidth="1"/>
    <col min="3" max="3" width="29.09765625" customWidth="1"/>
    <col min="4" max="4" width="29.09765625" hidden="1" customWidth="1"/>
    <col min="5" max="5" width="21" customWidth="1"/>
    <col min="6" max="6" width="18.69921875" customWidth="1"/>
    <col min="7" max="7" width="25.69921875" style="47" customWidth="1"/>
    <col min="8" max="8" width="26.5" customWidth="1"/>
    <col min="9" max="9" width="25.09765625" customWidth="1"/>
    <col min="10" max="10" width="29.19921875" customWidth="1"/>
    <col min="11" max="11" width="17.59765625" style="24" bestFit="1" customWidth="1"/>
    <col min="12" max="12" width="7.5" style="24" customWidth="1"/>
    <col min="13" max="16" width="17.09765625" style="434" customWidth="1"/>
    <col min="17" max="17" width="9" style="441"/>
  </cols>
  <sheetData>
    <row r="2" spans="1:17" ht="25.8" thickBot="1"/>
    <row r="3" spans="1:17" ht="21.75" customHeight="1" thickTop="1">
      <c r="L3" s="2058" t="s">
        <v>2041</v>
      </c>
      <c r="M3" s="2061" t="s">
        <v>2038</v>
      </c>
      <c r="N3" s="2063" t="s">
        <v>2038</v>
      </c>
      <c r="O3" s="2063" t="s">
        <v>2039</v>
      </c>
      <c r="P3" s="2065" t="s">
        <v>2040</v>
      </c>
    </row>
    <row r="4" spans="1:17" ht="19.5" customHeight="1">
      <c r="L4" s="2059"/>
      <c r="M4" s="2062"/>
      <c r="N4" s="2064"/>
      <c r="O4" s="2064"/>
      <c r="P4" s="2066"/>
    </row>
    <row r="5" spans="1:17" ht="19.5" customHeight="1">
      <c r="A5" s="2020" t="s">
        <v>1941</v>
      </c>
      <c r="B5" s="2020"/>
      <c r="C5" s="2020"/>
      <c r="D5" s="2020"/>
      <c r="E5" s="2020"/>
      <c r="F5" s="2020"/>
      <c r="G5" s="2020"/>
      <c r="H5" s="1"/>
      <c r="I5" s="1"/>
      <c r="J5" s="1"/>
      <c r="L5" s="2059"/>
      <c r="M5" s="2062"/>
      <c r="N5" s="2064"/>
      <c r="O5" s="2064"/>
      <c r="P5" s="2066"/>
    </row>
    <row r="6" spans="1:17" ht="19.5" customHeight="1">
      <c r="A6" s="2020"/>
      <c r="B6" s="2020"/>
      <c r="C6" s="2020"/>
      <c r="D6" s="2020"/>
      <c r="E6" s="2020"/>
      <c r="F6" s="2020"/>
      <c r="G6" s="2020"/>
      <c r="H6" s="1"/>
      <c r="I6" s="1"/>
      <c r="J6" s="1"/>
      <c r="L6" s="2059"/>
      <c r="M6" s="2062"/>
      <c r="N6" s="2064"/>
      <c r="O6" s="2064"/>
      <c r="P6" s="2066"/>
    </row>
    <row r="7" spans="1:17" ht="19.5" customHeight="1">
      <c r="A7" s="2020"/>
      <c r="B7" s="2020"/>
      <c r="C7" s="2020"/>
      <c r="D7" s="2020"/>
      <c r="E7" s="2020"/>
      <c r="F7" s="2020"/>
      <c r="G7" s="2020"/>
      <c r="H7" s="1"/>
      <c r="I7" s="1"/>
      <c r="J7" s="1"/>
      <c r="L7" s="2059"/>
      <c r="M7" s="2062"/>
      <c r="N7" s="2064"/>
      <c r="O7" s="2064"/>
      <c r="P7" s="2066"/>
    </row>
    <row r="8" spans="1:17" ht="19.5" customHeight="1">
      <c r="A8" s="2020"/>
      <c r="B8" s="2020"/>
      <c r="C8" s="2020"/>
      <c r="D8" s="2020"/>
      <c r="E8" s="2020"/>
      <c r="F8" s="2020"/>
      <c r="G8" s="2020"/>
      <c r="H8" s="2"/>
      <c r="I8" s="2"/>
      <c r="J8" s="2"/>
      <c r="L8" s="2059"/>
      <c r="M8" s="2062"/>
      <c r="N8" s="2064"/>
      <c r="O8" s="2064"/>
      <c r="P8" s="2066"/>
    </row>
    <row r="9" spans="1:17" ht="19.5" customHeight="1" thickBot="1">
      <c r="A9" s="2052"/>
      <c r="B9" s="2052"/>
      <c r="C9" s="2052"/>
      <c r="D9" s="2052"/>
      <c r="E9" s="2052"/>
      <c r="F9" s="2052"/>
      <c r="G9" s="2052"/>
      <c r="H9" s="2"/>
      <c r="I9" s="2"/>
      <c r="J9" s="2"/>
      <c r="L9" s="2060"/>
      <c r="M9" s="2067"/>
      <c r="N9" s="2068"/>
      <c r="O9" s="2068"/>
      <c r="P9" s="2069"/>
    </row>
    <row r="10" spans="1:17" ht="23.25" customHeight="1">
      <c r="A10" s="2021" t="s">
        <v>0</v>
      </c>
      <c r="B10" s="2023" t="s">
        <v>1</v>
      </c>
      <c r="C10" s="2024" t="s">
        <v>2</v>
      </c>
      <c r="D10" s="2024" t="s">
        <v>1222</v>
      </c>
      <c r="E10" s="2024" t="s">
        <v>3</v>
      </c>
      <c r="F10" s="2025" t="s">
        <v>4</v>
      </c>
      <c r="G10" s="2026" t="s">
        <v>5</v>
      </c>
      <c r="H10" s="2027"/>
      <c r="I10" s="2027"/>
      <c r="J10" s="2028"/>
    </row>
    <row r="11" spans="1:17" ht="23.25" customHeight="1">
      <c r="A11" s="2022"/>
      <c r="B11" s="2003"/>
      <c r="C11" s="2004"/>
      <c r="D11" s="2004"/>
      <c r="E11" s="2004"/>
      <c r="F11" s="2005"/>
      <c r="G11" s="82" t="s">
        <v>6</v>
      </c>
      <c r="H11" s="3" t="s">
        <v>7</v>
      </c>
      <c r="I11" s="3" t="s">
        <v>101</v>
      </c>
      <c r="J11" s="271" t="s">
        <v>8</v>
      </c>
    </row>
    <row r="12" spans="1:17" s="97" customFormat="1" ht="27" customHeight="1">
      <c r="A12" s="2010" t="s">
        <v>9</v>
      </c>
      <c r="B12" s="88" t="s">
        <v>1942</v>
      </c>
      <c r="C12" s="89" t="s">
        <v>1946</v>
      </c>
      <c r="D12" s="89"/>
      <c r="E12" s="90">
        <v>45612</v>
      </c>
      <c r="F12" s="91">
        <f>VLOOKUP(E12,환율!$A$1798:$B$2194,2,)</f>
        <v>1406.4</v>
      </c>
      <c r="G12" s="92">
        <v>406487.2</v>
      </c>
      <c r="H12" s="93">
        <f t="shared" ref="H12:H14" si="0">ROUNDDOWN(G12*F12,0)</f>
        <v>571683598</v>
      </c>
      <c r="I12" s="94" ph="1"/>
      <c r="J12" s="254"/>
      <c r="K12" s="364"/>
      <c r="L12" s="364"/>
      <c r="M12" s="434"/>
      <c r="N12" s="434"/>
      <c r="O12" s="434"/>
      <c r="P12" s="434"/>
      <c r="Q12" s="441"/>
    </row>
    <row r="13" spans="1:17" s="97" customFormat="1" ht="27" customHeight="1">
      <c r="A13" s="2011"/>
      <c r="B13" s="88" t="s">
        <v>1943</v>
      </c>
      <c r="C13" s="89" t="s">
        <v>1947</v>
      </c>
      <c r="D13" s="89"/>
      <c r="E13" s="90">
        <v>45619</v>
      </c>
      <c r="F13" s="91">
        <f>VLOOKUP(E13,환율!$A$1798:$B$2194,2,)</f>
        <v>1398.1</v>
      </c>
      <c r="G13" s="92">
        <v>423216.64000000001</v>
      </c>
      <c r="H13" s="93">
        <f t="shared" si="0"/>
        <v>591699184</v>
      </c>
      <c r="I13" s="363" ph="1"/>
      <c r="J13" s="254"/>
      <c r="K13" s="401"/>
      <c r="L13" s="401"/>
      <c r="M13" s="434"/>
      <c r="N13" s="434"/>
      <c r="O13" s="434"/>
      <c r="P13" s="434"/>
      <c r="Q13" s="441"/>
    </row>
    <row r="14" spans="1:17" s="97" customFormat="1" ht="27" customHeight="1">
      <c r="A14" s="2011"/>
      <c r="B14" s="99" t="s">
        <v>1944</v>
      </c>
      <c r="C14" s="100" t="s">
        <v>1948</v>
      </c>
      <c r="D14" s="100"/>
      <c r="E14" s="125">
        <v>45633</v>
      </c>
      <c r="F14" s="102">
        <f>VLOOKUP(E14,환율!$A$1798:$B$2194,2,)</f>
        <v>1414.9</v>
      </c>
      <c r="G14" s="103">
        <v>408724.72</v>
      </c>
      <c r="H14" s="104">
        <f t="shared" si="0"/>
        <v>578304606</v>
      </c>
      <c r="I14" s="353" ph="1"/>
      <c r="J14" s="272" t="s">
        <v>2229</v>
      </c>
      <c r="K14" s="401"/>
      <c r="L14" s="401"/>
      <c r="M14" s="434"/>
      <c r="N14" s="434"/>
      <c r="O14" s="434"/>
      <c r="P14" s="434"/>
      <c r="Q14" s="441"/>
    </row>
    <row r="15" spans="1:17" s="97" customFormat="1" ht="27" customHeight="1">
      <c r="A15" s="2035" t="s">
        <v>10</v>
      </c>
      <c r="B15" s="2036"/>
      <c r="C15" s="2036"/>
      <c r="D15" s="2036"/>
      <c r="E15" s="2036"/>
      <c r="F15" s="2037"/>
      <c r="G15" s="116">
        <f>SUM(G12:G14)</f>
        <v>1238428.56</v>
      </c>
      <c r="H15" s="116">
        <f>SUM(H12:H14)</f>
        <v>1741687388</v>
      </c>
      <c r="I15" s="116">
        <v>1676487618</v>
      </c>
      <c r="J15" s="260">
        <f>+H15-I15</f>
        <v>65199770</v>
      </c>
      <c r="K15" s="364"/>
      <c r="L15" s="364"/>
      <c r="M15" s="434"/>
      <c r="N15" s="434"/>
      <c r="O15" s="434"/>
      <c r="P15" s="434"/>
      <c r="Q15" s="441"/>
    </row>
    <row r="16" spans="1:17" s="97" customFormat="1" ht="27" customHeight="1">
      <c r="A16" s="2010" t="s">
        <v>2022</v>
      </c>
      <c r="B16" s="117" t="s">
        <v>1945</v>
      </c>
      <c r="C16" s="89" t="s">
        <v>1949</v>
      </c>
      <c r="D16" s="319"/>
      <c r="E16" s="136">
        <v>45607</v>
      </c>
      <c r="F16" s="91">
        <f>VLOOKUP(E16,환율!$A$1798:$B$2194,2,)</f>
        <v>1385.4</v>
      </c>
      <c r="G16" s="118">
        <v>25738.560000000001</v>
      </c>
      <c r="H16" s="93">
        <f t="shared" ref="H16" si="1">ROUNDDOWN(G16*F16,0)</f>
        <v>35658201</v>
      </c>
      <c r="I16" s="119"/>
      <c r="J16" s="254"/>
      <c r="K16" s="364"/>
      <c r="L16" s="364"/>
      <c r="M16" s="434"/>
      <c r="N16" s="434"/>
      <c r="O16" s="434"/>
      <c r="P16" s="434"/>
      <c r="Q16" s="441"/>
    </row>
    <row r="17" spans="1:17" s="120" customFormat="1" ht="27" customHeight="1">
      <c r="A17" s="2011"/>
      <c r="B17" s="117" t="s">
        <v>1950</v>
      </c>
      <c r="C17" s="89" t="s">
        <v>1951</v>
      </c>
      <c r="D17" s="319"/>
      <c r="E17" s="90">
        <v>45626</v>
      </c>
      <c r="F17" s="91">
        <f>VLOOKUP(E17,환율!$A$1798:$B$2194,2,)</f>
        <v>1394.7</v>
      </c>
      <c r="G17" s="118">
        <v>24116.400000000001</v>
      </c>
      <c r="H17" s="93">
        <f t="shared" ref="H17:H22" si="2">ROUNDDOWN(G17*F17,0)</f>
        <v>33635143</v>
      </c>
      <c r="I17" s="119"/>
      <c r="J17" s="254"/>
      <c r="K17" s="365"/>
      <c r="L17" s="365"/>
      <c r="M17" s="435"/>
      <c r="N17" s="435"/>
      <c r="O17" s="435"/>
      <c r="P17" s="435"/>
      <c r="Q17" s="442"/>
    </row>
    <row r="18" spans="1:17" s="120" customFormat="1" ht="27" customHeight="1">
      <c r="A18" s="2011"/>
      <c r="B18" s="226" t="s">
        <v>2029</v>
      </c>
      <c r="C18" s="107"/>
      <c r="D18" s="324"/>
      <c r="E18" s="108">
        <v>45613</v>
      </c>
      <c r="F18" s="109">
        <f>VLOOKUP(E18,환율!$A$1798:$B$2194,2,)</f>
        <v>1406.4</v>
      </c>
      <c r="G18" s="227">
        <v>6500</v>
      </c>
      <c r="H18" s="111">
        <f t="shared" si="2"/>
        <v>9141600</v>
      </c>
      <c r="I18" s="228"/>
      <c r="J18" s="273"/>
      <c r="K18" s="365"/>
      <c r="L18" s="365"/>
      <c r="M18" s="435"/>
      <c r="N18" s="435"/>
      <c r="O18" s="435"/>
      <c r="P18" s="435"/>
      <c r="Q18" s="442"/>
    </row>
    <row r="19" spans="1:17" s="120" customFormat="1" ht="27" customHeight="1">
      <c r="A19" s="2011"/>
      <c r="B19" s="226" t="s">
        <v>2030</v>
      </c>
      <c r="C19" s="107"/>
      <c r="D19" s="324"/>
      <c r="E19" s="108">
        <v>45613</v>
      </c>
      <c r="F19" s="109">
        <f>VLOOKUP(E19,환율!$A$1798:$B$2194,2,)</f>
        <v>1406.4</v>
      </c>
      <c r="G19" s="227">
        <v>17721.5</v>
      </c>
      <c r="H19" s="111">
        <f t="shared" si="2"/>
        <v>24923517</v>
      </c>
      <c r="I19" s="228"/>
      <c r="J19" s="273"/>
      <c r="K19" s="365"/>
      <c r="L19" s="365"/>
      <c r="M19" s="435"/>
      <c r="N19" s="435"/>
      <c r="O19" s="435"/>
      <c r="P19" s="435"/>
      <c r="Q19" s="442"/>
    </row>
    <row r="20" spans="1:17" s="120" customFormat="1" ht="27" customHeight="1">
      <c r="A20" s="2011"/>
      <c r="B20" s="121" t="s">
        <v>1952</v>
      </c>
      <c r="C20" s="100" t="s">
        <v>1953</v>
      </c>
      <c r="D20" s="320"/>
      <c r="E20" s="125">
        <v>45633</v>
      </c>
      <c r="F20" s="102">
        <f>VLOOKUP(E20,환율!$A$1798:$B$2194,2,)</f>
        <v>1414.9</v>
      </c>
      <c r="G20" s="122">
        <v>29721.599999999999</v>
      </c>
      <c r="H20" s="104">
        <f t="shared" si="2"/>
        <v>42053091</v>
      </c>
      <c r="I20" s="123"/>
      <c r="J20" s="272" t="s">
        <v>2229</v>
      </c>
      <c r="K20" s="365"/>
      <c r="L20" s="365"/>
      <c r="M20" s="435"/>
      <c r="N20" s="435"/>
      <c r="O20" s="435"/>
      <c r="P20" s="435"/>
      <c r="Q20" s="442"/>
    </row>
    <row r="21" spans="1:17" s="120" customFormat="1" ht="27" customHeight="1">
      <c r="A21" s="2011"/>
      <c r="B21" s="121" t="s">
        <v>1954</v>
      </c>
      <c r="C21" s="100" t="s">
        <v>1955</v>
      </c>
      <c r="D21" s="320"/>
      <c r="E21" s="125">
        <v>45633</v>
      </c>
      <c r="F21" s="102">
        <f>VLOOKUP(E21,환율!$A$1798:$B$2194,2,)</f>
        <v>1414.9</v>
      </c>
      <c r="G21" s="122">
        <v>251.75</v>
      </c>
      <c r="H21" s="104">
        <f t="shared" si="2"/>
        <v>356201</v>
      </c>
      <c r="I21" s="123"/>
      <c r="J21" s="272" t="s">
        <v>2229</v>
      </c>
      <c r="K21" s="365"/>
      <c r="L21" s="365"/>
      <c r="M21" s="435"/>
      <c r="N21" s="435"/>
      <c r="O21" s="435"/>
      <c r="P21" s="435"/>
      <c r="Q21" s="442"/>
    </row>
    <row r="22" spans="1:17" s="120" customFormat="1" ht="27" customHeight="1">
      <c r="A22" s="2019"/>
      <c r="B22" s="121" t="s">
        <v>2014</v>
      </c>
      <c r="C22" s="100" t="s">
        <v>2015</v>
      </c>
      <c r="D22" s="320"/>
      <c r="E22" s="125">
        <v>45636</v>
      </c>
      <c r="F22" s="102">
        <f>VLOOKUP(E22,환율!$A$1798:$B$2194,2,)</f>
        <v>1433.2</v>
      </c>
      <c r="G22" s="122">
        <v>24340.32</v>
      </c>
      <c r="H22" s="104">
        <f t="shared" si="2"/>
        <v>34884546</v>
      </c>
      <c r="I22" s="123"/>
      <c r="J22" s="272" t="s">
        <v>2229</v>
      </c>
      <c r="K22" s="365"/>
      <c r="L22" s="365"/>
      <c r="M22" s="435"/>
      <c r="N22" s="435"/>
      <c r="O22" s="435"/>
      <c r="P22" s="435"/>
      <c r="Q22" s="442"/>
    </row>
    <row r="23" spans="1:17" s="97" customFormat="1" ht="27" customHeight="1">
      <c r="A23" s="2035" t="s">
        <v>10</v>
      </c>
      <c r="B23" s="2036"/>
      <c r="C23" s="2036"/>
      <c r="D23" s="2036"/>
      <c r="E23" s="2036"/>
      <c r="F23" s="2037"/>
      <c r="G23" s="127">
        <f>SUM(G16:G22)</f>
        <v>128390.13</v>
      </c>
      <c r="H23" s="116">
        <f>SUM(H16:H22)</f>
        <v>180652299</v>
      </c>
      <c r="I23" s="116">
        <v>250756263</v>
      </c>
      <c r="J23" s="260">
        <f>+H23-I23</f>
        <v>-70103964</v>
      </c>
      <c r="K23" s="364"/>
      <c r="L23" s="364"/>
      <c r="M23" s="434"/>
      <c r="N23" s="434"/>
      <c r="O23" s="434"/>
      <c r="P23" s="434"/>
      <c r="Q23" s="441"/>
    </row>
    <row r="24" spans="1:17" s="126" customFormat="1" ht="27" customHeight="1">
      <c r="A24" s="2010" t="s">
        <v>114</v>
      </c>
      <c r="B24" s="313" t="s">
        <v>1956</v>
      </c>
      <c r="C24" s="129" t="s">
        <v>1957</v>
      </c>
      <c r="D24" s="129"/>
      <c r="E24" s="136">
        <v>45610</v>
      </c>
      <c r="F24" s="91">
        <f>VLOOKUP(E24,환율!$A$1798:$B$2194,2,)</f>
        <v>1407.3</v>
      </c>
      <c r="G24" s="389">
        <v>3225.6</v>
      </c>
      <c r="H24" s="93">
        <f t="shared" ref="H24:H37" si="3">ROUNDDOWN(G24*F24,0)</f>
        <v>4539386</v>
      </c>
      <c r="I24" s="135"/>
      <c r="J24" s="255"/>
      <c r="K24" s="364"/>
      <c r="L24" s="364"/>
      <c r="M24" s="436"/>
      <c r="N24" s="436"/>
      <c r="O24" s="436"/>
      <c r="P24" s="436"/>
      <c r="Q24" s="443"/>
    </row>
    <row r="25" spans="1:17" s="126" customFormat="1" ht="27" customHeight="1">
      <c r="A25" s="2011"/>
      <c r="B25" s="313" t="s">
        <v>1958</v>
      </c>
      <c r="C25" s="129" t="s">
        <v>1959</v>
      </c>
      <c r="D25" s="129"/>
      <c r="E25" s="136">
        <v>45617</v>
      </c>
      <c r="F25" s="91">
        <f>VLOOKUP(E25,환율!$A$1798:$B$2194,2,)</f>
        <v>1391.6</v>
      </c>
      <c r="G25" s="134">
        <v>1025</v>
      </c>
      <c r="H25" s="93">
        <f>ROUNDDOWN(G25*F25,0)</f>
        <v>1426390</v>
      </c>
      <c r="I25" s="135"/>
      <c r="J25" s="255"/>
      <c r="K25" s="364"/>
      <c r="L25" s="364"/>
      <c r="M25" s="436"/>
      <c r="N25" s="436"/>
      <c r="O25" s="436"/>
      <c r="P25" s="436"/>
      <c r="Q25" s="443"/>
    </row>
    <row r="26" spans="1:17" s="126" customFormat="1" ht="27" customHeight="1">
      <c r="A26" s="2011"/>
      <c r="B26" s="313" t="s">
        <v>1960</v>
      </c>
      <c r="C26" s="129" t="s">
        <v>1961</v>
      </c>
      <c r="D26" s="129"/>
      <c r="E26" s="136">
        <v>45617</v>
      </c>
      <c r="F26" s="91">
        <f>VLOOKUP(E26,환율!$A$1798:$B$2194,2,)</f>
        <v>1391.6</v>
      </c>
      <c r="G26" s="134">
        <v>5567.04</v>
      </c>
      <c r="H26" s="93">
        <f t="shared" ref="H26:H31" si="4">ROUNDDOWN(G26*F26,0)</f>
        <v>7747092</v>
      </c>
      <c r="I26" s="135"/>
      <c r="J26" s="255"/>
      <c r="K26" s="364"/>
      <c r="L26" s="364"/>
      <c r="M26" s="436"/>
      <c r="N26" s="436"/>
      <c r="O26" s="436"/>
      <c r="P26" s="436"/>
      <c r="Q26" s="443"/>
    </row>
    <row r="27" spans="1:17" s="126" customFormat="1" ht="27" customHeight="1">
      <c r="A27" s="2011"/>
      <c r="B27" s="313" t="s">
        <v>1962</v>
      </c>
      <c r="C27" s="129" t="s">
        <v>1963</v>
      </c>
      <c r="D27" s="129"/>
      <c r="E27" s="136">
        <v>45609</v>
      </c>
      <c r="F27" s="91">
        <f>VLOOKUP(E27,환율!$A$1798:$B$2194,2,)</f>
        <v>1401.1</v>
      </c>
      <c r="G27" s="134">
        <v>601.20000000000005</v>
      </c>
      <c r="H27" s="93">
        <f t="shared" si="4"/>
        <v>842341</v>
      </c>
      <c r="I27" s="135"/>
      <c r="J27" s="255"/>
      <c r="K27" s="364"/>
      <c r="L27" s="364"/>
      <c r="M27" s="436"/>
      <c r="N27" s="436"/>
      <c r="O27" s="436"/>
      <c r="P27" s="436"/>
      <c r="Q27" s="443"/>
    </row>
    <row r="28" spans="1:17" s="126" customFormat="1" ht="27" customHeight="1">
      <c r="A28" s="2011"/>
      <c r="B28" s="313" t="s">
        <v>1964</v>
      </c>
      <c r="C28" s="129" t="s">
        <v>1965</v>
      </c>
      <c r="D28" s="129"/>
      <c r="E28" s="136">
        <v>45624</v>
      </c>
      <c r="F28" s="91">
        <f>VLOOKUP(E28,환율!$A$1798:$B$2194,2,)</f>
        <v>1396.8</v>
      </c>
      <c r="G28" s="134">
        <v>9066.9599999999991</v>
      </c>
      <c r="H28" s="93">
        <f t="shared" si="4"/>
        <v>12664729</v>
      </c>
      <c r="I28" s="135"/>
      <c r="J28" s="255"/>
      <c r="K28" s="364"/>
      <c r="L28" s="364"/>
      <c r="M28" s="436"/>
      <c r="N28" s="436"/>
      <c r="O28" s="436"/>
      <c r="P28" s="436"/>
      <c r="Q28" s="443"/>
    </row>
    <row r="29" spans="1:17" s="126" customFormat="1" ht="27" customHeight="1">
      <c r="A29" s="2011"/>
      <c r="B29" s="313" t="s">
        <v>1966</v>
      </c>
      <c r="C29" s="129" t="s">
        <v>1967</v>
      </c>
      <c r="D29" s="129"/>
      <c r="E29" s="136">
        <v>45609</v>
      </c>
      <c r="F29" s="91">
        <f>VLOOKUP(E29,환율!$A$1798:$B$2194,2,)</f>
        <v>1401.1</v>
      </c>
      <c r="G29" s="134">
        <v>290.60000000000002</v>
      </c>
      <c r="H29" s="93">
        <f t="shared" si="4"/>
        <v>407159</v>
      </c>
      <c r="I29" s="135"/>
      <c r="J29" s="255"/>
      <c r="K29" s="364"/>
      <c r="L29" s="364"/>
      <c r="M29" s="436"/>
      <c r="N29" s="436"/>
      <c r="O29" s="436"/>
      <c r="P29" s="436"/>
      <c r="Q29" s="443"/>
    </row>
    <row r="30" spans="1:17" s="126" customFormat="1" ht="27" customHeight="1">
      <c r="A30" s="2011"/>
      <c r="B30" s="313" t="s">
        <v>1970</v>
      </c>
      <c r="C30" s="129" t="s">
        <v>1971</v>
      </c>
      <c r="D30" s="129"/>
      <c r="E30" s="136">
        <v>45609</v>
      </c>
      <c r="F30" s="91">
        <f>VLOOKUP(E30,환율!$A$1798:$B$2194,2,)</f>
        <v>1401.1</v>
      </c>
      <c r="G30" s="134">
        <v>683.76</v>
      </c>
      <c r="H30" s="93">
        <f t="shared" si="4"/>
        <v>958016</v>
      </c>
      <c r="I30" s="135"/>
      <c r="J30" s="255"/>
      <c r="K30" s="364"/>
      <c r="L30" s="364"/>
      <c r="M30" s="436"/>
      <c r="N30" s="436"/>
      <c r="O30" s="436"/>
      <c r="P30" s="436"/>
      <c r="Q30" s="443"/>
    </row>
    <row r="31" spans="1:17" s="126" customFormat="1" ht="27" customHeight="1">
      <c r="A31" s="2011"/>
      <c r="B31" s="313" t="s">
        <v>1972</v>
      </c>
      <c r="C31" s="129" t="s">
        <v>1973</v>
      </c>
      <c r="D31" s="129"/>
      <c r="E31" s="136">
        <v>45626</v>
      </c>
      <c r="F31" s="91">
        <f>VLOOKUP(E31,환율!$A$1798:$B$2194,2,)</f>
        <v>1394.7</v>
      </c>
      <c r="G31" s="134">
        <v>59419.5</v>
      </c>
      <c r="H31" s="93">
        <f t="shared" si="4"/>
        <v>82872376</v>
      </c>
      <c r="I31" s="135"/>
      <c r="J31" s="255"/>
      <c r="K31" s="364"/>
      <c r="L31" s="364"/>
      <c r="M31" s="436"/>
      <c r="N31" s="436"/>
      <c r="O31" s="436"/>
      <c r="P31" s="436"/>
      <c r="Q31" s="443"/>
    </row>
    <row r="32" spans="1:17" s="126" customFormat="1" ht="27" customHeight="1">
      <c r="A32" s="2011"/>
      <c r="B32" s="330" t="s">
        <v>1968</v>
      </c>
      <c r="C32" s="137" t="s">
        <v>1969</v>
      </c>
      <c r="D32" s="137"/>
      <c r="E32" s="125">
        <v>45628</v>
      </c>
      <c r="F32" s="102">
        <f>VLOOKUP(E32,환율!$A$1798:$B$2194,2,)</f>
        <v>1395.1</v>
      </c>
      <c r="G32" s="138">
        <v>54913.04</v>
      </c>
      <c r="H32" s="104">
        <f>ROUNDDOWN(G32*F32,0)</f>
        <v>76609182</v>
      </c>
      <c r="I32" s="139"/>
      <c r="J32" s="258" t="s">
        <v>2229</v>
      </c>
      <c r="K32" s="364"/>
      <c r="L32" s="364"/>
      <c r="M32" s="436"/>
      <c r="N32" s="436"/>
      <c r="O32" s="436"/>
      <c r="P32" s="436"/>
      <c r="Q32" s="443"/>
    </row>
    <row r="33" spans="1:17" s="126" customFormat="1" ht="27" customHeight="1">
      <c r="A33" s="2011"/>
      <c r="B33" s="330" t="s">
        <v>1974</v>
      </c>
      <c r="C33" s="137" t="s">
        <v>1975</v>
      </c>
      <c r="D33" s="137"/>
      <c r="E33" s="101">
        <v>45631</v>
      </c>
      <c r="F33" s="102">
        <f>VLOOKUP(E33,환율!$A$1798:$B$2194,2,)</f>
        <v>1413</v>
      </c>
      <c r="G33" s="138">
        <v>11837</v>
      </c>
      <c r="H33" s="104">
        <f t="shared" si="3"/>
        <v>16725681</v>
      </c>
      <c r="I33" s="139"/>
      <c r="J33" s="258" t="s">
        <v>2229</v>
      </c>
      <c r="K33" s="364"/>
      <c r="L33" s="364"/>
      <c r="M33" s="436"/>
      <c r="N33" s="436"/>
      <c r="O33" s="436"/>
      <c r="P33" s="436"/>
      <c r="Q33" s="443"/>
    </row>
    <row r="34" spans="1:17" s="126" customFormat="1" ht="27" customHeight="1">
      <c r="A34" s="2011"/>
      <c r="B34" s="330" t="s">
        <v>1976</v>
      </c>
      <c r="C34" s="137" t="s">
        <v>2037</v>
      </c>
      <c r="D34" s="137"/>
      <c r="E34" s="101">
        <v>45637</v>
      </c>
      <c r="F34" s="102">
        <f>VLOOKUP(E34,환율!$A$1798:$B$2194,2,)</f>
        <v>1428.1</v>
      </c>
      <c r="G34" s="138">
        <v>76258</v>
      </c>
      <c r="H34" s="104">
        <f t="shared" si="3"/>
        <v>108904049</v>
      </c>
      <c r="I34" s="139"/>
      <c r="J34" s="258" t="s">
        <v>2229</v>
      </c>
      <c r="K34" s="364"/>
      <c r="L34" s="364"/>
      <c r="M34" s="436"/>
      <c r="N34" s="436"/>
      <c r="O34" s="436"/>
      <c r="P34" s="436"/>
      <c r="Q34" s="443"/>
    </row>
    <row r="35" spans="1:17" s="97" customFormat="1" ht="27" customHeight="1">
      <c r="A35" s="2035" t="s">
        <v>10</v>
      </c>
      <c r="B35" s="2036"/>
      <c r="C35" s="2036"/>
      <c r="D35" s="2036"/>
      <c r="E35" s="2036"/>
      <c r="F35" s="2037"/>
      <c r="G35" s="127">
        <f>SUM(G24:G34)</f>
        <v>222887.7</v>
      </c>
      <c r="H35" s="116">
        <f>SUM(H24:H34)</f>
        <v>313696401</v>
      </c>
      <c r="I35" s="116">
        <v>158334866</v>
      </c>
      <c r="J35" s="260">
        <f>+H35-I35</f>
        <v>155361535</v>
      </c>
      <c r="K35" s="364"/>
      <c r="L35" s="364"/>
      <c r="M35" s="434"/>
      <c r="N35" s="434"/>
      <c r="O35" s="434"/>
      <c r="P35" s="434"/>
      <c r="Q35" s="441"/>
    </row>
    <row r="36" spans="1:17" s="97" customFormat="1" ht="27" customHeight="1">
      <c r="A36" s="2010" t="s">
        <v>1892</v>
      </c>
      <c r="B36" s="313" t="s">
        <v>2016</v>
      </c>
      <c r="C36" s="142" t="s">
        <v>2017</v>
      </c>
      <c r="D36" s="90"/>
      <c r="E36" s="146">
        <v>45610</v>
      </c>
      <c r="F36" s="91">
        <f>VLOOKUP(E36,환율!$A$1798:$B$2194,2,)</f>
        <v>1407.3</v>
      </c>
      <c r="G36" s="92">
        <v>122047.96</v>
      </c>
      <c r="H36" s="93">
        <f t="shared" si="3"/>
        <v>171758094</v>
      </c>
      <c r="I36" s="142"/>
      <c r="J36" s="321"/>
      <c r="K36" s="364"/>
      <c r="L36" s="364"/>
      <c r="M36" s="434"/>
      <c r="N36" s="434"/>
      <c r="O36" s="434"/>
      <c r="P36" s="434"/>
      <c r="Q36" s="441"/>
    </row>
    <row r="37" spans="1:17" s="97" customFormat="1" ht="27" customHeight="1">
      <c r="A37" s="2019"/>
      <c r="B37" s="330" t="s">
        <v>2018</v>
      </c>
      <c r="C37" s="224" t="s">
        <v>2057</v>
      </c>
      <c r="D37" s="101"/>
      <c r="E37" s="169">
        <v>45634</v>
      </c>
      <c r="F37" s="102">
        <f>VLOOKUP(E37,환율!$A$1798:$B$2194,2,)</f>
        <v>1414.9</v>
      </c>
      <c r="G37" s="103">
        <v>124453.92</v>
      </c>
      <c r="H37" s="104">
        <f t="shared" si="3"/>
        <v>176089851</v>
      </c>
      <c r="I37" s="224"/>
      <c r="J37" s="275" t="s">
        <v>2229</v>
      </c>
      <c r="K37" s="364"/>
      <c r="L37" s="364"/>
      <c r="M37" s="434"/>
      <c r="N37" s="434"/>
      <c r="O37" s="434"/>
      <c r="P37" s="434"/>
      <c r="Q37" s="441"/>
    </row>
    <row r="38" spans="1:17" s="97" customFormat="1" ht="27" customHeight="1">
      <c r="A38" s="2035" t="s">
        <v>10</v>
      </c>
      <c r="B38" s="2036"/>
      <c r="C38" s="2036"/>
      <c r="D38" s="2036"/>
      <c r="E38" s="2036"/>
      <c r="F38" s="2037"/>
      <c r="G38" s="127">
        <f>SUM(G36:G37)</f>
        <v>246501.88</v>
      </c>
      <c r="H38" s="116">
        <f>SUM(H36:H37)</f>
        <v>347847945</v>
      </c>
      <c r="I38" s="116">
        <v>174015330</v>
      </c>
      <c r="J38" s="260">
        <f>+H38-I38</f>
        <v>173832615</v>
      </c>
      <c r="K38" s="364"/>
      <c r="L38" s="364"/>
      <c r="M38" s="434"/>
      <c r="N38" s="434"/>
      <c r="O38" s="434"/>
      <c r="P38" s="434"/>
      <c r="Q38" s="441"/>
    </row>
    <row r="39" spans="1:17" s="97" customFormat="1" ht="27" customHeight="1">
      <c r="A39" s="2010" t="s">
        <v>35</v>
      </c>
      <c r="B39" s="173" t="s">
        <v>1765</v>
      </c>
      <c r="C39" s="173" t="s">
        <v>1781</v>
      </c>
      <c r="D39" s="288"/>
      <c r="E39" s="90">
        <v>45597</v>
      </c>
      <c r="F39" s="91">
        <f>VLOOKUP(E39,환율!$A$1798:$B$2194,2,)</f>
        <v>1379.3</v>
      </c>
      <c r="G39" s="92">
        <f>H39/F39</f>
        <v>31942.414268107012</v>
      </c>
      <c r="H39" s="93">
        <v>44058172</v>
      </c>
      <c r="I39" s="142"/>
      <c r="J39" s="329"/>
      <c r="K39" s="364"/>
      <c r="L39" s="364"/>
      <c r="M39" s="434"/>
      <c r="N39" s="434"/>
      <c r="O39" s="434"/>
      <c r="P39" s="434"/>
      <c r="Q39" s="441"/>
    </row>
    <row r="40" spans="1:17" s="97" customFormat="1" ht="27" customHeight="1">
      <c r="A40" s="2011"/>
      <c r="B40" s="152" t="s">
        <v>2019</v>
      </c>
      <c r="C40" s="152" t="s">
        <v>2058</v>
      </c>
      <c r="D40" s="322"/>
      <c r="E40" s="125">
        <v>45639</v>
      </c>
      <c r="F40" s="102">
        <f>VLOOKUP(E40,환율!$A$1798:$B$2194,2,)</f>
        <v>1431.5</v>
      </c>
      <c r="G40" s="103">
        <f>H40/F40</f>
        <v>29250.185120502971</v>
      </c>
      <c r="H40" s="104">
        <v>41871640</v>
      </c>
      <c r="I40" s="224"/>
      <c r="J40" s="276"/>
      <c r="K40" s="364"/>
      <c r="L40" s="364"/>
      <c r="M40" s="434"/>
      <c r="N40" s="434"/>
      <c r="O40" s="434"/>
      <c r="P40" s="434"/>
      <c r="Q40" s="441"/>
    </row>
    <row r="41" spans="1:17" s="97" customFormat="1" ht="27" customHeight="1">
      <c r="A41" s="2019"/>
      <c r="B41" s="152" t="s">
        <v>2020</v>
      </c>
      <c r="C41" s="152" t="s">
        <v>2059</v>
      </c>
      <c r="D41" s="322"/>
      <c r="E41" s="125">
        <v>45652</v>
      </c>
      <c r="F41" s="102">
        <f>VLOOKUP(E41,환율!$A$1798:$B$2194,2,)</f>
        <v>1453.6</v>
      </c>
      <c r="G41" s="103">
        <f>H41/F41</f>
        <v>14310.090809025867</v>
      </c>
      <c r="H41" s="104">
        <v>20801148</v>
      </c>
      <c r="I41" s="224"/>
      <c r="J41" s="276"/>
      <c r="K41" s="364"/>
      <c r="L41" s="364"/>
      <c r="M41" s="434"/>
      <c r="N41" s="434"/>
      <c r="O41" s="434"/>
      <c r="P41" s="434"/>
      <c r="Q41" s="441"/>
    </row>
    <row r="42" spans="1:17" s="97" customFormat="1" ht="27" customHeight="1">
      <c r="A42" s="2035" t="s">
        <v>10</v>
      </c>
      <c r="B42" s="2036"/>
      <c r="C42" s="2036"/>
      <c r="D42" s="2036"/>
      <c r="E42" s="2036"/>
      <c r="F42" s="2037"/>
      <c r="G42" s="116">
        <f>SUM(G39:G41)</f>
        <v>75502.690197635849</v>
      </c>
      <c r="H42" s="116">
        <f>SUM(H39:H41)</f>
        <v>106730960</v>
      </c>
      <c r="I42" s="116">
        <v>46027776</v>
      </c>
      <c r="J42" s="260">
        <f>+H42-I42</f>
        <v>60703184</v>
      </c>
      <c r="K42" s="364"/>
      <c r="L42" s="364"/>
      <c r="M42" s="434"/>
      <c r="N42" s="434"/>
      <c r="O42" s="434"/>
      <c r="P42" s="434"/>
      <c r="Q42" s="441"/>
    </row>
    <row r="43" spans="1:17" s="97" customFormat="1" ht="27" customHeight="1">
      <c r="A43" s="261" t="s">
        <v>47</v>
      </c>
      <c r="B43" s="88" t="s">
        <v>1977</v>
      </c>
      <c r="C43" s="155" t="s">
        <v>1978</v>
      </c>
      <c r="D43" s="146"/>
      <c r="E43" s="146">
        <v>45626</v>
      </c>
      <c r="F43" s="91">
        <f>VLOOKUP(E43,환율!$A$1798:$B$2194,2,)</f>
        <v>1394.7</v>
      </c>
      <c r="G43" s="118">
        <v>39476</v>
      </c>
      <c r="H43" s="93">
        <f t="shared" ref="H43" si="5">ROUNDDOWN(G43*F43,0)</f>
        <v>55057177</v>
      </c>
      <c r="I43" s="156"/>
      <c r="J43" s="263"/>
      <c r="K43" s="364"/>
      <c r="L43" s="364"/>
      <c r="M43" s="434"/>
      <c r="N43" s="434"/>
      <c r="O43" s="434"/>
      <c r="P43" s="434"/>
      <c r="Q43" s="441"/>
    </row>
    <row r="44" spans="1:17" s="97" customFormat="1" ht="27" customHeight="1">
      <c r="A44" s="2035" t="s">
        <v>10</v>
      </c>
      <c r="B44" s="2036"/>
      <c r="C44" s="2036"/>
      <c r="D44" s="2036"/>
      <c r="E44" s="2036"/>
      <c r="F44" s="2037"/>
      <c r="G44" s="127">
        <f>SUM(G43:G43)</f>
        <v>39476</v>
      </c>
      <c r="H44" s="116">
        <f>SUM(H43:H43)</f>
        <v>55057177</v>
      </c>
      <c r="I44" s="116">
        <v>108634004</v>
      </c>
      <c r="J44" s="260">
        <f>+H44-I44</f>
        <v>-53576827</v>
      </c>
      <c r="K44" s="364"/>
      <c r="L44" s="364"/>
      <c r="M44" s="434"/>
      <c r="N44" s="434"/>
      <c r="O44" s="434"/>
      <c r="P44" s="434"/>
      <c r="Q44" s="441"/>
    </row>
    <row r="45" spans="1:17" s="97" customFormat="1" ht="27" hidden="1" customHeight="1">
      <c r="A45" s="399" t="s">
        <v>34</v>
      </c>
      <c r="B45" s="88"/>
      <c r="C45" s="155"/>
      <c r="D45" s="146"/>
      <c r="E45" s="146"/>
      <c r="F45" s="91">
        <v>0</v>
      </c>
      <c r="G45" s="118"/>
      <c r="H45" s="93">
        <f t="shared" ref="H45" si="6">ROUNDDOWN(G45*F45,0)</f>
        <v>0</v>
      </c>
      <c r="I45" s="156"/>
      <c r="J45" s="263"/>
      <c r="K45" s="401"/>
      <c r="L45" s="401"/>
      <c r="M45" s="434"/>
      <c r="N45" s="434"/>
      <c r="O45" s="434"/>
      <c r="P45" s="434"/>
      <c r="Q45" s="441"/>
    </row>
    <row r="46" spans="1:17" s="97" customFormat="1" ht="27" hidden="1" customHeight="1">
      <c r="A46" s="2054" t="s">
        <v>10</v>
      </c>
      <c r="B46" s="2055"/>
      <c r="C46" s="2055"/>
      <c r="D46" s="2055"/>
      <c r="E46" s="2055"/>
      <c r="F46" s="2056"/>
      <c r="G46" s="159">
        <f>SUM(G45:G45)</f>
        <v>0</v>
      </c>
      <c r="H46" s="160">
        <f>SUM(H45:H45)</f>
        <v>0</v>
      </c>
      <c r="I46" s="160">
        <f>SUM(I45:I45)</f>
        <v>0</v>
      </c>
      <c r="J46" s="264">
        <f>+H46-I46</f>
        <v>0</v>
      </c>
      <c r="K46" s="364"/>
      <c r="L46" s="364"/>
      <c r="M46" s="434"/>
      <c r="N46" s="434"/>
      <c r="O46" s="434"/>
      <c r="P46" s="434"/>
      <c r="Q46" s="441"/>
    </row>
    <row r="47" spans="1:17" s="97" customFormat="1" ht="27" customHeight="1">
      <c r="A47" s="2010" t="s">
        <v>14</v>
      </c>
      <c r="B47" s="429" t="s">
        <v>1979</v>
      </c>
      <c r="C47" s="89" t="s">
        <v>1980</v>
      </c>
      <c r="D47" s="89"/>
      <c r="E47" s="89">
        <v>45605</v>
      </c>
      <c r="F47" s="91">
        <f>VLOOKUP(E47,환율!$A$1798:$B$2194,2,)</f>
        <v>1399.1</v>
      </c>
      <c r="G47" s="92">
        <v>1448.39</v>
      </c>
      <c r="H47" s="93">
        <f t="shared" ref="H47:H62" si="7">ROUNDDOWN(G47*F47,0)</f>
        <v>2026442</v>
      </c>
      <c r="I47" s="165"/>
      <c r="J47" s="254"/>
      <c r="K47" s="364"/>
      <c r="L47" s="364"/>
      <c r="M47" s="434"/>
      <c r="N47" s="434"/>
      <c r="O47" s="434"/>
      <c r="P47" s="434"/>
      <c r="Q47" s="441"/>
    </row>
    <row r="48" spans="1:17" s="97" customFormat="1" ht="27" customHeight="1">
      <c r="A48" s="2011"/>
      <c r="B48" s="429" t="s">
        <v>1981</v>
      </c>
      <c r="C48" s="129" t="s">
        <v>1982</v>
      </c>
      <c r="D48" s="129"/>
      <c r="E48" s="90">
        <v>45603</v>
      </c>
      <c r="F48" s="91">
        <f>VLOOKUP(E48,환율!$A$1798:$B$2194,2,)</f>
        <v>1391.5</v>
      </c>
      <c r="G48" s="92">
        <v>1522.46</v>
      </c>
      <c r="H48" s="93">
        <f t="shared" si="7"/>
        <v>2118503</v>
      </c>
      <c r="I48" s="165"/>
      <c r="J48" s="254"/>
      <c r="M48" s="434"/>
      <c r="N48" s="434"/>
      <c r="O48" s="434"/>
      <c r="P48" s="434"/>
      <c r="Q48" s="441"/>
    </row>
    <row r="49" spans="1:17" s="97" customFormat="1" ht="27" customHeight="1">
      <c r="A49" s="2011"/>
      <c r="B49" s="429" t="s">
        <v>1983</v>
      </c>
      <c r="C49" s="146" t="s">
        <v>1984</v>
      </c>
      <c r="D49" s="146"/>
      <c r="E49" s="90">
        <v>45610</v>
      </c>
      <c r="F49" s="91">
        <f>VLOOKUP(E49,환율!$A$1798:$B$2194,2,)</f>
        <v>1407.3</v>
      </c>
      <c r="G49" s="118">
        <v>1277.31</v>
      </c>
      <c r="H49" s="93">
        <f t="shared" si="7"/>
        <v>1797558</v>
      </c>
      <c r="I49" s="147"/>
      <c r="J49" s="255"/>
      <c r="K49" s="364"/>
      <c r="L49" s="364"/>
      <c r="M49" s="434"/>
      <c r="N49" s="434"/>
      <c r="O49" s="434"/>
      <c r="P49" s="434"/>
      <c r="Q49" s="441"/>
    </row>
    <row r="50" spans="1:17" s="97" customFormat="1" ht="27" customHeight="1">
      <c r="A50" s="2011"/>
      <c r="B50" s="429" t="s">
        <v>1987</v>
      </c>
      <c r="C50" s="146" t="s">
        <v>1988</v>
      </c>
      <c r="D50" s="146"/>
      <c r="E50" s="90">
        <v>45608</v>
      </c>
      <c r="F50" s="91">
        <f>VLOOKUP(E50,환율!$A$1798:$B$2194,2,)</f>
        <v>1395.3</v>
      </c>
      <c r="G50" s="92">
        <v>301.26</v>
      </c>
      <c r="H50" s="93">
        <f t="shared" si="7"/>
        <v>420348</v>
      </c>
      <c r="I50" s="168"/>
      <c r="J50" s="256"/>
      <c r="K50" s="364"/>
      <c r="L50" s="364"/>
      <c r="M50" s="434"/>
      <c r="N50" s="434"/>
      <c r="O50" s="434"/>
      <c r="P50" s="434"/>
      <c r="Q50" s="441"/>
    </row>
    <row r="51" spans="1:17" s="97" customFormat="1" ht="27" customHeight="1">
      <c r="A51" s="2011"/>
      <c r="B51" s="429" t="s">
        <v>1989</v>
      </c>
      <c r="C51" s="146" t="s">
        <v>1990</v>
      </c>
      <c r="D51" s="146"/>
      <c r="E51" s="90">
        <v>45610</v>
      </c>
      <c r="F51" s="91">
        <f>VLOOKUP(E51,환율!$A$1798:$B$2194,2,)</f>
        <v>1407.3</v>
      </c>
      <c r="G51" s="92">
        <v>1037.28</v>
      </c>
      <c r="H51" s="93">
        <f t="shared" si="7"/>
        <v>1459764</v>
      </c>
      <c r="I51" s="168"/>
      <c r="J51" s="256"/>
      <c r="K51" s="364"/>
      <c r="L51" s="364"/>
      <c r="M51" s="434"/>
      <c r="N51" s="434"/>
      <c r="O51" s="434"/>
      <c r="P51" s="434"/>
      <c r="Q51" s="441"/>
    </row>
    <row r="52" spans="1:17" s="97" customFormat="1" ht="27" customHeight="1">
      <c r="A52" s="2011"/>
      <c r="B52" s="429" t="s">
        <v>1991</v>
      </c>
      <c r="C52" s="146" t="s">
        <v>1992</v>
      </c>
      <c r="D52" s="146"/>
      <c r="E52" s="90">
        <v>45625</v>
      </c>
      <c r="F52" s="91">
        <f>VLOOKUP(E52,환율!$A$1798:$B$2194,2,)</f>
        <v>1394.7</v>
      </c>
      <c r="G52" s="92">
        <v>844.17</v>
      </c>
      <c r="H52" s="93">
        <f>ROUNDDOWN(G52*F52,0)</f>
        <v>1177363</v>
      </c>
      <c r="I52" s="168"/>
      <c r="J52" s="256"/>
      <c r="K52" s="364"/>
      <c r="L52" s="364"/>
      <c r="M52" s="434"/>
      <c r="N52" s="434"/>
      <c r="O52" s="434"/>
      <c r="P52" s="434"/>
      <c r="Q52" s="441"/>
    </row>
    <row r="53" spans="1:17" s="97" customFormat="1" ht="27" customHeight="1">
      <c r="A53" s="2011"/>
      <c r="B53" s="429" t="s">
        <v>1993</v>
      </c>
      <c r="C53" s="146" t="s">
        <v>1994</v>
      </c>
      <c r="D53" s="146"/>
      <c r="E53" s="136">
        <v>45615</v>
      </c>
      <c r="F53" s="91">
        <f>VLOOKUP(E53,환율!$A$1798:$B$2194,2,)</f>
        <v>1392.6</v>
      </c>
      <c r="G53" s="92">
        <v>3984</v>
      </c>
      <c r="H53" s="93">
        <f t="shared" ref="H53:H58" si="8">ROUNDDOWN(G53*F53,0)</f>
        <v>5548118</v>
      </c>
      <c r="I53" s="168"/>
      <c r="J53" s="256"/>
      <c r="K53" s="364"/>
      <c r="L53" s="364"/>
      <c r="M53" s="434"/>
      <c r="N53" s="434"/>
      <c r="O53" s="434"/>
      <c r="P53" s="434"/>
      <c r="Q53" s="441"/>
    </row>
    <row r="54" spans="1:17" s="97" customFormat="1" ht="27" customHeight="1">
      <c r="A54" s="2011"/>
      <c r="B54" s="429" t="s">
        <v>1999</v>
      </c>
      <c r="C54" s="146" t="s">
        <v>2000</v>
      </c>
      <c r="D54" s="146"/>
      <c r="E54" s="136">
        <v>45623</v>
      </c>
      <c r="F54" s="91">
        <f>VLOOKUP(E54,환율!$A$1798:$B$2194,2,)</f>
        <v>1401.2</v>
      </c>
      <c r="G54" s="92">
        <v>3422.03</v>
      </c>
      <c r="H54" s="93">
        <f>ROUNDDOWN(G54*F54,0)</f>
        <v>4794948</v>
      </c>
      <c r="I54" s="168"/>
      <c r="J54" s="419"/>
      <c r="K54" s="364"/>
      <c r="L54" s="364"/>
      <c r="M54" s="434"/>
      <c r="N54" s="434"/>
      <c r="O54" s="434"/>
      <c r="P54" s="434"/>
      <c r="Q54" s="441"/>
    </row>
    <row r="55" spans="1:17" s="97" customFormat="1" ht="27" customHeight="1">
      <c r="A55" s="2011"/>
      <c r="B55" s="429" t="s">
        <v>2046</v>
      </c>
      <c r="C55" s="136" t="s">
        <v>2047</v>
      </c>
      <c r="D55" s="136"/>
      <c r="E55" s="136">
        <v>45597</v>
      </c>
      <c r="F55" s="91">
        <f>VLOOKUP(E55,환율!$A$1798:$B$2194,2,)</f>
        <v>1379.3</v>
      </c>
      <c r="G55" s="92">
        <v>2497.9299999999998</v>
      </c>
      <c r="H55" s="93">
        <f>ROUNDDOWN(G55*F55,0)</f>
        <v>3445394</v>
      </c>
      <c r="I55" s="168"/>
      <c r="J55" s="419"/>
      <c r="K55" s="364"/>
      <c r="L55" s="364"/>
      <c r="M55" s="434"/>
      <c r="N55" s="434"/>
      <c r="O55" s="434"/>
      <c r="P55" s="434"/>
      <c r="Q55" s="441"/>
    </row>
    <row r="56" spans="1:17" s="97" customFormat="1" ht="27" customHeight="1">
      <c r="A56" s="2011"/>
      <c r="B56" s="432" t="s">
        <v>1985</v>
      </c>
      <c r="C56" s="125" t="s">
        <v>1986</v>
      </c>
      <c r="D56" s="125"/>
      <c r="E56" s="125">
        <v>45635</v>
      </c>
      <c r="F56" s="102">
        <f>VLOOKUP(E56,환율!$A$1798:$B$2194,2,)</f>
        <v>1419.4</v>
      </c>
      <c r="G56" s="103">
        <v>37501</v>
      </c>
      <c r="H56" s="104">
        <f>ROUNDDOWN(G56*F56,0)</f>
        <v>53228919</v>
      </c>
      <c r="I56" s="171"/>
      <c r="J56" s="257" t="s">
        <v>2229</v>
      </c>
      <c r="K56" s="364"/>
      <c r="L56" s="364"/>
      <c r="M56" s="434"/>
      <c r="N56" s="434"/>
      <c r="O56" s="434"/>
      <c r="P56" s="434"/>
      <c r="Q56" s="441"/>
    </row>
    <row r="57" spans="1:17" s="97" customFormat="1" ht="27" customHeight="1">
      <c r="A57" s="2011"/>
      <c r="B57" s="432" t="s">
        <v>1995</v>
      </c>
      <c r="C57" s="169" t="s">
        <v>1996</v>
      </c>
      <c r="D57" s="169"/>
      <c r="E57" s="125">
        <v>45635</v>
      </c>
      <c r="F57" s="102">
        <f>VLOOKUP(E57,환율!$A$1798:$B$2194,2,)</f>
        <v>1419.4</v>
      </c>
      <c r="G57" s="103">
        <v>27047.5</v>
      </c>
      <c r="H57" s="104">
        <f t="shared" si="8"/>
        <v>38391221</v>
      </c>
      <c r="I57" s="170"/>
      <c r="J57" s="257" t="s">
        <v>2229</v>
      </c>
      <c r="K57" s="364"/>
      <c r="L57" s="364"/>
      <c r="M57" s="434"/>
      <c r="N57" s="434"/>
      <c r="O57" s="434"/>
      <c r="P57" s="434"/>
      <c r="Q57" s="441"/>
    </row>
    <row r="58" spans="1:17" s="97" customFormat="1" ht="27" customHeight="1">
      <c r="A58" s="2011"/>
      <c r="B58" s="432" t="s">
        <v>1997</v>
      </c>
      <c r="C58" s="169" t="s">
        <v>1998</v>
      </c>
      <c r="D58" s="169"/>
      <c r="E58" s="101">
        <v>45629</v>
      </c>
      <c r="F58" s="102">
        <f>VLOOKUP(E58,환율!$A$1798:$B$2194,2,)</f>
        <v>1402</v>
      </c>
      <c r="G58" s="103">
        <v>18849.75</v>
      </c>
      <c r="H58" s="104">
        <f t="shared" si="8"/>
        <v>26427349</v>
      </c>
      <c r="I58" s="170"/>
      <c r="J58" s="257" t="s">
        <v>2229</v>
      </c>
      <c r="K58" s="364"/>
      <c r="L58" s="364"/>
      <c r="M58" s="434"/>
      <c r="N58" s="434"/>
      <c r="O58" s="434"/>
      <c r="P58" s="434"/>
      <c r="Q58" s="441"/>
    </row>
    <row r="59" spans="1:17" s="97" customFormat="1" ht="27" customHeight="1">
      <c r="A59" s="2035" t="s">
        <v>10</v>
      </c>
      <c r="B59" s="2036"/>
      <c r="C59" s="2036"/>
      <c r="D59" s="2036"/>
      <c r="E59" s="2036"/>
      <c r="F59" s="2037"/>
      <c r="G59" s="127">
        <f>SUM(G47:G58)</f>
        <v>99733.08</v>
      </c>
      <c r="H59" s="116">
        <f>SUM(H47:H58)</f>
        <v>140835927</v>
      </c>
      <c r="I59" s="116">
        <v>119196626</v>
      </c>
      <c r="J59" s="260">
        <f>+H59-I59</f>
        <v>21639301</v>
      </c>
      <c r="K59" s="364"/>
      <c r="L59" s="364"/>
      <c r="M59" s="434"/>
      <c r="N59" s="434"/>
      <c r="O59" s="434"/>
      <c r="P59" s="434"/>
      <c r="Q59" s="441"/>
    </row>
    <row r="60" spans="1:17" s="97" customFormat="1" ht="27" customHeight="1">
      <c r="A60" s="2010" t="s">
        <v>15</v>
      </c>
      <c r="B60" s="145" t="s">
        <v>2001</v>
      </c>
      <c r="C60" s="145" t="s">
        <v>2002</v>
      </c>
      <c r="D60" s="288"/>
      <c r="E60" s="288">
        <v>45608</v>
      </c>
      <c r="F60" s="91">
        <f>VLOOKUP(E60,환율!$A$1798:$B$2194,2,)</f>
        <v>1395.3</v>
      </c>
      <c r="G60" s="92">
        <v>1843.69</v>
      </c>
      <c r="H60" s="93">
        <f t="shared" si="7"/>
        <v>2572500</v>
      </c>
      <c r="I60" s="173"/>
      <c r="J60" s="262"/>
      <c r="K60" s="401"/>
      <c r="L60" s="401"/>
      <c r="M60" s="434"/>
      <c r="N60" s="434"/>
      <c r="O60" s="434"/>
      <c r="P60" s="434"/>
      <c r="Q60" s="441"/>
    </row>
    <row r="61" spans="1:17" s="97" customFormat="1" ht="27" customHeight="1">
      <c r="A61" s="2011"/>
      <c r="B61" s="145" t="s">
        <v>2044</v>
      </c>
      <c r="C61" s="145" t="s">
        <v>2045</v>
      </c>
      <c r="D61" s="288"/>
      <c r="E61" s="288">
        <v>45615</v>
      </c>
      <c r="F61" s="91">
        <f>VLOOKUP(E61,환율!$A$1798:$B$2194,2,)</f>
        <v>1392.6</v>
      </c>
      <c r="G61" s="92">
        <v>1773.69</v>
      </c>
      <c r="H61" s="93">
        <f t="shared" si="7"/>
        <v>2470040</v>
      </c>
      <c r="I61" s="173"/>
      <c r="J61" s="262"/>
      <c r="K61" s="401"/>
      <c r="L61" s="401"/>
      <c r="M61" s="434"/>
      <c r="N61" s="434"/>
      <c r="O61" s="434"/>
      <c r="P61" s="434"/>
      <c r="Q61" s="441"/>
    </row>
    <row r="62" spans="1:17" s="97" customFormat="1" ht="27" customHeight="1">
      <c r="A62" s="2019"/>
      <c r="B62" s="409" t="s">
        <v>2060</v>
      </c>
      <c r="C62" s="409" t="s">
        <v>2061</v>
      </c>
      <c r="D62" s="322"/>
      <c r="E62" s="322">
        <v>45647</v>
      </c>
      <c r="F62" s="102">
        <f>VLOOKUP(E62,환율!$A$1798:$B$2194,2,)</f>
        <v>1449.7</v>
      </c>
      <c r="G62" s="103">
        <v>70369.490000000005</v>
      </c>
      <c r="H62" s="104">
        <f t="shared" si="7"/>
        <v>102014649</v>
      </c>
      <c r="I62" s="152"/>
      <c r="J62" s="323"/>
      <c r="K62" s="401"/>
      <c r="L62" s="401"/>
      <c r="M62" s="434"/>
      <c r="N62" s="434"/>
      <c r="O62" s="434"/>
      <c r="P62" s="434"/>
      <c r="Q62" s="441"/>
    </row>
    <row r="63" spans="1:17" s="97" customFormat="1" ht="27" customHeight="1">
      <c r="A63" s="2035" t="s">
        <v>10</v>
      </c>
      <c r="B63" s="2036"/>
      <c r="C63" s="2036"/>
      <c r="D63" s="2036"/>
      <c r="E63" s="2036"/>
      <c r="F63" s="2037"/>
      <c r="G63" s="127">
        <f>SUM(G60:G62)</f>
        <v>73986.87000000001</v>
      </c>
      <c r="H63" s="116">
        <f>SUM(H60:H62)</f>
        <v>107057189</v>
      </c>
      <c r="I63" s="116">
        <v>137619132</v>
      </c>
      <c r="J63" s="260">
        <f>+H63-I63</f>
        <v>-30561943</v>
      </c>
      <c r="K63" s="366"/>
      <c r="L63" s="366"/>
      <c r="M63" s="434"/>
      <c r="N63" s="434"/>
      <c r="O63" s="434"/>
      <c r="P63" s="434"/>
      <c r="Q63" s="441"/>
    </row>
    <row r="64" spans="1:17" s="97" customFormat="1" ht="27" customHeight="1">
      <c r="A64" s="2012" t="s">
        <v>726</v>
      </c>
      <c r="B64" s="136" t="s">
        <v>2003</v>
      </c>
      <c r="C64" s="136" t="s">
        <v>2004</v>
      </c>
      <c r="D64" s="136"/>
      <c r="E64" s="136">
        <v>45605</v>
      </c>
      <c r="F64" s="397">
        <v>9.1420999999999992</v>
      </c>
      <c r="G64" s="177">
        <v>18152594</v>
      </c>
      <c r="H64" s="93">
        <f t="shared" ref="H64:H73" si="9">ROUNDDOWN(G64*F64,0)</f>
        <v>165952829</v>
      </c>
      <c r="I64" s="156"/>
      <c r="J64" s="263"/>
      <c r="K64" s="364"/>
      <c r="L64" s="364"/>
      <c r="M64" s="434"/>
      <c r="N64" s="434"/>
      <c r="O64" s="434"/>
      <c r="P64" s="434"/>
      <c r="Q64" s="441"/>
    </row>
    <row r="65" spans="1:17" s="97" customFormat="1" ht="27" customHeight="1">
      <c r="A65" s="2053"/>
      <c r="B65" s="136" t="s">
        <v>2005</v>
      </c>
      <c r="C65" s="146" t="s">
        <v>2006</v>
      </c>
      <c r="D65" s="136"/>
      <c r="E65" s="136">
        <v>45613</v>
      </c>
      <c r="F65" s="176">
        <v>8.9961000000000002</v>
      </c>
      <c r="G65" s="177">
        <v>14477048</v>
      </c>
      <c r="H65" s="93">
        <f t="shared" si="9"/>
        <v>130236971</v>
      </c>
      <c r="I65" s="156"/>
      <c r="J65" s="263"/>
      <c r="K65" s="366"/>
      <c r="L65" s="366"/>
      <c r="M65" s="434"/>
      <c r="N65" s="434"/>
      <c r="O65" s="434"/>
      <c r="P65" s="434"/>
      <c r="Q65" s="441"/>
    </row>
    <row r="66" spans="1:17" s="97" customFormat="1" ht="27" customHeight="1">
      <c r="A66" s="2053"/>
      <c r="B66" s="136" t="s">
        <v>2007</v>
      </c>
      <c r="C66" s="146" t="s">
        <v>2008</v>
      </c>
      <c r="D66" s="136"/>
      <c r="E66" s="136">
        <v>45623</v>
      </c>
      <c r="F66" s="176">
        <v>9.1501000000000001</v>
      </c>
      <c r="G66" s="177">
        <v>17820072</v>
      </c>
      <c r="H66" s="93">
        <f t="shared" si="9"/>
        <v>163055440</v>
      </c>
      <c r="I66" s="156"/>
      <c r="J66" s="263"/>
      <c r="K66" s="366"/>
      <c r="L66" s="366"/>
      <c r="M66" s="434"/>
      <c r="N66" s="434"/>
      <c r="O66" s="434"/>
      <c r="P66" s="434"/>
      <c r="Q66" s="441"/>
    </row>
    <row r="67" spans="1:17" s="97" customFormat="1" ht="27" customHeight="1">
      <c r="A67" s="2053"/>
      <c r="B67" s="136" t="s">
        <v>2009</v>
      </c>
      <c r="C67" s="146" t="s">
        <v>2010</v>
      </c>
      <c r="D67" s="136"/>
      <c r="E67" s="136">
        <v>45626</v>
      </c>
      <c r="F67" s="176">
        <v>9.2087000000000003</v>
      </c>
      <c r="G67" s="177">
        <v>17017110</v>
      </c>
      <c r="H67" s="93">
        <f t="shared" si="9"/>
        <v>156705460</v>
      </c>
      <c r="I67" s="156"/>
      <c r="J67" s="263"/>
      <c r="K67" s="366"/>
      <c r="L67" s="366"/>
      <c r="M67" s="434"/>
      <c r="N67" s="434"/>
      <c r="O67" s="434"/>
      <c r="P67" s="434"/>
      <c r="Q67" s="441"/>
    </row>
    <row r="68" spans="1:17" s="97" customFormat="1" ht="27" customHeight="1">
      <c r="A68" s="2053"/>
      <c r="B68" s="433" t="s">
        <v>2028</v>
      </c>
      <c r="C68" s="420"/>
      <c r="D68" s="421"/>
      <c r="E68" s="421">
        <v>45616</v>
      </c>
      <c r="F68" s="424">
        <v>9.0055999999999994</v>
      </c>
      <c r="G68" s="425">
        <v>520000</v>
      </c>
      <c r="H68" s="384">
        <f t="shared" si="9"/>
        <v>4682912</v>
      </c>
      <c r="I68" s="426"/>
      <c r="J68" s="427"/>
      <c r="K68" s="366"/>
      <c r="L68" s="366"/>
      <c r="M68" s="434"/>
      <c r="N68" s="434"/>
      <c r="O68" s="434"/>
      <c r="P68" s="434"/>
      <c r="Q68" s="441"/>
    </row>
    <row r="69" spans="1:17" s="97" customFormat="1" ht="27" customHeight="1">
      <c r="A69" s="2053"/>
      <c r="B69" s="433" t="s">
        <v>2023</v>
      </c>
      <c r="C69" s="420"/>
      <c r="D69" s="421"/>
      <c r="E69" s="421">
        <v>45616</v>
      </c>
      <c r="F69" s="424">
        <v>9.0055999999999994</v>
      </c>
      <c r="G69" s="425">
        <v>523000</v>
      </c>
      <c r="H69" s="384">
        <f t="shared" si="9"/>
        <v>4709928</v>
      </c>
      <c r="I69" s="426"/>
      <c r="J69" s="427"/>
      <c r="K69" s="366"/>
      <c r="L69" s="366"/>
      <c r="M69" s="434"/>
      <c r="N69" s="434"/>
      <c r="O69" s="434"/>
      <c r="P69" s="434"/>
      <c r="Q69" s="441"/>
    </row>
    <row r="70" spans="1:17" s="97" customFormat="1" ht="27" customHeight="1">
      <c r="A70" s="2053"/>
      <c r="B70" s="433" t="s">
        <v>2024</v>
      </c>
      <c r="C70" s="420"/>
      <c r="D70" s="421"/>
      <c r="E70" s="421">
        <v>45616</v>
      </c>
      <c r="F70" s="424">
        <v>9.0055999999999994</v>
      </c>
      <c r="G70" s="425">
        <v>530000</v>
      </c>
      <c r="H70" s="384">
        <f t="shared" si="9"/>
        <v>4772968</v>
      </c>
      <c r="I70" s="426"/>
      <c r="J70" s="427"/>
      <c r="K70" s="366"/>
      <c r="L70" s="366"/>
      <c r="M70" s="434"/>
      <c r="N70" s="434"/>
      <c r="O70" s="434"/>
      <c r="P70" s="434"/>
      <c r="Q70" s="441"/>
    </row>
    <row r="71" spans="1:17" s="97" customFormat="1" ht="27" customHeight="1">
      <c r="A71" s="2053"/>
      <c r="B71" s="433" t="s">
        <v>2025</v>
      </c>
      <c r="C71" s="420"/>
      <c r="D71" s="421"/>
      <c r="E71" s="421">
        <v>45616</v>
      </c>
      <c r="F71" s="424">
        <v>9.0055999999999994</v>
      </c>
      <c r="G71" s="425">
        <v>508000</v>
      </c>
      <c r="H71" s="384">
        <f t="shared" si="9"/>
        <v>4574844</v>
      </c>
      <c r="I71" s="426"/>
      <c r="J71" s="427"/>
      <c r="K71" s="366"/>
      <c r="L71" s="366"/>
      <c r="M71" s="434"/>
      <c r="N71" s="434"/>
      <c r="O71" s="434"/>
      <c r="P71" s="434"/>
      <c r="Q71" s="441"/>
    </row>
    <row r="72" spans="1:17" s="97" customFormat="1" ht="27" customHeight="1">
      <c r="A72" s="2053"/>
      <c r="B72" s="433" t="s">
        <v>2026</v>
      </c>
      <c r="C72" s="420"/>
      <c r="D72" s="421"/>
      <c r="E72" s="421">
        <v>45616</v>
      </c>
      <c r="F72" s="424">
        <v>9.0055999999999994</v>
      </c>
      <c r="G72" s="425">
        <v>116000</v>
      </c>
      <c r="H72" s="384">
        <f t="shared" si="9"/>
        <v>1044649</v>
      </c>
      <c r="I72" s="426"/>
      <c r="J72" s="427"/>
      <c r="K72" s="366"/>
      <c r="L72" s="366"/>
      <c r="M72" s="434"/>
      <c r="N72" s="434"/>
      <c r="O72" s="434"/>
      <c r="P72" s="434"/>
      <c r="Q72" s="441"/>
    </row>
    <row r="73" spans="1:17" s="97" customFormat="1" ht="27" customHeight="1">
      <c r="A73" s="2013"/>
      <c r="B73" s="433" t="s">
        <v>2027</v>
      </c>
      <c r="C73" s="420"/>
      <c r="D73" s="421"/>
      <c r="E73" s="421">
        <v>45616</v>
      </c>
      <c r="F73" s="424">
        <v>9.0055999999999994</v>
      </c>
      <c r="G73" s="425">
        <v>132000</v>
      </c>
      <c r="H73" s="384">
        <f t="shared" si="9"/>
        <v>1188739</v>
      </c>
      <c r="I73" s="426"/>
      <c r="J73" s="427"/>
      <c r="K73" s="366"/>
      <c r="L73" s="366"/>
      <c r="M73" s="434"/>
      <c r="N73" s="434"/>
      <c r="O73" s="434"/>
      <c r="P73" s="434"/>
      <c r="Q73" s="441"/>
    </row>
    <row r="74" spans="1:17" s="97" customFormat="1" ht="27" customHeight="1">
      <c r="A74" s="2035" t="s">
        <v>10</v>
      </c>
      <c r="B74" s="2036"/>
      <c r="C74" s="2036"/>
      <c r="D74" s="2036"/>
      <c r="E74" s="2036"/>
      <c r="F74" s="2037"/>
      <c r="G74" s="398">
        <f>SUM(G64:G73)</f>
        <v>69795824</v>
      </c>
      <c r="H74" s="116">
        <f>SUM(H64:H73)</f>
        <v>636924740</v>
      </c>
      <c r="I74" s="116">
        <v>682318636</v>
      </c>
      <c r="J74" s="260">
        <f>+H74-I74</f>
        <v>-45393896</v>
      </c>
      <c r="K74" s="364"/>
      <c r="L74" s="364"/>
      <c r="M74" s="434"/>
      <c r="N74" s="434"/>
      <c r="O74" s="434"/>
      <c r="P74" s="434"/>
      <c r="Q74" s="441"/>
    </row>
    <row r="75" spans="1:17" s="310" customFormat="1" ht="27" customHeight="1">
      <c r="A75" s="2057" t="s">
        <v>992</v>
      </c>
      <c r="B75" s="332" t="s">
        <v>2031</v>
      </c>
      <c r="C75" s="303"/>
      <c r="D75" s="303"/>
      <c r="E75" s="303">
        <v>45602</v>
      </c>
      <c r="F75" s="91">
        <f>VLOOKUP(E75,환율!$A$1798:$B$2194,2,)</f>
        <v>1377.8</v>
      </c>
      <c r="G75" s="334">
        <f t="shared" ref="G75:G77" si="10">H75/F75</f>
        <v>15623.748004064451</v>
      </c>
      <c r="H75" s="335">
        <v>21526400</v>
      </c>
      <c r="I75" s="336"/>
      <c r="J75" s="337"/>
      <c r="K75" s="367"/>
      <c r="L75" s="367"/>
      <c r="M75" s="437"/>
      <c r="N75" s="437"/>
      <c r="O75" s="437"/>
      <c r="P75" s="437"/>
      <c r="Q75" s="444"/>
    </row>
    <row r="76" spans="1:17" s="310" customFormat="1" ht="27" customHeight="1">
      <c r="A76" s="2040"/>
      <c r="B76" s="332" t="s">
        <v>2032</v>
      </c>
      <c r="C76" s="303"/>
      <c r="D76" s="303"/>
      <c r="E76" s="303">
        <v>45625</v>
      </c>
      <c r="F76" s="91">
        <f>VLOOKUP(E76,환율!$A$1798:$B$2194,2,)</f>
        <v>1394.7</v>
      </c>
      <c r="G76" s="334">
        <f t="shared" si="10"/>
        <v>7717.2151717215165</v>
      </c>
      <c r="H76" s="335">
        <v>10763200</v>
      </c>
      <c r="I76" s="336"/>
      <c r="J76" s="337"/>
      <c r="K76" s="367"/>
      <c r="L76" s="367"/>
      <c r="M76" s="437"/>
      <c r="N76" s="437"/>
      <c r="O76" s="437"/>
      <c r="P76" s="437"/>
      <c r="Q76" s="444"/>
    </row>
    <row r="77" spans="1:17" s="310" customFormat="1" ht="27" customHeight="1">
      <c r="A77" s="2040"/>
      <c r="B77" s="332" t="s">
        <v>2033</v>
      </c>
      <c r="C77" s="303"/>
      <c r="D77" s="303"/>
      <c r="E77" s="303">
        <v>45625</v>
      </c>
      <c r="F77" s="91">
        <f>VLOOKUP(E77,환율!$A$1798:$B$2194,2,)</f>
        <v>1394.7</v>
      </c>
      <c r="G77" s="334">
        <f t="shared" si="10"/>
        <v>7717.2151717215165</v>
      </c>
      <c r="H77" s="335">
        <v>10763200</v>
      </c>
      <c r="I77" s="336"/>
      <c r="J77" s="337"/>
      <c r="K77" s="367"/>
      <c r="L77" s="367"/>
      <c r="M77" s="437"/>
      <c r="N77" s="437"/>
      <c r="O77" s="437"/>
      <c r="P77" s="437"/>
      <c r="Q77" s="444"/>
    </row>
    <row r="78" spans="1:17" s="310" customFormat="1" ht="27" customHeight="1">
      <c r="A78" s="2039"/>
      <c r="B78" s="339" t="s">
        <v>2042</v>
      </c>
      <c r="C78" s="136" t="s">
        <v>2043</v>
      </c>
      <c r="D78" s="136"/>
      <c r="E78" s="136">
        <v>45625</v>
      </c>
      <c r="F78" s="91">
        <f>VLOOKUP(E78,환율!$A$1798:$B$2194,2,)</f>
        <v>1394.7</v>
      </c>
      <c r="G78" s="341">
        <v>19453.68</v>
      </c>
      <c r="H78" s="93">
        <f>ROUNDDOWN(G78*F78,0)</f>
        <v>27132047</v>
      </c>
      <c r="I78" s="446"/>
      <c r="J78" s="447"/>
      <c r="K78" s="367"/>
      <c r="L78" s="367"/>
      <c r="M78" s="437"/>
      <c r="N78" s="437"/>
      <c r="O78" s="437"/>
      <c r="P78" s="437"/>
      <c r="Q78" s="444"/>
    </row>
    <row r="79" spans="1:17" s="97" customFormat="1" ht="27" customHeight="1">
      <c r="A79" s="2035" t="s">
        <v>10</v>
      </c>
      <c r="B79" s="2036"/>
      <c r="C79" s="2036"/>
      <c r="D79" s="2036"/>
      <c r="E79" s="2036"/>
      <c r="F79" s="2037"/>
      <c r="G79" s="127">
        <f>SUM(G75:G78)</f>
        <v>50511.858347507485</v>
      </c>
      <c r="H79" s="116">
        <f>SUM(H75:H78)</f>
        <v>70184847</v>
      </c>
      <c r="I79" s="116">
        <v>24586760</v>
      </c>
      <c r="J79" s="260">
        <f>+H79-I79</f>
        <v>45598087</v>
      </c>
      <c r="K79" s="402"/>
      <c r="L79" s="402"/>
      <c r="M79" s="434"/>
      <c r="N79" s="434"/>
      <c r="O79" s="434"/>
      <c r="P79" s="434"/>
      <c r="Q79" s="441"/>
    </row>
    <row r="80" spans="1:17" s="97" customFormat="1" ht="27" customHeight="1" thickBot="1">
      <c r="A80" s="2044" t="s">
        <v>1176</v>
      </c>
      <c r="B80" s="2045"/>
      <c r="C80" s="2045"/>
      <c r="D80" s="2045"/>
      <c r="E80" s="2046"/>
      <c r="F80" s="1997" t="s">
        <v>31</v>
      </c>
      <c r="G80" s="232" t="s">
        <v>17</v>
      </c>
      <c r="H80" s="210">
        <f>+H82-H81</f>
        <v>3645635716</v>
      </c>
      <c r="I80" s="210">
        <v>3309893304</v>
      </c>
      <c r="J80" s="219">
        <f>+H80-I80</f>
        <v>335742412</v>
      </c>
      <c r="K80" s="401"/>
      <c r="L80" s="401"/>
      <c r="M80" s="434"/>
      <c r="N80" s="434"/>
      <c r="O80" s="434"/>
      <c r="P80" s="434"/>
      <c r="Q80" s="441"/>
    </row>
    <row r="81" spans="1:17" s="97" customFormat="1" ht="27" customHeight="1">
      <c r="A81" s="239" t="s">
        <v>20</v>
      </c>
      <c r="B81" s="195" t="s">
        <v>21</v>
      </c>
      <c r="C81" s="196" t="s">
        <v>20</v>
      </c>
      <c r="D81" s="314"/>
      <c r="E81" s="197" t="s">
        <v>21</v>
      </c>
      <c r="F81" s="1997"/>
      <c r="G81" s="198" t="s">
        <v>18</v>
      </c>
      <c r="H81" s="210">
        <f>SUM(H68:H73,H18,H19)</f>
        <v>55039157</v>
      </c>
      <c r="I81" s="199">
        <v>104632633</v>
      </c>
      <c r="J81" s="201">
        <f>+H81-I81</f>
        <v>-49593476</v>
      </c>
      <c r="K81" s="401"/>
      <c r="L81" s="401"/>
      <c r="M81" s="434"/>
      <c r="N81" s="434"/>
      <c r="O81" s="434"/>
      <c r="P81" s="434"/>
      <c r="Q81" s="441"/>
    </row>
    <row r="82" spans="1:17" s="97" customFormat="1" ht="27" customHeight="1" thickBot="1">
      <c r="A82" s="240" t="s">
        <v>9</v>
      </c>
      <c r="B82" s="199">
        <f>H14</f>
        <v>578304606</v>
      </c>
      <c r="C82" s="200" t="s">
        <v>721</v>
      </c>
      <c r="D82" s="315"/>
      <c r="E82" s="201">
        <v>0</v>
      </c>
      <c r="F82" s="1998"/>
      <c r="G82" s="202" t="s">
        <v>19</v>
      </c>
      <c r="H82" s="203">
        <f>SUM(H15,H23,H35,H38,H42,H44,H46,H59,H63,H74,H79)</f>
        <v>3700674873</v>
      </c>
      <c r="I82" s="203">
        <v>3414525937</v>
      </c>
      <c r="J82" s="233">
        <f>+H82-I82</f>
        <v>286148936</v>
      </c>
      <c r="K82" s="364"/>
      <c r="L82" s="364"/>
      <c r="M82" s="434"/>
      <c r="N82" s="434"/>
      <c r="O82" s="434"/>
      <c r="P82" s="434"/>
      <c r="Q82" s="441"/>
    </row>
    <row r="83" spans="1:17" s="97" customFormat="1" ht="27" customHeight="1">
      <c r="A83" s="240" t="s">
        <v>11</v>
      </c>
      <c r="B83" s="199">
        <f>SUM(H20:H22)</f>
        <v>77293838</v>
      </c>
      <c r="C83" s="200" t="s">
        <v>722</v>
      </c>
      <c r="D83" s="315"/>
      <c r="E83" s="201">
        <v>0</v>
      </c>
      <c r="F83" s="296" t="s">
        <v>20</v>
      </c>
      <c r="G83" s="297" t="s">
        <v>2011</v>
      </c>
      <c r="H83" s="298" t="s">
        <v>237</v>
      </c>
      <c r="I83" s="298" t="s">
        <v>111</v>
      </c>
      <c r="J83" s="234" t="s">
        <v>32</v>
      </c>
      <c r="K83" s="401"/>
      <c r="L83" s="401"/>
      <c r="M83" s="434"/>
      <c r="N83" s="434"/>
      <c r="O83" s="434"/>
      <c r="P83" s="434"/>
      <c r="Q83" s="441"/>
    </row>
    <row r="84" spans="1:17" s="97" customFormat="1" ht="27" customHeight="1">
      <c r="A84" s="241" t="s">
        <v>114</v>
      </c>
      <c r="B84" s="199">
        <f>SUM(H32:H34)</f>
        <v>202238912</v>
      </c>
      <c r="C84" s="293" t="s">
        <v>14</v>
      </c>
      <c r="D84" s="316"/>
      <c r="E84" s="294">
        <f>SUM(H56:H58)</f>
        <v>118047489</v>
      </c>
      <c r="F84" s="211" t="s">
        <v>22</v>
      </c>
      <c r="G84" s="199">
        <v>157807444</v>
      </c>
      <c r="H84" s="199">
        <f>SUM(H64:H73)</f>
        <v>636924740</v>
      </c>
      <c r="I84" s="199">
        <v>0</v>
      </c>
      <c r="J84" s="201">
        <f>SUM(G84:H84)</f>
        <v>794732184</v>
      </c>
      <c r="K84" s="366"/>
      <c r="L84" s="366"/>
      <c r="M84" s="438"/>
      <c r="N84" s="434"/>
      <c r="O84" s="434"/>
      <c r="P84" s="434"/>
      <c r="Q84" s="441"/>
    </row>
    <row r="85" spans="1:17" s="97" customFormat="1" ht="27" customHeight="1">
      <c r="A85" s="241" t="s">
        <v>153</v>
      </c>
      <c r="B85" s="199">
        <f>H37</f>
        <v>176089851</v>
      </c>
      <c r="C85" s="293" t="s">
        <v>15</v>
      </c>
      <c r="D85" s="317"/>
      <c r="E85" s="295">
        <f>SUM(H62)</f>
        <v>102014649</v>
      </c>
      <c r="F85" s="211" t="s">
        <v>23</v>
      </c>
      <c r="G85" s="199">
        <f>346896881</f>
        <v>346896881</v>
      </c>
      <c r="H85" s="199">
        <f>SUM(H16:H19,H24:H31,H36,H39)</f>
        <v>430632216</v>
      </c>
      <c r="I85" s="199">
        <f>SUM(H20:H22,H32:H34,H45,H40:H41,H37)</f>
        <v>518295389</v>
      </c>
      <c r="J85" s="201">
        <f>SUM(G85:H85)</f>
        <v>777529097</v>
      </c>
      <c r="K85" s="175"/>
      <c r="L85" s="175"/>
      <c r="M85" s="438"/>
      <c r="N85" s="434"/>
      <c r="O85" s="434"/>
      <c r="P85" s="434"/>
      <c r="Q85" s="441"/>
    </row>
    <row r="86" spans="1:17" s="126" customFormat="1" ht="27" customHeight="1">
      <c r="A86" s="241" t="s">
        <v>719</v>
      </c>
      <c r="B86" s="199">
        <v>0</v>
      </c>
      <c r="C86" s="293" t="s">
        <v>53</v>
      </c>
      <c r="D86" s="316"/>
      <c r="E86" s="294">
        <v>0</v>
      </c>
      <c r="F86" s="211" t="s">
        <v>24</v>
      </c>
      <c r="G86" s="199">
        <v>507102466</v>
      </c>
      <c r="H86" s="199">
        <f>SUM(H12:H13)</f>
        <v>1163382782</v>
      </c>
      <c r="I86" s="199">
        <f>H14</f>
        <v>578304606</v>
      </c>
      <c r="J86" s="201">
        <f>SUM(G86:H86)</f>
        <v>1670485248</v>
      </c>
      <c r="K86" s="175"/>
      <c r="L86" s="175"/>
      <c r="M86" s="438"/>
      <c r="N86" s="436"/>
      <c r="O86" s="436"/>
      <c r="P86" s="436"/>
      <c r="Q86" s="443"/>
    </row>
    <row r="87" spans="1:17" s="126" customFormat="1" ht="27" customHeight="1">
      <c r="A87" s="241" t="s">
        <v>35</v>
      </c>
      <c r="B87" s="199">
        <f>H40+H41</f>
        <v>62672788</v>
      </c>
      <c r="C87" s="200" t="s">
        <v>252</v>
      </c>
      <c r="D87" s="216"/>
      <c r="E87" s="219">
        <v>0</v>
      </c>
      <c r="F87" s="211" t="s">
        <v>723</v>
      </c>
      <c r="G87" s="199">
        <v>195167323</v>
      </c>
      <c r="H87" s="199">
        <f>SUM(H47:H55,H43:H43,H60:H61,H78)</f>
        <v>110020202</v>
      </c>
      <c r="I87" s="199">
        <f>SUM(H62,H56:H58)</f>
        <v>220062138</v>
      </c>
      <c r="J87" s="201">
        <f>SUM(G87:H87)</f>
        <v>305187525</v>
      </c>
      <c r="K87" s="366"/>
      <c r="L87" s="366"/>
      <c r="M87" s="439"/>
      <c r="N87" s="436"/>
      <c r="O87" s="436"/>
      <c r="P87" s="436"/>
      <c r="Q87" s="443"/>
    </row>
    <row r="88" spans="1:17" s="126" customFormat="1" ht="27" customHeight="1" thickBot="1">
      <c r="A88" s="215" t="s">
        <v>724</v>
      </c>
      <c r="B88" s="213">
        <v>0</v>
      </c>
      <c r="C88" s="214"/>
      <c r="D88" s="318"/>
      <c r="E88" s="242"/>
      <c r="F88" s="299" t="s">
        <v>1177</v>
      </c>
      <c r="G88" s="311">
        <v>0</v>
      </c>
      <c r="H88" s="311">
        <f>SUM(H75:H77)</f>
        <v>43052800</v>
      </c>
      <c r="I88" s="311">
        <v>0</v>
      </c>
      <c r="J88" s="312">
        <f>SUM(G88:H88)</f>
        <v>43052800</v>
      </c>
      <c r="K88" s="364" t="b">
        <f>I89=E89</f>
        <v>1</v>
      </c>
      <c r="L88" s="364"/>
      <c r="M88" s="436"/>
      <c r="N88" s="436"/>
      <c r="O88" s="436"/>
      <c r="P88" s="436"/>
      <c r="Q88" s="443"/>
    </row>
    <row r="89" spans="1:17" s="126" customFormat="1" ht="27" customHeight="1" thickTop="1" thickBot="1">
      <c r="A89" s="243"/>
      <c r="B89" s="244" t="s">
        <v>49</v>
      </c>
      <c r="C89" s="245"/>
      <c r="D89" s="244"/>
      <c r="E89" s="246">
        <f>SUM(B82:B88,E82:E88)</f>
        <v>1316662133</v>
      </c>
      <c r="F89" s="236" t="s">
        <v>16</v>
      </c>
      <c r="G89" s="237">
        <f>SUM(G84:G88)</f>
        <v>1206974114</v>
      </c>
      <c r="H89" s="237">
        <f>SUM(H84:H88)</f>
        <v>2384012740</v>
      </c>
      <c r="I89" s="237">
        <f>SUM(I84:I88)</f>
        <v>1316662133</v>
      </c>
      <c r="J89" s="238">
        <f>+G89+H89</f>
        <v>3590986854</v>
      </c>
      <c r="K89" s="364" t="b">
        <f>H82=H89+I89</f>
        <v>1</v>
      </c>
      <c r="L89" s="364"/>
      <c r="M89" s="436"/>
      <c r="N89" s="436"/>
      <c r="O89" s="436"/>
      <c r="P89" s="436"/>
      <c r="Q89" s="443"/>
    </row>
    <row r="90" spans="1:17" s="19" customFormat="1" ht="27" customHeight="1" thickBot="1">
      <c r="A90"/>
      <c r="B90"/>
      <c r="C90"/>
      <c r="D90"/>
      <c r="E90"/>
      <c r="F90" s="2047" t="s">
        <v>1685</v>
      </c>
      <c r="G90" s="2048"/>
      <c r="H90" s="2048"/>
      <c r="I90" s="2049"/>
      <c r="J90" s="404">
        <f>J89-J88</f>
        <v>3547934054</v>
      </c>
      <c r="K90" s="410"/>
      <c r="L90" s="410"/>
      <c r="M90" s="436"/>
      <c r="N90" s="436"/>
      <c r="O90" s="436"/>
      <c r="P90" s="436"/>
      <c r="Q90" s="443"/>
    </row>
    <row r="91" spans="1:17">
      <c r="B91" s="291"/>
      <c r="C91" s="290"/>
      <c r="D91" s="290"/>
      <c r="E91" s="26"/>
      <c r="F91" s="292"/>
      <c r="H91" s="26"/>
      <c r="J91" s="13">
        <v>3547934054</v>
      </c>
    </row>
    <row r="92" spans="1:17" s="24" customFormat="1">
      <c r="A92"/>
      <c r="B92"/>
      <c r="C92" s="290"/>
      <c r="D92" s="290"/>
      <c r="E92" s="26"/>
      <c r="F92" s="292"/>
      <c r="G92" s="47"/>
      <c r="H92" s="26"/>
      <c r="I92"/>
      <c r="J92" s="412">
        <f>J90-J91</f>
        <v>0</v>
      </c>
      <c r="M92" s="434"/>
      <c r="N92" s="440"/>
      <c r="O92" s="440"/>
      <c r="P92" s="440"/>
      <c r="Q92" s="445"/>
    </row>
    <row r="93" spans="1:17" s="24" customFormat="1">
      <c r="A93"/>
      <c r="B93"/>
      <c r="C93" s="290"/>
      <c r="D93" s="290"/>
      <c r="E93" s="26"/>
      <c r="F93" s="292"/>
      <c r="G93" s="47"/>
      <c r="H93" s="26"/>
      <c r="I93"/>
      <c r="J93" s="26"/>
      <c r="M93" s="434"/>
      <c r="N93" s="440"/>
      <c r="O93" s="440"/>
      <c r="P93" s="440"/>
      <c r="Q93" s="445"/>
    </row>
    <row r="94" spans="1:17" s="24" customFormat="1">
      <c r="A94"/>
      <c r="B94"/>
      <c r="C94" s="290"/>
      <c r="D94" s="290"/>
      <c r="E94" s="26"/>
      <c r="F94" s="292"/>
      <c r="G94" s="47"/>
      <c r="H94" s="26"/>
      <c r="I94"/>
      <c r="J94"/>
      <c r="M94" s="434"/>
      <c r="N94" s="440"/>
      <c r="O94" s="440"/>
      <c r="P94" s="440"/>
      <c r="Q94" s="445"/>
    </row>
    <row r="95" spans="1:17" s="24" customFormat="1">
      <c r="A95"/>
      <c r="B95"/>
      <c r="C95" s="290"/>
      <c r="D95" s="290"/>
      <c r="E95"/>
      <c r="F95" s="13"/>
      <c r="G95" s="47"/>
      <c r="H95" s="26"/>
      <c r="I95"/>
      <c r="J95"/>
      <c r="M95" s="434"/>
      <c r="N95" s="440"/>
      <c r="O95" s="440"/>
      <c r="P95" s="440"/>
      <c r="Q95" s="445"/>
    </row>
    <row r="96" spans="1:17" s="24" customFormat="1">
      <c r="A96"/>
      <c r="B96"/>
      <c r="C96"/>
      <c r="D96"/>
      <c r="E96"/>
      <c r="F96" s="13"/>
      <c r="G96" s="47"/>
      <c r="H96"/>
      <c r="I96"/>
      <c r="J96"/>
      <c r="M96" s="434"/>
      <c r="N96" s="440"/>
      <c r="O96" s="440"/>
      <c r="P96" s="440"/>
      <c r="Q96" s="445"/>
    </row>
  </sheetData>
  <autoFilter ref="A10:F89" xr:uid="{00000000-0009-0000-0000-00004E000000}"/>
  <mergeCells count="40">
    <mergeCell ref="L3:L9"/>
    <mergeCell ref="M3:M4"/>
    <mergeCell ref="N3:N4"/>
    <mergeCell ref="O3:O4"/>
    <mergeCell ref="P3:P4"/>
    <mergeCell ref="M5:M9"/>
    <mergeCell ref="N5:N9"/>
    <mergeCell ref="O5:O9"/>
    <mergeCell ref="P5:P9"/>
    <mergeCell ref="A36:A37"/>
    <mergeCell ref="A35:F35"/>
    <mergeCell ref="A5:G9"/>
    <mergeCell ref="A10:A11"/>
    <mergeCell ref="B10:B11"/>
    <mergeCell ref="C10:C11"/>
    <mergeCell ref="D10:D11"/>
    <mergeCell ref="E10:E11"/>
    <mergeCell ref="F10:F11"/>
    <mergeCell ref="G10:J10"/>
    <mergeCell ref="A12:A14"/>
    <mergeCell ref="A15:F15"/>
    <mergeCell ref="A23:F23"/>
    <mergeCell ref="A24:A34"/>
    <mergeCell ref="A16:A22"/>
    <mergeCell ref="A74:F74"/>
    <mergeCell ref="A38:F38"/>
    <mergeCell ref="A42:F42"/>
    <mergeCell ref="A44:F44"/>
    <mergeCell ref="A46:F46"/>
    <mergeCell ref="A47:A58"/>
    <mergeCell ref="A59:F59"/>
    <mergeCell ref="A60:A62"/>
    <mergeCell ref="A63:F63"/>
    <mergeCell ref="A64:A73"/>
    <mergeCell ref="A39:A41"/>
    <mergeCell ref="A79:F79"/>
    <mergeCell ref="A80:E80"/>
    <mergeCell ref="F80:F82"/>
    <mergeCell ref="F90:I90"/>
    <mergeCell ref="A75:A78"/>
  </mergeCells>
  <phoneticPr fontId="2" type="noConversion"/>
  <conditionalFormatting sqref="A12">
    <cfRule type="expression" dxfId="1264" priority="84">
      <formula>#REF!="*01월*"</formula>
    </cfRule>
  </conditionalFormatting>
  <conditionalFormatting sqref="A15">
    <cfRule type="expression" dxfId="1263" priority="87">
      <formula>#REF!="*01월*"</formula>
    </cfRule>
  </conditionalFormatting>
  <conditionalFormatting sqref="A35:A36 A38 F47:F49 C49:E49 C50:F58">
    <cfRule type="expression" dxfId="1262" priority="58">
      <formula>#REF!="*01월*"</formula>
    </cfRule>
  </conditionalFormatting>
  <conditionalFormatting sqref="A39 B56 B58 A60:A61 H60:H61 G62 C76:E77 H76:J77">
    <cfRule type="expression" dxfId="1261" priority="48">
      <formula>$E43="*01월*"</formula>
    </cfRule>
  </conditionalFormatting>
  <conditionalFormatting sqref="A45:A46">
    <cfRule type="expression" dxfId="1260" priority="80">
      <formula>#REF!="*01월*"</formula>
    </cfRule>
  </conditionalFormatting>
  <conditionalFormatting sqref="A59">
    <cfRule type="expression" dxfId="1259" priority="67">
      <formula>#REF!="*01월*"</formula>
    </cfRule>
  </conditionalFormatting>
  <conditionalFormatting sqref="A63:A64 F75:G78">
    <cfRule type="expression" dxfId="1258" priority="66">
      <formula>#REF!="*01월*"</formula>
    </cfRule>
  </conditionalFormatting>
  <conditionalFormatting sqref="A10:J11 A42 G42:J44 A43:E43 A44 A47:E47 G47:J47 B50 H58 B62:E62 I62:J62 G63:J63 G79:I79 A79:A80 F80:J80 A81:J89">
    <cfRule type="expression" dxfId="1257" priority="76">
      <formula>$E12="*01월*"</formula>
    </cfRule>
  </conditionalFormatting>
  <conditionalFormatting sqref="B39:B41">
    <cfRule type="expression" dxfId="1256" priority="12">
      <formula>$E41="*01월*"</formula>
    </cfRule>
  </conditionalFormatting>
  <conditionalFormatting sqref="B51 B57 H57 B60:E61 I60:J61 H62">
    <cfRule type="expression" dxfId="1255" priority="77">
      <formula>$E54="*01월*"</formula>
    </cfRule>
  </conditionalFormatting>
  <conditionalFormatting sqref="B52">
    <cfRule type="expression" dxfId="1254" priority="700">
      <formula>#REF!="*01월*"</formula>
    </cfRule>
  </conditionalFormatting>
  <conditionalFormatting sqref="B53:B55 J79">
    <cfRule type="expression" dxfId="1253" priority="63">
      <formula>$E59="*01월*"</formula>
    </cfRule>
  </conditionalFormatting>
  <conditionalFormatting sqref="B54:B55">
    <cfRule type="expression" dxfId="1252" priority="712">
      <formula>$E63="*01월*"</formula>
    </cfRule>
  </conditionalFormatting>
  <conditionalFormatting sqref="B56">
    <cfRule type="expression" dxfId="1251" priority="708">
      <formula>$E51="*01월*"</formula>
    </cfRule>
  </conditionalFormatting>
  <conditionalFormatting sqref="B75:B77">
    <cfRule type="expression" dxfId="1250" priority="715">
      <formula>#REF!="*01월*"</formula>
    </cfRule>
  </conditionalFormatting>
  <conditionalFormatting sqref="B78">
    <cfRule type="expression" dxfId="1249" priority="7">
      <formula>$E81="*01월*"</formula>
    </cfRule>
  </conditionalFormatting>
  <conditionalFormatting sqref="B16:D22">
    <cfRule type="expression" dxfId="1248" priority="19">
      <formula>#REF!="*01월*"</formula>
    </cfRule>
  </conditionalFormatting>
  <conditionalFormatting sqref="B36:E37">
    <cfRule type="expression" dxfId="1247" priority="79">
      <formula>#REF!="*01월*"</formula>
    </cfRule>
  </conditionalFormatting>
  <conditionalFormatting sqref="B45:E45 G45:J45">
    <cfRule type="expression" dxfId="1246" priority="30">
      <formula>$E48="*01월*"</formula>
    </cfRule>
  </conditionalFormatting>
  <conditionalFormatting sqref="B48:E48 G48:J48">
    <cfRule type="expression" dxfId="1245" priority="55">
      <formula>$E56="*01월*"</formula>
    </cfRule>
  </conditionalFormatting>
  <conditionalFormatting sqref="B24:F34">
    <cfRule type="expression" dxfId="1244" priority="31">
      <formula>#REF!="*01월*"</formula>
    </cfRule>
  </conditionalFormatting>
  <conditionalFormatting sqref="B39:F41">
    <cfRule type="expression" dxfId="1243" priority="9">
      <formula>#REF!="*01월*"</formula>
    </cfRule>
  </conditionalFormatting>
  <conditionalFormatting sqref="B12:J14">
    <cfRule type="expression" dxfId="1242" priority="59">
      <formula>#REF!="*01월*"</formula>
    </cfRule>
  </conditionalFormatting>
  <conditionalFormatting sqref="B64:J73">
    <cfRule type="expression" dxfId="1241" priority="52">
      <formula>#REF!="*01월*"</formula>
    </cfRule>
  </conditionalFormatting>
  <conditionalFormatting sqref="C22 G22:G23 I22:J23 A23 B49">
    <cfRule type="expression" dxfId="1240" priority="71">
      <formula>$E23="*01월*"</formula>
    </cfRule>
  </conditionalFormatting>
  <conditionalFormatting sqref="C39:D41 G39:G41">
    <cfRule type="expression" dxfId="1239" priority="15">
      <formula>$E42="*01월*"</formula>
    </cfRule>
  </conditionalFormatting>
  <conditionalFormatting sqref="C91:D95">
    <cfRule type="expression" dxfId="1238" priority="73">
      <formula>$E93="*01월*"</formula>
    </cfRule>
  </conditionalFormatting>
  <conditionalFormatting sqref="C78:E78 I78:J78">
    <cfRule type="expression" dxfId="1237" priority="709">
      <formula>$E85="*01월*"</formula>
    </cfRule>
  </conditionalFormatting>
  <conditionalFormatting sqref="D22:E22">
    <cfRule type="expression" dxfId="1236" priority="46">
      <formula>#REF!="*01월*"</formula>
    </cfRule>
  </conditionalFormatting>
  <conditionalFormatting sqref="E16:E21">
    <cfRule type="expression" dxfId="1235" priority="706">
      <formula>#REF!="*01월*"</formula>
    </cfRule>
  </conditionalFormatting>
  <conditionalFormatting sqref="E17:E19">
    <cfRule type="expression" dxfId="1234" priority="713">
      <formula>$E22="*01월*"</formula>
    </cfRule>
  </conditionalFormatting>
  <conditionalFormatting sqref="E22">
    <cfRule type="expression" dxfId="1233" priority="92">
      <formula>$E34="*01월*"</formula>
    </cfRule>
  </conditionalFormatting>
  <conditionalFormatting sqref="E39:E41">
    <cfRule type="expression" dxfId="1232" priority="14">
      <formula>$E41="*01월*"</formula>
    </cfRule>
  </conditionalFormatting>
  <conditionalFormatting sqref="F36:F37">
    <cfRule type="expression" dxfId="1231" priority="27">
      <formula>$E43="*01월*"</formula>
    </cfRule>
  </conditionalFormatting>
  <conditionalFormatting sqref="F43">
    <cfRule type="expression" dxfId="1230" priority="65">
      <formula>#REF!="*01월*"</formula>
    </cfRule>
  </conditionalFormatting>
  <conditionalFormatting sqref="F45">
    <cfRule type="expression" dxfId="1229" priority="29">
      <formula>#REF!="*01월*"</formula>
    </cfRule>
  </conditionalFormatting>
  <conditionalFormatting sqref="F60:F62">
    <cfRule type="expression" dxfId="1228" priority="60">
      <formula>#REF!="*01월*"</formula>
    </cfRule>
  </conditionalFormatting>
  <conditionalFormatting sqref="F16:J22">
    <cfRule type="expression" dxfId="1227" priority="18">
      <formula>#REF!="*01월*"</formula>
    </cfRule>
  </conditionalFormatting>
  <conditionalFormatting sqref="G52:G58">
    <cfRule type="expression" dxfId="1226" priority="49">
      <formula>#REF!="*01월*"</formula>
    </cfRule>
  </conditionalFormatting>
  <conditionalFormatting sqref="G59 I59:J59">
    <cfRule type="expression" dxfId="1225" priority="78">
      <formula>$E63="*01월*"</formula>
    </cfRule>
  </conditionalFormatting>
  <conditionalFormatting sqref="G15:J15">
    <cfRule type="expression" dxfId="1224" priority="28">
      <formula>#REF!="*01월*"</formula>
    </cfRule>
  </conditionalFormatting>
  <conditionalFormatting sqref="G24:J41">
    <cfRule type="expression" dxfId="1223" priority="2">
      <formula>#REF!="*01월*"</formula>
    </cfRule>
  </conditionalFormatting>
  <conditionalFormatting sqref="G46:J46">
    <cfRule type="expression" dxfId="1222" priority="53">
      <formula>#REF!="*01월*"</formula>
    </cfRule>
  </conditionalFormatting>
  <conditionalFormatting sqref="G49:J58">
    <cfRule type="expression" dxfId="1221" priority="50">
      <formula>#REF!="*01월*"</formula>
    </cfRule>
  </conditionalFormatting>
  <conditionalFormatting sqref="G74:J74">
    <cfRule type="expression" dxfId="1220" priority="74">
      <formula>$E79="*01월*"</formula>
    </cfRule>
  </conditionalFormatting>
  <conditionalFormatting sqref="H22:H23">
    <cfRule type="expression" dxfId="1219" priority="4">
      <formula>#REF!="*01월*"</formula>
    </cfRule>
  </conditionalFormatting>
  <conditionalFormatting sqref="H52:H55">
    <cfRule type="expression" dxfId="1218" priority="710">
      <formula>$E59="*01월*"</formula>
    </cfRule>
  </conditionalFormatting>
  <conditionalFormatting sqref="H56:H58 G60:G61 A74:A75 C75:E75 H75:J75">
    <cfRule type="expression" dxfId="1217" priority="61">
      <formula>$E61="*01월*"</formula>
    </cfRule>
  </conditionalFormatting>
  <conditionalFormatting sqref="H59">
    <cfRule type="expression" dxfId="1216" priority="1">
      <formula>#REF!="*01월*"</formula>
    </cfRule>
  </conditionalFormatting>
  <conditionalFormatting sqref="H78">
    <cfRule type="expression" dxfId="1215" priority="6">
      <formula>$E84="*01월*"</formula>
    </cfRule>
    <cfRule type="expression" dxfId="1214" priority="5">
      <formula>#REF!="*01월*"</formula>
    </cfRule>
  </conditionalFormatting>
  <conditionalFormatting sqref="I52:J58">
    <cfRule type="expression" dxfId="1213" priority="88">
      <formula>#REF!="*01월*"</formula>
    </cfRule>
  </conditionalFormatting>
  <conditionalFormatting sqref="J90 F90:F94">
    <cfRule type="expression" dxfId="1212" priority="62">
      <formula>$E92="*01월*"</formula>
    </cfRule>
  </conditionalFormatting>
  <printOptions horizontalCentered="1"/>
  <pageMargins left="0" right="0" top="0.72" bottom="0.23" header="0" footer="0"/>
  <pageSetup paperSize="9" scale="43" fitToHeight="0" orientation="portrait" r:id="rId1"/>
  <rowBreaks count="1" manualBreakCount="1">
    <brk id="73" max="9" man="1"/>
  </rowBreaks>
  <colBreaks count="1" manualBreakCount="1">
    <brk id="9" max="89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E13:L19"/>
  <sheetViews>
    <sheetView workbookViewId="0">
      <selection activeCell="O19" sqref="O19"/>
    </sheetView>
  </sheetViews>
  <sheetFormatPr defaultRowHeight="17.399999999999999"/>
  <sheetData>
    <row r="13" spans="5:12">
      <c r="E13" s="2070" t="s">
        <v>2034</v>
      </c>
      <c r="F13" s="2070"/>
      <c r="G13" s="2070" t="s">
        <v>2034</v>
      </c>
      <c r="H13" s="2070"/>
      <c r="I13" s="2070" t="s">
        <v>2035</v>
      </c>
      <c r="J13" s="2070"/>
      <c r="K13" s="2070" t="s">
        <v>2036</v>
      </c>
      <c r="L13" s="2070"/>
    </row>
    <row r="14" spans="5:12">
      <c r="E14" s="2070"/>
      <c r="F14" s="2070"/>
      <c r="G14" s="2070"/>
      <c r="H14" s="2070"/>
      <c r="I14" s="2070"/>
      <c r="J14" s="2070"/>
      <c r="K14" s="2071"/>
      <c r="L14" s="2072"/>
    </row>
    <row r="15" spans="5:12">
      <c r="E15" s="2070"/>
      <c r="F15" s="2070"/>
      <c r="G15" s="2070"/>
      <c r="H15" s="2070"/>
      <c r="I15" s="2070"/>
      <c r="J15" s="2070"/>
      <c r="K15" s="2073"/>
      <c r="L15" s="2074"/>
    </row>
    <row r="16" spans="5:12">
      <c r="E16" s="2070"/>
      <c r="F16" s="2070"/>
      <c r="G16" s="2070"/>
      <c r="H16" s="2070"/>
      <c r="I16" s="2070"/>
      <c r="J16" s="2070"/>
      <c r="K16" s="2073"/>
      <c r="L16" s="2074"/>
    </row>
    <row r="17" spans="5:12">
      <c r="E17" s="2070"/>
      <c r="F17" s="2070"/>
      <c r="G17" s="2070"/>
      <c r="H17" s="2070"/>
      <c r="I17" s="2070"/>
      <c r="J17" s="2070"/>
      <c r="K17" s="2073"/>
      <c r="L17" s="2074"/>
    </row>
    <row r="18" spans="5:12">
      <c r="E18" s="2070"/>
      <c r="F18" s="2070"/>
      <c r="G18" s="2070"/>
      <c r="H18" s="2070"/>
      <c r="I18" s="2070"/>
      <c r="J18" s="2070"/>
      <c r="K18" s="2073"/>
      <c r="L18" s="2074"/>
    </row>
    <row r="19" spans="5:12">
      <c r="E19" s="2070"/>
      <c r="F19" s="2070"/>
      <c r="G19" s="2070"/>
      <c r="H19" s="2070"/>
      <c r="I19" s="2070"/>
      <c r="J19" s="2070"/>
      <c r="K19" s="2075"/>
      <c r="L19" s="2076"/>
    </row>
  </sheetData>
  <mergeCells count="8">
    <mergeCell ref="E13:F13"/>
    <mergeCell ref="G13:H13"/>
    <mergeCell ref="I13:J13"/>
    <mergeCell ref="K13:L13"/>
    <mergeCell ref="E14:F19"/>
    <mergeCell ref="G14:H19"/>
    <mergeCell ref="I14:J19"/>
    <mergeCell ref="K14:L19"/>
  </mergeCells>
  <phoneticPr fontId="2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pageSetUpPr fitToPage="1"/>
  </sheetPr>
  <dimension ref="A2:R100"/>
  <sheetViews>
    <sheetView view="pageBreakPreview" zoomScale="70" zoomScaleNormal="70" zoomScaleSheetLayoutView="70" workbookViewId="0">
      <pane xSplit="1" ySplit="11" topLeftCell="B78" activePane="bottomRight" state="frozen"/>
      <selection activeCell="I26" sqref="I26"/>
      <selection pane="topRight" activeCell="I26" sqref="I26"/>
      <selection pane="bottomLeft" activeCell="I26" sqref="I26"/>
      <selection pane="bottomRight" activeCell="H86" sqref="H86"/>
    </sheetView>
  </sheetViews>
  <sheetFormatPr defaultRowHeight="25.2"/>
  <cols>
    <col min="1" max="1" width="23.3984375" customWidth="1"/>
    <col min="2" max="2" width="22.8984375" customWidth="1"/>
    <col min="3" max="3" width="29.09765625" customWidth="1"/>
    <col min="4" max="4" width="29.09765625" hidden="1" customWidth="1"/>
    <col min="5" max="5" width="21" customWidth="1"/>
    <col min="6" max="6" width="18.69921875" customWidth="1"/>
    <col min="7" max="7" width="25.69921875" style="47" customWidth="1"/>
    <col min="8" max="8" width="26.5" customWidth="1"/>
    <col min="9" max="9" width="25.09765625" customWidth="1"/>
    <col min="10" max="10" width="29.19921875" customWidth="1"/>
    <col min="11" max="11" width="17.59765625" style="24" bestFit="1" customWidth="1"/>
    <col min="12" max="12" width="7.5" style="24" customWidth="1"/>
    <col min="13" max="17" width="17.09765625" style="434" customWidth="1"/>
    <col min="18" max="18" width="9" style="441"/>
  </cols>
  <sheetData>
    <row r="2" spans="1:18" ht="25.8" thickBot="1"/>
    <row r="3" spans="1:18" ht="21.75" customHeight="1" thickTop="1">
      <c r="L3" s="2058" t="s">
        <v>2041</v>
      </c>
      <c r="M3" s="2082" t="s">
        <v>2034</v>
      </c>
      <c r="N3" s="2084" t="s">
        <v>2034</v>
      </c>
      <c r="O3" s="2084" t="s">
        <v>2035</v>
      </c>
      <c r="P3" s="2084" t="s">
        <v>2063</v>
      </c>
      <c r="Q3" s="2086" t="s">
        <v>2036</v>
      </c>
    </row>
    <row r="4" spans="1:18" ht="19.5" customHeight="1">
      <c r="L4" s="2080"/>
      <c r="M4" s="2083"/>
      <c r="N4" s="2085"/>
      <c r="O4" s="2085"/>
      <c r="P4" s="2085"/>
      <c r="Q4" s="2087"/>
    </row>
    <row r="5" spans="1:18" ht="19.5" customHeight="1">
      <c r="A5" s="2020" t="s">
        <v>2071</v>
      </c>
      <c r="B5" s="2020"/>
      <c r="C5" s="2020"/>
      <c r="D5" s="2020"/>
      <c r="E5" s="2020"/>
      <c r="F5" s="2020"/>
      <c r="G5" s="2020"/>
      <c r="H5" s="1"/>
      <c r="I5" s="1"/>
      <c r="J5" s="1"/>
      <c r="L5" s="2080"/>
      <c r="M5" s="2091"/>
      <c r="N5" s="2088"/>
      <c r="O5" s="2088"/>
      <c r="P5" s="2088"/>
      <c r="Q5" s="2077"/>
    </row>
    <row r="6" spans="1:18" ht="19.5" customHeight="1">
      <c r="A6" s="2020"/>
      <c r="B6" s="2020"/>
      <c r="C6" s="2020"/>
      <c r="D6" s="2020"/>
      <c r="E6" s="2020"/>
      <c r="F6" s="2020"/>
      <c r="G6" s="2020"/>
      <c r="H6" s="1"/>
      <c r="I6" s="1"/>
      <c r="J6" s="1"/>
      <c r="L6" s="2080"/>
      <c r="M6" s="2092"/>
      <c r="N6" s="2089"/>
      <c r="O6" s="2089"/>
      <c r="P6" s="2089"/>
      <c r="Q6" s="2078"/>
    </row>
    <row r="7" spans="1:18" ht="19.5" customHeight="1">
      <c r="A7" s="2020"/>
      <c r="B7" s="2020"/>
      <c r="C7" s="2020"/>
      <c r="D7" s="2020"/>
      <c r="E7" s="2020"/>
      <c r="F7" s="2020"/>
      <c r="G7" s="2020"/>
      <c r="H7" s="1"/>
      <c r="I7" s="1"/>
      <c r="J7" s="1"/>
      <c r="L7" s="2080"/>
      <c r="M7" s="2092"/>
      <c r="N7" s="2089"/>
      <c r="O7" s="2089"/>
      <c r="P7" s="2089"/>
      <c r="Q7" s="2078"/>
    </row>
    <row r="8" spans="1:18" ht="19.5" customHeight="1">
      <c r="A8" s="2020"/>
      <c r="B8" s="2020"/>
      <c r="C8" s="2020"/>
      <c r="D8" s="2020"/>
      <c r="E8" s="2020"/>
      <c r="F8" s="2020"/>
      <c r="G8" s="2020"/>
      <c r="H8" s="2"/>
      <c r="I8" s="2"/>
      <c r="J8" s="2"/>
      <c r="L8" s="2080"/>
      <c r="M8" s="2092"/>
      <c r="N8" s="2089"/>
      <c r="O8" s="2089"/>
      <c r="P8" s="2089"/>
      <c r="Q8" s="2078"/>
    </row>
    <row r="9" spans="1:18" ht="19.5" customHeight="1" thickBot="1">
      <c r="A9" s="2052"/>
      <c r="B9" s="2052"/>
      <c r="C9" s="2052"/>
      <c r="D9" s="2052"/>
      <c r="E9" s="2052"/>
      <c r="F9" s="2052"/>
      <c r="G9" s="2052"/>
      <c r="H9" s="2"/>
      <c r="I9" s="2"/>
      <c r="J9" s="2"/>
      <c r="L9" s="2081"/>
      <c r="M9" s="2093"/>
      <c r="N9" s="2090"/>
      <c r="O9" s="2090"/>
      <c r="P9" s="2090"/>
      <c r="Q9" s="2079"/>
    </row>
    <row r="10" spans="1:18" ht="23.25" customHeight="1">
      <c r="A10" s="2021" t="s">
        <v>0</v>
      </c>
      <c r="B10" s="2023" t="s">
        <v>1</v>
      </c>
      <c r="C10" s="2024" t="s">
        <v>2</v>
      </c>
      <c r="D10" s="2024" t="s">
        <v>1222</v>
      </c>
      <c r="E10" s="2024" t="s">
        <v>3</v>
      </c>
      <c r="F10" s="2025" t="s">
        <v>4</v>
      </c>
      <c r="G10" s="2026" t="s">
        <v>5</v>
      </c>
      <c r="H10" s="2027"/>
      <c r="I10" s="2027"/>
      <c r="J10" s="2028"/>
    </row>
    <row r="11" spans="1:18" ht="23.25" customHeight="1">
      <c r="A11" s="2022"/>
      <c r="B11" s="2003"/>
      <c r="C11" s="2004"/>
      <c r="D11" s="2004"/>
      <c r="E11" s="2004"/>
      <c r="F11" s="2005"/>
      <c r="G11" s="82" t="s">
        <v>6</v>
      </c>
      <c r="H11" s="3" t="s">
        <v>7</v>
      </c>
      <c r="I11" s="3" t="s">
        <v>101</v>
      </c>
      <c r="J11" s="271" t="s">
        <v>8</v>
      </c>
    </row>
    <row r="12" spans="1:18" s="97" customFormat="1" ht="27" customHeight="1">
      <c r="A12" s="2010" t="s">
        <v>9</v>
      </c>
      <c r="B12" s="88" t="s">
        <v>2072</v>
      </c>
      <c r="C12" s="89" t="s">
        <v>2073</v>
      </c>
      <c r="D12" s="89"/>
      <c r="E12" s="90">
        <v>45640</v>
      </c>
      <c r="F12" s="91">
        <f>VLOOKUP(E12,[1]환율!$A$1798:$B$2194,2,)</f>
        <v>1431.5</v>
      </c>
      <c r="G12" s="92">
        <v>405454.75</v>
      </c>
      <c r="H12" s="93">
        <f t="shared" ref="H12:H27" si="0">ROUNDDOWN(G12*F12,0)</f>
        <v>580408474</v>
      </c>
      <c r="I12" s="94" ph="1"/>
      <c r="J12" s="254"/>
      <c r="K12" s="364"/>
      <c r="L12" s="364"/>
      <c r="M12" s="434"/>
      <c r="N12" s="434"/>
      <c r="O12" s="434"/>
      <c r="P12" s="434"/>
      <c r="Q12" s="434"/>
      <c r="R12" s="441"/>
    </row>
    <row r="13" spans="1:18" s="97" customFormat="1" ht="27" customHeight="1">
      <c r="A13" s="2011"/>
      <c r="B13" s="88" t="s">
        <v>2074</v>
      </c>
      <c r="C13" s="89" t="s">
        <v>2075</v>
      </c>
      <c r="D13" s="89"/>
      <c r="E13" s="90">
        <v>45650</v>
      </c>
      <c r="F13" s="91">
        <f>VLOOKUP(E13,[1]환율!$A$1798:$B$2194,2,)</f>
        <v>1449.3</v>
      </c>
      <c r="G13" s="92">
        <v>403801.54</v>
      </c>
      <c r="H13" s="93">
        <f t="shared" si="0"/>
        <v>585229571</v>
      </c>
      <c r="I13" s="363" ph="1"/>
      <c r="J13" s="254"/>
      <c r="K13" s="401"/>
      <c r="L13" s="401"/>
      <c r="M13" s="434"/>
      <c r="N13" s="434"/>
      <c r="O13" s="434"/>
      <c r="P13" s="434"/>
      <c r="Q13" s="434"/>
      <c r="R13" s="441"/>
    </row>
    <row r="14" spans="1:18" s="97" customFormat="1" ht="27" customHeight="1">
      <c r="A14" s="2011"/>
      <c r="B14" s="106" t="s">
        <v>2076</v>
      </c>
      <c r="C14" s="107"/>
      <c r="D14" s="107"/>
      <c r="E14" s="179">
        <v>45637</v>
      </c>
      <c r="F14" s="109">
        <f>VLOOKUP(E14,[1]환율!$A$1798:$B$3000,2,)</f>
        <v>1428.1</v>
      </c>
      <c r="G14" s="110">
        <v>18600</v>
      </c>
      <c r="H14" s="111">
        <f t="shared" si="0"/>
        <v>26562660</v>
      </c>
      <c r="I14" s="431" ph="1"/>
      <c r="J14" s="273"/>
      <c r="K14" s="401"/>
      <c r="L14" s="401"/>
      <c r="M14" s="434"/>
      <c r="N14" s="434"/>
      <c r="O14" s="434"/>
      <c r="P14" s="434"/>
      <c r="Q14" s="434"/>
      <c r="R14" s="441"/>
    </row>
    <row r="15" spans="1:18" s="97" customFormat="1" ht="27" customHeight="1">
      <c r="A15" s="2011"/>
      <c r="B15" s="106" t="s">
        <v>2077</v>
      </c>
      <c r="C15" s="107"/>
      <c r="D15" s="107"/>
      <c r="E15" s="179">
        <v>45637</v>
      </c>
      <c r="F15" s="109">
        <f>VLOOKUP(E15,[1]환율!$A$1798:$B$3000,2,)</f>
        <v>1428.1</v>
      </c>
      <c r="G15" s="110">
        <v>15700</v>
      </c>
      <c r="H15" s="111">
        <f t="shared" si="0"/>
        <v>22421170</v>
      </c>
      <c r="I15" s="431" ph="1"/>
      <c r="J15" s="273"/>
      <c r="K15" s="401"/>
      <c r="L15" s="401"/>
      <c r="M15" s="434"/>
      <c r="N15" s="434"/>
      <c r="O15" s="434"/>
      <c r="P15" s="434"/>
      <c r="Q15" s="434"/>
      <c r="R15" s="441"/>
    </row>
    <row r="16" spans="1:18" s="97" customFormat="1" ht="27" customHeight="1">
      <c r="A16" s="2011"/>
      <c r="B16" s="106" t="s">
        <v>2078</v>
      </c>
      <c r="C16" s="107"/>
      <c r="D16" s="107"/>
      <c r="E16" s="179">
        <v>45637</v>
      </c>
      <c r="F16" s="109">
        <f>VLOOKUP(E16,[1]환율!$A$1798:$B$3000,2,)</f>
        <v>1428.1</v>
      </c>
      <c r="G16" s="110">
        <v>49750</v>
      </c>
      <c r="H16" s="111">
        <f t="shared" si="0"/>
        <v>71047975</v>
      </c>
      <c r="I16" s="431" ph="1"/>
      <c r="J16" s="273"/>
      <c r="K16" s="401"/>
      <c r="L16" s="401"/>
      <c r="M16" s="434"/>
      <c r="N16" s="434"/>
      <c r="O16" s="434"/>
      <c r="P16" s="434"/>
      <c r="Q16" s="434"/>
      <c r="R16" s="441"/>
    </row>
    <row r="17" spans="1:18" s="97" customFormat="1" ht="27" customHeight="1">
      <c r="A17" s="2011"/>
      <c r="B17" s="106" t="s">
        <v>2079</v>
      </c>
      <c r="C17" s="107"/>
      <c r="D17" s="107"/>
      <c r="E17" s="179">
        <v>45637</v>
      </c>
      <c r="F17" s="109">
        <f>VLOOKUP(E17,[1]환율!$A$1798:$B$3000,2,)</f>
        <v>1428.1</v>
      </c>
      <c r="G17" s="110">
        <v>21200</v>
      </c>
      <c r="H17" s="111">
        <f t="shared" si="0"/>
        <v>30275720</v>
      </c>
      <c r="I17" s="431" ph="1"/>
      <c r="J17" s="273"/>
      <c r="K17" s="401"/>
      <c r="L17" s="401"/>
      <c r="M17" s="434"/>
      <c r="N17" s="434"/>
      <c r="O17" s="434"/>
      <c r="P17" s="434"/>
      <c r="Q17" s="434"/>
      <c r="R17" s="441"/>
    </row>
    <row r="18" spans="1:18" s="97" customFormat="1" ht="27" customHeight="1">
      <c r="A18" s="2011"/>
      <c r="B18" s="106" t="s">
        <v>2080</v>
      </c>
      <c r="C18" s="107"/>
      <c r="D18" s="107"/>
      <c r="E18" s="179">
        <v>45637</v>
      </c>
      <c r="F18" s="109">
        <f>VLOOKUP(E18,[1]환율!$A$1798:$B$3000,2,)</f>
        <v>1428.1</v>
      </c>
      <c r="G18" s="110">
        <v>33632</v>
      </c>
      <c r="H18" s="111">
        <f t="shared" si="0"/>
        <v>48029859</v>
      </c>
      <c r="I18" s="431" ph="1"/>
      <c r="J18" s="273"/>
      <c r="K18" s="401"/>
      <c r="L18" s="401"/>
      <c r="M18" s="434"/>
      <c r="N18" s="434"/>
      <c r="O18" s="434"/>
      <c r="P18" s="434"/>
      <c r="Q18" s="434"/>
      <c r="R18" s="441"/>
    </row>
    <row r="19" spans="1:18" s="97" customFormat="1" ht="27" customHeight="1">
      <c r="A19" s="2011"/>
      <c r="B19" s="106" t="s">
        <v>2081</v>
      </c>
      <c r="C19" s="106"/>
      <c r="D19" s="106"/>
      <c r="E19" s="179">
        <v>45637</v>
      </c>
      <c r="F19" s="109">
        <f>VLOOKUP(E19,[1]환율!$A$1798:$B$3000,2,)</f>
        <v>1428.1</v>
      </c>
      <c r="G19" s="110">
        <v>27300</v>
      </c>
      <c r="H19" s="111">
        <f t="shared" si="0"/>
        <v>38987130</v>
      </c>
      <c r="I19" s="106"/>
      <c r="J19" s="106"/>
      <c r="K19" s="401"/>
      <c r="L19" s="401"/>
      <c r="M19" s="434"/>
      <c r="N19" s="434"/>
      <c r="O19" s="434"/>
      <c r="P19" s="434"/>
      <c r="Q19" s="434"/>
      <c r="R19" s="441"/>
    </row>
    <row r="20" spans="1:18" s="97" customFormat="1" ht="27" customHeight="1">
      <c r="A20" s="2011"/>
      <c r="B20" s="106" t="s">
        <v>2082</v>
      </c>
      <c r="C20" s="106"/>
      <c r="D20" s="106"/>
      <c r="E20" s="179">
        <v>45637</v>
      </c>
      <c r="F20" s="109">
        <f>VLOOKUP(E20,[1]환율!$A$1798:$B$3000,2,)</f>
        <v>1428.1</v>
      </c>
      <c r="G20" s="110">
        <v>37232</v>
      </c>
      <c r="H20" s="111">
        <f t="shared" si="0"/>
        <v>53171019</v>
      </c>
      <c r="I20" s="106"/>
      <c r="J20" s="106"/>
      <c r="K20" s="401"/>
      <c r="L20" s="401"/>
      <c r="M20" s="434"/>
      <c r="N20" s="434"/>
      <c r="O20" s="434"/>
      <c r="P20" s="434"/>
      <c r="Q20" s="434"/>
      <c r="R20" s="441"/>
    </row>
    <row r="21" spans="1:18" s="97" customFormat="1" ht="27" customHeight="1">
      <c r="A21" s="2011"/>
      <c r="B21" s="106" t="s">
        <v>2083</v>
      </c>
      <c r="C21" s="106"/>
      <c r="D21" s="106"/>
      <c r="E21" s="179">
        <v>45637</v>
      </c>
      <c r="F21" s="109">
        <f>VLOOKUP(E21,[1]환율!$A$1798:$B$3000,2,)</f>
        <v>1428.1</v>
      </c>
      <c r="G21" s="110">
        <v>31450</v>
      </c>
      <c r="H21" s="111">
        <f t="shared" si="0"/>
        <v>44913745</v>
      </c>
      <c r="I21" s="106"/>
      <c r="J21" s="106"/>
      <c r="K21" s="401"/>
      <c r="L21" s="401"/>
      <c r="M21" s="434"/>
      <c r="N21" s="434"/>
      <c r="O21" s="434"/>
      <c r="P21" s="434"/>
      <c r="Q21" s="434"/>
      <c r="R21" s="441"/>
    </row>
    <row r="22" spans="1:18" s="97" customFormat="1" ht="27" customHeight="1">
      <c r="A22" s="2011"/>
      <c r="B22" s="106" t="s">
        <v>2084</v>
      </c>
      <c r="C22" s="106"/>
      <c r="D22" s="106"/>
      <c r="E22" s="179">
        <v>45637</v>
      </c>
      <c r="F22" s="109">
        <f>VLOOKUP(E22,[1]환율!$A$1798:$B$3000,2,)</f>
        <v>1428.1</v>
      </c>
      <c r="G22" s="110">
        <v>11850</v>
      </c>
      <c r="H22" s="111">
        <f t="shared" si="0"/>
        <v>16922985</v>
      </c>
      <c r="I22" s="106"/>
      <c r="J22" s="106"/>
      <c r="K22" s="401"/>
      <c r="L22" s="401"/>
      <c r="M22" s="434"/>
      <c r="N22" s="434"/>
      <c r="O22" s="434"/>
      <c r="P22" s="434"/>
      <c r="Q22" s="434"/>
      <c r="R22" s="441"/>
    </row>
    <row r="23" spans="1:18" s="97" customFormat="1" ht="27" customHeight="1">
      <c r="A23" s="2011"/>
      <c r="B23" s="106" t="s">
        <v>2085</v>
      </c>
      <c r="C23" s="106"/>
      <c r="D23" s="106"/>
      <c r="E23" s="179">
        <v>45637</v>
      </c>
      <c r="F23" s="109">
        <f>VLOOKUP(E23,[1]환율!$A$1798:$B$3000,2,)</f>
        <v>1428.1</v>
      </c>
      <c r="G23" s="110">
        <v>10700</v>
      </c>
      <c r="H23" s="111">
        <f t="shared" si="0"/>
        <v>15280670</v>
      </c>
      <c r="I23" s="106"/>
      <c r="J23" s="106"/>
      <c r="K23" s="401"/>
      <c r="L23" s="401"/>
      <c r="M23" s="434"/>
      <c r="N23" s="434"/>
      <c r="O23" s="434"/>
      <c r="P23" s="434"/>
      <c r="Q23" s="434"/>
      <c r="R23" s="441"/>
    </row>
    <row r="24" spans="1:18" s="97" customFormat="1" ht="27" customHeight="1">
      <c r="A24" s="2011"/>
      <c r="B24" s="106" t="s">
        <v>2086</v>
      </c>
      <c r="C24" s="106"/>
      <c r="D24" s="106"/>
      <c r="E24" s="179">
        <v>45637</v>
      </c>
      <c r="F24" s="109">
        <f>VLOOKUP(E24,[1]환율!$A$1798:$B$3000,2,)</f>
        <v>1428.1</v>
      </c>
      <c r="G24" s="110">
        <v>14150</v>
      </c>
      <c r="H24" s="111">
        <f t="shared" si="0"/>
        <v>20207615</v>
      </c>
      <c r="I24" s="106"/>
      <c r="J24" s="106"/>
      <c r="K24" s="401"/>
      <c r="L24" s="401"/>
      <c r="M24" s="434"/>
      <c r="N24" s="434"/>
      <c r="O24" s="434"/>
      <c r="P24" s="434"/>
      <c r="Q24" s="434"/>
      <c r="R24" s="441"/>
    </row>
    <row r="25" spans="1:18" s="97" customFormat="1" ht="27" customHeight="1">
      <c r="A25" s="2011"/>
      <c r="B25" s="106" t="s">
        <v>2087</v>
      </c>
      <c r="C25" s="106"/>
      <c r="D25" s="106"/>
      <c r="E25" s="179">
        <v>45637</v>
      </c>
      <c r="F25" s="109">
        <f>VLOOKUP(E25,[1]환율!$A$1798:$B$3000,2,)</f>
        <v>1428.1</v>
      </c>
      <c r="G25" s="110">
        <v>10700</v>
      </c>
      <c r="H25" s="111">
        <f t="shared" si="0"/>
        <v>15280670</v>
      </c>
      <c r="I25" s="106"/>
      <c r="J25" s="106"/>
      <c r="K25" s="401"/>
      <c r="L25" s="401"/>
      <c r="M25" s="434"/>
      <c r="N25" s="434"/>
      <c r="O25" s="434"/>
      <c r="P25" s="434"/>
      <c r="Q25" s="434"/>
      <c r="R25" s="441"/>
    </row>
    <row r="26" spans="1:18" s="97" customFormat="1" ht="27" customHeight="1">
      <c r="A26" s="2011"/>
      <c r="B26" s="106" t="s">
        <v>2088</v>
      </c>
      <c r="C26" s="106"/>
      <c r="D26" s="106"/>
      <c r="E26" s="179">
        <v>45637</v>
      </c>
      <c r="F26" s="109">
        <f>VLOOKUP(E26,[1]환율!$A$1798:$B$3000,2,)</f>
        <v>1428.1</v>
      </c>
      <c r="G26" s="110">
        <v>28950</v>
      </c>
      <c r="H26" s="111">
        <f t="shared" si="0"/>
        <v>41343495</v>
      </c>
      <c r="I26" s="106"/>
      <c r="J26" s="106"/>
      <c r="K26" s="401"/>
      <c r="L26" s="401"/>
      <c r="M26" s="434"/>
      <c r="N26" s="434"/>
      <c r="O26" s="434"/>
      <c r="P26" s="434"/>
      <c r="Q26" s="434"/>
      <c r="R26" s="441"/>
    </row>
    <row r="27" spans="1:18" s="97" customFormat="1" ht="27" customHeight="1">
      <c r="A27" s="2019"/>
      <c r="B27" s="99" t="s">
        <v>2089</v>
      </c>
      <c r="C27" s="100" t="s">
        <v>2090</v>
      </c>
      <c r="D27" s="100"/>
      <c r="E27" s="101">
        <v>45669</v>
      </c>
      <c r="F27" s="102">
        <f>VLOOKUP(E27,환율!$A$1798:$B$3001,2,)</f>
        <v>1458.2</v>
      </c>
      <c r="G27" s="103">
        <v>422161.91</v>
      </c>
      <c r="H27" s="104">
        <f t="shared" si="0"/>
        <v>615596497</v>
      </c>
      <c r="I27" s="353" ph="1"/>
      <c r="J27" s="272"/>
      <c r="K27" s="401"/>
      <c r="L27" s="401"/>
      <c r="M27" s="434"/>
      <c r="N27" s="434"/>
      <c r="O27" s="434"/>
      <c r="P27" s="434"/>
      <c r="Q27" s="434"/>
      <c r="R27" s="441"/>
    </row>
    <row r="28" spans="1:18" s="97" customFormat="1" ht="27" customHeight="1">
      <c r="A28" s="2035" t="s">
        <v>10</v>
      </c>
      <c r="B28" s="2036"/>
      <c r="C28" s="2036"/>
      <c r="D28" s="2036"/>
      <c r="E28" s="2036"/>
      <c r="F28" s="2037"/>
      <c r="G28" s="449">
        <f>SUM(G12:G27)</f>
        <v>1542632.2</v>
      </c>
      <c r="H28" s="116">
        <f>SUM(H12:H27)</f>
        <v>2225679255</v>
      </c>
      <c r="I28" s="116">
        <v>1741687388</v>
      </c>
      <c r="J28" s="260">
        <f>+H28-I28</f>
        <v>483991867</v>
      </c>
      <c r="K28" s="364"/>
      <c r="L28" s="364"/>
      <c r="M28" s="434"/>
      <c r="N28" s="434"/>
      <c r="O28" s="434"/>
      <c r="P28" s="434"/>
      <c r="Q28" s="434"/>
      <c r="R28" s="441"/>
    </row>
    <row r="29" spans="1:18" s="97" customFormat="1" ht="27" customHeight="1">
      <c r="A29" s="2010" t="s">
        <v>2022</v>
      </c>
      <c r="B29" s="117" t="s">
        <v>2048</v>
      </c>
      <c r="C29" s="89" t="s">
        <v>2049</v>
      </c>
      <c r="D29" s="319"/>
      <c r="E29" s="90">
        <v>45652</v>
      </c>
      <c r="F29" s="91">
        <f>VLOOKUP(E29,[1]환율!$A$1798:$B$3000,2,)</f>
        <v>1453.6</v>
      </c>
      <c r="G29" s="118">
        <v>85959.18</v>
      </c>
      <c r="H29" s="93">
        <f t="shared" ref="H29:H38" si="1">ROUNDDOWN(G29*F29,0)</f>
        <v>124950264</v>
      </c>
      <c r="I29" s="119"/>
      <c r="J29" s="254"/>
      <c r="K29" s="364"/>
      <c r="L29" s="364"/>
      <c r="M29" s="434"/>
      <c r="N29" s="434"/>
      <c r="O29" s="434"/>
      <c r="P29" s="434"/>
      <c r="Q29" s="434"/>
      <c r="R29" s="441"/>
    </row>
    <row r="30" spans="1:18" s="120" customFormat="1" ht="27" customHeight="1">
      <c r="A30" s="2011"/>
      <c r="B30" s="117" t="s">
        <v>2052</v>
      </c>
      <c r="C30" s="89" t="s">
        <v>2053</v>
      </c>
      <c r="D30" s="319"/>
      <c r="E30" s="90">
        <v>45653</v>
      </c>
      <c r="F30" s="91">
        <f>VLOOKUP(E30,[1]환율!$A$1798:$B$3000,2,)</f>
        <v>1462.9</v>
      </c>
      <c r="G30" s="118">
        <v>70305.119999999995</v>
      </c>
      <c r="H30" s="93">
        <f t="shared" si="1"/>
        <v>102849360</v>
      </c>
      <c r="I30" s="119"/>
      <c r="J30" s="254"/>
      <c r="K30" s="365"/>
      <c r="L30" s="365"/>
      <c r="M30" s="435"/>
      <c r="N30" s="435"/>
      <c r="O30" s="435"/>
      <c r="P30" s="435"/>
      <c r="Q30" s="435"/>
      <c r="R30" s="442"/>
    </row>
    <row r="31" spans="1:18" s="120" customFormat="1" ht="27" customHeight="1">
      <c r="A31" s="2011"/>
      <c r="B31" s="117" t="s">
        <v>2054</v>
      </c>
      <c r="C31" s="89" t="s">
        <v>2055</v>
      </c>
      <c r="D31" s="319"/>
      <c r="E31" s="136">
        <v>45648</v>
      </c>
      <c r="F31" s="91">
        <f>VLOOKUP(E31,[1]환율!$A$1798:$B$3000,2,)</f>
        <v>1449.7</v>
      </c>
      <c r="G31" s="118">
        <v>33770.879999999997</v>
      </c>
      <c r="H31" s="93">
        <f t="shared" si="1"/>
        <v>48957644</v>
      </c>
      <c r="I31" s="119"/>
      <c r="J31" s="254"/>
      <c r="K31" s="365"/>
      <c r="L31" s="365"/>
      <c r="M31" s="435"/>
      <c r="N31" s="435"/>
      <c r="O31" s="435"/>
      <c r="P31" s="435"/>
      <c r="Q31" s="435"/>
      <c r="R31" s="442"/>
    </row>
    <row r="32" spans="1:18" s="120" customFormat="1" ht="27" customHeight="1">
      <c r="A32" s="2011"/>
      <c r="B32" s="226" t="s">
        <v>2064</v>
      </c>
      <c r="C32" s="107"/>
      <c r="D32" s="324"/>
      <c r="E32" s="179">
        <v>45632</v>
      </c>
      <c r="F32" s="109">
        <f>VLOOKUP(E32,[1]환율!$A$1798:$B$3000,2,)</f>
        <v>1414.9</v>
      </c>
      <c r="G32" s="227">
        <v>10890</v>
      </c>
      <c r="H32" s="111">
        <f t="shared" si="1"/>
        <v>15408261</v>
      </c>
      <c r="I32" s="228"/>
      <c r="J32" s="273"/>
      <c r="K32" s="365"/>
      <c r="L32" s="365"/>
      <c r="M32" s="435"/>
      <c r="N32" s="435"/>
      <c r="O32" s="435"/>
      <c r="P32" s="435"/>
      <c r="Q32" s="435"/>
      <c r="R32" s="442"/>
    </row>
    <row r="33" spans="1:18" s="120" customFormat="1" ht="27" customHeight="1">
      <c r="A33" s="2011"/>
      <c r="B33" s="226" t="s">
        <v>2065</v>
      </c>
      <c r="C33" s="107"/>
      <c r="D33" s="324"/>
      <c r="E33" s="179">
        <v>45642</v>
      </c>
      <c r="F33" s="109">
        <f>VLOOKUP(E33,[1]환율!$A$1798:$B$3000,2,)</f>
        <v>1432.7</v>
      </c>
      <c r="G33" s="227">
        <v>11220</v>
      </c>
      <c r="H33" s="111">
        <f t="shared" si="1"/>
        <v>16074894</v>
      </c>
      <c r="I33" s="228"/>
      <c r="J33" s="273"/>
      <c r="K33" s="365"/>
      <c r="L33" s="365"/>
      <c r="M33" s="435"/>
      <c r="N33" s="435"/>
      <c r="O33" s="435"/>
      <c r="P33" s="435"/>
      <c r="Q33" s="435"/>
      <c r="R33" s="442"/>
    </row>
    <row r="34" spans="1:18" s="120" customFormat="1" ht="27" customHeight="1">
      <c r="A34" s="2011"/>
      <c r="B34" s="226" t="s">
        <v>2066</v>
      </c>
      <c r="C34" s="107"/>
      <c r="D34" s="324"/>
      <c r="E34" s="179">
        <v>45632</v>
      </c>
      <c r="F34" s="109">
        <f>VLOOKUP(E34,[1]환율!$A$1798:$B$3000,2,)</f>
        <v>1414.9</v>
      </c>
      <c r="G34" s="227">
        <v>9867</v>
      </c>
      <c r="H34" s="111">
        <f t="shared" si="1"/>
        <v>13960818</v>
      </c>
      <c r="I34" s="228"/>
      <c r="J34" s="273"/>
      <c r="K34" s="365"/>
      <c r="L34" s="365"/>
      <c r="M34" s="435"/>
      <c r="N34" s="435"/>
      <c r="O34" s="435"/>
      <c r="P34" s="435"/>
      <c r="Q34" s="435"/>
      <c r="R34" s="442"/>
    </row>
    <row r="35" spans="1:18" s="120" customFormat="1" ht="27" customHeight="1">
      <c r="A35" s="2011"/>
      <c r="B35" s="226" t="s">
        <v>2067</v>
      </c>
      <c r="C35" s="107"/>
      <c r="D35" s="324"/>
      <c r="E35" s="179">
        <v>45642</v>
      </c>
      <c r="F35" s="109">
        <f>VLOOKUP(E35,[1]환율!$A$1798:$B$3000,2,)</f>
        <v>1432.7</v>
      </c>
      <c r="G35" s="227">
        <v>10166</v>
      </c>
      <c r="H35" s="111">
        <f t="shared" si="1"/>
        <v>14564828</v>
      </c>
      <c r="I35" s="228"/>
      <c r="J35" s="273"/>
      <c r="K35" s="365"/>
      <c r="L35" s="365"/>
      <c r="M35" s="435"/>
      <c r="N35" s="435"/>
      <c r="O35" s="435"/>
      <c r="P35" s="435"/>
      <c r="Q35" s="435"/>
      <c r="R35" s="442"/>
    </row>
    <row r="36" spans="1:18" s="120" customFormat="1" ht="27" customHeight="1">
      <c r="A36" s="2011"/>
      <c r="B36" s="226" t="s">
        <v>2068</v>
      </c>
      <c r="C36" s="107"/>
      <c r="D36" s="324"/>
      <c r="E36" s="179">
        <v>45632</v>
      </c>
      <c r="F36" s="109">
        <f>VLOOKUP(E36,[1]환율!$A$1798:$B$3000,2,)</f>
        <v>1414.9</v>
      </c>
      <c r="G36" s="227">
        <v>9867</v>
      </c>
      <c r="H36" s="111">
        <f t="shared" si="1"/>
        <v>13960818</v>
      </c>
      <c r="I36" s="228"/>
      <c r="J36" s="273"/>
      <c r="K36" s="365"/>
      <c r="L36" s="365"/>
      <c r="M36" s="435"/>
      <c r="N36" s="435"/>
      <c r="O36" s="435"/>
      <c r="P36" s="435"/>
      <c r="Q36" s="435"/>
      <c r="R36" s="442"/>
    </row>
    <row r="37" spans="1:18" s="120" customFormat="1" ht="27" customHeight="1">
      <c r="A37" s="2011"/>
      <c r="B37" s="226" t="s">
        <v>2069</v>
      </c>
      <c r="C37" s="107"/>
      <c r="D37" s="324"/>
      <c r="E37" s="179">
        <v>45642</v>
      </c>
      <c r="F37" s="109">
        <f>VLOOKUP(E37,[1]환율!$A$1798:$B$3000,2,)</f>
        <v>1432.7</v>
      </c>
      <c r="G37" s="227">
        <v>10166</v>
      </c>
      <c r="H37" s="111">
        <f t="shared" si="1"/>
        <v>14564828</v>
      </c>
      <c r="I37" s="228"/>
      <c r="J37" s="273"/>
      <c r="K37" s="365"/>
      <c r="L37" s="365"/>
      <c r="M37" s="435"/>
      <c r="N37" s="435"/>
      <c r="O37" s="435"/>
      <c r="P37" s="435"/>
      <c r="Q37" s="435"/>
      <c r="R37" s="442"/>
    </row>
    <row r="38" spans="1:18" s="120" customFormat="1" ht="27" customHeight="1">
      <c r="A38" s="2019"/>
      <c r="B38" s="121" t="s">
        <v>2050</v>
      </c>
      <c r="C38" s="100" t="s">
        <v>2051</v>
      </c>
      <c r="D38" s="320"/>
      <c r="E38" s="125">
        <v>45684</v>
      </c>
      <c r="F38" s="102">
        <f>VLOOKUP(E38,환율!$A$1798:$B$3001,2,)</f>
        <v>1437.1</v>
      </c>
      <c r="G38" s="122">
        <v>60816.77</v>
      </c>
      <c r="H38" s="104">
        <f t="shared" si="1"/>
        <v>87399780</v>
      </c>
      <c r="I38" s="123"/>
      <c r="J38" s="272"/>
      <c r="K38" s="365"/>
      <c r="L38" s="365"/>
      <c r="M38" s="435"/>
      <c r="N38" s="435"/>
      <c r="O38" s="435"/>
      <c r="P38" s="435"/>
      <c r="Q38" s="435"/>
      <c r="R38" s="442"/>
    </row>
    <row r="39" spans="1:18" s="97" customFormat="1" ht="27" customHeight="1">
      <c r="A39" s="2035" t="s">
        <v>10</v>
      </c>
      <c r="B39" s="2036"/>
      <c r="C39" s="2036"/>
      <c r="D39" s="2036"/>
      <c r="E39" s="2036"/>
      <c r="F39" s="2037"/>
      <c r="G39" s="127">
        <f>SUM(G29:G38)</f>
        <v>313027.95</v>
      </c>
      <c r="H39" s="116">
        <f>SUM(H29:H38)</f>
        <v>452691495</v>
      </c>
      <c r="I39" s="116">
        <v>180652299</v>
      </c>
      <c r="J39" s="260">
        <f>+H39-I39</f>
        <v>272039196</v>
      </c>
      <c r="K39" s="364"/>
      <c r="L39" s="364"/>
      <c r="M39" s="434"/>
      <c r="N39" s="434"/>
      <c r="O39" s="434"/>
      <c r="P39" s="434"/>
      <c r="Q39" s="434"/>
      <c r="R39" s="441"/>
    </row>
    <row r="40" spans="1:18" s="126" customFormat="1" ht="27" customHeight="1">
      <c r="A40" s="2010" t="s">
        <v>114</v>
      </c>
      <c r="B40" s="313" t="s">
        <v>2091</v>
      </c>
      <c r="C40" s="129" t="s">
        <v>2092</v>
      </c>
      <c r="D40" s="129"/>
      <c r="E40" s="90">
        <v>45642</v>
      </c>
      <c r="F40" s="91">
        <f>VLOOKUP(E40,[1]환율!$A$1798:$B$3000,2,)</f>
        <v>1432.7</v>
      </c>
      <c r="G40" s="389">
        <v>5567.04</v>
      </c>
      <c r="H40" s="93">
        <f t="shared" ref="H40:H52" si="2">ROUNDDOWN(G40*F40,0)</f>
        <v>7975898</v>
      </c>
      <c r="I40" s="135"/>
      <c r="J40" s="255"/>
      <c r="K40" s="364"/>
      <c r="L40" s="364"/>
      <c r="M40" s="436"/>
      <c r="N40" s="436"/>
      <c r="O40" s="436"/>
      <c r="P40" s="436"/>
      <c r="Q40" s="436"/>
      <c r="R40" s="443"/>
    </row>
    <row r="41" spans="1:18" s="126" customFormat="1" ht="27" customHeight="1">
      <c r="A41" s="2011"/>
      <c r="B41" s="313" t="s">
        <v>2093</v>
      </c>
      <c r="C41" s="129" t="s">
        <v>2094</v>
      </c>
      <c r="D41" s="129"/>
      <c r="E41" s="90">
        <v>45642</v>
      </c>
      <c r="F41" s="91">
        <f>VLOOKUP(E41,[1]환율!$A$1798:$B$3000,2,)</f>
        <v>1432.7</v>
      </c>
      <c r="G41" s="134">
        <v>6391.52</v>
      </c>
      <c r="H41" s="93">
        <f>ROUNDDOWN(G41*F41,0)</f>
        <v>9157130</v>
      </c>
      <c r="I41" s="135"/>
      <c r="J41" s="255"/>
      <c r="K41" s="364"/>
      <c r="L41" s="364"/>
      <c r="M41" s="436"/>
      <c r="N41" s="436"/>
      <c r="O41" s="436"/>
      <c r="P41" s="436"/>
      <c r="Q41" s="436"/>
      <c r="R41" s="443"/>
    </row>
    <row r="42" spans="1:18" s="126" customFormat="1" ht="27" customHeight="1">
      <c r="A42" s="2011"/>
      <c r="B42" s="313" t="s">
        <v>2095</v>
      </c>
      <c r="C42" s="129" t="s">
        <v>2096</v>
      </c>
      <c r="D42" s="129"/>
      <c r="E42" s="90">
        <v>45646</v>
      </c>
      <c r="F42" s="91">
        <f>VLOOKUP(E42,[1]환율!$A$1798:$B$3000,2,)</f>
        <v>1449.7</v>
      </c>
      <c r="G42" s="134">
        <v>2783.52</v>
      </c>
      <c r="H42" s="93">
        <f t="shared" ref="H42:H47" si="3">ROUNDDOWN(G42*F42,0)</f>
        <v>4035268</v>
      </c>
      <c r="I42" s="135"/>
      <c r="J42" s="255"/>
      <c r="K42" s="364"/>
      <c r="L42" s="364"/>
      <c r="M42" s="436"/>
      <c r="N42" s="436"/>
      <c r="O42" s="436"/>
      <c r="P42" s="436"/>
      <c r="Q42" s="436"/>
      <c r="R42" s="443"/>
    </row>
    <row r="43" spans="1:18" s="126" customFormat="1" ht="27" customHeight="1">
      <c r="A43" s="2011"/>
      <c r="B43" s="313" t="s">
        <v>2097</v>
      </c>
      <c r="C43" s="129" t="s">
        <v>2098</v>
      </c>
      <c r="D43" s="129"/>
      <c r="E43" s="136">
        <v>45645</v>
      </c>
      <c r="F43" s="91">
        <f>VLOOKUP(E43,[1]환율!$A$1798:$B$3000,2,)</f>
        <v>1436.8</v>
      </c>
      <c r="G43" s="134">
        <v>128730</v>
      </c>
      <c r="H43" s="93">
        <f t="shared" si="3"/>
        <v>184959264</v>
      </c>
      <c r="I43" s="135"/>
      <c r="J43" s="255"/>
      <c r="K43" s="364"/>
      <c r="L43" s="364"/>
      <c r="M43" s="436"/>
      <c r="N43" s="436"/>
      <c r="O43" s="436"/>
      <c r="P43" s="436"/>
      <c r="Q43" s="436"/>
      <c r="R43" s="443"/>
    </row>
    <row r="44" spans="1:18" s="126" customFormat="1" ht="27" customHeight="1">
      <c r="A44" s="2011"/>
      <c r="B44" s="313" t="s">
        <v>2099</v>
      </c>
      <c r="C44" s="129" t="s">
        <v>2100</v>
      </c>
      <c r="D44" s="129"/>
      <c r="E44" s="90">
        <v>45646</v>
      </c>
      <c r="F44" s="91">
        <f>VLOOKUP(E44,[1]환율!$A$1798:$B$3000,2,)</f>
        <v>1449.7</v>
      </c>
      <c r="G44" s="134">
        <v>5174.3999999999996</v>
      </c>
      <c r="H44" s="93">
        <f t="shared" si="3"/>
        <v>7501327</v>
      </c>
      <c r="I44" s="135"/>
      <c r="J44" s="255"/>
      <c r="K44" s="364"/>
      <c r="L44" s="364"/>
      <c r="M44" s="436"/>
      <c r="N44" s="436"/>
      <c r="O44" s="436"/>
      <c r="P44" s="436"/>
      <c r="Q44" s="436"/>
      <c r="R44" s="443"/>
    </row>
    <row r="45" spans="1:18" s="126" customFormat="1" ht="27" customHeight="1">
      <c r="A45" s="2011"/>
      <c r="B45" s="313" t="s">
        <v>2101</v>
      </c>
      <c r="C45" s="129" t="s">
        <v>2102</v>
      </c>
      <c r="D45" s="129"/>
      <c r="E45" s="90">
        <v>45654</v>
      </c>
      <c r="F45" s="91">
        <f>VLOOKUP(E45,[1]환율!$A$1798:$B$3000,2,)</f>
        <v>1462.9</v>
      </c>
      <c r="G45" s="134">
        <v>18375.72</v>
      </c>
      <c r="H45" s="93">
        <f t="shared" si="3"/>
        <v>26881840</v>
      </c>
      <c r="I45" s="135"/>
      <c r="J45" s="255"/>
      <c r="K45" s="364"/>
      <c r="L45" s="364"/>
      <c r="M45" s="436"/>
      <c r="N45" s="436"/>
      <c r="O45" s="436"/>
      <c r="P45" s="436"/>
      <c r="Q45" s="436"/>
      <c r="R45" s="443"/>
    </row>
    <row r="46" spans="1:18" s="126" customFormat="1" ht="27" customHeight="1">
      <c r="A46" s="2011"/>
      <c r="B46" s="330" t="s">
        <v>2103</v>
      </c>
      <c r="C46" s="137" t="s">
        <v>2104</v>
      </c>
      <c r="D46" s="137"/>
      <c r="E46" s="101">
        <v>45665</v>
      </c>
      <c r="F46" s="102">
        <f>VLOOKUP(E46,환율!$A$1798:$B$3001,2,)</f>
        <v>1455.4</v>
      </c>
      <c r="G46" s="138">
        <v>8736</v>
      </c>
      <c r="H46" s="104">
        <f t="shared" si="3"/>
        <v>12714374</v>
      </c>
      <c r="I46" s="139"/>
      <c r="J46" s="258"/>
      <c r="K46" s="364"/>
      <c r="L46" s="364"/>
      <c r="M46" s="436"/>
      <c r="N46" s="436"/>
      <c r="O46" s="436"/>
      <c r="P46" s="436"/>
      <c r="Q46" s="436"/>
      <c r="R46" s="443"/>
    </row>
    <row r="47" spans="1:18" s="126" customFormat="1" ht="27" customHeight="1">
      <c r="A47" s="2011"/>
      <c r="B47" s="330" t="s">
        <v>2105</v>
      </c>
      <c r="C47" s="137" t="s">
        <v>2106</v>
      </c>
      <c r="D47" s="137"/>
      <c r="E47" s="125">
        <v>45658</v>
      </c>
      <c r="F47" s="102">
        <f>VLOOKUP(E47,[1]환율!$A$1798:$B$3000,2,)</f>
        <v>1470</v>
      </c>
      <c r="G47" s="138">
        <v>145466</v>
      </c>
      <c r="H47" s="104">
        <f t="shared" si="3"/>
        <v>213835020</v>
      </c>
      <c r="I47" s="139"/>
      <c r="J47" s="258"/>
      <c r="K47" s="364"/>
      <c r="L47" s="364"/>
      <c r="M47" s="436"/>
      <c r="N47" s="436"/>
      <c r="O47" s="436"/>
      <c r="P47" s="436"/>
      <c r="Q47" s="436"/>
      <c r="R47" s="443"/>
    </row>
    <row r="48" spans="1:18" s="126" customFormat="1" ht="27" customHeight="1">
      <c r="A48" s="2011"/>
      <c r="B48" s="330" t="s">
        <v>2107</v>
      </c>
      <c r="C48" s="137" t="s">
        <v>2108</v>
      </c>
      <c r="D48" s="137"/>
      <c r="E48" s="101">
        <v>45663</v>
      </c>
      <c r="F48" s="102">
        <f>VLOOKUP(E48,[1]환율!$A$1798:$B$3000,2,)</f>
        <v>1466.8</v>
      </c>
      <c r="G48" s="138">
        <v>4771.2</v>
      </c>
      <c r="H48" s="104">
        <f>ROUNDDOWN(G48*F48,0)</f>
        <v>6998396</v>
      </c>
      <c r="I48" s="139"/>
      <c r="J48" s="258"/>
      <c r="K48" s="364"/>
      <c r="L48" s="364"/>
      <c r="M48" s="436"/>
      <c r="N48" s="436"/>
      <c r="O48" s="436"/>
      <c r="P48" s="436"/>
      <c r="Q48" s="436"/>
      <c r="R48" s="443"/>
    </row>
    <row r="49" spans="1:18" s="126" customFormat="1" ht="27" customHeight="1">
      <c r="A49" s="2011"/>
      <c r="B49" s="330" t="s">
        <v>2109</v>
      </c>
      <c r="C49" s="137" t="s">
        <v>2110</v>
      </c>
      <c r="D49" s="137"/>
      <c r="E49" s="101">
        <v>45664</v>
      </c>
      <c r="F49" s="102">
        <f>VLOOKUP(E49,환율!$A$1798:$B$3001,2,)</f>
        <v>1470.8</v>
      </c>
      <c r="G49" s="138">
        <v>76258</v>
      </c>
      <c r="H49" s="104">
        <f t="shared" si="2"/>
        <v>112160266</v>
      </c>
      <c r="I49" s="139"/>
      <c r="J49" s="258"/>
      <c r="K49" s="364"/>
      <c r="L49" s="364"/>
      <c r="M49" s="436"/>
      <c r="N49" s="436"/>
      <c r="O49" s="436"/>
      <c r="P49" s="436"/>
      <c r="Q49" s="436"/>
      <c r="R49" s="443"/>
    </row>
    <row r="50" spans="1:18" s="126" customFormat="1" ht="27" customHeight="1">
      <c r="A50" s="2019"/>
      <c r="B50" s="330" t="s">
        <v>2111</v>
      </c>
      <c r="C50" s="137" t="s">
        <v>2159</v>
      </c>
      <c r="D50" s="137"/>
      <c r="E50" s="101">
        <v>45684</v>
      </c>
      <c r="F50" s="102">
        <f>VLOOKUP(E50,환율!$A$1798:$B$3001,2,)</f>
        <v>1437.1</v>
      </c>
      <c r="G50" s="138">
        <v>23786</v>
      </c>
      <c r="H50" s="104">
        <f t="shared" si="2"/>
        <v>34182860</v>
      </c>
      <c r="I50" s="139"/>
      <c r="J50" s="258"/>
      <c r="K50" s="364"/>
      <c r="L50" s="364"/>
      <c r="M50" s="436"/>
      <c r="N50" s="436"/>
      <c r="O50" s="436"/>
      <c r="P50" s="436"/>
      <c r="Q50" s="436"/>
      <c r="R50" s="443"/>
    </row>
    <row r="51" spans="1:18" s="97" customFormat="1" ht="27" customHeight="1">
      <c r="A51" s="2035" t="s">
        <v>10</v>
      </c>
      <c r="B51" s="2036"/>
      <c r="C51" s="2036"/>
      <c r="D51" s="2036"/>
      <c r="E51" s="2036"/>
      <c r="F51" s="2037"/>
      <c r="G51" s="127">
        <f>SUM(G40:G50)</f>
        <v>426039.4</v>
      </c>
      <c r="H51" s="116">
        <f>SUM(H40:H50)</f>
        <v>620401643</v>
      </c>
      <c r="I51" s="116">
        <v>317306638</v>
      </c>
      <c r="J51" s="260">
        <f>+H51-I51</f>
        <v>303095005</v>
      </c>
      <c r="K51" s="364"/>
      <c r="L51" s="364"/>
      <c r="M51" s="434"/>
      <c r="N51" s="434"/>
      <c r="O51" s="434"/>
      <c r="P51" s="434"/>
      <c r="Q51" s="434"/>
      <c r="R51" s="441"/>
    </row>
    <row r="52" spans="1:18" s="97" customFormat="1" ht="27" customHeight="1">
      <c r="A52" s="399" t="s">
        <v>1892</v>
      </c>
      <c r="B52" s="313" t="s">
        <v>2112</v>
      </c>
      <c r="C52" s="142" t="s">
        <v>2113</v>
      </c>
      <c r="D52" s="90"/>
      <c r="E52" s="90">
        <v>45648</v>
      </c>
      <c r="F52" s="91">
        <f>VLOOKUP(E52,[1]환율!$A$1798:$B$3000,2,)</f>
        <v>1449.7</v>
      </c>
      <c r="G52" s="92">
        <v>118980</v>
      </c>
      <c r="H52" s="93">
        <f t="shared" si="2"/>
        <v>172485306</v>
      </c>
      <c r="I52" s="142"/>
      <c r="J52" s="321"/>
      <c r="K52" s="364"/>
      <c r="L52" s="364"/>
      <c r="M52" s="434"/>
      <c r="N52" s="434"/>
      <c r="O52" s="434"/>
      <c r="P52" s="434"/>
      <c r="Q52" s="434"/>
      <c r="R52" s="441"/>
    </row>
    <row r="53" spans="1:18" s="97" customFormat="1" ht="27" customHeight="1">
      <c r="A53" s="2035" t="s">
        <v>10</v>
      </c>
      <c r="B53" s="2036"/>
      <c r="C53" s="2036"/>
      <c r="D53" s="2036"/>
      <c r="E53" s="2036"/>
      <c r="F53" s="2037"/>
      <c r="G53" s="127">
        <f>SUM(G52:G52)</f>
        <v>118980</v>
      </c>
      <c r="H53" s="116">
        <f>SUM(H52:H52)</f>
        <v>172485306</v>
      </c>
      <c r="I53" s="116">
        <v>345333976</v>
      </c>
      <c r="J53" s="260">
        <f>+H53-I53</f>
        <v>-172848670</v>
      </c>
      <c r="K53" s="364"/>
      <c r="L53" s="364"/>
      <c r="M53" s="434"/>
      <c r="N53" s="434"/>
      <c r="O53" s="434"/>
      <c r="P53" s="434"/>
      <c r="Q53" s="434"/>
      <c r="R53" s="441"/>
    </row>
    <row r="54" spans="1:18" s="97" customFormat="1" ht="27" customHeight="1">
      <c r="A54" s="2010" t="s">
        <v>35</v>
      </c>
      <c r="B54" s="152" t="s">
        <v>2303</v>
      </c>
      <c r="C54" s="152" t="s">
        <v>2224</v>
      </c>
      <c r="D54" s="322"/>
      <c r="E54" s="101">
        <v>45672</v>
      </c>
      <c r="F54" s="102">
        <f>VLOOKUP(E54,환율!$A$1798:$B$3001,2,)</f>
        <v>1463.3</v>
      </c>
      <c r="G54" s="103">
        <f>H54/F54</f>
        <v>9005.3187999726651</v>
      </c>
      <c r="H54" s="104">
        <v>13177483</v>
      </c>
      <c r="I54" s="224"/>
      <c r="J54" s="276"/>
      <c r="K54" s="364"/>
      <c r="L54" s="364"/>
      <c r="M54" s="434"/>
      <c r="N54" s="434"/>
      <c r="O54" s="434"/>
      <c r="P54" s="434"/>
      <c r="Q54" s="434"/>
      <c r="R54" s="441"/>
    </row>
    <row r="55" spans="1:18" s="97" customFormat="1" ht="27" customHeight="1">
      <c r="A55" s="2011"/>
      <c r="B55" s="152" t="s">
        <v>2225</v>
      </c>
      <c r="C55" s="152" t="s">
        <v>2226</v>
      </c>
      <c r="D55" s="322"/>
      <c r="E55" s="101">
        <v>45689</v>
      </c>
      <c r="F55" s="102">
        <f>VLOOKUP(E55,환율!$A$1798:$B$3001,2,)</f>
        <v>1433.3</v>
      </c>
      <c r="G55" s="103">
        <f>H55/F55</f>
        <v>36029.444638247405</v>
      </c>
      <c r="H55" s="104">
        <v>51641003</v>
      </c>
      <c r="I55" s="224"/>
      <c r="J55" s="276"/>
      <c r="K55" s="364"/>
      <c r="L55" s="364"/>
      <c r="M55" s="434"/>
      <c r="N55" s="434"/>
      <c r="O55" s="434"/>
      <c r="P55" s="434"/>
      <c r="Q55" s="434"/>
      <c r="R55" s="441"/>
    </row>
    <row r="56" spans="1:18" s="97" customFormat="1" ht="27" customHeight="1">
      <c r="A56" s="2035" t="s">
        <v>10</v>
      </c>
      <c r="B56" s="2036"/>
      <c r="C56" s="2036"/>
      <c r="D56" s="2036"/>
      <c r="E56" s="2036"/>
      <c r="F56" s="2037"/>
      <c r="G56" s="116">
        <v>0</v>
      </c>
      <c r="H56" s="116">
        <f>SUM(H54:H55)</f>
        <v>64818486</v>
      </c>
      <c r="I56" s="116">
        <v>106730960</v>
      </c>
      <c r="J56" s="260">
        <f>+H56-I56</f>
        <v>-41912474</v>
      </c>
      <c r="K56" s="364"/>
      <c r="L56" s="364"/>
      <c r="M56" s="434"/>
      <c r="N56" s="434"/>
      <c r="O56" s="434"/>
      <c r="P56" s="434"/>
      <c r="Q56" s="434"/>
      <c r="R56" s="441"/>
    </row>
    <row r="57" spans="1:18" s="97" customFormat="1" ht="27" customHeight="1">
      <c r="A57" s="399" t="s">
        <v>47</v>
      </c>
      <c r="B57" s="88" t="s">
        <v>2114</v>
      </c>
      <c r="C57" s="155" t="s">
        <v>2115</v>
      </c>
      <c r="D57" s="146"/>
      <c r="E57" s="90">
        <v>45648</v>
      </c>
      <c r="F57" s="91">
        <f>VLOOKUP(E57,[1]환율!$A$1798:$B$3000,2,)</f>
        <v>1449.7</v>
      </c>
      <c r="G57" s="118">
        <v>39476</v>
      </c>
      <c r="H57" s="93">
        <f t="shared" ref="H57" si="4">ROUNDDOWN(G57*F57,0)</f>
        <v>57228357</v>
      </c>
      <c r="I57" s="156"/>
      <c r="J57" s="263"/>
      <c r="K57" s="364"/>
      <c r="L57" s="364"/>
      <c r="M57" s="434"/>
      <c r="N57" s="434"/>
      <c r="O57" s="434"/>
      <c r="P57" s="434"/>
      <c r="Q57" s="434"/>
      <c r="R57" s="441"/>
    </row>
    <row r="58" spans="1:18" s="97" customFormat="1" ht="27" customHeight="1">
      <c r="A58" s="2035" t="s">
        <v>10</v>
      </c>
      <c r="B58" s="2036"/>
      <c r="C58" s="2036"/>
      <c r="D58" s="2036"/>
      <c r="E58" s="2036"/>
      <c r="F58" s="2037"/>
      <c r="G58" s="127">
        <f>SUM(G57:G57)</f>
        <v>39476</v>
      </c>
      <c r="H58" s="116">
        <f>SUM(H57:H57)</f>
        <v>57228357</v>
      </c>
      <c r="I58" s="116">
        <v>55057177</v>
      </c>
      <c r="J58" s="260">
        <f>+H58-I58</f>
        <v>2171180</v>
      </c>
      <c r="K58" s="364"/>
      <c r="L58" s="364"/>
      <c r="M58" s="434"/>
      <c r="N58" s="434"/>
      <c r="O58" s="434"/>
      <c r="P58" s="434"/>
      <c r="Q58" s="434"/>
      <c r="R58" s="441"/>
    </row>
    <row r="59" spans="1:18" s="97" customFormat="1" ht="27" customHeight="1">
      <c r="A59" s="2010" t="s">
        <v>34</v>
      </c>
      <c r="B59" s="88" t="s">
        <v>2116</v>
      </c>
      <c r="C59" s="155" t="s">
        <v>2117</v>
      </c>
      <c r="D59" s="146"/>
      <c r="E59" s="146">
        <v>45644</v>
      </c>
      <c r="F59" s="91">
        <f>VLOOKUP(E59,[1]환율!$A$1798:$B$3000,2,)</f>
        <v>1436.6</v>
      </c>
      <c r="G59" s="118">
        <v>16559.7</v>
      </c>
      <c r="H59" s="93">
        <f t="shared" ref="H59:H60" si="5">ROUNDDOWN(G59*F59,0)</f>
        <v>23789665</v>
      </c>
      <c r="I59" s="156"/>
      <c r="J59" s="263"/>
      <c r="K59" s="401"/>
      <c r="L59" s="401"/>
      <c r="M59" s="434"/>
      <c r="N59" s="434"/>
      <c r="O59" s="434"/>
      <c r="P59" s="434"/>
      <c r="Q59" s="434"/>
      <c r="R59" s="441"/>
    </row>
    <row r="60" spans="1:18" s="97" customFormat="1" ht="27" customHeight="1">
      <c r="A60" s="2019"/>
      <c r="B60" s="99" t="s">
        <v>2118</v>
      </c>
      <c r="C60" s="229" t="s">
        <v>2119</v>
      </c>
      <c r="D60" s="169"/>
      <c r="E60" s="100">
        <v>45659</v>
      </c>
      <c r="F60" s="102">
        <f>VLOOKUP(E60,[1]환율!$A$1798:$B$3000,2,)</f>
        <v>1470</v>
      </c>
      <c r="G60" s="122">
        <v>3456</v>
      </c>
      <c r="H60" s="104">
        <f t="shared" si="5"/>
        <v>5080320</v>
      </c>
      <c r="I60" s="185"/>
      <c r="J60" s="277"/>
      <c r="K60" s="401"/>
      <c r="L60" s="401"/>
      <c r="M60" s="434"/>
      <c r="N60" s="434"/>
      <c r="O60" s="434"/>
      <c r="P60" s="434"/>
      <c r="Q60" s="434"/>
      <c r="R60" s="441"/>
    </row>
    <row r="61" spans="1:18" s="97" customFormat="1" ht="27" customHeight="1">
      <c r="A61" s="2035" t="s">
        <v>10</v>
      </c>
      <c r="B61" s="2036"/>
      <c r="C61" s="2036"/>
      <c r="D61" s="2036"/>
      <c r="E61" s="2036"/>
      <c r="F61" s="2037"/>
      <c r="G61" s="159">
        <f>SUM(G59:G59)</f>
        <v>16559.7</v>
      </c>
      <c r="H61" s="160">
        <f>SUM(H59:H60)</f>
        <v>28869985</v>
      </c>
      <c r="I61" s="160">
        <f>SUM(I59:I59)</f>
        <v>0</v>
      </c>
      <c r="J61" s="264">
        <f>+H61-I61</f>
        <v>28869985</v>
      </c>
      <c r="K61" s="364"/>
      <c r="L61" s="364"/>
      <c r="M61" s="434"/>
      <c r="N61" s="434"/>
      <c r="O61" s="434"/>
      <c r="P61" s="434"/>
      <c r="Q61" s="434"/>
      <c r="R61" s="441"/>
    </row>
    <row r="62" spans="1:18" s="97" customFormat="1" ht="27" customHeight="1">
      <c r="A62" s="2010" t="s">
        <v>14</v>
      </c>
      <c r="B62" s="448" t="s">
        <v>2120</v>
      </c>
      <c r="C62" s="90" t="s">
        <v>2121</v>
      </c>
      <c r="D62" s="90"/>
      <c r="E62" s="90">
        <v>45650</v>
      </c>
      <c r="F62" s="340">
        <f>VLOOKUP(E62,[1]환율!$A$1798:$B$3000,2,)</f>
        <v>1449.3</v>
      </c>
      <c r="G62" s="92">
        <v>33188</v>
      </c>
      <c r="H62" s="93">
        <f t="shared" ref="H62:H73" si="6">ROUNDDOWN(G62*F62,0)</f>
        <v>48099368</v>
      </c>
      <c r="I62" s="165"/>
      <c r="J62" s="254"/>
      <c r="K62" s="364"/>
      <c r="L62" s="364"/>
      <c r="M62" s="434"/>
      <c r="N62" s="434"/>
      <c r="O62" s="434"/>
      <c r="P62" s="434"/>
      <c r="Q62" s="434"/>
      <c r="R62" s="441"/>
    </row>
    <row r="63" spans="1:18" s="97" customFormat="1" ht="27" customHeight="1">
      <c r="A63" s="2011"/>
      <c r="B63" s="429" t="s">
        <v>2122</v>
      </c>
      <c r="C63" s="129" t="s">
        <v>2123</v>
      </c>
      <c r="D63" s="129"/>
      <c r="E63" s="136">
        <v>45638</v>
      </c>
      <c r="F63" s="91">
        <f>VLOOKUP(E63,[1]환율!$A$1798:$B$3000,2,)</f>
        <v>1431.4</v>
      </c>
      <c r="G63" s="92">
        <v>843.4</v>
      </c>
      <c r="H63" s="93">
        <f t="shared" si="6"/>
        <v>1207242</v>
      </c>
      <c r="I63" s="165"/>
      <c r="J63" s="254"/>
      <c r="M63" s="434"/>
      <c r="N63" s="434"/>
      <c r="O63" s="434"/>
      <c r="P63" s="434"/>
      <c r="Q63" s="434"/>
      <c r="R63" s="441"/>
    </row>
    <row r="64" spans="1:18" s="97" customFormat="1" ht="27" customHeight="1">
      <c r="A64" s="2011"/>
      <c r="B64" s="429" t="s">
        <v>2124</v>
      </c>
      <c r="C64" s="146" t="s">
        <v>2125</v>
      </c>
      <c r="D64" s="146"/>
      <c r="E64" s="90">
        <v>45645</v>
      </c>
      <c r="F64" s="91">
        <f>VLOOKUP(E64,[1]환율!$A$1798:$B$3000,2,)</f>
        <v>1436.8</v>
      </c>
      <c r="G64" s="118">
        <v>705.1</v>
      </c>
      <c r="H64" s="93">
        <f t="shared" si="6"/>
        <v>1013087</v>
      </c>
      <c r="I64" s="147"/>
      <c r="J64" s="255"/>
      <c r="K64" s="364"/>
      <c r="L64" s="364"/>
      <c r="M64" s="434"/>
      <c r="N64" s="434"/>
      <c r="O64" s="434"/>
      <c r="P64" s="434"/>
      <c r="Q64" s="434"/>
      <c r="R64" s="441"/>
    </row>
    <row r="65" spans="1:18" s="97" customFormat="1" ht="27" customHeight="1">
      <c r="A65" s="2011"/>
      <c r="B65" s="429" t="s">
        <v>2126</v>
      </c>
      <c r="C65" s="146" t="s">
        <v>2127</v>
      </c>
      <c r="D65" s="146"/>
      <c r="E65" s="90">
        <v>45645</v>
      </c>
      <c r="F65" s="91">
        <f>VLOOKUP(E65,[1]환율!$A$1798:$B$3000,2,)</f>
        <v>1436.8</v>
      </c>
      <c r="G65" s="92">
        <v>1506.3</v>
      </c>
      <c r="H65" s="93">
        <f t="shared" si="6"/>
        <v>2164251</v>
      </c>
      <c r="I65" s="168"/>
      <c r="J65" s="256"/>
      <c r="K65" s="364"/>
      <c r="L65" s="364"/>
      <c r="M65" s="434"/>
      <c r="N65" s="434"/>
      <c r="O65" s="434"/>
      <c r="P65" s="434"/>
      <c r="Q65" s="434"/>
      <c r="R65" s="441"/>
    </row>
    <row r="66" spans="1:18" s="97" customFormat="1" ht="27" customHeight="1">
      <c r="A66" s="2011"/>
      <c r="B66" s="429" t="s">
        <v>2128</v>
      </c>
      <c r="C66" s="146" t="s">
        <v>2129</v>
      </c>
      <c r="D66" s="146"/>
      <c r="E66" s="136">
        <v>45645</v>
      </c>
      <c r="F66" s="91">
        <f>VLOOKUP(E66,[1]환율!$A$1798:$B$3000,2,)</f>
        <v>1436.8</v>
      </c>
      <c r="G66" s="92">
        <v>1281</v>
      </c>
      <c r="H66" s="93">
        <f t="shared" si="6"/>
        <v>1840540</v>
      </c>
      <c r="I66" s="168"/>
      <c r="J66" s="256"/>
      <c r="L66" s="364"/>
      <c r="M66" s="434"/>
      <c r="N66" s="434"/>
      <c r="O66" s="434"/>
      <c r="P66" s="434"/>
      <c r="Q66" s="434"/>
      <c r="R66" s="441"/>
    </row>
    <row r="67" spans="1:18" s="97" customFormat="1" ht="27" customHeight="1">
      <c r="A67" s="2011"/>
      <c r="B67" s="429" t="s">
        <v>2130</v>
      </c>
      <c r="C67" s="146" t="s">
        <v>2131</v>
      </c>
      <c r="D67" s="146"/>
      <c r="E67" s="90">
        <v>45646</v>
      </c>
      <c r="F67" s="91">
        <f>VLOOKUP(E67,[1]환율!$A$1798:$B$3000,2,)</f>
        <v>1449.7</v>
      </c>
      <c r="G67" s="92">
        <v>320.25</v>
      </c>
      <c r="H67" s="93">
        <f>ROUNDDOWN(G67*F67,0)</f>
        <v>464266</v>
      </c>
      <c r="I67" s="168"/>
      <c r="J67" s="256"/>
      <c r="K67" s="364"/>
      <c r="L67" s="364"/>
      <c r="M67" s="434"/>
      <c r="N67" s="434"/>
      <c r="O67" s="434"/>
      <c r="P67" s="434"/>
      <c r="Q67" s="434"/>
      <c r="R67" s="441"/>
    </row>
    <row r="68" spans="1:18" s="97" customFormat="1" ht="27" customHeight="1">
      <c r="A68" s="2011"/>
      <c r="B68" s="429" t="s">
        <v>2132</v>
      </c>
      <c r="C68" s="146" t="s">
        <v>2133</v>
      </c>
      <c r="D68" s="146"/>
      <c r="E68" s="136">
        <v>45645</v>
      </c>
      <c r="F68" s="91">
        <f>VLOOKUP(E68,[1]환율!$A$1798:$B$3000,2,)</f>
        <v>1436.8</v>
      </c>
      <c r="G68" s="92">
        <v>339.4</v>
      </c>
      <c r="H68" s="93">
        <f t="shared" ref="H68:H71" si="7">ROUNDDOWN(G68*F68,0)</f>
        <v>487649</v>
      </c>
      <c r="I68" s="168"/>
      <c r="J68" s="256"/>
      <c r="L68" s="364"/>
      <c r="M68" s="434"/>
      <c r="N68" s="434"/>
      <c r="O68" s="434"/>
      <c r="P68" s="434"/>
      <c r="Q68" s="434"/>
      <c r="R68" s="441"/>
    </row>
    <row r="69" spans="1:18" s="97" customFormat="1" ht="27" customHeight="1">
      <c r="A69" s="2011"/>
      <c r="B69" s="429" t="s">
        <v>2134</v>
      </c>
      <c r="C69" s="146" t="s">
        <v>2135</v>
      </c>
      <c r="D69" s="146"/>
      <c r="E69" s="90">
        <v>45657</v>
      </c>
      <c r="F69" s="91">
        <f>VLOOKUP(E69,[1]환율!$A$1798:$B$3000,2,)</f>
        <v>1470</v>
      </c>
      <c r="G69" s="92">
        <v>8944.25</v>
      </c>
      <c r="H69" s="93">
        <f>ROUNDDOWN(G69*F69,0)</f>
        <v>13148047</v>
      </c>
      <c r="I69" s="168"/>
      <c r="J69" s="419"/>
      <c r="K69" s="364"/>
      <c r="L69" s="364"/>
      <c r="M69" s="434"/>
      <c r="N69" s="434"/>
      <c r="O69" s="434"/>
      <c r="P69" s="434"/>
      <c r="Q69" s="434"/>
      <c r="R69" s="441"/>
    </row>
    <row r="70" spans="1:18" s="97" customFormat="1" ht="27" customHeight="1">
      <c r="A70" s="2011"/>
      <c r="B70" s="429" t="s">
        <v>2136</v>
      </c>
      <c r="C70" s="136" t="s">
        <v>2137</v>
      </c>
      <c r="D70" s="136"/>
      <c r="E70" s="136">
        <v>45654</v>
      </c>
      <c r="F70" s="91">
        <f>VLOOKUP(E70,[1]환율!$A$1798:$B$3000,2,)</f>
        <v>1462.9</v>
      </c>
      <c r="G70" s="92">
        <v>864.4</v>
      </c>
      <c r="H70" s="93">
        <f>ROUNDDOWN(G70*F70,0)</f>
        <v>1264530</v>
      </c>
      <c r="I70" s="167"/>
      <c r="J70" s="256"/>
      <c r="L70" s="364"/>
      <c r="M70" s="434"/>
      <c r="N70" s="434"/>
      <c r="O70" s="434"/>
      <c r="P70" s="434"/>
      <c r="Q70" s="434"/>
      <c r="R70" s="441"/>
    </row>
    <row r="71" spans="1:18" s="97" customFormat="1" ht="27" customHeight="1">
      <c r="A71" s="2019"/>
      <c r="B71" s="429" t="s">
        <v>2138</v>
      </c>
      <c r="C71" s="146" t="s">
        <v>2139</v>
      </c>
      <c r="D71" s="146"/>
      <c r="E71" s="90">
        <v>45655</v>
      </c>
      <c r="F71" s="91">
        <f>VLOOKUP(E71,[1]환율!$A$1798:$B$3000,2,)</f>
        <v>1462.9</v>
      </c>
      <c r="G71" s="92">
        <v>1134.6600000000001</v>
      </c>
      <c r="H71" s="93">
        <f t="shared" si="7"/>
        <v>1659894</v>
      </c>
      <c r="I71" s="168"/>
      <c r="J71" s="256"/>
      <c r="K71" s="364"/>
      <c r="L71" s="364"/>
      <c r="M71" s="434"/>
      <c r="N71" s="434"/>
      <c r="O71" s="434"/>
      <c r="P71" s="434"/>
      <c r="Q71" s="434"/>
      <c r="R71" s="441"/>
    </row>
    <row r="72" spans="1:18" s="97" customFormat="1" ht="27" customHeight="1">
      <c r="A72" s="2035" t="s">
        <v>10</v>
      </c>
      <c r="B72" s="2036"/>
      <c r="C72" s="2036"/>
      <c r="D72" s="2036"/>
      <c r="E72" s="2036"/>
      <c r="F72" s="2037"/>
      <c r="G72" s="127">
        <f>SUM(G62:G71)</f>
        <v>49126.760000000009</v>
      </c>
      <c r="H72" s="116">
        <f>SUM(H62:H71)</f>
        <v>71348874</v>
      </c>
      <c r="I72" s="116">
        <v>140167854</v>
      </c>
      <c r="J72" s="260">
        <f>+H72-I72</f>
        <v>-68818980</v>
      </c>
      <c r="K72" s="364"/>
      <c r="L72" s="364"/>
      <c r="M72" s="434"/>
      <c r="N72" s="434"/>
      <c r="O72" s="434"/>
      <c r="P72" s="434"/>
      <c r="Q72" s="434"/>
      <c r="R72" s="441"/>
    </row>
    <row r="73" spans="1:18" s="97" customFormat="1" ht="27" customHeight="1">
      <c r="A73" s="399" t="s">
        <v>15</v>
      </c>
      <c r="B73" s="145" t="s">
        <v>2140</v>
      </c>
      <c r="C73" s="145" t="s">
        <v>2141</v>
      </c>
      <c r="D73" s="288"/>
      <c r="E73" s="90">
        <v>45655</v>
      </c>
      <c r="F73" s="91">
        <f>VLOOKUP(E73,[1]환율!$A$1798:$B$3000,2,)</f>
        <v>1462.9</v>
      </c>
      <c r="G73" s="92">
        <v>87117.91</v>
      </c>
      <c r="H73" s="93">
        <f t="shared" si="6"/>
        <v>127444790</v>
      </c>
      <c r="I73" s="173"/>
      <c r="J73" s="262"/>
      <c r="K73" s="401"/>
      <c r="L73" s="401"/>
      <c r="M73" s="434"/>
      <c r="N73" s="434"/>
      <c r="O73" s="434"/>
      <c r="P73" s="434"/>
      <c r="Q73" s="434"/>
      <c r="R73" s="441"/>
    </row>
    <row r="74" spans="1:18" s="97" customFormat="1" ht="27" customHeight="1">
      <c r="A74" s="2035" t="s">
        <v>10</v>
      </c>
      <c r="B74" s="2036"/>
      <c r="C74" s="2036"/>
      <c r="D74" s="2036"/>
      <c r="E74" s="2036"/>
      <c r="F74" s="2037"/>
      <c r="G74" s="127">
        <f>SUM(G73:G73)</f>
        <v>87117.91</v>
      </c>
      <c r="H74" s="116">
        <f>SUM(H73:H73)</f>
        <v>127444790</v>
      </c>
      <c r="I74" s="116">
        <v>103186867</v>
      </c>
      <c r="J74" s="260">
        <f>+H74-I74</f>
        <v>24257923</v>
      </c>
      <c r="K74" s="366"/>
      <c r="L74" s="366"/>
      <c r="M74" s="434"/>
      <c r="N74" s="434"/>
      <c r="O74" s="434"/>
      <c r="P74" s="434"/>
      <c r="Q74" s="434"/>
      <c r="R74" s="441"/>
    </row>
    <row r="75" spans="1:18" s="97" customFormat="1" ht="27" customHeight="1">
      <c r="A75" s="2010" t="s">
        <v>726</v>
      </c>
      <c r="B75" s="136" t="s">
        <v>2142</v>
      </c>
      <c r="C75" s="136" t="s">
        <v>2143</v>
      </c>
      <c r="D75" s="136"/>
      <c r="E75" s="90">
        <v>45635</v>
      </c>
      <c r="F75" s="397">
        <v>9.4705999999999992</v>
      </c>
      <c r="G75" s="177">
        <v>16950946</v>
      </c>
      <c r="H75" s="93">
        <f t="shared" ref="H75:H78" si="8">ROUNDDOWN(G75*F75,0)</f>
        <v>160535629</v>
      </c>
      <c r="I75" s="156"/>
      <c r="J75" s="263"/>
      <c r="K75" s="364"/>
      <c r="L75" s="364"/>
      <c r="M75" s="434"/>
      <c r="N75" s="434"/>
      <c r="O75" s="434"/>
      <c r="P75" s="434"/>
      <c r="Q75" s="434"/>
      <c r="R75" s="441"/>
    </row>
    <row r="76" spans="1:18" s="97" customFormat="1" ht="27" customHeight="1">
      <c r="A76" s="2011"/>
      <c r="B76" s="136" t="s">
        <v>2144</v>
      </c>
      <c r="C76" s="146" t="s">
        <v>2145</v>
      </c>
      <c r="D76" s="136"/>
      <c r="E76" s="90">
        <v>45641</v>
      </c>
      <c r="F76" s="176">
        <v>9.3803999999999998</v>
      </c>
      <c r="G76" s="177">
        <v>19000276</v>
      </c>
      <c r="H76" s="93">
        <f t="shared" si="8"/>
        <v>178230188</v>
      </c>
      <c r="I76" s="156"/>
      <c r="J76" s="263"/>
      <c r="K76" s="366"/>
      <c r="L76" s="366"/>
      <c r="M76" s="434"/>
      <c r="N76" s="434"/>
      <c r="O76" s="434"/>
      <c r="P76" s="434"/>
      <c r="Q76" s="434"/>
      <c r="R76" s="441"/>
    </row>
    <row r="77" spans="1:18" s="97" customFormat="1" ht="27" customHeight="1">
      <c r="A77" s="2011"/>
      <c r="B77" s="136" t="s">
        <v>2146</v>
      </c>
      <c r="C77" s="146" t="s">
        <v>2147</v>
      </c>
      <c r="D77" s="136"/>
      <c r="E77" s="136">
        <v>45647</v>
      </c>
      <c r="F77" s="176">
        <v>9.2020999999999997</v>
      </c>
      <c r="G77" s="177">
        <v>15013960</v>
      </c>
      <c r="H77" s="93">
        <f t="shared" si="8"/>
        <v>138159961</v>
      </c>
      <c r="I77" s="156"/>
      <c r="J77" s="263"/>
      <c r="K77" s="97" t="s">
        <v>2062</v>
      </c>
      <c r="L77" s="366"/>
      <c r="M77" s="434"/>
      <c r="N77" s="434"/>
      <c r="O77" s="434"/>
      <c r="P77" s="434"/>
      <c r="Q77" s="434"/>
      <c r="R77" s="441"/>
    </row>
    <row r="78" spans="1:18" s="97" customFormat="1" ht="27" customHeight="1">
      <c r="A78" s="2019"/>
      <c r="B78" s="125" t="s">
        <v>2148</v>
      </c>
      <c r="C78" s="169" t="s">
        <v>2149</v>
      </c>
      <c r="D78" s="125"/>
      <c r="E78" s="101">
        <v>45662</v>
      </c>
      <c r="F78" s="183">
        <v>9.3218999999999994</v>
      </c>
      <c r="G78" s="184">
        <v>16614410</v>
      </c>
      <c r="H78" s="104">
        <f t="shared" si="8"/>
        <v>154877868</v>
      </c>
      <c r="I78" s="185"/>
      <c r="J78" s="277"/>
      <c r="K78" s="366"/>
      <c r="L78" s="366"/>
      <c r="M78" s="434"/>
      <c r="N78" s="434"/>
      <c r="O78" s="434"/>
      <c r="P78" s="434"/>
      <c r="Q78" s="434"/>
      <c r="R78" s="441"/>
    </row>
    <row r="79" spans="1:18" s="97" customFormat="1" ht="27" customHeight="1">
      <c r="A79" s="2035" t="s">
        <v>10</v>
      </c>
      <c r="B79" s="2036"/>
      <c r="C79" s="2036"/>
      <c r="D79" s="2036"/>
      <c r="E79" s="2036"/>
      <c r="F79" s="2037"/>
      <c r="G79" s="398">
        <f>SUM(G75:G78)</f>
        <v>67579592</v>
      </c>
      <c r="H79" s="116">
        <f>SUM(H75:H78)</f>
        <v>631803646</v>
      </c>
      <c r="I79" s="116">
        <v>636924740</v>
      </c>
      <c r="J79" s="260">
        <f>+H79-I79</f>
        <v>-5121094</v>
      </c>
      <c r="K79" s="364"/>
      <c r="L79" s="364"/>
      <c r="M79" s="434"/>
      <c r="N79" s="434"/>
      <c r="O79" s="434"/>
      <c r="P79" s="434"/>
      <c r="Q79" s="434"/>
      <c r="R79" s="441"/>
    </row>
    <row r="80" spans="1:18" s="310" customFormat="1" ht="27" customHeight="1">
      <c r="A80" s="2057" t="s">
        <v>992</v>
      </c>
      <c r="B80" s="332" t="s">
        <v>2150</v>
      </c>
      <c r="C80" s="303"/>
      <c r="D80" s="303"/>
      <c r="E80" s="303">
        <v>45631</v>
      </c>
      <c r="F80" s="91">
        <f>VLOOKUP(E80,[1]환율!$A$1798:$B$3000,2,)</f>
        <v>1413</v>
      </c>
      <c r="G80" s="334">
        <f t="shared" ref="G80:G82" si="9">H80/F80</f>
        <v>8378.9950460014152</v>
      </c>
      <c r="H80" s="335">
        <v>11839520</v>
      </c>
      <c r="I80" s="336"/>
      <c r="J80" s="337"/>
      <c r="K80" s="367"/>
      <c r="L80" s="367"/>
      <c r="M80" s="437"/>
      <c r="N80" s="437"/>
      <c r="O80" s="437"/>
      <c r="P80" s="437"/>
      <c r="Q80" s="437"/>
      <c r="R80" s="444"/>
    </row>
    <row r="81" spans="1:18" s="310" customFormat="1" ht="27" customHeight="1">
      <c r="A81" s="2040"/>
      <c r="B81" s="332" t="s">
        <v>2151</v>
      </c>
      <c r="C81" s="303"/>
      <c r="D81" s="303"/>
      <c r="E81" s="303">
        <v>45645</v>
      </c>
      <c r="F81" s="91">
        <f>VLOOKUP(E81,[1]환율!$A$1798:$B$3000,2,)</f>
        <v>1436.8</v>
      </c>
      <c r="G81" s="334">
        <f t="shared" si="9"/>
        <v>8240.2004454342987</v>
      </c>
      <c r="H81" s="335">
        <v>11839520</v>
      </c>
      <c r="I81" s="336"/>
      <c r="J81" s="337"/>
      <c r="K81" s="367"/>
      <c r="L81" s="367"/>
      <c r="M81" s="437"/>
      <c r="N81" s="437"/>
      <c r="O81" s="437"/>
      <c r="P81" s="437"/>
      <c r="Q81" s="437"/>
      <c r="R81" s="444"/>
    </row>
    <row r="82" spans="1:18" s="310" customFormat="1" ht="27" customHeight="1">
      <c r="A82" s="2039"/>
      <c r="B82" s="332" t="s">
        <v>2152</v>
      </c>
      <c r="C82" s="303"/>
      <c r="D82" s="303"/>
      <c r="E82" s="303">
        <v>45645</v>
      </c>
      <c r="F82" s="91">
        <f>VLOOKUP(E82,[1]환율!$A$1798:$B$3000,2,)</f>
        <v>1436.8</v>
      </c>
      <c r="G82" s="334">
        <f t="shared" si="9"/>
        <v>8240.2004454342987</v>
      </c>
      <c r="H82" s="335">
        <v>11839520</v>
      </c>
      <c r="I82" s="336"/>
      <c r="J82" s="337"/>
      <c r="K82" s="367"/>
      <c r="L82" s="367"/>
      <c r="M82" s="437"/>
      <c r="N82" s="437"/>
      <c r="O82" s="437"/>
      <c r="P82" s="437"/>
      <c r="Q82" s="437"/>
      <c r="R82" s="444"/>
    </row>
    <row r="83" spans="1:18" s="97" customFormat="1" ht="27" customHeight="1">
      <c r="A83" s="2035" t="s">
        <v>10</v>
      </c>
      <c r="B83" s="2036"/>
      <c r="C83" s="2036"/>
      <c r="D83" s="2036"/>
      <c r="E83" s="2036"/>
      <c r="F83" s="2037"/>
      <c r="G83" s="127">
        <f>SUM(G80:G82)</f>
        <v>24859.395936870009</v>
      </c>
      <c r="H83" s="116">
        <f>SUM(H80:H82)</f>
        <v>35518560</v>
      </c>
      <c r="I83" s="116">
        <v>70184847</v>
      </c>
      <c r="J83" s="260">
        <f>+H83-I83</f>
        <v>-34666287</v>
      </c>
      <c r="K83" s="402"/>
      <c r="L83" s="402"/>
      <c r="M83" s="434"/>
      <c r="N83" s="434"/>
      <c r="O83" s="434"/>
      <c r="P83" s="434"/>
      <c r="Q83" s="434"/>
      <c r="R83" s="441"/>
    </row>
    <row r="84" spans="1:18" s="97" customFormat="1" ht="27" customHeight="1" thickBot="1">
      <c r="A84" s="2044" t="s">
        <v>1176</v>
      </c>
      <c r="B84" s="2045"/>
      <c r="C84" s="2045"/>
      <c r="D84" s="2045"/>
      <c r="E84" s="2046"/>
      <c r="F84" s="1997" t="s">
        <v>31</v>
      </c>
      <c r="G84" s="232" t="s">
        <v>17</v>
      </c>
      <c r="H84" s="210">
        <f>+H86-H85</f>
        <v>3955311237</v>
      </c>
      <c r="I84" s="210">
        <v>3645635716</v>
      </c>
      <c r="J84" s="219">
        <f>+H84-I84</f>
        <v>309675521</v>
      </c>
      <c r="K84" s="401"/>
      <c r="L84" s="401"/>
      <c r="M84" s="434"/>
      <c r="N84" s="434"/>
      <c r="O84" s="434"/>
      <c r="P84" s="434"/>
      <c r="Q84" s="434"/>
      <c r="R84" s="441"/>
    </row>
    <row r="85" spans="1:18" s="97" customFormat="1" ht="27" customHeight="1">
      <c r="A85" s="239" t="s">
        <v>20</v>
      </c>
      <c r="B85" s="195" t="s">
        <v>21</v>
      </c>
      <c r="C85" s="196" t="s">
        <v>20</v>
      </c>
      <c r="D85" s="314"/>
      <c r="E85" s="197" t="s">
        <v>21</v>
      </c>
      <c r="F85" s="1997"/>
      <c r="G85" s="198" t="s">
        <v>18</v>
      </c>
      <c r="H85" s="210">
        <f>SUM(H14:H26,H32:H37)</f>
        <v>532979160</v>
      </c>
      <c r="I85" s="210">
        <v>55039157</v>
      </c>
      <c r="J85" s="201">
        <f>+H85-I85</f>
        <v>477940003</v>
      </c>
      <c r="K85" s="401"/>
      <c r="L85" s="401"/>
      <c r="M85" s="434"/>
      <c r="N85" s="434"/>
      <c r="O85" s="434"/>
      <c r="P85" s="434"/>
      <c r="Q85" s="434"/>
      <c r="R85" s="441"/>
    </row>
    <row r="86" spans="1:18" s="97" customFormat="1" ht="27" customHeight="1" thickBot="1">
      <c r="A86" s="240" t="s">
        <v>9</v>
      </c>
      <c r="B86" s="199">
        <f>H27</f>
        <v>615596497</v>
      </c>
      <c r="C86" s="200" t="s">
        <v>721</v>
      </c>
      <c r="D86" s="315"/>
      <c r="E86" s="201">
        <v>0</v>
      </c>
      <c r="F86" s="1998"/>
      <c r="G86" s="202" t="s">
        <v>19</v>
      </c>
      <c r="H86" s="203">
        <f>SUM(H28,H39,H51,H53,H56,H58,H61,H72,H74,H79,H83)</f>
        <v>4488290397</v>
      </c>
      <c r="I86" s="203">
        <v>3700674873</v>
      </c>
      <c r="J86" s="233">
        <f>+H86-I86</f>
        <v>787615524</v>
      </c>
      <c r="K86" s="364"/>
      <c r="L86" s="364"/>
      <c r="M86" s="434"/>
      <c r="N86" s="434"/>
      <c r="O86" s="434"/>
      <c r="P86" s="434"/>
      <c r="Q86" s="434"/>
      <c r="R86" s="441"/>
    </row>
    <row r="87" spans="1:18" s="97" customFormat="1" ht="27" customHeight="1">
      <c r="A87" s="240" t="s">
        <v>11</v>
      </c>
      <c r="B87" s="199">
        <f>SUM(H38)</f>
        <v>87399780</v>
      </c>
      <c r="C87" s="200" t="s">
        <v>722</v>
      </c>
      <c r="D87" s="315"/>
      <c r="E87" s="201">
        <f>H60</f>
        <v>5080320</v>
      </c>
      <c r="F87" s="296" t="s">
        <v>20</v>
      </c>
      <c r="G87" s="297" t="s">
        <v>2056</v>
      </c>
      <c r="H87" s="298" t="s">
        <v>251</v>
      </c>
      <c r="I87" s="298" t="s">
        <v>116</v>
      </c>
      <c r="J87" s="234" t="s">
        <v>32</v>
      </c>
      <c r="K87" s="401"/>
      <c r="L87" s="401"/>
      <c r="M87" s="434"/>
      <c r="N87" s="434"/>
      <c r="O87" s="434"/>
      <c r="P87" s="434"/>
      <c r="Q87" s="434"/>
      <c r="R87" s="441"/>
    </row>
    <row r="88" spans="1:18" s="97" customFormat="1" ht="27" customHeight="1">
      <c r="A88" s="241" t="s">
        <v>114</v>
      </c>
      <c r="B88" s="199">
        <f>SUM(H46:H50)</f>
        <v>379890916</v>
      </c>
      <c r="C88" s="293" t="s">
        <v>14</v>
      </c>
      <c r="D88" s="316"/>
      <c r="E88" s="294">
        <v>0</v>
      </c>
      <c r="F88" s="211" t="s">
        <v>22</v>
      </c>
      <c r="G88" s="199">
        <v>0</v>
      </c>
      <c r="H88" s="199">
        <f>SUM(H75:H77)</f>
        <v>476925778</v>
      </c>
      <c r="I88" s="199">
        <f>H78</f>
        <v>154877868</v>
      </c>
      <c r="J88" s="201">
        <f>SUM(G88:H88)</f>
        <v>476925778</v>
      </c>
      <c r="K88" s="366"/>
      <c r="L88" s="366"/>
      <c r="M88" s="438"/>
      <c r="N88" s="434"/>
      <c r="O88" s="434"/>
      <c r="P88" s="434"/>
      <c r="Q88" s="434"/>
      <c r="R88" s="441"/>
    </row>
    <row r="89" spans="1:18" s="97" customFormat="1" ht="27" customHeight="1">
      <c r="A89" s="241" t="s">
        <v>153</v>
      </c>
      <c r="B89" s="199">
        <v>0</v>
      </c>
      <c r="C89" s="293" t="s">
        <v>15</v>
      </c>
      <c r="D89" s="317"/>
      <c r="E89" s="295">
        <v>0</v>
      </c>
      <c r="F89" s="211" t="s">
        <v>23</v>
      </c>
      <c r="G89" s="199">
        <v>518295389</v>
      </c>
      <c r="H89" s="199">
        <f>SUM(H29:H37,H40:H45,H52,H59)</f>
        <v>802077413</v>
      </c>
      <c r="I89" s="199">
        <f>SUM(H46:H50,H60,H54:H55,H38)</f>
        <v>537189502</v>
      </c>
      <c r="J89" s="201">
        <f>SUM(G89:H89)</f>
        <v>1320372802</v>
      </c>
      <c r="K89" s="175"/>
      <c r="L89" s="175"/>
      <c r="M89" s="438"/>
      <c r="N89" s="434"/>
      <c r="O89" s="434"/>
      <c r="P89" s="434"/>
      <c r="Q89" s="434"/>
      <c r="R89" s="441"/>
    </row>
    <row r="90" spans="1:18" s="126" customFormat="1" ht="27" customHeight="1">
      <c r="A90" s="241" t="s">
        <v>719</v>
      </c>
      <c r="B90" s="199">
        <v>0</v>
      </c>
      <c r="C90" s="293" t="s">
        <v>53</v>
      </c>
      <c r="D90" s="316"/>
      <c r="E90" s="294">
        <v>0</v>
      </c>
      <c r="F90" s="211" t="s">
        <v>24</v>
      </c>
      <c r="G90" s="199">
        <v>578304606</v>
      </c>
      <c r="H90" s="199">
        <f>SUM(H12:H26)</f>
        <v>1610082758</v>
      </c>
      <c r="I90" s="199">
        <f>H27</f>
        <v>615596497</v>
      </c>
      <c r="J90" s="201">
        <f>SUM(G90:H90)</f>
        <v>2188387364</v>
      </c>
      <c r="K90" s="175"/>
      <c r="L90" s="175"/>
      <c r="M90" s="438"/>
      <c r="N90" s="436"/>
      <c r="O90" s="436"/>
      <c r="P90" s="436"/>
      <c r="Q90" s="436"/>
      <c r="R90" s="443"/>
    </row>
    <row r="91" spans="1:18" s="126" customFormat="1" ht="27" customHeight="1">
      <c r="A91" s="241" t="s">
        <v>35</v>
      </c>
      <c r="B91" s="199">
        <f>H54+H55</f>
        <v>64818486</v>
      </c>
      <c r="C91" s="200" t="s">
        <v>252</v>
      </c>
      <c r="D91" s="216"/>
      <c r="E91" s="219">
        <f>H78</f>
        <v>154877868</v>
      </c>
      <c r="F91" s="211" t="s">
        <v>723</v>
      </c>
      <c r="G91" s="199">
        <v>220062138</v>
      </c>
      <c r="H91" s="199">
        <f>SUM(H62:H71,H57:H57,H73:H73)</f>
        <v>256022021</v>
      </c>
      <c r="I91" s="199">
        <v>0</v>
      </c>
      <c r="J91" s="201">
        <f>SUM(G91:H91)</f>
        <v>476084159</v>
      </c>
      <c r="K91" s="366"/>
      <c r="L91" s="366"/>
      <c r="M91" s="439"/>
      <c r="N91" s="436"/>
      <c r="O91" s="436"/>
      <c r="P91" s="436"/>
      <c r="Q91" s="436"/>
      <c r="R91" s="443"/>
    </row>
    <row r="92" spans="1:18" s="126" customFormat="1" ht="27" customHeight="1" thickBot="1">
      <c r="A92" s="215" t="s">
        <v>724</v>
      </c>
      <c r="B92" s="213">
        <v>0</v>
      </c>
      <c r="C92" s="214"/>
      <c r="D92" s="318"/>
      <c r="E92" s="242"/>
      <c r="F92" s="299" t="s">
        <v>1177</v>
      </c>
      <c r="G92" s="311">
        <v>0</v>
      </c>
      <c r="H92" s="311">
        <f>H83</f>
        <v>35518560</v>
      </c>
      <c r="I92" s="311">
        <v>0</v>
      </c>
      <c r="J92" s="312">
        <f>SUM(G92:H92)</f>
        <v>35518560</v>
      </c>
      <c r="K92" s="364" t="b">
        <f>I93=E93</f>
        <v>1</v>
      </c>
      <c r="L92" s="364"/>
      <c r="M92" s="436"/>
      <c r="N92" s="436"/>
      <c r="O92" s="436"/>
      <c r="P92" s="436"/>
      <c r="Q92" s="436"/>
      <c r="R92" s="443"/>
    </row>
    <row r="93" spans="1:18" s="126" customFormat="1" ht="27" customHeight="1" thickTop="1" thickBot="1">
      <c r="A93" s="243"/>
      <c r="B93" s="244" t="s">
        <v>49</v>
      </c>
      <c r="C93" s="245"/>
      <c r="D93" s="244"/>
      <c r="E93" s="246">
        <f>SUM(B86:B92,E86:E92)</f>
        <v>1307663867</v>
      </c>
      <c r="F93" s="236" t="s">
        <v>16</v>
      </c>
      <c r="G93" s="237">
        <f>SUM(G88:G92)</f>
        <v>1316662133</v>
      </c>
      <c r="H93" s="237">
        <f>SUM(H88:H92)</f>
        <v>3180626530</v>
      </c>
      <c r="I93" s="237">
        <f>SUM(I88:I92)</f>
        <v>1307663867</v>
      </c>
      <c r="J93" s="238">
        <f>+G93+H93</f>
        <v>4497288663</v>
      </c>
      <c r="K93" s="364" t="b">
        <f>H86=H93+I93</f>
        <v>1</v>
      </c>
      <c r="L93" s="364"/>
      <c r="M93" s="436"/>
      <c r="N93" s="436"/>
      <c r="O93" s="436"/>
      <c r="P93" s="436"/>
      <c r="Q93" s="436"/>
      <c r="R93" s="443"/>
    </row>
    <row r="94" spans="1:18" s="19" customFormat="1" ht="27" customHeight="1" thickBot="1">
      <c r="A94"/>
      <c r="B94"/>
      <c r="C94"/>
      <c r="D94"/>
      <c r="E94"/>
      <c r="F94" s="2047" t="s">
        <v>1685</v>
      </c>
      <c r="G94" s="2048"/>
      <c r="H94" s="2048"/>
      <c r="I94" s="2049"/>
      <c r="J94" s="404">
        <f>J93-J92</f>
        <v>4461770103</v>
      </c>
      <c r="K94" s="410"/>
      <c r="L94" s="410"/>
      <c r="M94" s="436"/>
      <c r="N94" s="436"/>
      <c r="O94" s="436"/>
      <c r="P94" s="436"/>
      <c r="Q94" s="436"/>
      <c r="R94" s="443"/>
    </row>
    <row r="95" spans="1:18">
      <c r="B95" s="291"/>
      <c r="C95" s="290"/>
      <c r="D95" s="290"/>
      <c r="E95" s="26"/>
      <c r="F95" s="292"/>
      <c r="H95" s="26"/>
      <c r="J95" s="13">
        <v>4461770103</v>
      </c>
    </row>
    <row r="96" spans="1:18" s="24" customFormat="1">
      <c r="A96"/>
      <c r="B96"/>
      <c r="C96" s="290"/>
      <c r="D96" s="290"/>
      <c r="E96" s="26"/>
      <c r="F96" s="292"/>
      <c r="G96" s="47"/>
      <c r="H96" s="26"/>
      <c r="I96"/>
      <c r="J96" s="412">
        <f>J94-J95</f>
        <v>0</v>
      </c>
      <c r="M96" s="434"/>
      <c r="N96" s="440"/>
      <c r="O96" s="440"/>
      <c r="P96" s="440"/>
      <c r="Q96" s="440"/>
      <c r="R96" s="445"/>
    </row>
    <row r="97" spans="1:18" s="24" customFormat="1">
      <c r="A97"/>
      <c r="B97"/>
      <c r="C97" s="290"/>
      <c r="D97" s="290"/>
      <c r="E97" s="26"/>
      <c r="F97" s="292"/>
      <c r="G97" s="47"/>
      <c r="H97" s="26"/>
      <c r="I97"/>
      <c r="J97" s="26"/>
      <c r="M97" s="434"/>
      <c r="N97" s="440"/>
      <c r="O97" s="440"/>
      <c r="P97" s="440"/>
      <c r="Q97" s="440"/>
      <c r="R97" s="445"/>
    </row>
    <row r="98" spans="1:18" s="24" customFormat="1">
      <c r="A98"/>
      <c r="B98"/>
      <c r="C98" s="290"/>
      <c r="D98" s="290"/>
      <c r="E98" s="26"/>
      <c r="F98" s="292"/>
      <c r="G98" s="47"/>
      <c r="H98" s="26"/>
      <c r="I98"/>
      <c r="J98"/>
      <c r="M98" s="434"/>
      <c r="N98" s="440"/>
      <c r="O98" s="440"/>
      <c r="P98" s="440"/>
      <c r="Q98" s="440"/>
      <c r="R98" s="445"/>
    </row>
    <row r="99" spans="1:18" s="24" customFormat="1">
      <c r="A99"/>
      <c r="B99"/>
      <c r="C99" s="290"/>
      <c r="D99" s="290"/>
      <c r="E99"/>
      <c r="F99" s="13"/>
      <c r="G99" s="47"/>
      <c r="H99" s="26"/>
      <c r="I99"/>
      <c r="J99"/>
      <c r="M99" s="434"/>
      <c r="N99" s="440"/>
      <c r="O99" s="440"/>
      <c r="P99" s="440"/>
      <c r="Q99" s="440"/>
      <c r="R99" s="445"/>
    </row>
    <row r="100" spans="1:18" s="24" customFormat="1">
      <c r="A100"/>
      <c r="B100"/>
      <c r="C100"/>
      <c r="D100"/>
      <c r="E100"/>
      <c r="F100" s="13"/>
      <c r="G100" s="47"/>
      <c r="H100"/>
      <c r="I100"/>
      <c r="J100"/>
      <c r="M100" s="434"/>
      <c r="N100" s="440"/>
      <c r="O100" s="440"/>
      <c r="P100" s="440"/>
      <c r="Q100" s="440"/>
      <c r="R100" s="445"/>
    </row>
  </sheetData>
  <autoFilter ref="A10:F93" xr:uid="{00000000-0009-0000-0000-000050000000}"/>
  <mergeCells count="41">
    <mergeCell ref="A29:A38"/>
    <mergeCell ref="A39:F39"/>
    <mergeCell ref="E10:E11"/>
    <mergeCell ref="F10:F11"/>
    <mergeCell ref="A80:A82"/>
    <mergeCell ref="B10:B11"/>
    <mergeCell ref="C10:C11"/>
    <mergeCell ref="D10:D11"/>
    <mergeCell ref="A40:A50"/>
    <mergeCell ref="A10:A11"/>
    <mergeCell ref="A59:A60"/>
    <mergeCell ref="A12:A27"/>
    <mergeCell ref="A51:F51"/>
    <mergeCell ref="A53:F53"/>
    <mergeCell ref="A54:A55"/>
    <mergeCell ref="G10:J10"/>
    <mergeCell ref="A28:F28"/>
    <mergeCell ref="A56:F56"/>
    <mergeCell ref="A58:F58"/>
    <mergeCell ref="Q5:Q9"/>
    <mergeCell ref="L3:L9"/>
    <mergeCell ref="M3:M4"/>
    <mergeCell ref="N3:N4"/>
    <mergeCell ref="O3:O4"/>
    <mergeCell ref="Q3:Q4"/>
    <mergeCell ref="P3:P4"/>
    <mergeCell ref="P5:P9"/>
    <mergeCell ref="A5:G9"/>
    <mergeCell ref="M5:M9"/>
    <mergeCell ref="N5:N9"/>
    <mergeCell ref="O5:O9"/>
    <mergeCell ref="F94:I94"/>
    <mergeCell ref="A61:F61"/>
    <mergeCell ref="A72:F72"/>
    <mergeCell ref="A74:F74"/>
    <mergeCell ref="A75:A78"/>
    <mergeCell ref="A62:A71"/>
    <mergeCell ref="A79:F79"/>
    <mergeCell ref="A83:F83"/>
    <mergeCell ref="A84:E84"/>
    <mergeCell ref="F84:F86"/>
  </mergeCells>
  <phoneticPr fontId="2" type="noConversion"/>
  <conditionalFormatting sqref="A12">
    <cfRule type="expression" dxfId="1211" priority="60">
      <formula>#REF!="*01월*"</formula>
    </cfRule>
  </conditionalFormatting>
  <conditionalFormatting sqref="A28">
    <cfRule type="expression" dxfId="1210" priority="61">
      <formula>#REF!="*01월*"</formula>
    </cfRule>
  </conditionalFormatting>
  <conditionalFormatting sqref="A39">
    <cfRule type="expression" dxfId="1209" priority="50">
      <formula>$E40="*01월*"</formula>
    </cfRule>
  </conditionalFormatting>
  <conditionalFormatting sqref="A51:A53 C64:D69 B70:E70">
    <cfRule type="expression" dxfId="1208" priority="43">
      <formula>#REF!="*01월*"</formula>
    </cfRule>
  </conditionalFormatting>
  <conditionalFormatting sqref="A54 A58 G58:J58 C81:E82 I81:J82">
    <cfRule type="expression" dxfId="1207" priority="38">
      <formula>$E57="*01월*"</formula>
    </cfRule>
  </conditionalFormatting>
  <conditionalFormatting sqref="A59 A61">
    <cfRule type="expression" dxfId="1206" priority="56">
      <formula>#REF!="*01월*"</formula>
    </cfRule>
  </conditionalFormatting>
  <conditionalFormatting sqref="A72">
    <cfRule type="expression" dxfId="1205" priority="48">
      <formula>#REF!="*01월*"</formula>
    </cfRule>
  </conditionalFormatting>
  <conditionalFormatting sqref="A74:A75">
    <cfRule type="expression" dxfId="1204" priority="47">
      <formula>#REF!="*01월*"</formula>
    </cfRule>
  </conditionalFormatting>
  <conditionalFormatting sqref="A10:J11 G54:G55 A56 G56:J57 A57:D57 A62:D62 G62:J62 B63:B67 H71 I72:J72 A73 H73 G74:J74 G83:I83 A83:A84 F84:H84 A85:H86 A87:J93">
    <cfRule type="expression" dxfId="1203" priority="53">
      <formula>$E12="*01월*"</formula>
    </cfRule>
  </conditionalFormatting>
  <conditionalFormatting sqref="B54 E54 B68">
    <cfRule type="expression" dxfId="1202" priority="64">
      <formula>#REF!="*01월*"</formula>
    </cfRule>
  </conditionalFormatting>
  <conditionalFormatting sqref="B80:B82">
    <cfRule type="expression" dxfId="1201" priority="9">
      <formula>#REF!="*01월*"</formula>
    </cfRule>
  </conditionalFormatting>
  <conditionalFormatting sqref="B59:E60 G59:J60 A79:A80 C80:E80 H80:J80">
    <cfRule type="expression" dxfId="1200" priority="39">
      <formula>$E63="*01월*"</formula>
    </cfRule>
  </conditionalFormatting>
  <conditionalFormatting sqref="B12:F27">
    <cfRule type="expression" dxfId="1199" priority="6">
      <formula>#REF!="*01월*"</formula>
    </cfRule>
  </conditionalFormatting>
  <conditionalFormatting sqref="B49:F50">
    <cfRule type="expression" dxfId="1198" priority="2">
      <formula>#REF!="*01월*"</formula>
    </cfRule>
  </conditionalFormatting>
  <conditionalFormatting sqref="B54:F55">
    <cfRule type="expression" dxfId="1197" priority="1">
      <formula>#REF!="*01월*"</formula>
    </cfRule>
  </conditionalFormatting>
  <conditionalFormatting sqref="B29:J38">
    <cfRule type="expression" dxfId="1196" priority="3">
      <formula>#REF!="*01월*"</formula>
    </cfRule>
  </conditionalFormatting>
  <conditionalFormatting sqref="B40:J48">
    <cfRule type="expression" dxfId="1195" priority="5">
      <formula>#REF!="*01월*"</formula>
    </cfRule>
  </conditionalFormatting>
  <conditionalFormatting sqref="B52:J52">
    <cfRule type="expression" dxfId="1194" priority="22">
      <formula>#REF!="*01월*"</formula>
    </cfRule>
  </conditionalFormatting>
  <conditionalFormatting sqref="B75:J78">
    <cfRule type="expression" dxfId="1193" priority="13">
      <formula>#REF!="*01월*"</formula>
    </cfRule>
  </conditionalFormatting>
  <conditionalFormatting sqref="C54:D55">
    <cfRule type="expression" dxfId="1192" priority="36">
      <formula>$E56="*01월*"</formula>
    </cfRule>
  </conditionalFormatting>
  <conditionalFormatting sqref="C95:D99">
    <cfRule type="expression" dxfId="1191" priority="51">
      <formula>$E97="*01월*"</formula>
    </cfRule>
  </conditionalFormatting>
  <conditionalFormatting sqref="C63:E63 G63:J63">
    <cfRule type="expression" dxfId="1190" priority="42">
      <formula>$E70="*01월*"</formula>
    </cfRule>
  </conditionalFormatting>
  <conditionalFormatting sqref="C71:E71">
    <cfRule type="expression" dxfId="1189" priority="15">
      <formula>#REF!="*01월*"</formula>
    </cfRule>
  </conditionalFormatting>
  <conditionalFormatting sqref="E31:E37">
    <cfRule type="expression" dxfId="1188" priority="65">
      <formula>$E39="*01월*"</formula>
    </cfRule>
  </conditionalFormatting>
  <conditionalFormatting sqref="E38">
    <cfRule type="expression" dxfId="1187" priority="62">
      <formula>$E40="*01월*"</formula>
    </cfRule>
  </conditionalFormatting>
  <conditionalFormatting sqref="E62">
    <cfRule type="expression" dxfId="1186" priority="20">
      <formula>#REF!="*01월*"</formula>
    </cfRule>
  </conditionalFormatting>
  <conditionalFormatting sqref="E64:E65">
    <cfRule type="expression" dxfId="1185" priority="19">
      <formula>#REF!="*01월*"</formula>
    </cfRule>
  </conditionalFormatting>
  <conditionalFormatting sqref="E66">
    <cfRule type="expression" dxfId="1184" priority="18">
      <formula>$E72="*01월*"</formula>
    </cfRule>
  </conditionalFormatting>
  <conditionalFormatting sqref="E67">
    <cfRule type="expression" dxfId="1183" priority="17">
      <formula>#REF!="*01월*"</formula>
    </cfRule>
  </conditionalFormatting>
  <conditionalFormatting sqref="E68">
    <cfRule type="expression" dxfId="1182" priority="12">
      <formula>$E74="*01월*"</formula>
    </cfRule>
  </conditionalFormatting>
  <conditionalFormatting sqref="E69">
    <cfRule type="expression" dxfId="1181" priority="16">
      <formula>#REF!="*01월*"</formula>
    </cfRule>
  </conditionalFormatting>
  <conditionalFormatting sqref="E57:F57">
    <cfRule type="expression" dxfId="1180" priority="21">
      <formula>#REF!="*01월*"</formula>
    </cfRule>
  </conditionalFormatting>
  <conditionalFormatting sqref="E73:F73">
    <cfRule type="expression" dxfId="1179" priority="14">
      <formula>#REF!="*01월*"</formula>
    </cfRule>
  </conditionalFormatting>
  <conditionalFormatting sqref="F59:F60">
    <cfRule type="expression" dxfId="1178" priority="11">
      <formula>#REF!="*01월*"</formula>
    </cfRule>
  </conditionalFormatting>
  <conditionalFormatting sqref="F62:F71 G64:J71">
    <cfRule type="expression" dxfId="1177" priority="27">
      <formula>#REF!="*01월*"</formula>
    </cfRule>
  </conditionalFormatting>
  <conditionalFormatting sqref="F80:G82">
    <cfRule type="expression" dxfId="1176" priority="25">
      <formula>#REF!="*01월*"</formula>
    </cfRule>
  </conditionalFormatting>
  <conditionalFormatting sqref="G39 I39:J39 B55 E55 B69 B71 B73:D73 I73:J73">
    <cfRule type="expression" dxfId="1175" priority="54">
      <formula>$E40="*01월*"</formula>
    </cfRule>
  </conditionalFormatting>
  <conditionalFormatting sqref="G72">
    <cfRule type="expression" dxfId="1174" priority="55">
      <formula>$E74="*01월*"</formula>
    </cfRule>
  </conditionalFormatting>
  <conditionalFormatting sqref="G73">
    <cfRule type="expression" dxfId="1173" priority="33">
      <formula>$E76="*01월*"</formula>
    </cfRule>
  </conditionalFormatting>
  <conditionalFormatting sqref="G12:J28">
    <cfRule type="expression" dxfId="1172" priority="37">
      <formula>#REF!="*01월*"</formula>
    </cfRule>
  </conditionalFormatting>
  <conditionalFormatting sqref="G49:J51">
    <cfRule type="expression" dxfId="1171" priority="23">
      <formula>#REF!="*01월*"</formula>
    </cfRule>
  </conditionalFormatting>
  <conditionalFormatting sqref="G53:J55">
    <cfRule type="expression" dxfId="1170" priority="30">
      <formula>#REF!="*01월*"</formula>
    </cfRule>
  </conditionalFormatting>
  <conditionalFormatting sqref="G61:J61">
    <cfRule type="expression" dxfId="1169" priority="41">
      <formula>#REF!="*01월*"</formula>
    </cfRule>
  </conditionalFormatting>
  <conditionalFormatting sqref="G79:J79">
    <cfRule type="expression" dxfId="1168" priority="52">
      <formula>$E83="*01월*"</formula>
    </cfRule>
  </conditionalFormatting>
  <conditionalFormatting sqref="H39">
    <cfRule type="expression" dxfId="1167" priority="32">
      <formula>#REF!="*01월*"</formula>
    </cfRule>
  </conditionalFormatting>
  <conditionalFormatting sqref="H67:H68">
    <cfRule type="expression" dxfId="1166" priority="44">
      <formula>$E72="*01월*"</formula>
    </cfRule>
  </conditionalFormatting>
  <conditionalFormatting sqref="H72">
    <cfRule type="expression" dxfId="1165" priority="29">
      <formula>#REF!="*01월*"</formula>
    </cfRule>
  </conditionalFormatting>
  <conditionalFormatting sqref="H81:H82">
    <cfRule type="expression" dxfId="1164" priority="8">
      <formula>$E85="*01월*"</formula>
    </cfRule>
  </conditionalFormatting>
  <conditionalFormatting sqref="I84:J86">
    <cfRule type="expression" dxfId="1163" priority="10">
      <formula>$E86="*01월*"</formula>
    </cfRule>
  </conditionalFormatting>
  <conditionalFormatting sqref="J83">
    <cfRule type="expression" dxfId="1162" priority="46">
      <formula>$E89="*01월*"</formula>
    </cfRule>
  </conditionalFormatting>
  <conditionalFormatting sqref="J94 F94:F98">
    <cfRule type="expression" dxfId="1161" priority="45">
      <formula>$E96="*01월*"</formula>
    </cfRule>
  </conditionalFormatting>
  <printOptions horizontalCentered="1"/>
  <pageMargins left="0" right="0" top="0.72" bottom="0.23" header="0" footer="0"/>
  <pageSetup paperSize="9" scale="43" fitToHeight="0" orientation="portrait" r:id="rId1"/>
  <rowBreaks count="1" manualBreakCount="1">
    <brk id="71" max="9" man="1"/>
  </rowBreaks>
  <colBreaks count="1" manualBreakCount="1">
    <brk id="9" max="89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C5:G13"/>
  <sheetViews>
    <sheetView workbookViewId="0">
      <selection activeCell="C16" sqref="C16"/>
    </sheetView>
  </sheetViews>
  <sheetFormatPr defaultRowHeight="17.399999999999999"/>
  <cols>
    <col min="3" max="3" width="4" customWidth="1"/>
    <col min="4" max="7" width="14.59765625" customWidth="1"/>
  </cols>
  <sheetData>
    <row r="5" spans="3:7" ht="18" thickBot="1"/>
    <row r="6" spans="3:7" ht="13.5" customHeight="1" thickTop="1">
      <c r="C6" s="2058" t="s">
        <v>2041</v>
      </c>
      <c r="D6" s="2082" t="s">
        <v>2034</v>
      </c>
      <c r="E6" s="2084" t="s">
        <v>2034</v>
      </c>
      <c r="F6" s="2084" t="s">
        <v>2035</v>
      </c>
      <c r="G6" s="2086" t="s">
        <v>2036</v>
      </c>
    </row>
    <row r="7" spans="3:7" ht="13.5" customHeight="1">
      <c r="C7" s="2080"/>
      <c r="D7" s="2083"/>
      <c r="E7" s="2085"/>
      <c r="F7" s="2085"/>
      <c r="G7" s="2087"/>
    </row>
    <row r="8" spans="3:7" ht="13.5" customHeight="1">
      <c r="C8" s="2080"/>
      <c r="D8" s="2091"/>
      <c r="E8" s="2088"/>
      <c r="F8" s="2088"/>
      <c r="G8" s="2077"/>
    </row>
    <row r="9" spans="3:7" ht="13.5" customHeight="1">
      <c r="C9" s="2080"/>
      <c r="D9" s="2092"/>
      <c r="E9" s="2089"/>
      <c r="F9" s="2089"/>
      <c r="G9" s="2078"/>
    </row>
    <row r="10" spans="3:7" ht="13.5" customHeight="1">
      <c r="C10" s="2080"/>
      <c r="D10" s="2092"/>
      <c r="E10" s="2089"/>
      <c r="F10" s="2089"/>
      <c r="G10" s="2078"/>
    </row>
    <row r="11" spans="3:7" ht="13.5" customHeight="1">
      <c r="C11" s="2080"/>
      <c r="D11" s="2092"/>
      <c r="E11" s="2089"/>
      <c r="F11" s="2089"/>
      <c r="G11" s="2078"/>
    </row>
    <row r="12" spans="3:7" ht="13.5" customHeight="1" thickBot="1">
      <c r="C12" s="2081"/>
      <c r="D12" s="2093"/>
      <c r="E12" s="2090"/>
      <c r="F12" s="2090"/>
      <c r="G12" s="2079"/>
    </row>
    <row r="13" spans="3:7" ht="18" thickTop="1"/>
  </sheetData>
  <mergeCells count="9">
    <mergeCell ref="G8:G12"/>
    <mergeCell ref="C6:C12"/>
    <mergeCell ref="D6:D7"/>
    <mergeCell ref="E6:E7"/>
    <mergeCell ref="F6:F7"/>
    <mergeCell ref="G6:G7"/>
    <mergeCell ref="D8:D12"/>
    <mergeCell ref="E8:E12"/>
    <mergeCell ref="F8:F12"/>
  </mergeCells>
  <phoneticPr fontId="2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pageSetUpPr fitToPage="1"/>
  </sheetPr>
  <dimension ref="A2:R79"/>
  <sheetViews>
    <sheetView view="pageBreakPreview" zoomScale="70" zoomScaleNormal="70" zoomScaleSheetLayoutView="70" workbookViewId="0">
      <pane xSplit="1" ySplit="11" topLeftCell="B12" activePane="bottomRight" state="frozen"/>
      <selection activeCell="I26" sqref="I26"/>
      <selection pane="topRight" activeCell="I26" sqref="I26"/>
      <selection pane="bottomLeft" activeCell="I26" sqref="I26"/>
      <selection pane="bottomRight" activeCell="E24" sqref="E24"/>
    </sheetView>
  </sheetViews>
  <sheetFormatPr defaultRowHeight="25.2"/>
  <cols>
    <col min="1" max="1" width="23.3984375" customWidth="1"/>
    <col min="2" max="2" width="22.8984375" customWidth="1"/>
    <col min="3" max="3" width="29.09765625" customWidth="1"/>
    <col min="4" max="4" width="29.09765625" hidden="1" customWidth="1"/>
    <col min="5" max="5" width="21" customWidth="1"/>
    <col min="6" max="6" width="18.69921875" customWidth="1"/>
    <col min="7" max="7" width="25.69921875" style="47" customWidth="1"/>
    <col min="8" max="8" width="26.5" customWidth="1"/>
    <col min="9" max="9" width="25.09765625" customWidth="1"/>
    <col min="10" max="10" width="29.19921875" customWidth="1"/>
    <col min="11" max="11" width="17.59765625" style="24" bestFit="1" customWidth="1"/>
    <col min="12" max="12" width="7.5" style="24" customWidth="1"/>
    <col min="13" max="17" width="17.09765625" style="434" customWidth="1"/>
    <col min="18" max="18" width="9" style="441"/>
  </cols>
  <sheetData>
    <row r="2" spans="1:18" ht="25.8" thickBot="1"/>
    <row r="3" spans="1:18" ht="21.75" customHeight="1" thickTop="1">
      <c r="L3" s="2058" t="s">
        <v>2041</v>
      </c>
      <c r="M3" s="2082" t="s">
        <v>2034</v>
      </c>
      <c r="N3" s="2084" t="s">
        <v>2034</v>
      </c>
      <c r="O3" s="2084" t="s">
        <v>2035</v>
      </c>
      <c r="P3" s="2084" t="s">
        <v>2063</v>
      </c>
      <c r="Q3" s="2086" t="s">
        <v>2036</v>
      </c>
    </row>
    <row r="4" spans="1:18" ht="19.5" customHeight="1">
      <c r="L4" s="2080"/>
      <c r="M4" s="2083"/>
      <c r="N4" s="2085"/>
      <c r="O4" s="2085"/>
      <c r="P4" s="2085"/>
      <c r="Q4" s="2087"/>
    </row>
    <row r="5" spans="1:18" ht="19.5" customHeight="1">
      <c r="A5" s="2020" t="s">
        <v>2070</v>
      </c>
      <c r="B5" s="2020"/>
      <c r="C5" s="2020"/>
      <c r="D5" s="2020"/>
      <c r="E5" s="2020"/>
      <c r="F5" s="2020"/>
      <c r="G5" s="2020"/>
      <c r="H5" s="1"/>
      <c r="I5" s="1"/>
      <c r="J5" s="1"/>
      <c r="L5" s="2080"/>
      <c r="M5" s="2091"/>
      <c r="N5" s="2088"/>
      <c r="O5" s="2088"/>
      <c r="P5" s="2088"/>
      <c r="Q5" s="2077"/>
    </row>
    <row r="6" spans="1:18" ht="19.5" customHeight="1">
      <c r="A6" s="2020"/>
      <c r="B6" s="2020"/>
      <c r="C6" s="2020"/>
      <c r="D6" s="2020"/>
      <c r="E6" s="2020"/>
      <c r="F6" s="2020"/>
      <c r="G6" s="2020"/>
      <c r="H6" s="1"/>
      <c r="I6" s="1"/>
      <c r="J6" s="1"/>
      <c r="L6" s="2080"/>
      <c r="M6" s="2092"/>
      <c r="N6" s="2089"/>
      <c r="O6" s="2089"/>
      <c r="P6" s="2089"/>
      <c r="Q6" s="2078"/>
    </row>
    <row r="7" spans="1:18" ht="19.5" customHeight="1">
      <c r="A7" s="2020"/>
      <c r="B7" s="2020"/>
      <c r="C7" s="2020"/>
      <c r="D7" s="2020"/>
      <c r="E7" s="2020"/>
      <c r="F7" s="2020"/>
      <c r="G7" s="2020"/>
      <c r="H7" s="1"/>
      <c r="I7" s="1"/>
      <c r="J7" s="1"/>
      <c r="L7" s="2080"/>
      <c r="M7" s="2092"/>
      <c r="N7" s="2089"/>
      <c r="O7" s="2089"/>
      <c r="P7" s="2089"/>
      <c r="Q7" s="2078"/>
    </row>
    <row r="8" spans="1:18" ht="19.5" customHeight="1">
      <c r="A8" s="2020"/>
      <c r="B8" s="2020"/>
      <c r="C8" s="2020"/>
      <c r="D8" s="2020"/>
      <c r="E8" s="2020"/>
      <c r="F8" s="2020"/>
      <c r="G8" s="2020"/>
      <c r="H8" s="2"/>
      <c r="I8" s="2"/>
      <c r="J8" s="2"/>
      <c r="L8" s="2080"/>
      <c r="M8" s="2092"/>
      <c r="N8" s="2089"/>
      <c r="O8" s="2089"/>
      <c r="P8" s="2089"/>
      <c r="Q8" s="2078"/>
    </row>
    <row r="9" spans="1:18" ht="19.5" customHeight="1" thickBot="1">
      <c r="A9" s="2052"/>
      <c r="B9" s="2052"/>
      <c r="C9" s="2052"/>
      <c r="D9" s="2052"/>
      <c r="E9" s="2052"/>
      <c r="F9" s="2052"/>
      <c r="G9" s="2052"/>
      <c r="H9" s="2"/>
      <c r="I9" s="2"/>
      <c r="J9" s="2"/>
      <c r="L9" s="2081"/>
      <c r="M9" s="2093"/>
      <c r="N9" s="2090"/>
      <c r="O9" s="2090"/>
      <c r="P9" s="2090"/>
      <c r="Q9" s="2079"/>
    </row>
    <row r="10" spans="1:18" ht="23.25" customHeight="1">
      <c r="A10" s="2021" t="s">
        <v>0</v>
      </c>
      <c r="B10" s="2023" t="s">
        <v>1</v>
      </c>
      <c r="C10" s="2024" t="s">
        <v>2</v>
      </c>
      <c r="D10" s="2024" t="s">
        <v>1222</v>
      </c>
      <c r="E10" s="2024" t="s">
        <v>3</v>
      </c>
      <c r="F10" s="2025" t="s">
        <v>4</v>
      </c>
      <c r="G10" s="2026" t="s">
        <v>5</v>
      </c>
      <c r="H10" s="2027"/>
      <c r="I10" s="2027"/>
      <c r="J10" s="2028"/>
    </row>
    <row r="11" spans="1:18" ht="23.25" customHeight="1">
      <c r="A11" s="2022"/>
      <c r="B11" s="2003"/>
      <c r="C11" s="2004"/>
      <c r="D11" s="2004"/>
      <c r="E11" s="2004"/>
      <c r="F11" s="2005"/>
      <c r="G11" s="82" t="s">
        <v>6</v>
      </c>
      <c r="H11" s="3" t="s">
        <v>7</v>
      </c>
      <c r="I11" s="3" t="s">
        <v>101</v>
      </c>
      <c r="J11" s="271" t="s">
        <v>8</v>
      </c>
    </row>
    <row r="12" spans="1:18" s="97" customFormat="1" ht="27" customHeight="1">
      <c r="A12" s="2010" t="s">
        <v>9</v>
      </c>
      <c r="B12" s="88" t="s">
        <v>2153</v>
      </c>
      <c r="C12" s="89" t="s">
        <v>2154</v>
      </c>
      <c r="D12" s="89"/>
      <c r="E12" s="90">
        <v>45682</v>
      </c>
      <c r="F12" s="91">
        <f>VLOOKUP(E12,환율!$A$1798:$B$3001,2,)</f>
        <v>1437.1</v>
      </c>
      <c r="G12" s="92">
        <v>401503.6</v>
      </c>
      <c r="H12" s="93">
        <f t="shared" ref="H12:H14" si="0">ROUNDDOWN(G12*F12,0)</f>
        <v>577000823</v>
      </c>
      <c r="I12" s="94" ph="1"/>
      <c r="J12" s="254"/>
      <c r="K12" s="364"/>
      <c r="L12" s="364"/>
      <c r="M12" s="434"/>
      <c r="N12" s="434"/>
      <c r="O12" s="434"/>
      <c r="P12" s="434"/>
      <c r="Q12" s="434"/>
      <c r="R12" s="441"/>
    </row>
    <row r="13" spans="1:18" s="97" customFormat="1" ht="27" customHeight="1">
      <c r="A13" s="2011"/>
      <c r="B13" s="99" t="s">
        <v>2155</v>
      </c>
      <c r="C13" s="100" t="s">
        <v>2156</v>
      </c>
      <c r="D13" s="100"/>
      <c r="E13" s="101">
        <v>45690</v>
      </c>
      <c r="F13" s="102">
        <f>VLOOKUP(E13,환율!$A$1798:$B$3001,2,)</f>
        <v>1433.3</v>
      </c>
      <c r="G13" s="103">
        <v>370512.8</v>
      </c>
      <c r="H13" s="104">
        <f t="shared" si="0"/>
        <v>531055996</v>
      </c>
      <c r="I13" s="353" ph="1"/>
      <c r="J13" s="272"/>
      <c r="K13" s="401"/>
      <c r="L13" s="401"/>
      <c r="M13" s="434"/>
      <c r="N13" s="434"/>
      <c r="O13" s="434"/>
      <c r="P13" s="434"/>
      <c r="Q13" s="434"/>
      <c r="R13" s="441"/>
    </row>
    <row r="14" spans="1:18" s="97" customFormat="1" ht="27" customHeight="1">
      <c r="A14" s="2011"/>
      <c r="B14" s="99" t="s">
        <v>2157</v>
      </c>
      <c r="C14" s="100" t="s">
        <v>2158</v>
      </c>
      <c r="D14" s="100"/>
      <c r="E14" s="101">
        <v>45695</v>
      </c>
      <c r="F14" s="102">
        <f>VLOOKUP(E14,환율!$A$1798:$B$3001,2,)</f>
        <v>1447.1</v>
      </c>
      <c r="G14" s="103">
        <v>383726.55</v>
      </c>
      <c r="H14" s="104">
        <f t="shared" si="0"/>
        <v>555290690</v>
      </c>
      <c r="I14" s="353" ph="1"/>
      <c r="J14" s="272"/>
      <c r="K14" s="401"/>
      <c r="L14" s="401"/>
      <c r="M14" s="434"/>
      <c r="N14" s="434"/>
      <c r="O14" s="434"/>
      <c r="P14" s="434"/>
      <c r="Q14" s="434"/>
      <c r="R14" s="441"/>
    </row>
    <row r="15" spans="1:18" s="97" customFormat="1" ht="27" customHeight="1">
      <c r="A15" s="2035" t="s">
        <v>10</v>
      </c>
      <c r="B15" s="2036"/>
      <c r="C15" s="2036"/>
      <c r="D15" s="2036"/>
      <c r="E15" s="2036"/>
      <c r="F15" s="2037"/>
      <c r="G15" s="449">
        <f>SUM(G12:G14)</f>
        <v>1155742.95</v>
      </c>
      <c r="H15" s="116">
        <f>SUM(H12:H14)</f>
        <v>1663347509</v>
      </c>
      <c r="I15" s="116">
        <v>2225679255</v>
      </c>
      <c r="J15" s="260">
        <f>+H15-I15</f>
        <v>-562331746</v>
      </c>
      <c r="K15" s="364"/>
      <c r="L15" s="364"/>
      <c r="M15" s="434"/>
      <c r="N15" s="434"/>
      <c r="O15" s="434"/>
      <c r="P15" s="434"/>
      <c r="Q15" s="434"/>
      <c r="R15" s="441"/>
    </row>
    <row r="16" spans="1:18" s="97" customFormat="1" ht="27" customHeight="1">
      <c r="A16" s="2010" t="s">
        <v>2022</v>
      </c>
      <c r="B16" s="117" t="s">
        <v>2160</v>
      </c>
      <c r="C16" s="89" t="s">
        <v>2161</v>
      </c>
      <c r="D16" s="319"/>
      <c r="E16" s="90">
        <v>45682</v>
      </c>
      <c r="F16" s="91">
        <f>VLOOKUP(E16,환율!$A$1798:$B$3001,2,)</f>
        <v>1437.1</v>
      </c>
      <c r="G16" s="118">
        <v>69220.800000000003</v>
      </c>
      <c r="H16" s="93">
        <f t="shared" ref="H16:H21" si="1">ROUNDDOWN(G16*F16,0)</f>
        <v>99477211</v>
      </c>
      <c r="I16" s="119"/>
      <c r="J16" s="254"/>
      <c r="K16" s="364"/>
      <c r="L16" s="364"/>
      <c r="M16" s="434"/>
      <c r="N16" s="434"/>
      <c r="O16" s="434"/>
      <c r="P16" s="434"/>
      <c r="Q16" s="434"/>
      <c r="R16" s="441"/>
    </row>
    <row r="17" spans="1:18" s="120" customFormat="1" ht="27" customHeight="1">
      <c r="A17" s="2011"/>
      <c r="B17" s="117" t="s">
        <v>2162</v>
      </c>
      <c r="C17" s="89" t="s">
        <v>2163</v>
      </c>
      <c r="D17" s="319"/>
      <c r="E17" s="90">
        <v>45682</v>
      </c>
      <c r="F17" s="91">
        <f>VLOOKUP(E17,환율!$A$1798:$B$3001,2,)</f>
        <v>1437.1</v>
      </c>
      <c r="G17" s="118">
        <v>78.05</v>
      </c>
      <c r="H17" s="93">
        <f t="shared" si="1"/>
        <v>112165</v>
      </c>
      <c r="I17" s="119"/>
      <c r="J17" s="254"/>
      <c r="K17" s="365"/>
      <c r="L17" s="365"/>
      <c r="M17" s="435"/>
      <c r="N17" s="435"/>
      <c r="O17" s="435"/>
      <c r="P17" s="435"/>
      <c r="Q17" s="435"/>
      <c r="R17" s="442"/>
    </row>
    <row r="18" spans="1:18" s="120" customFormat="1" ht="27" customHeight="1">
      <c r="A18" s="2011"/>
      <c r="B18" s="117" t="s">
        <v>2164</v>
      </c>
      <c r="C18" s="89" t="s">
        <v>2165</v>
      </c>
      <c r="D18" s="319"/>
      <c r="E18" s="136">
        <v>45682</v>
      </c>
      <c r="F18" s="91">
        <f>VLOOKUP(E18,환율!$A$1798:$B$3001,2,)</f>
        <v>1437.1</v>
      </c>
      <c r="G18" s="118">
        <v>381.85</v>
      </c>
      <c r="H18" s="93">
        <f t="shared" si="1"/>
        <v>548756</v>
      </c>
      <c r="I18" s="119"/>
      <c r="J18" s="254"/>
      <c r="K18" s="365"/>
      <c r="L18" s="365"/>
      <c r="M18" s="435"/>
      <c r="N18" s="435"/>
      <c r="O18" s="435"/>
      <c r="P18" s="435"/>
      <c r="Q18" s="435"/>
      <c r="R18" s="442"/>
    </row>
    <row r="19" spans="1:18" s="120" customFormat="1" ht="27" customHeight="1">
      <c r="A19" s="2011"/>
      <c r="B19" s="117" t="s">
        <v>2166</v>
      </c>
      <c r="C19" s="89" t="s">
        <v>2167</v>
      </c>
      <c r="D19" s="319"/>
      <c r="E19" s="136">
        <v>45682</v>
      </c>
      <c r="F19" s="91">
        <f>VLOOKUP(E19,환율!$A$1798:$B$3001,2,)</f>
        <v>1437.1</v>
      </c>
      <c r="G19" s="118">
        <v>174.2</v>
      </c>
      <c r="H19" s="93">
        <f t="shared" si="1"/>
        <v>250342</v>
      </c>
      <c r="I19" s="119"/>
      <c r="J19" s="254"/>
      <c r="K19" s="365"/>
      <c r="L19" s="365"/>
      <c r="M19" s="435"/>
      <c r="N19" s="435"/>
      <c r="O19" s="435"/>
      <c r="P19" s="435"/>
      <c r="Q19" s="435"/>
      <c r="R19" s="442"/>
    </row>
    <row r="20" spans="1:18" s="120" customFormat="1" ht="27" customHeight="1">
      <c r="A20" s="2011"/>
      <c r="B20" s="117" t="s">
        <v>2168</v>
      </c>
      <c r="C20" s="89" t="s">
        <v>2169</v>
      </c>
      <c r="D20" s="319"/>
      <c r="E20" s="136">
        <v>45685</v>
      </c>
      <c r="F20" s="91">
        <f>VLOOKUP(E20,환율!$A$1798:$B$3001,2,)</f>
        <v>1437.1</v>
      </c>
      <c r="G20" s="118">
        <v>67926.34</v>
      </c>
      <c r="H20" s="93">
        <f t="shared" si="1"/>
        <v>97616943</v>
      </c>
      <c r="I20" s="119"/>
      <c r="J20" s="254"/>
      <c r="K20" s="365"/>
      <c r="L20" s="365"/>
      <c r="M20" s="435"/>
      <c r="N20" s="435"/>
      <c r="O20" s="435"/>
      <c r="P20" s="435"/>
      <c r="Q20" s="435"/>
      <c r="R20" s="442"/>
    </row>
    <row r="21" spans="1:18" s="120" customFormat="1" ht="27" customHeight="1">
      <c r="A21" s="2011"/>
      <c r="B21" s="117" t="s">
        <v>2170</v>
      </c>
      <c r="C21" s="89" t="s">
        <v>2227</v>
      </c>
      <c r="D21" s="319"/>
      <c r="E21" s="136">
        <v>45686</v>
      </c>
      <c r="F21" s="91">
        <f>VLOOKUP(E21,환율!$A$1798:$B$3001,2,)</f>
        <v>1437.1</v>
      </c>
      <c r="G21" s="118">
        <v>27141.119999999999</v>
      </c>
      <c r="H21" s="93">
        <f t="shared" si="1"/>
        <v>39004503</v>
      </c>
      <c r="I21" s="119"/>
      <c r="J21" s="254"/>
      <c r="K21" s="365"/>
      <c r="L21" s="365"/>
      <c r="M21" s="435"/>
      <c r="N21" s="435"/>
      <c r="O21" s="435"/>
      <c r="P21" s="435"/>
      <c r="Q21" s="435"/>
      <c r="R21" s="442"/>
    </row>
    <row r="22" spans="1:18" s="97" customFormat="1" ht="27" customHeight="1">
      <c r="A22" s="2035" t="s">
        <v>10</v>
      </c>
      <c r="B22" s="2036"/>
      <c r="C22" s="2036"/>
      <c r="D22" s="2036"/>
      <c r="E22" s="2036"/>
      <c r="F22" s="2037"/>
      <c r="G22" s="127">
        <f>SUM(G16:G21)</f>
        <v>164922.35999999999</v>
      </c>
      <c r="H22" s="116">
        <f>SUM(H16:H21)</f>
        <v>237009920</v>
      </c>
      <c r="I22" s="116">
        <v>452691495</v>
      </c>
      <c r="J22" s="260">
        <f>+H22-I22</f>
        <v>-215681575</v>
      </c>
      <c r="K22" s="364"/>
      <c r="L22" s="364"/>
      <c r="M22" s="434"/>
      <c r="N22" s="434"/>
      <c r="O22" s="434"/>
      <c r="P22" s="434"/>
      <c r="Q22" s="434"/>
      <c r="R22" s="441"/>
    </row>
    <row r="23" spans="1:18" s="126" customFormat="1" ht="27" customHeight="1">
      <c r="A23" s="2010" t="s">
        <v>114</v>
      </c>
      <c r="B23" s="313" t="s">
        <v>2171</v>
      </c>
      <c r="C23" s="129" t="s">
        <v>2172</v>
      </c>
      <c r="D23" s="129"/>
      <c r="E23" s="90">
        <v>45670</v>
      </c>
      <c r="F23" s="91">
        <f>VLOOKUP(E23,환율!$A$1798:$B$3001,2,)</f>
        <v>1460.7</v>
      </c>
      <c r="G23" s="389">
        <v>9433.2000000000007</v>
      </c>
      <c r="H23" s="93">
        <f t="shared" ref="H23:H36" si="2">ROUNDDOWN(G23*F23,0)</f>
        <v>13779075</v>
      </c>
      <c r="I23" s="135"/>
      <c r="J23" s="255"/>
      <c r="K23" s="364"/>
      <c r="L23" s="364"/>
      <c r="M23" s="436"/>
      <c r="N23" s="436"/>
      <c r="O23" s="436"/>
      <c r="P23" s="436"/>
      <c r="Q23" s="436"/>
      <c r="R23" s="443"/>
    </row>
    <row r="24" spans="1:18" s="126" customFormat="1" ht="27" customHeight="1">
      <c r="A24" s="2011"/>
      <c r="B24" s="313" t="s">
        <v>2173</v>
      </c>
      <c r="C24" s="129" t="s">
        <v>2174</v>
      </c>
      <c r="D24" s="129"/>
      <c r="E24" s="90">
        <v>45675</v>
      </c>
      <c r="F24" s="91">
        <f>VLOOKUP(E24,환율!$A$1798:$B$3001,2,)</f>
        <v>1454.7</v>
      </c>
      <c r="G24" s="134">
        <v>18552</v>
      </c>
      <c r="H24" s="93">
        <f>ROUNDDOWN(G24*F24,0)</f>
        <v>26987594</v>
      </c>
      <c r="I24" s="135"/>
      <c r="J24" s="255"/>
      <c r="K24" s="364"/>
      <c r="L24" s="364"/>
      <c r="M24" s="436"/>
      <c r="N24" s="436"/>
      <c r="O24" s="436"/>
      <c r="P24" s="436"/>
      <c r="Q24" s="436"/>
      <c r="R24" s="443"/>
    </row>
    <row r="25" spans="1:18" s="126" customFormat="1" ht="27" customHeight="1">
      <c r="A25" s="2011"/>
      <c r="B25" s="313" t="s">
        <v>2176</v>
      </c>
      <c r="C25" s="129" t="s">
        <v>2177</v>
      </c>
      <c r="D25" s="129"/>
      <c r="E25" s="90">
        <v>45684</v>
      </c>
      <c r="F25" s="91">
        <f>VLOOKUP(E25,환율!$A$1798:$B$3001,2,)</f>
        <v>1437.1</v>
      </c>
      <c r="G25" s="134">
        <v>64159.9</v>
      </c>
      <c r="H25" s="93">
        <f t="shared" ref="H25:H29" si="3">ROUNDDOWN(G25*F25,0)</f>
        <v>92204192</v>
      </c>
      <c r="I25" s="135"/>
      <c r="J25" s="255"/>
      <c r="K25" s="364"/>
      <c r="L25" s="364"/>
      <c r="M25" s="436"/>
      <c r="N25" s="436"/>
      <c r="O25" s="436"/>
      <c r="P25" s="436"/>
      <c r="Q25" s="436"/>
      <c r="R25" s="443"/>
    </row>
    <row r="26" spans="1:18" s="126" customFormat="1" ht="27" customHeight="1">
      <c r="A26" s="2011"/>
      <c r="B26" s="313" t="s">
        <v>2178</v>
      </c>
      <c r="C26" s="129" t="s">
        <v>2179</v>
      </c>
      <c r="D26" s="129"/>
      <c r="E26" s="90">
        <v>45685</v>
      </c>
      <c r="F26" s="91">
        <f>VLOOKUP(E26,환율!$A$1798:$B$3001,2,)</f>
        <v>1437.1</v>
      </c>
      <c r="G26" s="134">
        <v>69760.539999999994</v>
      </c>
      <c r="H26" s="93">
        <f t="shared" si="3"/>
        <v>100252872</v>
      </c>
      <c r="I26" s="135"/>
      <c r="J26" s="255"/>
      <c r="K26" s="364"/>
      <c r="L26" s="364"/>
      <c r="M26" s="436"/>
      <c r="N26" s="436"/>
      <c r="O26" s="436"/>
      <c r="P26" s="436"/>
      <c r="Q26" s="436"/>
      <c r="R26" s="443"/>
    </row>
    <row r="27" spans="1:18" s="126" customFormat="1" ht="27" customHeight="1">
      <c r="A27" s="2011"/>
      <c r="B27" s="313" t="s">
        <v>2180</v>
      </c>
      <c r="C27" s="129" t="s">
        <v>2181</v>
      </c>
      <c r="D27" s="129"/>
      <c r="E27" s="90">
        <v>45683</v>
      </c>
      <c r="F27" s="91">
        <f>VLOOKUP(E27,환율!$A$1798:$B$3001,2,)</f>
        <v>1437.1</v>
      </c>
      <c r="G27" s="134">
        <v>9433.2000000000007</v>
      </c>
      <c r="H27" s="93">
        <f t="shared" si="3"/>
        <v>13556451</v>
      </c>
      <c r="I27" s="135"/>
      <c r="J27" s="255"/>
      <c r="K27" s="364"/>
      <c r="L27" s="364"/>
      <c r="M27" s="436"/>
      <c r="N27" s="436"/>
      <c r="O27" s="436"/>
      <c r="P27" s="436"/>
      <c r="Q27" s="436"/>
      <c r="R27" s="443"/>
    </row>
    <row r="28" spans="1:18" s="126" customFormat="1" ht="27" customHeight="1">
      <c r="A28" s="2011"/>
      <c r="B28" s="313" t="s">
        <v>2186</v>
      </c>
      <c r="C28" s="129" t="s">
        <v>2187</v>
      </c>
      <c r="D28" s="129"/>
      <c r="E28" s="136">
        <v>45688</v>
      </c>
      <c r="F28" s="91">
        <f>VLOOKUP(E28,환율!$A$1798:$B$3001,2,)</f>
        <v>1433.3</v>
      </c>
      <c r="G28" s="134">
        <v>4289.32</v>
      </c>
      <c r="H28" s="93">
        <f t="shared" si="3"/>
        <v>6147882</v>
      </c>
      <c r="I28" s="135"/>
      <c r="J28" s="255"/>
      <c r="K28" s="364"/>
      <c r="L28" s="364"/>
      <c r="M28" s="436"/>
      <c r="N28" s="436"/>
      <c r="O28" s="436"/>
      <c r="P28" s="436"/>
      <c r="Q28" s="436"/>
      <c r="R28" s="443"/>
    </row>
    <row r="29" spans="1:18" s="126" customFormat="1" ht="27" customHeight="1">
      <c r="A29" s="2011"/>
      <c r="B29" s="313" t="s">
        <v>2190</v>
      </c>
      <c r="C29" s="129" t="s">
        <v>2191</v>
      </c>
      <c r="D29" s="129"/>
      <c r="E29" s="136">
        <v>45688</v>
      </c>
      <c r="F29" s="91">
        <f>VLOOKUP(E29,환율!$A$1798:$B$3001,2,)</f>
        <v>1433.3</v>
      </c>
      <c r="G29" s="134">
        <v>2334.5</v>
      </c>
      <c r="H29" s="93">
        <f t="shared" si="3"/>
        <v>3346038</v>
      </c>
      <c r="I29" s="135"/>
      <c r="J29" s="255"/>
      <c r="K29" s="364"/>
      <c r="L29" s="364"/>
      <c r="M29" s="436"/>
      <c r="N29" s="436"/>
      <c r="O29" s="436"/>
      <c r="P29" s="436"/>
      <c r="Q29" s="436"/>
      <c r="R29" s="443"/>
    </row>
    <row r="30" spans="1:18" s="126" customFormat="1" ht="27" customHeight="1">
      <c r="A30" s="2011"/>
      <c r="B30" s="330" t="s">
        <v>2182</v>
      </c>
      <c r="C30" s="137" t="s">
        <v>2183</v>
      </c>
      <c r="D30" s="137"/>
      <c r="E30" s="101">
        <v>45690</v>
      </c>
      <c r="F30" s="102">
        <f>VLOOKUP(E30,환율!$A$1798:$B$3001,2,)</f>
        <v>1433.3</v>
      </c>
      <c r="G30" s="138">
        <v>3780</v>
      </c>
      <c r="H30" s="104">
        <f>ROUNDDOWN(G30*F30,0)</f>
        <v>5417874</v>
      </c>
      <c r="I30" s="139"/>
      <c r="J30" s="258"/>
      <c r="K30" s="364"/>
      <c r="L30" s="364"/>
      <c r="M30" s="436"/>
      <c r="N30" s="436"/>
      <c r="O30" s="436"/>
      <c r="P30" s="436"/>
      <c r="Q30" s="436"/>
      <c r="R30" s="443"/>
    </row>
    <row r="31" spans="1:18" s="126" customFormat="1" ht="27" customHeight="1">
      <c r="A31" s="2011"/>
      <c r="B31" s="330" t="s">
        <v>2184</v>
      </c>
      <c r="C31" s="137" t="s">
        <v>2185</v>
      </c>
      <c r="D31" s="137"/>
      <c r="E31" s="101">
        <v>45690</v>
      </c>
      <c r="F31" s="102">
        <f>VLOOKUP(E31,환율!$A$1798:$B$3001,2,)</f>
        <v>1433.3</v>
      </c>
      <c r="G31" s="138">
        <v>37898.46</v>
      </c>
      <c r="H31" s="104">
        <f>ROUNDDOWN(G31*F31,0)</f>
        <v>54319862</v>
      </c>
      <c r="I31" s="139"/>
      <c r="J31" s="258"/>
      <c r="K31" s="364"/>
      <c r="L31" s="364"/>
      <c r="M31" s="436"/>
      <c r="N31" s="436"/>
      <c r="O31" s="436"/>
      <c r="P31" s="436"/>
      <c r="Q31" s="436"/>
      <c r="R31" s="443"/>
    </row>
    <row r="32" spans="1:18" s="126" customFormat="1" ht="27" customHeight="1">
      <c r="A32" s="2011"/>
      <c r="B32" s="330" t="s">
        <v>2188</v>
      </c>
      <c r="C32" s="137" t="s">
        <v>2189</v>
      </c>
      <c r="D32" s="137"/>
      <c r="E32" s="101">
        <v>45691</v>
      </c>
      <c r="F32" s="102">
        <f>VLOOKUP(E32,환율!$A$1798:$B$3001,2,)</f>
        <v>1453</v>
      </c>
      <c r="G32" s="138">
        <v>7488</v>
      </c>
      <c r="H32" s="104">
        <f>ROUNDDOWN(G32*F32,0)</f>
        <v>10880064</v>
      </c>
      <c r="I32" s="139"/>
      <c r="J32" s="258"/>
      <c r="K32" s="364"/>
      <c r="L32" s="364"/>
      <c r="M32" s="436"/>
      <c r="N32" s="436"/>
      <c r="O32" s="436"/>
      <c r="P32" s="436"/>
      <c r="Q32" s="436"/>
      <c r="R32" s="443"/>
    </row>
    <row r="33" spans="1:18" s="126" customFormat="1" ht="27" customHeight="1">
      <c r="A33" s="2011"/>
      <c r="B33" s="330" t="s">
        <v>2192</v>
      </c>
      <c r="C33" s="137" t="s">
        <v>2234</v>
      </c>
      <c r="D33" s="137"/>
      <c r="E33" s="101">
        <v>45695</v>
      </c>
      <c r="F33" s="102">
        <f>VLOOKUP(E33,환율!$A$1798:$B$3001,2,)</f>
        <v>1447.1</v>
      </c>
      <c r="G33" s="138">
        <v>26748.1</v>
      </c>
      <c r="H33" s="104">
        <f>ROUNDDOWN(G33*F33,0)</f>
        <v>38707175</v>
      </c>
      <c r="I33" s="139"/>
      <c r="J33" s="258"/>
      <c r="K33" s="364"/>
      <c r="L33" s="364"/>
      <c r="M33" s="436"/>
      <c r="N33" s="436"/>
      <c r="O33" s="436"/>
      <c r="P33" s="436"/>
      <c r="Q33" s="436"/>
      <c r="R33" s="443"/>
    </row>
    <row r="34" spans="1:18" s="126" customFormat="1" ht="27" customHeight="1">
      <c r="A34" s="2011"/>
      <c r="B34" s="330" t="s">
        <v>2193</v>
      </c>
      <c r="C34" s="137" t="s">
        <v>2235</v>
      </c>
      <c r="D34" s="137"/>
      <c r="E34" s="101">
        <v>45706</v>
      </c>
      <c r="F34" s="102">
        <f>VLOOKUP(E34,환율!$A$1798:$B$3001,2,)</f>
        <v>1441.1</v>
      </c>
      <c r="G34" s="138">
        <v>34465.040000000001</v>
      </c>
      <c r="H34" s="104">
        <f t="shared" si="2"/>
        <v>49667569</v>
      </c>
      <c r="I34" s="139"/>
      <c r="J34" s="258"/>
      <c r="K34" s="364"/>
      <c r="L34" s="364"/>
      <c r="M34" s="436"/>
      <c r="N34" s="436"/>
      <c r="O34" s="436"/>
      <c r="P34" s="436"/>
      <c r="Q34" s="436"/>
      <c r="R34" s="443"/>
    </row>
    <row r="35" spans="1:18" s="97" customFormat="1" ht="27" customHeight="1">
      <c r="A35" s="2035" t="s">
        <v>10</v>
      </c>
      <c r="B35" s="2036"/>
      <c r="C35" s="2036"/>
      <c r="D35" s="2036"/>
      <c r="E35" s="2036"/>
      <c r="F35" s="2037"/>
      <c r="G35" s="127">
        <f>SUM(G23:G34)</f>
        <v>288342.26</v>
      </c>
      <c r="H35" s="116">
        <f>SUM(H23:H34)</f>
        <v>415266648</v>
      </c>
      <c r="I35" s="116">
        <v>620401643</v>
      </c>
      <c r="J35" s="260">
        <f>+H35-I35</f>
        <v>-205134995</v>
      </c>
      <c r="K35" s="364"/>
      <c r="L35" s="364"/>
      <c r="M35" s="434"/>
      <c r="N35" s="434"/>
      <c r="O35" s="434"/>
      <c r="P35" s="434"/>
      <c r="Q35" s="434"/>
      <c r="R35" s="441"/>
    </row>
    <row r="36" spans="1:18" s="97" customFormat="1" ht="27" customHeight="1">
      <c r="A36" s="399" t="s">
        <v>1892</v>
      </c>
      <c r="B36" s="313" t="s">
        <v>2194</v>
      </c>
      <c r="C36" s="142" t="s">
        <v>2195</v>
      </c>
      <c r="D36" s="90"/>
      <c r="E36" s="90">
        <v>45678</v>
      </c>
      <c r="F36" s="91">
        <f>VLOOKUP(E36,환율!$A$1798:$B$3001,2,)</f>
        <v>1453</v>
      </c>
      <c r="G36" s="92">
        <v>114006.72</v>
      </c>
      <c r="H36" s="93">
        <f t="shared" si="2"/>
        <v>165651764</v>
      </c>
      <c r="I36" s="142"/>
      <c r="J36" s="321"/>
      <c r="K36" s="364"/>
      <c r="L36" s="364"/>
      <c r="M36" s="434"/>
      <c r="N36" s="434"/>
      <c r="O36" s="434"/>
      <c r="P36" s="434"/>
      <c r="Q36" s="434"/>
      <c r="R36" s="441"/>
    </row>
    <row r="37" spans="1:18" s="97" customFormat="1" ht="27" customHeight="1">
      <c r="A37" s="2035" t="s">
        <v>10</v>
      </c>
      <c r="B37" s="2036"/>
      <c r="C37" s="2036"/>
      <c r="D37" s="2036"/>
      <c r="E37" s="2036"/>
      <c r="F37" s="2037"/>
      <c r="G37" s="127">
        <f>SUM(G36:G36)</f>
        <v>114006.72</v>
      </c>
      <c r="H37" s="116">
        <f>SUM(H36:H36)</f>
        <v>165651764</v>
      </c>
      <c r="I37" s="116">
        <v>172485306</v>
      </c>
      <c r="J37" s="260">
        <f>+H37-I37</f>
        <v>-6833542</v>
      </c>
      <c r="K37" s="364"/>
      <c r="L37" s="364"/>
      <c r="M37" s="434"/>
      <c r="N37" s="434"/>
      <c r="O37" s="434"/>
      <c r="P37" s="434"/>
      <c r="Q37" s="434"/>
      <c r="R37" s="441"/>
    </row>
    <row r="38" spans="1:18" s="97" customFormat="1" ht="27" hidden="1" customHeight="1">
      <c r="A38" s="2010" t="s">
        <v>35</v>
      </c>
      <c r="B38" s="173"/>
      <c r="C38" s="173"/>
      <c r="D38" s="288"/>
      <c r="E38" s="90"/>
      <c r="F38" s="91" t="e">
        <f>VLOOKUP(E38,환율!$A$1798:$B$3001,2,)</f>
        <v>#N/A</v>
      </c>
      <c r="G38" s="92" t="e">
        <f>H38/F38</f>
        <v>#N/A</v>
      </c>
      <c r="H38" s="93"/>
      <c r="I38" s="142"/>
      <c r="J38" s="329"/>
      <c r="K38" s="364"/>
      <c r="L38" s="364"/>
      <c r="M38" s="434"/>
      <c r="N38" s="434"/>
      <c r="O38" s="434"/>
      <c r="P38" s="434"/>
      <c r="Q38" s="434"/>
      <c r="R38" s="441"/>
    </row>
    <row r="39" spans="1:18" s="97" customFormat="1" ht="27" hidden="1" customHeight="1">
      <c r="A39" s="2011"/>
      <c r="B39" s="173"/>
      <c r="C39" s="173"/>
      <c r="D39" s="288"/>
      <c r="E39" s="222"/>
      <c r="F39" s="91" t="e">
        <f>VLOOKUP(E39,환율!$A$1798:$B$3001,2,)</f>
        <v>#N/A</v>
      </c>
      <c r="G39" s="92" t="e">
        <f>H39/F39</f>
        <v>#N/A</v>
      </c>
      <c r="H39" s="93"/>
      <c r="I39" s="142"/>
      <c r="J39" s="329"/>
      <c r="K39" s="364"/>
      <c r="L39" s="364"/>
      <c r="M39" s="434"/>
      <c r="N39" s="434"/>
      <c r="O39" s="434"/>
      <c r="P39" s="434"/>
      <c r="Q39" s="434"/>
      <c r="R39" s="441"/>
    </row>
    <row r="40" spans="1:18" s="97" customFormat="1" ht="27" hidden="1" customHeight="1">
      <c r="A40" s="2035" t="s">
        <v>10</v>
      </c>
      <c r="B40" s="2036"/>
      <c r="C40" s="2036"/>
      <c r="D40" s="2036"/>
      <c r="E40" s="2036"/>
      <c r="F40" s="2037"/>
      <c r="G40" s="116">
        <v>0</v>
      </c>
      <c r="H40" s="116">
        <f>SUM(H38:H39)</f>
        <v>0</v>
      </c>
      <c r="I40" s="116">
        <v>106730960</v>
      </c>
      <c r="J40" s="260">
        <f>+H40-I40</f>
        <v>-106730960</v>
      </c>
      <c r="K40" s="364"/>
      <c r="L40" s="364"/>
      <c r="M40" s="434"/>
      <c r="N40" s="434"/>
      <c r="O40" s="434"/>
      <c r="P40" s="434"/>
      <c r="Q40" s="434"/>
      <c r="R40" s="441"/>
    </row>
    <row r="41" spans="1:18" s="97" customFormat="1" ht="27" customHeight="1">
      <c r="A41" s="399" t="s">
        <v>47</v>
      </c>
      <c r="B41" s="88" t="s">
        <v>2196</v>
      </c>
      <c r="C41" s="155" t="s">
        <v>2197</v>
      </c>
      <c r="D41" s="146"/>
      <c r="E41" s="90">
        <v>45684</v>
      </c>
      <c r="F41" s="91">
        <f>VLOOKUP(E41,환율!$A$1798:$B$3001,2,)</f>
        <v>1437.1</v>
      </c>
      <c r="G41" s="118">
        <v>39476</v>
      </c>
      <c r="H41" s="93">
        <f t="shared" ref="H41" si="4">ROUNDDOWN(G41*F41,0)</f>
        <v>56730959</v>
      </c>
      <c r="I41" s="156"/>
      <c r="J41" s="263"/>
      <c r="K41" s="364"/>
      <c r="L41" s="364"/>
      <c r="M41" s="434"/>
      <c r="N41" s="434"/>
      <c r="O41" s="434"/>
      <c r="P41" s="434"/>
      <c r="Q41" s="434"/>
      <c r="R41" s="441"/>
    </row>
    <row r="42" spans="1:18" s="97" customFormat="1" ht="27" customHeight="1">
      <c r="A42" s="2035" t="s">
        <v>10</v>
      </c>
      <c r="B42" s="2036"/>
      <c r="C42" s="2036"/>
      <c r="D42" s="2036"/>
      <c r="E42" s="2036"/>
      <c r="F42" s="2037"/>
      <c r="G42" s="127">
        <f>SUM(G41:G41)</f>
        <v>39476</v>
      </c>
      <c r="H42" s="116">
        <f>SUM(H41:H41)</f>
        <v>56730959</v>
      </c>
      <c r="I42" s="116">
        <v>57228357</v>
      </c>
      <c r="J42" s="260">
        <f>+H42-I42</f>
        <v>-497398</v>
      </c>
      <c r="K42" s="364"/>
      <c r="L42" s="364"/>
      <c r="M42" s="434"/>
      <c r="N42" s="434"/>
      <c r="O42" s="434"/>
      <c r="P42" s="434"/>
      <c r="Q42" s="434"/>
      <c r="R42" s="441"/>
    </row>
    <row r="43" spans="1:18" s="97" customFormat="1" ht="27" customHeight="1">
      <c r="A43" s="261" t="s">
        <v>34</v>
      </c>
      <c r="B43" s="88" t="s">
        <v>2198</v>
      </c>
      <c r="C43" s="155" t="s">
        <v>2199</v>
      </c>
      <c r="D43" s="146"/>
      <c r="E43" s="146">
        <v>45666</v>
      </c>
      <c r="F43" s="91">
        <f>VLOOKUP(E43,환율!$A$1798:$B$3001,2,)</f>
        <v>1453.2</v>
      </c>
      <c r="G43" s="118">
        <v>8722.5</v>
      </c>
      <c r="H43" s="93">
        <f t="shared" ref="H43" si="5">ROUNDDOWN(G43*F43,0)</f>
        <v>12675537</v>
      </c>
      <c r="I43" s="156"/>
      <c r="J43" s="263"/>
      <c r="K43" s="401"/>
      <c r="L43" s="401"/>
      <c r="M43" s="434"/>
      <c r="N43" s="434"/>
      <c r="O43" s="434"/>
      <c r="P43" s="434"/>
      <c r="Q43" s="434"/>
      <c r="R43" s="441"/>
    </row>
    <row r="44" spans="1:18" s="97" customFormat="1" ht="27" customHeight="1">
      <c r="A44" s="2035" t="s">
        <v>10</v>
      </c>
      <c r="B44" s="2036"/>
      <c r="C44" s="2036"/>
      <c r="D44" s="2036"/>
      <c r="E44" s="2036"/>
      <c r="F44" s="2037"/>
      <c r="G44" s="159">
        <f>SUM(G43:G43)</f>
        <v>8722.5</v>
      </c>
      <c r="H44" s="160">
        <f>SUM(H43:H43)</f>
        <v>12675537</v>
      </c>
      <c r="I44" s="160">
        <v>34047325</v>
      </c>
      <c r="J44" s="264">
        <f>+H44-I44</f>
        <v>-21371788</v>
      </c>
      <c r="K44" s="364"/>
      <c r="L44" s="364"/>
      <c r="M44" s="434"/>
      <c r="N44" s="434"/>
      <c r="O44" s="434"/>
      <c r="P44" s="434"/>
      <c r="Q44" s="434"/>
      <c r="R44" s="441"/>
    </row>
    <row r="45" spans="1:18" s="97" customFormat="1" ht="27" customHeight="1">
      <c r="A45" s="2010" t="s">
        <v>14</v>
      </c>
      <c r="B45" s="88" t="s">
        <v>2202</v>
      </c>
      <c r="C45" s="129" t="s">
        <v>2203</v>
      </c>
      <c r="D45" s="129"/>
      <c r="E45" s="136">
        <v>45670</v>
      </c>
      <c r="F45" s="91">
        <f>VLOOKUP(E45,환율!$A$1798:$B$3001,2,)</f>
        <v>1460.7</v>
      </c>
      <c r="G45" s="92">
        <v>2896.3</v>
      </c>
      <c r="H45" s="93">
        <f>ROUNDDOWN(G45*F45,0)</f>
        <v>4230625</v>
      </c>
      <c r="I45" s="165"/>
      <c r="J45" s="254"/>
      <c r="K45" s="364"/>
      <c r="L45" s="364"/>
      <c r="M45" s="434"/>
      <c r="N45" s="434"/>
      <c r="O45" s="434"/>
      <c r="P45" s="434"/>
      <c r="Q45" s="434"/>
      <c r="R45" s="441"/>
    </row>
    <row r="46" spans="1:18" s="97" customFormat="1" ht="27" customHeight="1">
      <c r="A46" s="2011"/>
      <c r="B46" s="88" t="s">
        <v>2204</v>
      </c>
      <c r="C46" s="146" t="s">
        <v>2205</v>
      </c>
      <c r="D46" s="146"/>
      <c r="E46" s="90">
        <v>45670</v>
      </c>
      <c r="F46" s="91">
        <f>VLOOKUP(E46,환율!$A$1798:$B$3001,2,)</f>
        <v>1460.7</v>
      </c>
      <c r="G46" s="118">
        <v>614.12</v>
      </c>
      <c r="H46" s="93">
        <f>ROUNDDOWN(G46*F46,0)</f>
        <v>897045</v>
      </c>
      <c r="I46" s="147"/>
      <c r="J46" s="255"/>
      <c r="M46" s="434"/>
      <c r="N46" s="434"/>
      <c r="O46" s="434"/>
      <c r="P46" s="434"/>
      <c r="Q46" s="434"/>
      <c r="R46" s="441"/>
    </row>
    <row r="47" spans="1:18" s="97" customFormat="1" ht="27" customHeight="1">
      <c r="A47" s="2011"/>
      <c r="B47" s="88" t="s">
        <v>2206</v>
      </c>
      <c r="C47" s="146" t="s">
        <v>2207</v>
      </c>
      <c r="D47" s="146"/>
      <c r="E47" s="90">
        <v>45668</v>
      </c>
      <c r="F47" s="91">
        <f>VLOOKUP(E47,환율!$A$1798:$B$3001,2,)</f>
        <v>1458.2</v>
      </c>
      <c r="G47" s="92">
        <v>1511</v>
      </c>
      <c r="H47" s="93">
        <f>ROUNDDOWN(G47*F47,0)</f>
        <v>2203340</v>
      </c>
      <c r="I47" s="168"/>
      <c r="J47" s="256"/>
      <c r="K47" s="364"/>
      <c r="L47" s="364"/>
      <c r="M47" s="434"/>
      <c r="N47" s="434"/>
      <c r="O47" s="434"/>
      <c r="P47" s="434"/>
      <c r="Q47" s="434"/>
      <c r="R47" s="441"/>
    </row>
    <row r="48" spans="1:18" s="97" customFormat="1" ht="27" customHeight="1">
      <c r="A48" s="2011"/>
      <c r="B48" s="88" t="s">
        <v>2208</v>
      </c>
      <c r="C48" s="146" t="s">
        <v>2209</v>
      </c>
      <c r="D48" s="146"/>
      <c r="E48" s="136">
        <v>45674</v>
      </c>
      <c r="F48" s="91">
        <f>VLOOKUP(E48,환율!$A$1798:$B$3001,2,)</f>
        <v>1454.7</v>
      </c>
      <c r="G48" s="92">
        <v>614.12</v>
      </c>
      <c r="H48" s="93">
        <f>ROUNDDOWN(G48*F48,0)</f>
        <v>893360</v>
      </c>
      <c r="I48" s="168"/>
      <c r="J48" s="256"/>
      <c r="K48" s="364"/>
      <c r="L48" s="364"/>
      <c r="M48" s="434"/>
      <c r="N48" s="434"/>
      <c r="O48" s="434"/>
      <c r="P48" s="434"/>
      <c r="Q48" s="434"/>
      <c r="R48" s="441"/>
    </row>
    <row r="49" spans="1:18" s="97" customFormat="1" ht="27" customHeight="1">
      <c r="A49" s="2011"/>
      <c r="B49" s="88" t="s">
        <v>2210</v>
      </c>
      <c r="C49" s="146" t="s">
        <v>2211</v>
      </c>
      <c r="D49" s="146"/>
      <c r="E49" s="90">
        <v>45680</v>
      </c>
      <c r="F49" s="91">
        <f>VLOOKUP(E49,환율!$A$1798:$B$3001,2,)</f>
        <v>1434.3</v>
      </c>
      <c r="G49" s="92">
        <v>1518.6</v>
      </c>
      <c r="H49" s="93">
        <f>ROUNDDOWN(G49*F49,0)</f>
        <v>2178127</v>
      </c>
      <c r="I49" s="168"/>
      <c r="J49" s="256"/>
      <c r="L49" s="364"/>
      <c r="M49" s="434"/>
      <c r="N49" s="434"/>
      <c r="O49" s="434"/>
      <c r="P49" s="434"/>
      <c r="Q49" s="434"/>
      <c r="R49" s="441"/>
    </row>
    <row r="50" spans="1:18" s="97" customFormat="1" ht="27" customHeight="1">
      <c r="A50" s="2011"/>
      <c r="B50" s="88" t="s">
        <v>2212</v>
      </c>
      <c r="C50" s="146" t="s">
        <v>2213</v>
      </c>
      <c r="D50" s="146"/>
      <c r="E50" s="136">
        <v>45688</v>
      </c>
      <c r="F50" s="91">
        <f>VLOOKUP(E50,환율!$A$1798:$B$3001,2,)</f>
        <v>1433.3</v>
      </c>
      <c r="G50" s="92">
        <v>120</v>
      </c>
      <c r="H50" s="93">
        <f t="shared" ref="H50" si="6">ROUNDDOWN(G50*F50,0)</f>
        <v>171996</v>
      </c>
      <c r="I50" s="168"/>
      <c r="J50" s="256"/>
      <c r="K50" s="364" t="s">
        <v>2232</v>
      </c>
      <c r="L50" s="364"/>
      <c r="M50" s="434"/>
      <c r="N50" s="434"/>
      <c r="O50" s="434"/>
      <c r="P50" s="434"/>
      <c r="Q50" s="434"/>
      <c r="R50" s="441"/>
    </row>
    <row r="51" spans="1:18" s="97" customFormat="1" ht="27" customHeight="1">
      <c r="A51" s="2019"/>
      <c r="B51" s="99" t="s">
        <v>2200</v>
      </c>
      <c r="C51" s="101" t="s">
        <v>2201</v>
      </c>
      <c r="D51" s="101"/>
      <c r="E51" s="101">
        <v>45689</v>
      </c>
      <c r="F51" s="102">
        <f>VLOOKUP(E51,환율!$A$1798:$B$3001,2,)</f>
        <v>1433.3</v>
      </c>
      <c r="G51" s="103">
        <v>60235.5</v>
      </c>
      <c r="H51" s="104">
        <f>ROUNDDOWN(G51*F51,0)</f>
        <v>86335542</v>
      </c>
      <c r="I51" s="450"/>
      <c r="J51" s="272"/>
      <c r="L51" s="364"/>
      <c r="M51" s="434"/>
      <c r="N51" s="434"/>
      <c r="O51" s="434"/>
      <c r="P51" s="434"/>
      <c r="Q51" s="434"/>
      <c r="R51" s="441"/>
    </row>
    <row r="52" spans="1:18" s="97" customFormat="1" ht="27" customHeight="1">
      <c r="A52" s="2035" t="s">
        <v>10</v>
      </c>
      <c r="B52" s="2036"/>
      <c r="C52" s="2036"/>
      <c r="D52" s="2036"/>
      <c r="E52" s="2036"/>
      <c r="F52" s="2037"/>
      <c r="G52" s="127">
        <f>SUM(G51:G51)</f>
        <v>60235.5</v>
      </c>
      <c r="H52" s="116">
        <f>SUM(H45:H51)</f>
        <v>96910035</v>
      </c>
      <c r="I52" s="116">
        <v>71348874</v>
      </c>
      <c r="J52" s="260">
        <f>+H52-I52</f>
        <v>25561161</v>
      </c>
      <c r="K52" s="364"/>
      <c r="L52" s="364"/>
      <c r="M52" s="434"/>
      <c r="N52" s="434"/>
      <c r="O52" s="434"/>
      <c r="P52" s="434"/>
      <c r="Q52" s="434"/>
      <c r="R52" s="441"/>
    </row>
    <row r="53" spans="1:18" s="97" customFormat="1" ht="27" customHeight="1">
      <c r="A53" s="399" t="s">
        <v>15</v>
      </c>
      <c r="B53" s="145" t="s">
        <v>2214</v>
      </c>
      <c r="C53" s="145" t="s">
        <v>2215</v>
      </c>
      <c r="D53" s="288"/>
      <c r="E53" s="90">
        <v>45681</v>
      </c>
      <c r="F53" s="91">
        <f>VLOOKUP(E53,환율!$A$1798:$B$3001,2,)</f>
        <v>1437.1</v>
      </c>
      <c r="G53" s="92">
        <v>47172.91</v>
      </c>
      <c r="H53" s="93">
        <f t="shared" ref="H53" si="7">ROUNDDOWN(G53*F53,0)</f>
        <v>67792188</v>
      </c>
      <c r="I53" s="173"/>
      <c r="J53" s="262"/>
      <c r="K53" s="401"/>
      <c r="L53" s="401"/>
      <c r="M53" s="434"/>
      <c r="N53" s="434"/>
      <c r="O53" s="434"/>
      <c r="P53" s="434"/>
      <c r="Q53" s="434"/>
      <c r="R53" s="441"/>
    </row>
    <row r="54" spans="1:18" s="97" customFormat="1" ht="27" customHeight="1">
      <c r="A54" s="2035" t="s">
        <v>10</v>
      </c>
      <c r="B54" s="2036"/>
      <c r="C54" s="2036"/>
      <c r="D54" s="2036"/>
      <c r="E54" s="2036"/>
      <c r="F54" s="2037"/>
      <c r="G54" s="127">
        <f>SUM(G53:G53)</f>
        <v>47172.91</v>
      </c>
      <c r="H54" s="116">
        <f>SUM(H53:H53)</f>
        <v>67792188</v>
      </c>
      <c r="I54" s="116">
        <v>127444790</v>
      </c>
      <c r="J54" s="260">
        <f>+H54-I54</f>
        <v>-59652602</v>
      </c>
      <c r="K54" s="366"/>
      <c r="L54" s="366"/>
      <c r="M54" s="434"/>
      <c r="N54" s="434"/>
      <c r="O54" s="434"/>
      <c r="P54" s="434"/>
      <c r="Q54" s="434"/>
      <c r="R54" s="441"/>
    </row>
    <row r="55" spans="1:18" s="97" customFormat="1" ht="27" customHeight="1">
      <c r="A55" s="2010" t="s">
        <v>726</v>
      </c>
      <c r="B55" s="136" t="s">
        <v>2216</v>
      </c>
      <c r="C55" s="136" t="s">
        <v>2217</v>
      </c>
      <c r="D55" s="136"/>
      <c r="E55" s="90">
        <v>45669</v>
      </c>
      <c r="F55" s="397">
        <v>9.2241999999999997</v>
      </c>
      <c r="G55" s="177">
        <v>13709372</v>
      </c>
      <c r="H55" s="93">
        <f t="shared" ref="H55:H58" si="8">ROUNDDOWN(G55*F55,0)</f>
        <v>126457989</v>
      </c>
      <c r="I55" s="156"/>
      <c r="J55" s="263"/>
      <c r="K55" s="364"/>
      <c r="L55" s="364"/>
      <c r="M55" s="434"/>
      <c r="N55" s="434"/>
      <c r="O55" s="434"/>
      <c r="P55" s="434"/>
      <c r="Q55" s="434"/>
      <c r="R55" s="441"/>
    </row>
    <row r="56" spans="1:18" s="97" customFormat="1" ht="27" customHeight="1">
      <c r="A56" s="2011"/>
      <c r="B56" s="136" t="s">
        <v>2218</v>
      </c>
      <c r="C56" s="146" t="s">
        <v>2219</v>
      </c>
      <c r="D56" s="136"/>
      <c r="E56" s="90">
        <v>45676</v>
      </c>
      <c r="F56" s="176">
        <v>9.3725000000000005</v>
      </c>
      <c r="G56" s="177">
        <v>21194570</v>
      </c>
      <c r="H56" s="93">
        <f t="shared" si="8"/>
        <v>198646107</v>
      </c>
      <c r="I56" s="156"/>
      <c r="J56" s="263"/>
      <c r="K56" s="366"/>
      <c r="L56" s="366"/>
      <c r="M56" s="434"/>
      <c r="N56" s="434"/>
      <c r="O56" s="434"/>
      <c r="P56" s="434"/>
      <c r="Q56" s="434"/>
      <c r="R56" s="441"/>
    </row>
    <row r="57" spans="1:18" s="97" customFormat="1" ht="27" customHeight="1">
      <c r="A57" s="2011"/>
      <c r="B57" s="136" t="s">
        <v>2220</v>
      </c>
      <c r="C57" s="146" t="s">
        <v>2221</v>
      </c>
      <c r="D57" s="136"/>
      <c r="E57" s="136">
        <v>45683</v>
      </c>
      <c r="F57" s="176">
        <v>9.2101000000000006</v>
      </c>
      <c r="G57" s="177">
        <v>17308360</v>
      </c>
      <c r="H57" s="93">
        <f t="shared" si="8"/>
        <v>159411726</v>
      </c>
      <c r="I57" s="156"/>
      <c r="J57" s="263"/>
      <c r="L57" s="366"/>
      <c r="M57" s="434"/>
      <c r="N57" s="434"/>
      <c r="O57" s="434"/>
      <c r="P57" s="434"/>
      <c r="Q57" s="434"/>
      <c r="R57" s="441"/>
    </row>
    <row r="58" spans="1:18" s="97" customFormat="1" ht="27" customHeight="1">
      <c r="A58" s="2019"/>
      <c r="B58" s="125" t="s">
        <v>2222</v>
      </c>
      <c r="C58" s="169" t="s">
        <v>2223</v>
      </c>
      <c r="D58" s="125"/>
      <c r="E58" s="101">
        <v>45690</v>
      </c>
      <c r="F58" s="183">
        <v>9.2788000000000004</v>
      </c>
      <c r="G58" s="184">
        <v>14327558</v>
      </c>
      <c r="H58" s="104">
        <f t="shared" si="8"/>
        <v>132942545</v>
      </c>
      <c r="I58" s="185"/>
      <c r="J58" s="277"/>
      <c r="K58" s="366"/>
      <c r="L58" s="366"/>
      <c r="M58" s="434"/>
      <c r="N58" s="434"/>
      <c r="O58" s="434"/>
      <c r="P58" s="434"/>
      <c r="Q58" s="434"/>
      <c r="R58" s="441"/>
    </row>
    <row r="59" spans="1:18" s="97" customFormat="1" ht="27" customHeight="1">
      <c r="A59" s="2035" t="s">
        <v>10</v>
      </c>
      <c r="B59" s="2036"/>
      <c r="C59" s="2036"/>
      <c r="D59" s="2036"/>
      <c r="E59" s="2036"/>
      <c r="F59" s="2037"/>
      <c r="G59" s="398">
        <f>SUM(G55:G58)</f>
        <v>66539860</v>
      </c>
      <c r="H59" s="116">
        <f>SUM(H55:H58)</f>
        <v>617458367</v>
      </c>
      <c r="I59" s="116">
        <v>631803646</v>
      </c>
      <c r="J59" s="260">
        <f>+H59-I59</f>
        <v>-14345279</v>
      </c>
      <c r="K59" s="364"/>
      <c r="L59" s="364"/>
      <c r="M59" s="434"/>
      <c r="N59" s="434"/>
      <c r="O59" s="434"/>
      <c r="P59" s="434"/>
      <c r="Q59" s="434"/>
      <c r="R59" s="441"/>
    </row>
    <row r="60" spans="1:18" s="310" customFormat="1" ht="27" customHeight="1">
      <c r="A60" s="2057" t="s">
        <v>992</v>
      </c>
      <c r="B60" s="332" t="s">
        <v>2230</v>
      </c>
      <c r="C60" s="303"/>
      <c r="D60" s="303"/>
      <c r="E60" s="303">
        <v>45671</v>
      </c>
      <c r="F60" s="91">
        <f>VLOOKUP(E60,환율!$A$1798:$B$3001,2,)</f>
        <v>1471.3</v>
      </c>
      <c r="G60" s="334">
        <f t="shared" ref="G60:G61" si="9">H60/F60</f>
        <v>16093.957724461361</v>
      </c>
      <c r="H60" s="335">
        <v>23679040</v>
      </c>
      <c r="I60" s="336"/>
      <c r="J60" s="337"/>
      <c r="K60" s="367"/>
      <c r="L60" s="367"/>
      <c r="M60" s="437"/>
      <c r="N60" s="437"/>
      <c r="O60" s="437"/>
      <c r="P60" s="437"/>
      <c r="Q60" s="437"/>
      <c r="R60" s="444"/>
    </row>
    <row r="61" spans="1:18" s="310" customFormat="1" ht="27" customHeight="1">
      <c r="A61" s="2040"/>
      <c r="B61" s="332" t="s">
        <v>2231</v>
      </c>
      <c r="C61" s="303"/>
      <c r="D61" s="303"/>
      <c r="E61" s="303">
        <v>45681</v>
      </c>
      <c r="F61" s="91">
        <f>VLOOKUP(E61,환율!$A$1798:$B$3001,2,)</f>
        <v>1437.1</v>
      </c>
      <c r="G61" s="334">
        <f t="shared" si="9"/>
        <v>16476.960545543108</v>
      </c>
      <c r="H61" s="335">
        <v>23679040</v>
      </c>
      <c r="I61" s="336"/>
      <c r="J61" s="337"/>
      <c r="K61" s="367"/>
      <c r="L61" s="367"/>
      <c r="M61" s="437"/>
      <c r="N61" s="437"/>
      <c r="O61" s="437"/>
      <c r="P61" s="437"/>
      <c r="Q61" s="437"/>
      <c r="R61" s="444"/>
    </row>
    <row r="62" spans="1:18" s="97" customFormat="1" ht="27" customHeight="1">
      <c r="A62" s="2035" t="s">
        <v>10</v>
      </c>
      <c r="B62" s="2036"/>
      <c r="C62" s="2036"/>
      <c r="D62" s="2036"/>
      <c r="E62" s="2036"/>
      <c r="F62" s="2037"/>
      <c r="G62" s="127">
        <f>SUM(G60:G61)</f>
        <v>32570.918270004469</v>
      </c>
      <c r="H62" s="116">
        <f>SUM(H60:H61)</f>
        <v>47358080</v>
      </c>
      <c r="I62" s="116">
        <v>35518560</v>
      </c>
      <c r="J62" s="260">
        <f>+H62-I62</f>
        <v>11839520</v>
      </c>
      <c r="K62" s="402"/>
      <c r="L62" s="402"/>
      <c r="M62" s="434"/>
      <c r="N62" s="434"/>
      <c r="O62" s="434"/>
      <c r="P62" s="434"/>
      <c r="Q62" s="434"/>
      <c r="R62" s="441"/>
    </row>
    <row r="63" spans="1:18" s="97" customFormat="1" ht="27" customHeight="1" thickBot="1">
      <c r="A63" s="2044" t="s">
        <v>1176</v>
      </c>
      <c r="B63" s="2045"/>
      <c r="C63" s="2045"/>
      <c r="D63" s="2045"/>
      <c r="E63" s="2046"/>
      <c r="F63" s="1997" t="s">
        <v>31</v>
      </c>
      <c r="G63" s="232" t="s">
        <v>17</v>
      </c>
      <c r="H63" s="210">
        <f>+H65-H64</f>
        <v>3380201007</v>
      </c>
      <c r="I63" s="210">
        <v>3960488577</v>
      </c>
      <c r="J63" s="219">
        <f>+H63-I63</f>
        <v>-580287570</v>
      </c>
      <c r="K63" s="401"/>
      <c r="L63" s="401"/>
      <c r="M63" s="434"/>
      <c r="N63" s="434"/>
      <c r="O63" s="434"/>
      <c r="P63" s="434"/>
      <c r="Q63" s="434"/>
      <c r="R63" s="441"/>
    </row>
    <row r="64" spans="1:18" s="97" customFormat="1" ht="27" customHeight="1">
      <c r="A64" s="239" t="s">
        <v>20</v>
      </c>
      <c r="B64" s="195" t="s">
        <v>21</v>
      </c>
      <c r="C64" s="196" t="s">
        <v>20</v>
      </c>
      <c r="D64" s="314"/>
      <c r="E64" s="197" t="s">
        <v>21</v>
      </c>
      <c r="F64" s="1997"/>
      <c r="G64" s="198" t="s">
        <v>18</v>
      </c>
      <c r="H64" s="210">
        <v>0</v>
      </c>
      <c r="I64" s="210">
        <v>532979160</v>
      </c>
      <c r="J64" s="201">
        <f>+H64-I64</f>
        <v>-532979160</v>
      </c>
      <c r="K64" s="401"/>
      <c r="L64" s="401"/>
      <c r="M64" s="434"/>
      <c r="N64" s="434"/>
      <c r="O64" s="434"/>
      <c r="P64" s="434"/>
      <c r="Q64" s="434"/>
      <c r="R64" s="441"/>
    </row>
    <row r="65" spans="1:18" s="97" customFormat="1" ht="27" customHeight="1" thickBot="1">
      <c r="A65" s="240" t="s">
        <v>9</v>
      </c>
      <c r="B65" s="199">
        <f>H13+H14</f>
        <v>1086346686</v>
      </c>
      <c r="C65" s="200" t="s">
        <v>721</v>
      </c>
      <c r="D65" s="315"/>
      <c r="E65" s="201">
        <v>0</v>
      </c>
      <c r="F65" s="1998"/>
      <c r="G65" s="202" t="s">
        <v>19</v>
      </c>
      <c r="H65" s="203">
        <f>SUM(H15,H22,H35,H37,H40,H42,H44,H52,H54,H59,H62)</f>
        <v>3380201007</v>
      </c>
      <c r="I65" s="203">
        <v>4493467737</v>
      </c>
      <c r="J65" s="233">
        <f>+H65-I65</f>
        <v>-1113266730</v>
      </c>
      <c r="K65" s="364"/>
      <c r="L65" s="364"/>
      <c r="M65" s="434"/>
      <c r="N65" s="434"/>
      <c r="O65" s="434"/>
      <c r="P65" s="434"/>
      <c r="Q65" s="434"/>
      <c r="R65" s="441"/>
    </row>
    <row r="66" spans="1:18" s="97" customFormat="1" ht="27" customHeight="1">
      <c r="A66" s="240" t="s">
        <v>11</v>
      </c>
      <c r="B66" s="199">
        <v>0</v>
      </c>
      <c r="C66" s="200" t="s">
        <v>722</v>
      </c>
      <c r="D66" s="315"/>
      <c r="E66" s="201">
        <v>0</v>
      </c>
      <c r="F66" s="296" t="s">
        <v>20</v>
      </c>
      <c r="G66" s="297" t="s">
        <v>2228</v>
      </c>
      <c r="H66" s="298" t="s">
        <v>112</v>
      </c>
      <c r="I66" s="298" t="s">
        <v>113</v>
      </c>
      <c r="J66" s="234" t="s">
        <v>32</v>
      </c>
      <c r="K66" s="401"/>
      <c r="L66" s="401"/>
      <c r="M66" s="434"/>
      <c r="N66" s="434"/>
      <c r="O66" s="434"/>
      <c r="P66" s="434"/>
      <c r="Q66" s="434"/>
      <c r="R66" s="441"/>
    </row>
    <row r="67" spans="1:18" s="97" customFormat="1" ht="27" customHeight="1">
      <c r="A67" s="241" t="s">
        <v>114</v>
      </c>
      <c r="B67" s="199">
        <f>SUM(H30:H34)</f>
        <v>158992544</v>
      </c>
      <c r="C67" s="293" t="s">
        <v>14</v>
      </c>
      <c r="D67" s="316"/>
      <c r="E67" s="294">
        <f>H51</f>
        <v>86335542</v>
      </c>
      <c r="F67" s="211" t="s">
        <v>22</v>
      </c>
      <c r="G67" s="199">
        <v>154877868</v>
      </c>
      <c r="H67" s="199">
        <f>SUM(H55:H57)</f>
        <v>484515822</v>
      </c>
      <c r="I67" s="199">
        <f>H58</f>
        <v>132942545</v>
      </c>
      <c r="J67" s="201">
        <f>SUM(G67:H67)</f>
        <v>639393690</v>
      </c>
      <c r="K67" s="366"/>
      <c r="L67" s="366"/>
      <c r="M67" s="438"/>
      <c r="N67" s="434"/>
      <c r="O67" s="434"/>
      <c r="P67" s="434"/>
      <c r="Q67" s="434"/>
      <c r="R67" s="441"/>
    </row>
    <row r="68" spans="1:18" s="97" customFormat="1" ht="27" customHeight="1">
      <c r="A68" s="241" t="s">
        <v>153</v>
      </c>
      <c r="B68" s="199">
        <v>0</v>
      </c>
      <c r="C68" s="293" t="s">
        <v>15</v>
      </c>
      <c r="D68" s="317"/>
      <c r="E68" s="295">
        <v>0</v>
      </c>
      <c r="F68" s="211" t="s">
        <v>23</v>
      </c>
      <c r="G68" s="199">
        <f>542366842-51641003</f>
        <v>490725839</v>
      </c>
      <c r="H68" s="199">
        <f>SUM(H16:H21,H23:H29,H36,H38,H43)</f>
        <v>671611325</v>
      </c>
      <c r="I68" s="199">
        <f>SUM(H30:H34,H38:H39)</f>
        <v>158992544</v>
      </c>
      <c r="J68" s="201">
        <f>SUM(G68:H68)</f>
        <v>1162337164</v>
      </c>
      <c r="K68" s="175"/>
      <c r="L68" s="175"/>
      <c r="M68" s="438"/>
      <c r="N68" s="434"/>
      <c r="O68" s="434"/>
      <c r="P68" s="434"/>
      <c r="Q68" s="434"/>
      <c r="R68" s="441"/>
    </row>
    <row r="69" spans="1:18" s="126" customFormat="1" ht="27" customHeight="1">
      <c r="A69" s="241" t="s">
        <v>719</v>
      </c>
      <c r="B69" s="199">
        <v>0</v>
      </c>
      <c r="C69" s="293" t="s">
        <v>53</v>
      </c>
      <c r="D69" s="316"/>
      <c r="E69" s="294">
        <v>0</v>
      </c>
      <c r="F69" s="211" t="s">
        <v>24</v>
      </c>
      <c r="G69" s="199">
        <v>615596497</v>
      </c>
      <c r="H69" s="199">
        <f>SUM(H12:H12)</f>
        <v>577000823</v>
      </c>
      <c r="I69" s="199">
        <f>SUM(H13:H14)</f>
        <v>1086346686</v>
      </c>
      <c r="J69" s="201">
        <f>SUM(G69:H69)</f>
        <v>1192597320</v>
      </c>
      <c r="K69" s="430"/>
      <c r="L69" s="175"/>
      <c r="M69" s="438"/>
      <c r="N69" s="436"/>
      <c r="O69" s="436"/>
      <c r="P69" s="436"/>
      <c r="Q69" s="436"/>
      <c r="R69" s="443"/>
    </row>
    <row r="70" spans="1:18" s="126" customFormat="1" ht="27" customHeight="1">
      <c r="A70" s="241" t="s">
        <v>35</v>
      </c>
      <c r="B70" s="199">
        <v>0</v>
      </c>
      <c r="C70" s="200" t="s">
        <v>252</v>
      </c>
      <c r="D70" s="216"/>
      <c r="E70" s="219">
        <f>H58</f>
        <v>132942545</v>
      </c>
      <c r="F70" s="211" t="s">
        <v>723</v>
      </c>
      <c r="G70" s="199">
        <v>0</v>
      </c>
      <c r="H70" s="199">
        <f>SUM(H45:H50,H41:H41,H53:H53)</f>
        <v>135097640</v>
      </c>
      <c r="I70" s="199">
        <f>H51</f>
        <v>86335542</v>
      </c>
      <c r="J70" s="201">
        <f>SUM(G70:H70)</f>
        <v>135097640</v>
      </c>
      <c r="K70" s="366"/>
      <c r="L70" s="366"/>
      <c r="M70" s="439"/>
      <c r="N70" s="436"/>
      <c r="O70" s="436"/>
      <c r="P70" s="436"/>
      <c r="Q70" s="436"/>
      <c r="R70" s="443"/>
    </row>
    <row r="71" spans="1:18" s="126" customFormat="1" ht="27" customHeight="1" thickBot="1">
      <c r="A71" s="215" t="s">
        <v>724</v>
      </c>
      <c r="B71" s="213">
        <v>0</v>
      </c>
      <c r="C71" s="214"/>
      <c r="D71" s="318"/>
      <c r="E71" s="242"/>
      <c r="F71" s="299" t="s">
        <v>1177</v>
      </c>
      <c r="G71" s="311">
        <v>0</v>
      </c>
      <c r="H71" s="311">
        <f>H62</f>
        <v>47358080</v>
      </c>
      <c r="I71" s="311">
        <v>0</v>
      </c>
      <c r="J71" s="312">
        <f>SUM(G71:H71)</f>
        <v>47358080</v>
      </c>
      <c r="K71" s="364" t="b">
        <f>I72=E72</f>
        <v>1</v>
      </c>
      <c r="L71" s="364"/>
      <c r="M71" s="436"/>
      <c r="N71" s="436"/>
      <c r="O71" s="436"/>
      <c r="P71" s="436"/>
      <c r="Q71" s="436"/>
      <c r="R71" s="443"/>
    </row>
    <row r="72" spans="1:18" s="126" customFormat="1" ht="27" customHeight="1" thickTop="1" thickBot="1">
      <c r="A72" s="243"/>
      <c r="B72" s="244" t="s">
        <v>49</v>
      </c>
      <c r="C72" s="245"/>
      <c r="D72" s="244"/>
      <c r="E72" s="246">
        <f>SUM(B65:B71,E65:E71)</f>
        <v>1464617317</v>
      </c>
      <c r="F72" s="236" t="s">
        <v>16</v>
      </c>
      <c r="G72" s="237">
        <f>SUM(G67:G71)</f>
        <v>1261200204</v>
      </c>
      <c r="H72" s="237">
        <f>SUM(H67:H71)</f>
        <v>1915583690</v>
      </c>
      <c r="I72" s="237">
        <f>SUM(I67:I71)</f>
        <v>1464617317</v>
      </c>
      <c r="J72" s="238">
        <f>+G72+H72</f>
        <v>3176783894</v>
      </c>
      <c r="K72" s="364" t="b">
        <f>H65=H72+I72</f>
        <v>1</v>
      </c>
      <c r="L72" s="364"/>
      <c r="M72" s="436"/>
      <c r="N72" s="436"/>
      <c r="O72" s="436"/>
      <c r="P72" s="436"/>
      <c r="Q72" s="436"/>
      <c r="R72" s="443"/>
    </row>
    <row r="73" spans="1:18" s="19" customFormat="1" ht="27" customHeight="1" thickBot="1">
      <c r="A73"/>
      <c r="B73"/>
      <c r="C73"/>
      <c r="D73"/>
      <c r="E73"/>
      <c r="F73" s="2047" t="s">
        <v>1685</v>
      </c>
      <c r="G73" s="2048"/>
      <c r="H73" s="2048"/>
      <c r="I73" s="2049"/>
      <c r="J73" s="404">
        <f>J72-J71</f>
        <v>3129425814</v>
      </c>
      <c r="K73" s="410"/>
      <c r="L73" s="410"/>
      <c r="M73" s="436"/>
      <c r="N73" s="436"/>
      <c r="O73" s="436"/>
      <c r="P73" s="436"/>
      <c r="Q73" s="436"/>
      <c r="R73" s="443"/>
    </row>
    <row r="74" spans="1:18">
      <c r="B74" s="291"/>
      <c r="C74" s="290"/>
      <c r="D74" s="290"/>
      <c r="E74" s="26"/>
      <c r="F74" s="292"/>
      <c r="H74" s="26"/>
      <c r="J74" s="13">
        <v>3129425814</v>
      </c>
    </row>
    <row r="75" spans="1:18" s="24" customFormat="1">
      <c r="A75"/>
      <c r="B75"/>
      <c r="C75" s="290"/>
      <c r="D75" s="290"/>
      <c r="E75" s="26"/>
      <c r="F75" s="292"/>
      <c r="G75" s="47"/>
      <c r="H75" s="26"/>
      <c r="I75"/>
      <c r="J75" s="412">
        <f>J73-J74</f>
        <v>0</v>
      </c>
      <c r="M75" s="434"/>
      <c r="N75" s="440"/>
      <c r="O75" s="440"/>
      <c r="P75" s="440"/>
      <c r="Q75" s="440"/>
      <c r="R75" s="445"/>
    </row>
    <row r="76" spans="1:18" s="24" customFormat="1">
      <c r="A76"/>
      <c r="B76"/>
      <c r="C76" s="290"/>
      <c r="D76" s="290"/>
      <c r="E76" s="26"/>
      <c r="F76" s="292"/>
      <c r="G76" s="47"/>
      <c r="H76" s="26"/>
      <c r="I76"/>
      <c r="J76" s="26"/>
      <c r="M76" s="434"/>
      <c r="N76" s="440"/>
      <c r="O76" s="440"/>
      <c r="P76" s="440"/>
      <c r="Q76" s="440"/>
      <c r="R76" s="445"/>
    </row>
    <row r="77" spans="1:18" s="24" customFormat="1">
      <c r="A77"/>
      <c r="B77"/>
      <c r="C77" s="290"/>
      <c r="D77" s="290"/>
      <c r="E77" s="26"/>
      <c r="F77" s="292"/>
      <c r="G77" s="47"/>
      <c r="H77" s="26"/>
      <c r="I77"/>
      <c r="J77"/>
      <c r="M77" s="434"/>
      <c r="N77" s="440"/>
      <c r="O77" s="440"/>
      <c r="P77" s="440"/>
      <c r="Q77" s="440"/>
      <c r="R77" s="445"/>
    </row>
    <row r="78" spans="1:18" s="24" customFormat="1">
      <c r="A78"/>
      <c r="B78"/>
      <c r="C78" s="290"/>
      <c r="D78" s="290"/>
      <c r="E78"/>
      <c r="F78" s="13"/>
      <c r="G78" s="47"/>
      <c r="H78" s="26"/>
      <c r="I78"/>
      <c r="J78"/>
      <c r="M78" s="434"/>
      <c r="N78" s="440"/>
      <c r="O78" s="440"/>
      <c r="P78" s="440"/>
      <c r="Q78" s="440"/>
      <c r="R78" s="445"/>
    </row>
    <row r="79" spans="1:18" s="24" customFormat="1">
      <c r="A79"/>
      <c r="B79"/>
      <c r="C79"/>
      <c r="D79"/>
      <c r="E79"/>
      <c r="F79" s="13"/>
      <c r="G79" s="47"/>
      <c r="H79" s="26"/>
      <c r="I79"/>
      <c r="J79"/>
      <c r="M79" s="434"/>
      <c r="N79" s="440"/>
      <c r="O79" s="440"/>
      <c r="P79" s="440"/>
      <c r="Q79" s="440"/>
      <c r="R79" s="445"/>
    </row>
  </sheetData>
  <autoFilter ref="A10:F72" xr:uid="{00000000-0009-0000-0000-000052000000}"/>
  <mergeCells count="40">
    <mergeCell ref="A60:A61"/>
    <mergeCell ref="A62:F62"/>
    <mergeCell ref="A63:E63"/>
    <mergeCell ref="F63:F65"/>
    <mergeCell ref="F73:I73"/>
    <mergeCell ref="A59:F59"/>
    <mergeCell ref="A35:F35"/>
    <mergeCell ref="A37:F37"/>
    <mergeCell ref="A38:A39"/>
    <mergeCell ref="A40:F40"/>
    <mergeCell ref="A42:F42"/>
    <mergeCell ref="A44:F44"/>
    <mergeCell ref="A52:F52"/>
    <mergeCell ref="A54:F54"/>
    <mergeCell ref="A55:A58"/>
    <mergeCell ref="A45:A51"/>
    <mergeCell ref="G10:J10"/>
    <mergeCell ref="A12:A14"/>
    <mergeCell ref="A15:F15"/>
    <mergeCell ref="A16:A21"/>
    <mergeCell ref="A22:F22"/>
    <mergeCell ref="E10:E11"/>
    <mergeCell ref="F10:F11"/>
    <mergeCell ref="A23:A34"/>
    <mergeCell ref="A10:A11"/>
    <mergeCell ref="B10:B11"/>
    <mergeCell ref="C10:C11"/>
    <mergeCell ref="D10:D11"/>
    <mergeCell ref="A5:G9"/>
    <mergeCell ref="M5:M9"/>
    <mergeCell ref="N5:N9"/>
    <mergeCell ref="O5:O9"/>
    <mergeCell ref="Q5:Q9"/>
    <mergeCell ref="P5:P9"/>
    <mergeCell ref="L3:L9"/>
    <mergeCell ref="M3:M4"/>
    <mergeCell ref="N3:N4"/>
    <mergeCell ref="O3:O4"/>
    <mergeCell ref="Q3:Q4"/>
    <mergeCell ref="P3:P4"/>
  </mergeCells>
  <phoneticPr fontId="2" type="noConversion"/>
  <conditionalFormatting sqref="A12">
    <cfRule type="expression" dxfId="1160" priority="65">
      <formula>#REF!="*01월*"</formula>
    </cfRule>
  </conditionalFormatting>
  <conditionalFormatting sqref="A15">
    <cfRule type="expression" dxfId="1159" priority="66">
      <formula>#REF!="*01월*"</formula>
    </cfRule>
  </conditionalFormatting>
  <conditionalFormatting sqref="A22 A45">
    <cfRule type="expression" dxfId="1158" priority="55">
      <formula>$E23="*01월*"</formula>
    </cfRule>
  </conditionalFormatting>
  <conditionalFormatting sqref="A35:A37 C46:D51">
    <cfRule type="expression" dxfId="1157" priority="48">
      <formula>#REF!="*01월*"</formula>
    </cfRule>
  </conditionalFormatting>
  <conditionalFormatting sqref="A38 A59:A60 C60:E60 H60:J60">
    <cfRule type="expression" dxfId="1156" priority="43">
      <formula>$E41="*01월*"</formula>
    </cfRule>
  </conditionalFormatting>
  <conditionalFormatting sqref="A43:A44">
    <cfRule type="expression" dxfId="1155" priority="61">
      <formula>#REF!="*01월*"</formula>
    </cfRule>
  </conditionalFormatting>
  <conditionalFormatting sqref="A52">
    <cfRule type="expression" dxfId="1154" priority="53">
      <formula>#REF!="*01월*"</formula>
    </cfRule>
  </conditionalFormatting>
  <conditionalFormatting sqref="A54:A55">
    <cfRule type="expression" dxfId="1153" priority="52">
      <formula>#REF!="*01월*"</formula>
    </cfRule>
  </conditionalFormatting>
  <conditionalFormatting sqref="A10:J11 G38:G39 A40 G40:J43 A41:D41 A42 B43:E43 B50:B51 I52:J52 A53 H53 G54:J54 C61:E61 I61:J61 G62:I62 A62:A63 F63:H63 A64:H65 A66:J72">
    <cfRule type="expression" dxfId="1152" priority="58">
      <formula>$E12="*01월*"</formula>
    </cfRule>
  </conditionalFormatting>
  <conditionalFormatting sqref="B38 E38">
    <cfRule type="expression" dxfId="1151" priority="69">
      <formula>#REF!="*01월*"</formula>
    </cfRule>
  </conditionalFormatting>
  <conditionalFormatting sqref="B45:B46">
    <cfRule type="expression" dxfId="1150" priority="44">
      <formula>$E49="*01월*"</formula>
    </cfRule>
  </conditionalFormatting>
  <conditionalFormatting sqref="B47:B49">
    <cfRule type="expression" dxfId="1149" priority="722">
      <formula>#REF!="*01월*"</formula>
    </cfRule>
  </conditionalFormatting>
  <conditionalFormatting sqref="B51">
    <cfRule type="expression" dxfId="1148" priority="726">
      <formula>$E48="*01월*"</formula>
    </cfRule>
  </conditionalFormatting>
  <conditionalFormatting sqref="B60:B61">
    <cfRule type="expression" dxfId="1147" priority="2">
      <formula>#REF!="*01월*"</formula>
    </cfRule>
  </conditionalFormatting>
  <conditionalFormatting sqref="B38:F39">
    <cfRule type="expression" dxfId="1146" priority="31">
      <formula>#REF!="*01월*"</formula>
    </cfRule>
  </conditionalFormatting>
  <conditionalFormatting sqref="B12:J14">
    <cfRule type="expression" dxfId="1145" priority="12">
      <formula>#REF!="*01월*"</formula>
    </cfRule>
  </conditionalFormatting>
  <conditionalFormatting sqref="B16:J21">
    <cfRule type="expression" dxfId="1144" priority="29">
      <formula>#REF!="*01월*"</formula>
    </cfRule>
  </conditionalFormatting>
  <conditionalFormatting sqref="B23:J34 F45:F51">
    <cfRule type="expression" dxfId="1143" priority="14">
      <formula>#REF!="*01월*"</formula>
    </cfRule>
  </conditionalFormatting>
  <conditionalFormatting sqref="B36:J36">
    <cfRule type="expression" dxfId="1142" priority="9">
      <formula>#REF!="*01월*"</formula>
    </cfRule>
  </conditionalFormatting>
  <conditionalFormatting sqref="B55:J58">
    <cfRule type="expression" dxfId="1141" priority="18">
      <formula>#REF!="*01월*"</formula>
    </cfRule>
  </conditionalFormatting>
  <conditionalFormatting sqref="C38:D39">
    <cfRule type="expression" dxfId="1140" priority="41">
      <formula>$E40="*01월*"</formula>
    </cfRule>
  </conditionalFormatting>
  <conditionalFormatting sqref="C51:D51 G51:J51">
    <cfRule type="expression" dxfId="1139" priority="723">
      <formula>$E46="*01월*"</formula>
    </cfRule>
  </conditionalFormatting>
  <conditionalFormatting sqref="C74:D78">
    <cfRule type="expression" dxfId="1138" priority="56">
      <formula>$E76="*01월*"</formula>
    </cfRule>
  </conditionalFormatting>
  <conditionalFormatting sqref="C45:E45">
    <cfRule type="expression" dxfId="1137" priority="718">
      <formula>#REF!="*01월*"</formula>
    </cfRule>
  </conditionalFormatting>
  <conditionalFormatting sqref="E18:E21">
    <cfRule type="expression" dxfId="1136" priority="70">
      <formula>$E22="*01월*"</formula>
    </cfRule>
  </conditionalFormatting>
  <conditionalFormatting sqref="E46:E47">
    <cfRule type="expression" dxfId="1135" priority="24">
      <formula>#REF!="*01월*"</formula>
    </cfRule>
  </conditionalFormatting>
  <conditionalFormatting sqref="E48">
    <cfRule type="expression" dxfId="1134" priority="23">
      <formula>$E52="*01월*"</formula>
    </cfRule>
  </conditionalFormatting>
  <conditionalFormatting sqref="E49">
    <cfRule type="expression" dxfId="1133" priority="22">
      <formula>#REF!="*01월*"</formula>
    </cfRule>
  </conditionalFormatting>
  <conditionalFormatting sqref="E50:E51">
    <cfRule type="expression" dxfId="1132" priority="17">
      <formula>$E54="*01월*"</formula>
    </cfRule>
  </conditionalFormatting>
  <conditionalFormatting sqref="E51">
    <cfRule type="expression" dxfId="1131" priority="25">
      <formula>#REF!="*01월*"</formula>
    </cfRule>
  </conditionalFormatting>
  <conditionalFormatting sqref="E41:F41">
    <cfRule type="expression" dxfId="1130" priority="8">
      <formula>#REF!="*01월*"</formula>
    </cfRule>
  </conditionalFormatting>
  <conditionalFormatting sqref="E53:F53">
    <cfRule type="expression" dxfId="1129" priority="5">
      <formula>#REF!="*01월*"</formula>
    </cfRule>
  </conditionalFormatting>
  <conditionalFormatting sqref="F43">
    <cfRule type="expression" dxfId="1128" priority="7">
      <formula>#REF!="*01월*"</formula>
    </cfRule>
  </conditionalFormatting>
  <conditionalFormatting sqref="F60:G61">
    <cfRule type="expression" dxfId="1127" priority="4">
      <formula>#REF!="*01월*"</formula>
    </cfRule>
  </conditionalFormatting>
  <conditionalFormatting sqref="G22 I22:J22 B39 E39 B53:D53 I53:J53">
    <cfRule type="expression" dxfId="1126" priority="59">
      <formula>$E23="*01월*"</formula>
    </cfRule>
  </conditionalFormatting>
  <conditionalFormatting sqref="G52">
    <cfRule type="expression" dxfId="1125" priority="1">
      <formula>$E54="*01월*"</formula>
    </cfRule>
  </conditionalFormatting>
  <conditionalFormatting sqref="G53">
    <cfRule type="expression" dxfId="1124" priority="38">
      <formula>$E56="*01월*"</formula>
    </cfRule>
  </conditionalFormatting>
  <conditionalFormatting sqref="G15:J15">
    <cfRule type="expression" dxfId="1123" priority="42">
      <formula>#REF!="*01월*"</formula>
    </cfRule>
  </conditionalFormatting>
  <conditionalFormatting sqref="G35:J35">
    <cfRule type="expression" dxfId="1122" priority="36">
      <formula>#REF!="*01월*"</formula>
    </cfRule>
  </conditionalFormatting>
  <conditionalFormatting sqref="G37:J39">
    <cfRule type="expression" dxfId="1121" priority="35">
      <formula>#REF!="*01월*"</formula>
    </cfRule>
  </conditionalFormatting>
  <conditionalFormatting sqref="G44:J51">
    <cfRule type="expression" dxfId="1120" priority="32">
      <formula>#REF!="*01월*"</formula>
    </cfRule>
  </conditionalFormatting>
  <conditionalFormatting sqref="G59:J59">
    <cfRule type="expression" dxfId="1119" priority="57">
      <formula>$E62="*01월*"</formula>
    </cfRule>
  </conditionalFormatting>
  <conditionalFormatting sqref="H22">
    <cfRule type="expression" dxfId="1118" priority="37">
      <formula>#REF!="*01월*"</formula>
    </cfRule>
  </conditionalFormatting>
  <conditionalFormatting sqref="H49:H51">
    <cfRule type="expression" dxfId="1117" priority="49">
      <formula>$E52="*01월*"</formula>
    </cfRule>
  </conditionalFormatting>
  <conditionalFormatting sqref="H52">
    <cfRule type="expression" dxfId="1116" priority="34">
      <formula>#REF!="*01월*"</formula>
    </cfRule>
  </conditionalFormatting>
  <conditionalFormatting sqref="H61">
    <cfRule type="expression" dxfId="1115" priority="13">
      <formula>$E64="*01월*"</formula>
    </cfRule>
  </conditionalFormatting>
  <conditionalFormatting sqref="I63:J65">
    <cfRule type="expression" dxfId="1114" priority="15">
      <formula>$E65="*01월*"</formula>
    </cfRule>
  </conditionalFormatting>
  <conditionalFormatting sqref="J62">
    <cfRule type="expression" dxfId="1113" priority="51">
      <formula>$E68="*01월*"</formula>
    </cfRule>
  </conditionalFormatting>
  <conditionalFormatting sqref="J73 F73:F77">
    <cfRule type="expression" dxfId="1112" priority="50">
      <formula>$E75="*01월*"</formula>
    </cfRule>
  </conditionalFormatting>
  <printOptions horizontalCentered="1"/>
  <pageMargins left="0" right="0" top="0.72" bottom="0.23" header="0" footer="0"/>
  <pageSetup paperSize="9" scale="43" fitToHeight="0" orientation="portrait" r:id="rId1"/>
  <colBreaks count="1" manualBreakCount="1">
    <brk id="9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pageSetUpPr fitToPage="1"/>
  </sheetPr>
  <dimension ref="A2:Q101"/>
  <sheetViews>
    <sheetView view="pageBreakPreview" zoomScale="70" zoomScaleNormal="70" zoomScaleSheetLayoutView="70" workbookViewId="0">
      <pane xSplit="1" ySplit="11" topLeftCell="B75" activePane="bottomRight" state="frozen"/>
      <selection pane="topRight" activeCell="B1" sqref="B1"/>
      <selection pane="bottomLeft" activeCell="A12" sqref="A12"/>
      <selection pane="bottomRight" activeCell="H89" sqref="H89"/>
    </sheetView>
  </sheetViews>
  <sheetFormatPr defaultRowHeight="25.2"/>
  <cols>
    <col min="1" max="1" width="23.3984375" customWidth="1"/>
    <col min="2" max="2" width="22.8984375" customWidth="1"/>
    <col min="3" max="3" width="29.09765625" customWidth="1"/>
    <col min="4" max="4" width="29.09765625" hidden="1" customWidth="1"/>
    <col min="5" max="5" width="21" customWidth="1"/>
    <col min="6" max="6" width="18.69921875" customWidth="1"/>
    <col min="7" max="7" width="25.69921875" style="47" customWidth="1"/>
    <col min="8" max="8" width="26.5" customWidth="1"/>
    <col min="9" max="9" width="25.09765625" customWidth="1"/>
    <col min="10" max="10" width="29.19921875" customWidth="1"/>
    <col min="11" max="11" width="17.59765625" style="24" bestFit="1" customWidth="1"/>
    <col min="12" max="12" width="7.5" style="24" customWidth="1"/>
    <col min="13" max="16" width="17.09765625" style="434" customWidth="1"/>
    <col min="17" max="17" width="9" style="441"/>
  </cols>
  <sheetData>
    <row r="2" spans="1:17" ht="25.8" thickBot="1"/>
    <row r="3" spans="1:17" ht="21.75" customHeight="1" thickTop="1">
      <c r="L3" s="2058" t="s">
        <v>2041</v>
      </c>
      <c r="M3" s="2082" t="s">
        <v>2034</v>
      </c>
      <c r="N3" s="2084" t="s">
        <v>2034</v>
      </c>
      <c r="O3" s="2084" t="s">
        <v>2035</v>
      </c>
      <c r="P3" s="2086" t="s">
        <v>2036</v>
      </c>
    </row>
    <row r="4" spans="1:17" ht="19.5" customHeight="1">
      <c r="L4" s="2080"/>
      <c r="M4" s="2083"/>
      <c r="N4" s="2085"/>
      <c r="O4" s="2085"/>
      <c r="P4" s="2087"/>
    </row>
    <row r="5" spans="1:17" ht="19.5" customHeight="1">
      <c r="A5" s="2020" t="s">
        <v>2233</v>
      </c>
      <c r="B5" s="2020"/>
      <c r="C5" s="2020"/>
      <c r="D5" s="2020"/>
      <c r="E5" s="2020"/>
      <c r="F5" s="2020"/>
      <c r="G5" s="2020"/>
      <c r="H5" s="1"/>
      <c r="I5" s="1"/>
      <c r="J5" s="1"/>
      <c r="L5" s="2080"/>
      <c r="M5" s="2091"/>
      <c r="N5" s="2088"/>
      <c r="O5" s="2088"/>
      <c r="P5" s="2077"/>
    </row>
    <row r="6" spans="1:17" ht="19.5" customHeight="1">
      <c r="A6" s="2020"/>
      <c r="B6" s="2020"/>
      <c r="C6" s="2020"/>
      <c r="D6" s="2020"/>
      <c r="E6" s="2020"/>
      <c r="F6" s="2020"/>
      <c r="G6" s="2020"/>
      <c r="H6" s="1"/>
      <c r="I6" s="1"/>
      <c r="J6" s="1"/>
      <c r="L6" s="2080"/>
      <c r="M6" s="2092"/>
      <c r="N6" s="2089"/>
      <c r="O6" s="2089"/>
      <c r="P6" s="2078"/>
    </row>
    <row r="7" spans="1:17" ht="19.5" customHeight="1">
      <c r="A7" s="2020"/>
      <c r="B7" s="2020"/>
      <c r="C7" s="2020"/>
      <c r="D7" s="2020"/>
      <c r="E7" s="2020"/>
      <c r="F7" s="2020"/>
      <c r="G7" s="2020"/>
      <c r="H7" s="1"/>
      <c r="I7" s="1"/>
      <c r="J7" s="1"/>
      <c r="L7" s="2080"/>
      <c r="M7" s="2092"/>
      <c r="N7" s="2089"/>
      <c r="O7" s="2089"/>
      <c r="P7" s="2078"/>
    </row>
    <row r="8" spans="1:17" ht="19.5" customHeight="1">
      <c r="A8" s="2020"/>
      <c r="B8" s="2020"/>
      <c r="C8" s="2020"/>
      <c r="D8" s="2020"/>
      <c r="E8" s="2020"/>
      <c r="F8" s="2020"/>
      <c r="G8" s="2020"/>
      <c r="H8" s="2"/>
      <c r="I8" s="2"/>
      <c r="J8" s="2"/>
      <c r="L8" s="2080"/>
      <c r="M8" s="2092"/>
      <c r="N8" s="2089"/>
      <c r="O8" s="2089"/>
      <c r="P8" s="2078"/>
    </row>
    <row r="9" spans="1:17" ht="19.5" customHeight="1" thickBot="1">
      <c r="A9" s="2052"/>
      <c r="B9" s="2052"/>
      <c r="C9" s="2052"/>
      <c r="D9" s="2052"/>
      <c r="E9" s="2052"/>
      <c r="F9" s="2052"/>
      <c r="G9" s="2052"/>
      <c r="H9" s="2"/>
      <c r="I9" s="2"/>
      <c r="J9" s="2"/>
      <c r="L9" s="2081"/>
      <c r="M9" s="2093"/>
      <c r="N9" s="2090"/>
      <c r="O9" s="2090"/>
      <c r="P9" s="2079"/>
    </row>
    <row r="10" spans="1:17" ht="23.25" customHeight="1">
      <c r="A10" s="2021" t="s">
        <v>0</v>
      </c>
      <c r="B10" s="2023" t="s">
        <v>1</v>
      </c>
      <c r="C10" s="2024" t="s">
        <v>2</v>
      </c>
      <c r="D10" s="2024" t="s">
        <v>1222</v>
      </c>
      <c r="E10" s="2024" t="s">
        <v>3</v>
      </c>
      <c r="F10" s="2025" t="s">
        <v>4</v>
      </c>
      <c r="G10" s="2026" t="s">
        <v>5</v>
      </c>
      <c r="H10" s="2027"/>
      <c r="I10" s="2027"/>
      <c r="J10" s="2028"/>
    </row>
    <row r="11" spans="1:17" ht="23.25" customHeight="1">
      <c r="A11" s="2022"/>
      <c r="B11" s="2003"/>
      <c r="C11" s="2004"/>
      <c r="D11" s="2004"/>
      <c r="E11" s="2004"/>
      <c r="F11" s="2005"/>
      <c r="G11" s="82" t="s">
        <v>6</v>
      </c>
      <c r="H11" s="3" t="s">
        <v>7</v>
      </c>
      <c r="I11" s="476" t="s">
        <v>2338</v>
      </c>
      <c r="J11" s="271" t="s">
        <v>2336</v>
      </c>
    </row>
    <row r="12" spans="1:17" ht="23.25" customHeight="1">
      <c r="A12" s="2011" t="s">
        <v>9</v>
      </c>
      <c r="B12" s="453" t="s">
        <v>2155</v>
      </c>
      <c r="C12" s="454" t="s">
        <v>2156</v>
      </c>
      <c r="D12" s="454"/>
      <c r="E12" s="455">
        <v>45690</v>
      </c>
      <c r="F12" s="456">
        <v>1433.3</v>
      </c>
      <c r="G12" s="457">
        <v>370512.8</v>
      </c>
      <c r="H12" s="458">
        <v>531055996</v>
      </c>
      <c r="I12" s="458">
        <f>H12</f>
        <v>531055996</v>
      </c>
      <c r="J12" s="463"/>
    </row>
    <row r="13" spans="1:17" ht="23.25" customHeight="1">
      <c r="A13" s="2011"/>
      <c r="B13" s="453" t="s">
        <v>2157</v>
      </c>
      <c r="C13" s="454" t="s">
        <v>2158</v>
      </c>
      <c r="D13" s="454"/>
      <c r="E13" s="455">
        <v>45695</v>
      </c>
      <c r="F13" s="456">
        <v>1447.1</v>
      </c>
      <c r="G13" s="457">
        <v>383726.55</v>
      </c>
      <c r="H13" s="458">
        <v>555290690</v>
      </c>
      <c r="I13" s="458">
        <f>H13</f>
        <v>555290690</v>
      </c>
      <c r="J13" s="463"/>
    </row>
    <row r="14" spans="1:17" s="97" customFormat="1" ht="27" customHeight="1">
      <c r="A14" s="2011"/>
      <c r="B14" s="88" t="s">
        <v>2236</v>
      </c>
      <c r="C14" s="89" t="s">
        <v>2237</v>
      </c>
      <c r="D14" s="89"/>
      <c r="E14" s="90">
        <v>45706</v>
      </c>
      <c r="F14" s="91">
        <f>VLOOKUP(E14,환율!$A$1798:$B$3001,2,)</f>
        <v>1441.1</v>
      </c>
      <c r="G14" s="92">
        <v>391974.3</v>
      </c>
      <c r="H14" s="93">
        <f t="shared" ref="H14:H16" si="0">ROUNDDOWN(G14*F14,0)</f>
        <v>564874163</v>
      </c>
      <c r="I14" s="93">
        <f>H14</f>
        <v>564874163</v>
      </c>
      <c r="J14" s="254"/>
      <c r="K14" s="364"/>
      <c r="L14" s="364"/>
      <c r="M14" s="434"/>
      <c r="N14" s="434"/>
      <c r="O14" s="434"/>
      <c r="P14" s="434"/>
      <c r="Q14" s="441"/>
    </row>
    <row r="15" spans="1:17" s="97" customFormat="1" ht="27" customHeight="1">
      <c r="A15" s="2011"/>
      <c r="B15" s="99" t="s">
        <v>2238</v>
      </c>
      <c r="C15" s="100" t="s">
        <v>2239</v>
      </c>
      <c r="D15" s="100"/>
      <c r="E15" s="101">
        <v>45719</v>
      </c>
      <c r="F15" s="102">
        <f>VLOOKUP(E15,환율!$A$1798:$B$3001,2,)</f>
        <v>1439.6</v>
      </c>
      <c r="G15" s="103">
        <v>407639.14</v>
      </c>
      <c r="H15" s="104">
        <f t="shared" si="0"/>
        <v>586837305</v>
      </c>
      <c r="I15" s="353" ph="1"/>
      <c r="J15" s="272">
        <f>H15</f>
        <v>586837305</v>
      </c>
      <c r="K15" s="401">
        <f>'25.01 (갑) '!H13</f>
        <v>531055996</v>
      </c>
      <c r="L15" s="401"/>
      <c r="M15" s="434"/>
      <c r="N15" s="434"/>
      <c r="O15" s="434"/>
      <c r="P15" s="434"/>
      <c r="Q15" s="441"/>
    </row>
    <row r="16" spans="1:17" s="97" customFormat="1" ht="27" customHeight="1">
      <c r="A16" s="2019"/>
      <c r="B16" s="99" t="s">
        <v>2240</v>
      </c>
      <c r="C16" s="100" t="s">
        <v>2319</v>
      </c>
      <c r="D16" s="100"/>
      <c r="E16" s="125">
        <v>45721</v>
      </c>
      <c r="F16" s="102">
        <f>VLOOKUP(E16,환율!$A$1798:$B$3001,2,)</f>
        <v>1459.6</v>
      </c>
      <c r="G16" s="103">
        <v>393242.94</v>
      </c>
      <c r="H16" s="104">
        <f t="shared" si="0"/>
        <v>573977395</v>
      </c>
      <c r="I16" s="353" ph="1"/>
      <c r="J16" s="272">
        <f>H16</f>
        <v>573977395</v>
      </c>
      <c r="K16" s="401">
        <f>'25.01 (갑) '!H14</f>
        <v>555290690</v>
      </c>
      <c r="L16" s="401"/>
      <c r="M16" s="434"/>
      <c r="N16" s="434"/>
      <c r="O16" s="434"/>
      <c r="P16" s="434"/>
      <c r="Q16" s="441"/>
    </row>
    <row r="17" spans="1:17" s="97" customFormat="1" ht="27" customHeight="1">
      <c r="A17" s="2035" t="s">
        <v>10</v>
      </c>
      <c r="B17" s="2036"/>
      <c r="C17" s="2036"/>
      <c r="D17" s="2036"/>
      <c r="E17" s="2036"/>
      <c r="F17" s="2037"/>
      <c r="G17" s="449">
        <f>SUM(G12:G16)</f>
        <v>1947095.73</v>
      </c>
      <c r="H17" s="116">
        <f>SUM(H12:H16)</f>
        <v>2812035549</v>
      </c>
      <c r="I17" s="116">
        <f>SUM(I12:I16)</f>
        <v>1651220849</v>
      </c>
      <c r="J17" s="260">
        <f>SUM(J12:J16)</f>
        <v>1160814700</v>
      </c>
      <c r="K17" s="364"/>
      <c r="L17" s="364"/>
      <c r="M17" s="434"/>
      <c r="N17" s="434"/>
      <c r="O17" s="434"/>
      <c r="P17" s="434"/>
      <c r="Q17" s="441"/>
    </row>
    <row r="18" spans="1:17" s="97" customFormat="1" ht="27" customHeight="1">
      <c r="A18" s="2010" t="s">
        <v>2022</v>
      </c>
      <c r="B18" s="117" t="s">
        <v>2241</v>
      </c>
      <c r="C18" s="89" t="s">
        <v>2242</v>
      </c>
      <c r="D18" s="319"/>
      <c r="E18" s="90">
        <v>45711</v>
      </c>
      <c r="F18" s="91">
        <f>VLOOKUP(E18,환율!$A$1798:$B$3001,2,)</f>
        <v>1439.4</v>
      </c>
      <c r="G18" s="118">
        <v>97049.12</v>
      </c>
      <c r="H18" s="93">
        <f t="shared" ref="H18:H22" si="1">ROUNDDOWN(G18*F18,0)</f>
        <v>139692503</v>
      </c>
      <c r="I18" s="93">
        <f>H18</f>
        <v>139692503</v>
      </c>
      <c r="J18" s="254"/>
      <c r="K18" s="364"/>
      <c r="L18" s="364"/>
      <c r="M18" s="434"/>
      <c r="N18" s="434"/>
      <c r="O18" s="434"/>
      <c r="P18" s="434"/>
      <c r="Q18" s="441"/>
    </row>
    <row r="19" spans="1:17" s="120" customFormat="1" ht="27" customHeight="1">
      <c r="A19" s="2011"/>
      <c r="B19" s="117" t="s">
        <v>2243</v>
      </c>
      <c r="C19" s="89" t="s">
        <v>2244</v>
      </c>
      <c r="D19" s="319"/>
      <c r="E19" s="90">
        <v>45704</v>
      </c>
      <c r="F19" s="91">
        <f>VLOOKUP(E19,환율!$A$1798:$B$3001,2,)</f>
        <v>1450.5</v>
      </c>
      <c r="G19" s="118">
        <v>85102.56</v>
      </c>
      <c r="H19" s="93">
        <f t="shared" si="1"/>
        <v>123441263</v>
      </c>
      <c r="I19" s="93">
        <f t="shared" ref="I19:I23" si="2">H19</f>
        <v>123441263</v>
      </c>
      <c r="J19" s="254"/>
      <c r="K19" s="365"/>
      <c r="L19" s="365"/>
      <c r="M19" s="435"/>
      <c r="N19" s="435"/>
      <c r="O19" s="435"/>
      <c r="P19" s="435"/>
      <c r="Q19" s="442"/>
    </row>
    <row r="20" spans="1:17" s="120" customFormat="1" ht="27" customHeight="1">
      <c r="A20" s="2011"/>
      <c r="B20" s="117" t="s">
        <v>2245</v>
      </c>
      <c r="C20" s="89" t="s">
        <v>2246</v>
      </c>
      <c r="D20" s="319"/>
      <c r="E20" s="136">
        <v>45704</v>
      </c>
      <c r="F20" s="91">
        <f>VLOOKUP(E20,환율!$A$1798:$B$3001,2,)</f>
        <v>1450.5</v>
      </c>
      <c r="G20" s="118">
        <v>348.77</v>
      </c>
      <c r="H20" s="93">
        <f t="shared" si="1"/>
        <v>505890</v>
      </c>
      <c r="I20" s="93">
        <f t="shared" si="2"/>
        <v>505890</v>
      </c>
      <c r="J20" s="254"/>
      <c r="K20" s="365"/>
      <c r="L20" s="365"/>
      <c r="M20" s="435"/>
      <c r="N20" s="435"/>
      <c r="O20" s="435"/>
      <c r="P20" s="435"/>
      <c r="Q20" s="442"/>
    </row>
    <row r="21" spans="1:17" s="120" customFormat="1" ht="27" customHeight="1">
      <c r="A21" s="2011"/>
      <c r="B21" s="117" t="s">
        <v>2247</v>
      </c>
      <c r="C21" s="89" t="s">
        <v>2248</v>
      </c>
      <c r="D21" s="319"/>
      <c r="E21" s="136">
        <v>45704</v>
      </c>
      <c r="F21" s="91">
        <f>VLOOKUP(E21,환율!$A$1798:$B$3001,2,)</f>
        <v>1450.5</v>
      </c>
      <c r="G21" s="118">
        <v>1417.35</v>
      </c>
      <c r="H21" s="93">
        <f t="shared" si="1"/>
        <v>2055866</v>
      </c>
      <c r="I21" s="93">
        <f t="shared" si="2"/>
        <v>2055866</v>
      </c>
      <c r="J21" s="254"/>
      <c r="K21" s="365"/>
      <c r="L21" s="365"/>
      <c r="M21" s="435"/>
      <c r="N21" s="435"/>
      <c r="O21" s="435"/>
      <c r="P21" s="435"/>
      <c r="Q21" s="442"/>
    </row>
    <row r="22" spans="1:17" s="120" customFormat="1" ht="27" customHeight="1">
      <c r="A22" s="2011"/>
      <c r="B22" s="117" t="s">
        <v>2249</v>
      </c>
      <c r="C22" s="89" t="s">
        <v>2250</v>
      </c>
      <c r="D22" s="319"/>
      <c r="E22" s="136">
        <v>45711</v>
      </c>
      <c r="F22" s="91">
        <f>VLOOKUP(E22,환율!$A$1798:$B$3001,2,)</f>
        <v>1439.4</v>
      </c>
      <c r="G22" s="118">
        <v>24779.52</v>
      </c>
      <c r="H22" s="93">
        <f t="shared" si="1"/>
        <v>35667641</v>
      </c>
      <c r="I22" s="93">
        <f t="shared" si="2"/>
        <v>35667641</v>
      </c>
      <c r="J22" s="254"/>
      <c r="K22" s="365"/>
      <c r="L22" s="365"/>
      <c r="M22" s="435"/>
      <c r="N22" s="435"/>
      <c r="O22" s="435"/>
      <c r="P22" s="435"/>
      <c r="Q22" s="442"/>
    </row>
    <row r="23" spans="1:17" s="120" customFormat="1" ht="27" customHeight="1">
      <c r="A23" s="2011"/>
      <c r="B23" s="117" t="s">
        <v>2252</v>
      </c>
      <c r="C23" s="89" t="s">
        <v>2254</v>
      </c>
      <c r="D23" s="319"/>
      <c r="E23" s="136">
        <v>45709</v>
      </c>
      <c r="F23" s="91">
        <f>VLOOKUP(E23,환율!$A$1798:$B$3001,2,)</f>
        <v>1439.4</v>
      </c>
      <c r="G23" s="118">
        <v>1531.2</v>
      </c>
      <c r="H23" s="93">
        <f>ROUNDDOWN(G23*F23,0)</f>
        <v>2204009</v>
      </c>
      <c r="I23" s="93">
        <f t="shared" si="2"/>
        <v>2204009</v>
      </c>
      <c r="J23" s="254"/>
      <c r="K23" s="365"/>
      <c r="L23" s="365"/>
      <c r="M23" s="435"/>
      <c r="N23" s="435"/>
      <c r="O23" s="435"/>
      <c r="P23" s="435"/>
      <c r="Q23" s="442"/>
    </row>
    <row r="24" spans="1:17" s="120" customFormat="1" ht="27" customHeight="1">
      <c r="A24" s="2011"/>
      <c r="B24" s="121" t="s">
        <v>2251</v>
      </c>
      <c r="C24" s="100" t="s">
        <v>2253</v>
      </c>
      <c r="D24" s="320"/>
      <c r="E24" s="125">
        <v>45719</v>
      </c>
      <c r="F24" s="102">
        <f>VLOOKUP(E24,환율!$A$1798:$B$3001,2,)</f>
        <v>1439.6</v>
      </c>
      <c r="G24" s="122">
        <v>33161.82</v>
      </c>
      <c r="H24" s="104">
        <f>ROUNDDOWN(G24*F24,0)</f>
        <v>47739756</v>
      </c>
      <c r="I24" s="104">
        <f>H24</f>
        <v>47739756</v>
      </c>
      <c r="J24" s="272">
        <f>H24</f>
        <v>47739756</v>
      </c>
      <c r="K24" s="365"/>
      <c r="L24" s="365"/>
      <c r="M24" s="435"/>
      <c r="N24" s="435"/>
      <c r="O24" s="435"/>
      <c r="P24" s="435"/>
      <c r="Q24" s="442"/>
    </row>
    <row r="25" spans="1:17" s="97" customFormat="1" ht="27" customHeight="1">
      <c r="A25" s="2035" t="s">
        <v>10</v>
      </c>
      <c r="B25" s="2036"/>
      <c r="C25" s="2036"/>
      <c r="D25" s="2036"/>
      <c r="E25" s="2036"/>
      <c r="F25" s="2037"/>
      <c r="G25" s="127">
        <f>SUM(G18:G24)</f>
        <v>243390.34</v>
      </c>
      <c r="H25" s="116">
        <f>SUM(H18:H24)</f>
        <v>351306928</v>
      </c>
      <c r="I25" s="116">
        <f>SUM(I18:I24)</f>
        <v>351306928</v>
      </c>
      <c r="J25" s="260">
        <f>SUM(J18:J24)</f>
        <v>47739756</v>
      </c>
      <c r="K25" s="364"/>
      <c r="L25" s="364"/>
      <c r="M25" s="434"/>
      <c r="N25" s="434"/>
      <c r="O25" s="434"/>
      <c r="P25" s="434"/>
      <c r="Q25" s="441"/>
    </row>
    <row r="26" spans="1:17" s="97" customFormat="1" ht="27" customHeight="1">
      <c r="A26" s="2017" t="s">
        <v>114</v>
      </c>
      <c r="B26" s="459" t="s">
        <v>2182</v>
      </c>
      <c r="C26" s="460" t="s">
        <v>2183</v>
      </c>
      <c r="D26" s="460"/>
      <c r="E26" s="455">
        <v>45690</v>
      </c>
      <c r="F26" s="456">
        <f>VLOOKUP(E26,환율!$A$1798:$B$3001,2,)</f>
        <v>1433.3</v>
      </c>
      <c r="G26" s="461">
        <v>3780</v>
      </c>
      <c r="H26" s="458">
        <f>ROUNDDOWN(G26*F26,0)</f>
        <v>5417874</v>
      </c>
      <c r="I26" s="458">
        <f>H26</f>
        <v>5417874</v>
      </c>
      <c r="J26" s="464"/>
      <c r="K26" s="364"/>
      <c r="L26" s="364"/>
      <c r="M26" s="434"/>
      <c r="N26" s="434"/>
      <c r="O26" s="434"/>
      <c r="P26" s="434"/>
      <c r="Q26" s="441"/>
    </row>
    <row r="27" spans="1:17" s="97" customFormat="1" ht="27" customHeight="1">
      <c r="A27" s="2017"/>
      <c r="B27" s="459" t="s">
        <v>2184</v>
      </c>
      <c r="C27" s="460" t="s">
        <v>2185</v>
      </c>
      <c r="D27" s="460"/>
      <c r="E27" s="455">
        <v>45690</v>
      </c>
      <c r="F27" s="456">
        <f>VLOOKUP(E27,환율!$A$1798:$B$3001,2,)</f>
        <v>1433.3</v>
      </c>
      <c r="G27" s="462">
        <v>37898.46</v>
      </c>
      <c r="H27" s="458">
        <f>ROUNDDOWN(G27*F27,0)</f>
        <v>54319862</v>
      </c>
      <c r="I27" s="458">
        <f t="shared" ref="I27:I42" si="3">H27</f>
        <v>54319862</v>
      </c>
      <c r="J27" s="464"/>
      <c r="K27" s="364"/>
      <c r="L27" s="364"/>
      <c r="M27" s="434" t="s">
        <v>2337</v>
      </c>
      <c r="N27" s="434"/>
      <c r="O27" s="434"/>
      <c r="P27" s="434"/>
      <c r="Q27" s="441"/>
    </row>
    <row r="28" spans="1:17" s="97" customFormat="1" ht="27" customHeight="1">
      <c r="A28" s="2017"/>
      <c r="B28" s="459" t="s">
        <v>2188</v>
      </c>
      <c r="C28" s="460" t="s">
        <v>2189</v>
      </c>
      <c r="D28" s="460"/>
      <c r="E28" s="455">
        <v>45691</v>
      </c>
      <c r="F28" s="456">
        <f>VLOOKUP(E28,환율!$A$1798:$B$3001,2,)</f>
        <v>1453</v>
      </c>
      <c r="G28" s="462">
        <v>7488</v>
      </c>
      <c r="H28" s="458">
        <f>ROUNDDOWN(G28*F28,0)</f>
        <v>10880064</v>
      </c>
      <c r="I28" s="458">
        <f t="shared" si="3"/>
        <v>10880064</v>
      </c>
      <c r="J28" s="464"/>
      <c r="K28" s="364"/>
      <c r="L28" s="364"/>
      <c r="M28" s="434"/>
      <c r="N28" s="434"/>
      <c r="O28" s="434"/>
      <c r="P28" s="434"/>
      <c r="Q28" s="441"/>
    </row>
    <row r="29" spans="1:17" s="97" customFormat="1" ht="27" customHeight="1">
      <c r="A29" s="2017"/>
      <c r="B29" s="459" t="s">
        <v>2192</v>
      </c>
      <c r="C29" s="460" t="s">
        <v>2234</v>
      </c>
      <c r="D29" s="460"/>
      <c r="E29" s="455">
        <v>45695</v>
      </c>
      <c r="F29" s="456">
        <f>VLOOKUP(E29,환율!$A$1798:$B$3001,2,)</f>
        <v>1447.1</v>
      </c>
      <c r="G29" s="462">
        <v>26748.1</v>
      </c>
      <c r="H29" s="458">
        <f>ROUNDDOWN(G29*F29,0)</f>
        <v>38707175</v>
      </c>
      <c r="I29" s="458">
        <f t="shared" si="3"/>
        <v>38707175</v>
      </c>
      <c r="J29" s="464"/>
      <c r="K29" s="364"/>
      <c r="L29" s="364"/>
      <c r="M29" s="434"/>
      <c r="N29" s="434"/>
      <c r="O29" s="434"/>
      <c r="P29" s="434"/>
      <c r="Q29" s="441"/>
    </row>
    <row r="30" spans="1:17" s="97" customFormat="1" ht="27" customHeight="1">
      <c r="A30" s="2017"/>
      <c r="B30" s="459" t="s">
        <v>2193</v>
      </c>
      <c r="C30" s="460" t="s">
        <v>2235</v>
      </c>
      <c r="D30" s="460"/>
      <c r="E30" s="455">
        <v>45706</v>
      </c>
      <c r="F30" s="456">
        <f>VLOOKUP(E30,환율!$A$1798:$B$3001,2,)</f>
        <v>1441.1</v>
      </c>
      <c r="G30" s="462">
        <v>34465.040000000001</v>
      </c>
      <c r="H30" s="458">
        <f t="shared" ref="H30" si="4">ROUNDDOWN(G30*F30,0)</f>
        <v>49667569</v>
      </c>
      <c r="I30" s="458">
        <f t="shared" si="3"/>
        <v>49667569</v>
      </c>
      <c r="J30" s="464"/>
      <c r="K30" s="364"/>
      <c r="L30" s="364"/>
      <c r="M30" s="434"/>
      <c r="N30" s="434"/>
      <c r="O30" s="434"/>
      <c r="P30" s="434"/>
      <c r="Q30" s="441"/>
    </row>
    <row r="31" spans="1:17" s="126" customFormat="1" ht="27" customHeight="1">
      <c r="A31" s="2017"/>
      <c r="B31" s="313" t="s">
        <v>2255</v>
      </c>
      <c r="C31" s="129" t="s">
        <v>2256</v>
      </c>
      <c r="D31" s="129"/>
      <c r="E31" s="90">
        <v>45708</v>
      </c>
      <c r="F31" s="91">
        <f>VLOOKUP(E31,환율!$A$1798:$B$3001,2,)</f>
        <v>1440.6</v>
      </c>
      <c r="G31" s="389">
        <v>33308.42</v>
      </c>
      <c r="H31" s="93">
        <f t="shared" ref="H31:H47" si="5">ROUNDDOWN(G31*F31,0)</f>
        <v>47984109</v>
      </c>
      <c r="I31" s="93">
        <f t="shared" si="3"/>
        <v>47984109</v>
      </c>
      <c r="J31" s="254"/>
      <c r="K31" s="364"/>
      <c r="L31" s="364"/>
      <c r="M31" s="436"/>
      <c r="N31" s="436"/>
      <c r="O31" s="436"/>
      <c r="P31" s="436"/>
      <c r="Q31" s="443"/>
    </row>
    <row r="32" spans="1:17" s="126" customFormat="1" ht="27" customHeight="1">
      <c r="A32" s="2017"/>
      <c r="B32" s="313" t="s">
        <v>2257</v>
      </c>
      <c r="C32" s="129" t="s">
        <v>2258</v>
      </c>
      <c r="D32" s="129"/>
      <c r="E32" s="90">
        <v>45704</v>
      </c>
      <c r="F32" s="91">
        <f>VLOOKUP(E32,환율!$A$1798:$B$3001,2,)</f>
        <v>1450.5</v>
      </c>
      <c r="G32" s="134">
        <v>26236</v>
      </c>
      <c r="H32" s="93">
        <f>ROUNDDOWN(G32*F32,0)</f>
        <v>38055318</v>
      </c>
      <c r="I32" s="93">
        <f t="shared" si="3"/>
        <v>38055318</v>
      </c>
      <c r="J32" s="254"/>
      <c r="K32" s="401">
        <f>'25.01 (갑) '!H30</f>
        <v>5417874</v>
      </c>
      <c r="L32" s="364"/>
      <c r="M32" s="436"/>
      <c r="N32" s="436"/>
      <c r="O32" s="436"/>
      <c r="P32" s="436"/>
      <c r="Q32" s="443"/>
    </row>
    <row r="33" spans="1:17" s="126" customFormat="1" ht="27" customHeight="1">
      <c r="A33" s="2017"/>
      <c r="B33" s="313" t="s">
        <v>2259</v>
      </c>
      <c r="C33" s="129" t="s">
        <v>2260</v>
      </c>
      <c r="D33" s="129"/>
      <c r="E33" s="90">
        <v>45704</v>
      </c>
      <c r="F33" s="91">
        <f>VLOOKUP(E33,환율!$A$1798:$B$3001,2,)</f>
        <v>1450.5</v>
      </c>
      <c r="G33" s="134">
        <v>37171.440000000002</v>
      </c>
      <c r="H33" s="93">
        <f t="shared" ref="H33:H37" si="6">ROUNDDOWN(G33*F33,0)</f>
        <v>53917173</v>
      </c>
      <c r="I33" s="93">
        <f t="shared" si="3"/>
        <v>53917173</v>
      </c>
      <c r="J33" s="254"/>
      <c r="K33" s="401">
        <f>'25.01 (갑) '!H31</f>
        <v>54319862</v>
      </c>
      <c r="L33" s="364"/>
      <c r="M33" s="436"/>
      <c r="N33" s="436"/>
      <c r="O33" s="436"/>
      <c r="P33" s="436"/>
      <c r="Q33" s="443"/>
    </row>
    <row r="34" spans="1:17" s="126" customFormat="1" ht="27" customHeight="1">
      <c r="A34" s="2017"/>
      <c r="B34" s="313" t="s">
        <v>2261</v>
      </c>
      <c r="C34" s="129" t="s">
        <v>2321</v>
      </c>
      <c r="D34" s="129"/>
      <c r="E34" s="90">
        <v>45704</v>
      </c>
      <c r="F34" s="91">
        <f>VLOOKUP(E34,환율!$A$1798:$B$3001,2,)</f>
        <v>1450.5</v>
      </c>
      <c r="G34" s="134">
        <v>2783.52</v>
      </c>
      <c r="H34" s="93">
        <f t="shared" si="6"/>
        <v>4037495</v>
      </c>
      <c r="I34" s="93">
        <f t="shared" si="3"/>
        <v>4037495</v>
      </c>
      <c r="J34" s="254"/>
      <c r="K34" s="401">
        <f>'25.01 (갑) '!H32</f>
        <v>10880064</v>
      </c>
      <c r="L34" s="364"/>
      <c r="M34" s="436"/>
      <c r="N34" s="436"/>
      <c r="O34" s="436"/>
      <c r="P34" s="436"/>
      <c r="Q34" s="443"/>
    </row>
    <row r="35" spans="1:17" s="126" customFormat="1" ht="27" customHeight="1">
      <c r="A35" s="2017"/>
      <c r="B35" s="313" t="s">
        <v>2262</v>
      </c>
      <c r="C35" s="129" t="s">
        <v>2263</v>
      </c>
      <c r="D35" s="129"/>
      <c r="E35" s="90">
        <v>45711</v>
      </c>
      <c r="F35" s="91">
        <f>VLOOKUP(E35,환율!$A$1798:$B$3001,2,)</f>
        <v>1439.4</v>
      </c>
      <c r="G35" s="134">
        <v>88330.2</v>
      </c>
      <c r="H35" s="93">
        <f t="shared" si="6"/>
        <v>127142489</v>
      </c>
      <c r="I35" s="93">
        <f t="shared" si="3"/>
        <v>127142489</v>
      </c>
      <c r="J35" s="254"/>
      <c r="K35" s="401">
        <f>'25.01 (갑) '!H33</f>
        <v>38707175</v>
      </c>
      <c r="L35" s="364"/>
      <c r="M35" s="436"/>
      <c r="N35" s="436"/>
      <c r="O35" s="436"/>
      <c r="P35" s="436"/>
      <c r="Q35" s="443"/>
    </row>
    <row r="36" spans="1:17" s="126" customFormat="1" ht="27" customHeight="1">
      <c r="A36" s="2017"/>
      <c r="B36" s="313" t="s">
        <v>2264</v>
      </c>
      <c r="C36" s="129" t="s">
        <v>2265</v>
      </c>
      <c r="D36" s="129"/>
      <c r="E36" s="90">
        <v>45715</v>
      </c>
      <c r="F36" s="91">
        <f>VLOOKUP(E36,환율!$A$1798:$B$3001,2,)</f>
        <v>1431.8</v>
      </c>
      <c r="G36" s="134">
        <v>47116.18</v>
      </c>
      <c r="H36" s="93">
        <f t="shared" si="6"/>
        <v>67460946</v>
      </c>
      <c r="I36" s="93">
        <f t="shared" si="3"/>
        <v>67460946</v>
      </c>
      <c r="J36" s="254"/>
      <c r="K36" s="401">
        <f>'25.01 (갑) '!H34</f>
        <v>49667569</v>
      </c>
      <c r="L36" s="364"/>
      <c r="M36" s="436"/>
      <c r="N36" s="436"/>
      <c r="O36" s="436"/>
      <c r="P36" s="436"/>
      <c r="Q36" s="443"/>
    </row>
    <row r="37" spans="1:17" s="126" customFormat="1" ht="27" customHeight="1">
      <c r="A37" s="2017"/>
      <c r="B37" s="313" t="s">
        <v>2266</v>
      </c>
      <c r="C37" s="129" t="s">
        <v>2267</v>
      </c>
      <c r="D37" s="129"/>
      <c r="E37" s="136">
        <v>45708</v>
      </c>
      <c r="F37" s="91">
        <f>VLOOKUP(E37,환율!$A$1798:$B$3001,2,)</f>
        <v>1440.6</v>
      </c>
      <c r="G37" s="134">
        <v>5567.04</v>
      </c>
      <c r="H37" s="93">
        <f t="shared" si="6"/>
        <v>8019877</v>
      </c>
      <c r="I37" s="93">
        <f t="shared" si="3"/>
        <v>8019877</v>
      </c>
      <c r="J37" s="254"/>
      <c r="K37" s="364"/>
      <c r="L37" s="364"/>
      <c r="M37" s="436"/>
      <c r="N37" s="436"/>
      <c r="O37" s="436"/>
      <c r="P37" s="436"/>
      <c r="Q37" s="443"/>
    </row>
    <row r="38" spans="1:17" s="126" customFormat="1" ht="27" customHeight="1">
      <c r="A38" s="2017"/>
      <c r="B38" s="313" t="s">
        <v>2269</v>
      </c>
      <c r="C38" s="129" t="s">
        <v>2270</v>
      </c>
      <c r="D38" s="129"/>
      <c r="E38" s="90">
        <v>45703</v>
      </c>
      <c r="F38" s="91">
        <f>VLOOKUP(E38,환율!$A$1798:$B$3001,2,)</f>
        <v>1450.5</v>
      </c>
      <c r="G38" s="134">
        <v>20842.5</v>
      </c>
      <c r="H38" s="93">
        <f>ROUNDDOWN(G38*F38,0)</f>
        <v>30232046</v>
      </c>
      <c r="I38" s="93">
        <f t="shared" si="3"/>
        <v>30232046</v>
      </c>
      <c r="J38" s="254"/>
      <c r="K38" s="364"/>
      <c r="L38" s="364"/>
      <c r="M38" s="436"/>
      <c r="N38" s="436"/>
      <c r="O38" s="436"/>
      <c r="P38" s="436"/>
      <c r="Q38" s="443"/>
    </row>
    <row r="39" spans="1:17" s="126" customFormat="1" ht="27" customHeight="1">
      <c r="A39" s="2017"/>
      <c r="B39" s="313" t="s">
        <v>2271</v>
      </c>
      <c r="C39" s="129" t="s">
        <v>2272</v>
      </c>
      <c r="D39" s="129"/>
      <c r="E39" s="90">
        <v>45715</v>
      </c>
      <c r="F39" s="91">
        <f>VLOOKUP(E39,환율!$A$1798:$B$3001,2,)</f>
        <v>1431.8</v>
      </c>
      <c r="G39" s="134">
        <v>3006</v>
      </c>
      <c r="H39" s="93">
        <f>ROUNDDOWN(G39*F39,0)</f>
        <v>4303990</v>
      </c>
      <c r="I39" s="93">
        <f t="shared" si="3"/>
        <v>4303990</v>
      </c>
      <c r="J39" s="254"/>
      <c r="K39" s="364" t="s">
        <v>2175</v>
      </c>
      <c r="L39" s="364"/>
      <c r="M39" s="436"/>
      <c r="N39" s="436"/>
      <c r="O39" s="436"/>
      <c r="P39" s="436"/>
      <c r="Q39" s="443"/>
    </row>
    <row r="40" spans="1:17" s="126" customFormat="1" ht="27" customHeight="1">
      <c r="A40" s="2017"/>
      <c r="B40" s="313" t="s">
        <v>2273</v>
      </c>
      <c r="C40" s="129" t="s">
        <v>2274</v>
      </c>
      <c r="D40" s="129"/>
      <c r="E40" s="90">
        <v>45708</v>
      </c>
      <c r="F40" s="91">
        <f>VLOOKUP(E40,환율!$A$1798:$B$3001,2,)</f>
        <v>1440.6</v>
      </c>
      <c r="G40" s="134">
        <v>744.8</v>
      </c>
      <c r="H40" s="93">
        <f>ROUNDDOWN(G40*F40,0)</f>
        <v>1072958</v>
      </c>
      <c r="I40" s="93">
        <f t="shared" si="3"/>
        <v>1072958</v>
      </c>
      <c r="J40" s="254"/>
      <c r="K40" s="364"/>
      <c r="L40" s="364"/>
      <c r="M40" s="436"/>
      <c r="N40" s="436"/>
      <c r="O40" s="436"/>
      <c r="P40" s="436"/>
      <c r="Q40" s="443"/>
    </row>
    <row r="41" spans="1:17" s="126" customFormat="1" ht="27" customHeight="1">
      <c r="A41" s="2017"/>
      <c r="B41" s="313" t="s">
        <v>2278</v>
      </c>
      <c r="C41" s="129" t="s">
        <v>2306</v>
      </c>
      <c r="D41" s="129"/>
      <c r="E41" s="90">
        <v>45715</v>
      </c>
      <c r="F41" s="91">
        <f>VLOOKUP(E41,환율!$A$1798:$B$3001,2,)</f>
        <v>1431.8</v>
      </c>
      <c r="G41" s="134">
        <v>36730.400000000001</v>
      </c>
      <c r="H41" s="93">
        <f t="shared" ref="H41" si="7">ROUNDDOWN(G41*F41,0)</f>
        <v>52590586</v>
      </c>
      <c r="I41" s="93">
        <f t="shared" si="3"/>
        <v>52590586</v>
      </c>
      <c r="J41" s="254"/>
      <c r="K41" s="364"/>
      <c r="L41" s="364"/>
      <c r="M41" s="436"/>
      <c r="N41" s="436"/>
      <c r="O41" s="436"/>
      <c r="P41" s="436"/>
      <c r="Q41" s="443"/>
    </row>
    <row r="42" spans="1:17" s="126" customFormat="1" ht="27" customHeight="1">
      <c r="A42" s="2017"/>
      <c r="B42" s="313" t="s">
        <v>2279</v>
      </c>
      <c r="C42" s="129" t="s">
        <v>2307</v>
      </c>
      <c r="D42" s="129"/>
      <c r="E42" s="90">
        <v>45715</v>
      </c>
      <c r="F42" s="91">
        <f>VLOOKUP(E42,환율!$A$1798:$B$3001,2,)</f>
        <v>1431.8</v>
      </c>
      <c r="G42" s="134">
        <v>1564</v>
      </c>
      <c r="H42" s="93">
        <f>ROUNDDOWN(G42*F42,0)</f>
        <v>2239335</v>
      </c>
      <c r="I42" s="93">
        <f t="shared" si="3"/>
        <v>2239335</v>
      </c>
      <c r="J42" s="254"/>
      <c r="K42" s="364"/>
      <c r="L42" s="364"/>
      <c r="M42" s="436"/>
      <c r="N42" s="436"/>
      <c r="O42" s="436"/>
      <c r="P42" s="436"/>
      <c r="Q42" s="443"/>
    </row>
    <row r="43" spans="1:17" s="126" customFormat="1" ht="27" customHeight="1">
      <c r="A43" s="2017"/>
      <c r="B43" s="330" t="s">
        <v>2268</v>
      </c>
      <c r="C43" s="137" t="s">
        <v>2267</v>
      </c>
      <c r="D43" s="137"/>
      <c r="E43" s="101">
        <v>45717</v>
      </c>
      <c r="F43" s="102">
        <f>VLOOKUP(E43,환율!$A$1798:$B$3001,2,)</f>
        <v>1439.6</v>
      </c>
      <c r="G43" s="138">
        <v>41977.599999999999</v>
      </c>
      <c r="H43" s="104">
        <f>ROUNDDOWN(G43*F43,0)</f>
        <v>60430952</v>
      </c>
      <c r="I43" s="104"/>
      <c r="J43" s="272">
        <f>H43</f>
        <v>60430952</v>
      </c>
      <c r="K43" s="364"/>
      <c r="L43" s="364"/>
      <c r="M43" s="436"/>
      <c r="N43" s="436"/>
      <c r="O43" s="436"/>
      <c r="P43" s="436"/>
      <c r="Q43" s="443"/>
    </row>
    <row r="44" spans="1:17" s="126" customFormat="1" ht="27" customHeight="1">
      <c r="A44" s="2017"/>
      <c r="B44" s="330" t="s">
        <v>2275</v>
      </c>
      <c r="C44" s="137" t="s">
        <v>2320</v>
      </c>
      <c r="D44" s="137"/>
      <c r="E44" s="125">
        <v>45717</v>
      </c>
      <c r="F44" s="102">
        <f>VLOOKUP(E44,환율!$A$1798:$B$3001,2,)</f>
        <v>1439.6</v>
      </c>
      <c r="G44" s="138">
        <v>78708</v>
      </c>
      <c r="H44" s="104">
        <f>ROUNDDOWN(G44*F44,0)</f>
        <v>113308036</v>
      </c>
      <c r="I44" s="104"/>
      <c r="J44" s="272">
        <f t="shared" ref="J44:J45" si="8">H44</f>
        <v>113308036</v>
      </c>
      <c r="K44" s="364" t="s">
        <v>2326</v>
      </c>
      <c r="L44" s="364"/>
      <c r="M44" s="436"/>
      <c r="N44" s="436"/>
      <c r="O44" s="436"/>
      <c r="P44" s="436"/>
      <c r="Q44" s="443"/>
    </row>
    <row r="45" spans="1:17" s="126" customFormat="1" ht="27" customHeight="1">
      <c r="A45" s="2017"/>
      <c r="B45" s="330" t="s">
        <v>2276</v>
      </c>
      <c r="C45" s="137" t="s">
        <v>2277</v>
      </c>
      <c r="D45" s="137"/>
      <c r="E45" s="101">
        <v>45717</v>
      </c>
      <c r="F45" s="102">
        <f>VLOOKUP(E45,환율!$A$1798:$B$3001,2,)</f>
        <v>1439.6</v>
      </c>
      <c r="G45" s="138">
        <v>71675</v>
      </c>
      <c r="H45" s="104">
        <f>ROUNDDOWN(G45*F45,0)</f>
        <v>103183330</v>
      </c>
      <c r="I45" s="104"/>
      <c r="J45" s="272">
        <f t="shared" si="8"/>
        <v>103183330</v>
      </c>
      <c r="K45" s="364"/>
      <c r="L45" s="364"/>
      <c r="M45" s="436"/>
      <c r="N45" s="436"/>
      <c r="O45" s="436"/>
      <c r="P45" s="436"/>
      <c r="Q45" s="443"/>
    </row>
    <row r="46" spans="1:17" s="97" customFormat="1" ht="27" customHeight="1">
      <c r="A46" s="2035" t="s">
        <v>10</v>
      </c>
      <c r="B46" s="2036"/>
      <c r="C46" s="2036"/>
      <c r="D46" s="2036"/>
      <c r="E46" s="2036"/>
      <c r="F46" s="2037"/>
      <c r="G46" s="127">
        <f>SUM(G26:G45)</f>
        <v>606140.69999999995</v>
      </c>
      <c r="H46" s="116">
        <f>SUM(H26:H45)</f>
        <v>872971184</v>
      </c>
      <c r="I46" s="116">
        <f>SUM(I26:I45)</f>
        <v>596048866</v>
      </c>
      <c r="J46" s="260">
        <f>SUM(J26:J45)</f>
        <v>276922318</v>
      </c>
      <c r="K46" s="364"/>
      <c r="L46" s="364"/>
      <c r="M46" s="434"/>
      <c r="N46" s="434"/>
      <c r="O46" s="434"/>
      <c r="P46" s="434"/>
      <c r="Q46" s="441"/>
    </row>
    <row r="47" spans="1:17" s="97" customFormat="1" ht="27" customHeight="1">
      <c r="A47" s="399" t="s">
        <v>1892</v>
      </c>
      <c r="B47" s="313" t="s">
        <v>2280</v>
      </c>
      <c r="C47" s="142" t="s">
        <v>2281</v>
      </c>
      <c r="D47" s="90"/>
      <c r="E47" s="90">
        <v>45696</v>
      </c>
      <c r="F47" s="91">
        <f>VLOOKUP(E47,환율!$A$1798:$B$3001,2,)</f>
        <v>1447.1</v>
      </c>
      <c r="G47" s="92">
        <v>116471.76</v>
      </c>
      <c r="H47" s="93">
        <f t="shared" si="5"/>
        <v>168546283</v>
      </c>
      <c r="I47" s="93">
        <f>H47</f>
        <v>168546283</v>
      </c>
      <c r="J47" s="321"/>
      <c r="K47" s="364"/>
      <c r="L47" s="364"/>
      <c r="M47" s="434"/>
      <c r="N47" s="434"/>
      <c r="O47" s="434"/>
      <c r="P47" s="434"/>
      <c r="Q47" s="441"/>
    </row>
    <row r="48" spans="1:17" s="97" customFormat="1" ht="27" customHeight="1">
      <c r="A48" s="2035" t="s">
        <v>10</v>
      </c>
      <c r="B48" s="2036"/>
      <c r="C48" s="2036"/>
      <c r="D48" s="2036"/>
      <c r="E48" s="2036"/>
      <c r="F48" s="2037"/>
      <c r="G48" s="127">
        <f>SUM(G47:G47)</f>
        <v>116471.76</v>
      </c>
      <c r="H48" s="116">
        <f>SUM(H47:H47)</f>
        <v>168546283</v>
      </c>
      <c r="I48" s="116">
        <f>I47</f>
        <v>168546283</v>
      </c>
      <c r="J48" s="260">
        <v>0</v>
      </c>
      <c r="K48" s="364"/>
      <c r="L48" s="364"/>
      <c r="M48" s="434"/>
      <c r="N48" s="434"/>
      <c r="O48" s="434"/>
      <c r="P48" s="434"/>
      <c r="Q48" s="441"/>
    </row>
    <row r="49" spans="1:17" s="97" customFormat="1" ht="27" customHeight="1">
      <c r="A49" s="2010" t="s">
        <v>35</v>
      </c>
      <c r="B49" s="173" t="s">
        <v>2304</v>
      </c>
      <c r="C49" s="173" t="s">
        <v>2324</v>
      </c>
      <c r="D49" s="288"/>
      <c r="E49" s="90">
        <v>45708</v>
      </c>
      <c r="F49" s="91">
        <f>VLOOKUP(E49,환율!$A$1798:$B$3001,2,)</f>
        <v>1440.6</v>
      </c>
      <c r="G49" s="92">
        <f>H49/F49</f>
        <v>15301.438289601556</v>
      </c>
      <c r="H49" s="93">
        <v>22043252</v>
      </c>
      <c r="I49" s="93">
        <f>H49</f>
        <v>22043252</v>
      </c>
      <c r="J49" s="329"/>
      <c r="K49" s="401">
        <f>'24.12 (갑) '!H55</f>
        <v>51641003</v>
      </c>
      <c r="L49" s="364"/>
      <c r="M49" s="434"/>
      <c r="N49" s="434"/>
      <c r="O49" s="434"/>
      <c r="P49" s="434"/>
      <c r="Q49" s="441"/>
    </row>
    <row r="50" spans="1:17" s="97" customFormat="1" ht="27" customHeight="1">
      <c r="A50" s="2011"/>
      <c r="B50" s="152" t="s">
        <v>2305</v>
      </c>
      <c r="C50" s="152" t="s">
        <v>2325</v>
      </c>
      <c r="D50" s="322"/>
      <c r="E50" s="124">
        <v>45717</v>
      </c>
      <c r="F50" s="102">
        <f>VLOOKUP(E50,환율!$A$1798:$B$3001,2,)</f>
        <v>1439.6</v>
      </c>
      <c r="G50" s="103">
        <f>H50/F50</f>
        <v>18738.747568769104</v>
      </c>
      <c r="H50" s="104">
        <v>26976301</v>
      </c>
      <c r="I50" s="224"/>
      <c r="J50" s="272">
        <f>H50</f>
        <v>26976301</v>
      </c>
      <c r="K50" s="364"/>
      <c r="L50" s="364"/>
      <c r="M50" s="434"/>
      <c r="N50" s="434"/>
      <c r="O50" s="434"/>
      <c r="P50" s="434"/>
      <c r="Q50" s="441"/>
    </row>
    <row r="51" spans="1:17" s="97" customFormat="1" ht="27" customHeight="1">
      <c r="A51" s="2035" t="s">
        <v>10</v>
      </c>
      <c r="B51" s="2036"/>
      <c r="C51" s="2036"/>
      <c r="D51" s="2036"/>
      <c r="E51" s="2036"/>
      <c r="F51" s="2037"/>
      <c r="G51" s="127">
        <f>SUM(G49:G50)</f>
        <v>34040.185858370663</v>
      </c>
      <c r="H51" s="116">
        <f>SUM(H49:H50)</f>
        <v>49019553</v>
      </c>
      <c r="I51" s="116">
        <f>I49</f>
        <v>22043252</v>
      </c>
      <c r="J51" s="260">
        <f>J50</f>
        <v>26976301</v>
      </c>
      <c r="K51" s="364"/>
      <c r="L51" s="364"/>
      <c r="M51" s="434"/>
      <c r="N51" s="434"/>
      <c r="O51" s="434"/>
      <c r="P51" s="434"/>
      <c r="Q51" s="441"/>
    </row>
    <row r="52" spans="1:17" s="97" customFormat="1" ht="27" customHeight="1">
      <c r="A52" s="399" t="s">
        <v>47</v>
      </c>
      <c r="B52" s="88" t="s">
        <v>2282</v>
      </c>
      <c r="C52" s="155" t="s">
        <v>2283</v>
      </c>
      <c r="D52" s="146"/>
      <c r="E52" s="90">
        <v>45709</v>
      </c>
      <c r="F52" s="91">
        <f>VLOOKUP(E52,환율!$A$1798:$B$3001,2,)</f>
        <v>1439.4</v>
      </c>
      <c r="G52" s="118">
        <v>39476</v>
      </c>
      <c r="H52" s="93">
        <f t="shared" ref="H52" si="9">ROUNDDOWN(G52*F52,0)</f>
        <v>56821754</v>
      </c>
      <c r="I52" s="156">
        <f>H52</f>
        <v>56821754</v>
      </c>
      <c r="J52" s="263"/>
      <c r="K52" s="364"/>
      <c r="L52" s="364"/>
      <c r="M52" s="434"/>
      <c r="N52" s="434"/>
      <c r="O52" s="434"/>
      <c r="P52" s="434"/>
      <c r="Q52" s="441"/>
    </row>
    <row r="53" spans="1:17" s="97" customFormat="1" ht="27" customHeight="1">
      <c r="A53" s="2035" t="s">
        <v>10</v>
      </c>
      <c r="B53" s="2036"/>
      <c r="C53" s="2036"/>
      <c r="D53" s="2036"/>
      <c r="E53" s="2036"/>
      <c r="F53" s="2037"/>
      <c r="G53" s="127">
        <f>SUM(G52:G52)</f>
        <v>39476</v>
      </c>
      <c r="H53" s="116">
        <f>SUM(H52:H52)</f>
        <v>56821754</v>
      </c>
      <c r="I53" s="471">
        <f>I52</f>
        <v>56821754</v>
      </c>
      <c r="J53" s="260">
        <v>0</v>
      </c>
      <c r="K53" s="364"/>
      <c r="L53" s="364"/>
      <c r="M53" s="434"/>
      <c r="N53" s="434"/>
      <c r="O53" s="434"/>
      <c r="P53" s="434"/>
      <c r="Q53" s="441"/>
    </row>
    <row r="54" spans="1:17" s="97" customFormat="1" ht="27" customHeight="1">
      <c r="A54" s="261" t="s">
        <v>34</v>
      </c>
      <c r="B54" s="88" t="s">
        <v>2284</v>
      </c>
      <c r="C54" s="155" t="s">
        <v>2285</v>
      </c>
      <c r="D54" s="146"/>
      <c r="E54" s="89">
        <v>45715</v>
      </c>
      <c r="F54" s="91">
        <f>VLOOKUP(E54,환율!$A$1798:$B$3001,2,)</f>
        <v>1431.8</v>
      </c>
      <c r="G54" s="118">
        <v>14992.26</v>
      </c>
      <c r="H54" s="93">
        <f t="shared" ref="H54" si="10">ROUNDDOWN(G54*F54,0)</f>
        <v>21465917</v>
      </c>
      <c r="I54" s="156">
        <f>H54</f>
        <v>21465917</v>
      </c>
      <c r="J54" s="263"/>
      <c r="K54" s="401"/>
      <c r="L54" s="401"/>
      <c r="M54" s="434"/>
      <c r="N54" s="434"/>
      <c r="O54" s="434"/>
      <c r="P54" s="434"/>
      <c r="Q54" s="441"/>
    </row>
    <row r="55" spans="1:17" s="97" customFormat="1" ht="27" customHeight="1">
      <c r="A55" s="2035" t="s">
        <v>10</v>
      </c>
      <c r="B55" s="2036"/>
      <c r="C55" s="2036"/>
      <c r="D55" s="2036"/>
      <c r="E55" s="2036"/>
      <c r="F55" s="2037"/>
      <c r="G55" s="159">
        <f>SUM(G54:G54)</f>
        <v>14992.26</v>
      </c>
      <c r="H55" s="160">
        <f>SUM(H54:H54)</f>
        <v>21465917</v>
      </c>
      <c r="I55" s="472">
        <f>I54</f>
        <v>21465917</v>
      </c>
      <c r="J55" s="264">
        <v>0</v>
      </c>
      <c r="K55" s="364"/>
      <c r="L55" s="364"/>
      <c r="M55" s="434"/>
      <c r="N55" s="434"/>
      <c r="O55" s="434"/>
      <c r="P55" s="434"/>
      <c r="Q55" s="441"/>
    </row>
    <row r="56" spans="1:17" s="97" customFormat="1" ht="27" customHeight="1">
      <c r="A56" s="2017" t="s">
        <v>14</v>
      </c>
      <c r="B56" s="453" t="s">
        <v>2200</v>
      </c>
      <c r="C56" s="455" t="s">
        <v>2201</v>
      </c>
      <c r="D56" s="455"/>
      <c r="E56" s="455">
        <v>45689</v>
      </c>
      <c r="F56" s="456">
        <f>VLOOKUP(E56,환율!$A$1798:$B$3001,2,)</f>
        <v>1433.3</v>
      </c>
      <c r="G56" s="457">
        <v>60235.5</v>
      </c>
      <c r="H56" s="458">
        <f t="shared" ref="H56:H61" si="11">ROUNDDOWN(G56*F56,0)</f>
        <v>86335542</v>
      </c>
      <c r="I56" s="458">
        <f>H56</f>
        <v>86335542</v>
      </c>
      <c r="J56" s="464"/>
      <c r="K56" s="364"/>
      <c r="L56" s="364"/>
      <c r="M56" s="434"/>
      <c r="N56" s="434"/>
      <c r="O56" s="434"/>
      <c r="P56" s="434"/>
      <c r="Q56" s="441"/>
    </row>
    <row r="57" spans="1:17" s="97" customFormat="1" ht="27" customHeight="1">
      <c r="A57" s="2017"/>
      <c r="B57" s="88" t="s">
        <v>2286</v>
      </c>
      <c r="C57" s="129" t="s">
        <v>2287</v>
      </c>
      <c r="D57" s="129"/>
      <c r="E57" s="136">
        <v>45696</v>
      </c>
      <c r="F57" s="91">
        <f>VLOOKUP(E57,환율!$A$1798:$B$3001,2,)</f>
        <v>1447.1</v>
      </c>
      <c r="G57" s="92">
        <v>298.72000000000003</v>
      </c>
      <c r="H57" s="93">
        <f t="shared" si="11"/>
        <v>432277</v>
      </c>
      <c r="I57" s="93">
        <f t="shared" ref="I57:I64" si="12">H57</f>
        <v>432277</v>
      </c>
      <c r="J57" s="254"/>
      <c r="K57" s="364"/>
      <c r="L57" s="364"/>
      <c r="M57" s="434"/>
      <c r="N57" s="434"/>
      <c r="O57" s="434"/>
      <c r="P57" s="434"/>
      <c r="Q57" s="441"/>
    </row>
    <row r="58" spans="1:17" s="97" customFormat="1" ht="27" customHeight="1">
      <c r="A58" s="2017"/>
      <c r="B58" s="88" t="s">
        <v>2288</v>
      </c>
      <c r="C58" s="146" t="s">
        <v>2289</v>
      </c>
      <c r="D58" s="146"/>
      <c r="E58" s="90">
        <v>45702</v>
      </c>
      <c r="F58" s="91">
        <f>VLOOKUP(E58,환율!$A$1798:$B$3001,2,)</f>
        <v>1450.5</v>
      </c>
      <c r="G58" s="118">
        <v>3075</v>
      </c>
      <c r="H58" s="93">
        <f t="shared" si="11"/>
        <v>4460287</v>
      </c>
      <c r="I58" s="93">
        <f t="shared" si="12"/>
        <v>4460287</v>
      </c>
      <c r="J58" s="255"/>
      <c r="K58" s="403">
        <f>'25.01 (갑) '!H51</f>
        <v>86335542</v>
      </c>
      <c r="M58" s="434"/>
      <c r="N58" s="434"/>
      <c r="O58" s="434"/>
      <c r="P58" s="434"/>
      <c r="Q58" s="441"/>
    </row>
    <row r="59" spans="1:17" s="97" customFormat="1" ht="27" customHeight="1">
      <c r="A59" s="2017"/>
      <c r="B59" s="88" t="s">
        <v>2290</v>
      </c>
      <c r="C59" s="146" t="s">
        <v>2291</v>
      </c>
      <c r="D59" s="146"/>
      <c r="E59" s="90">
        <v>45713</v>
      </c>
      <c r="F59" s="91">
        <f>VLOOKUP(E59,환율!$A$1798:$B$3001,2,)</f>
        <v>1429.2</v>
      </c>
      <c r="G59" s="92">
        <v>24891</v>
      </c>
      <c r="H59" s="93">
        <f t="shared" si="11"/>
        <v>35574217</v>
      </c>
      <c r="I59" s="93">
        <f t="shared" si="12"/>
        <v>35574217</v>
      </c>
      <c r="J59" s="256"/>
      <c r="K59" s="364"/>
      <c r="L59" s="364"/>
      <c r="M59" s="434"/>
      <c r="N59" s="434"/>
      <c r="O59" s="434"/>
      <c r="P59" s="434"/>
      <c r="Q59" s="441"/>
    </row>
    <row r="60" spans="1:17" s="97" customFormat="1" ht="27" customHeight="1">
      <c r="A60" s="2017"/>
      <c r="B60" s="88" t="s">
        <v>2292</v>
      </c>
      <c r="C60" s="146" t="s">
        <v>2293</v>
      </c>
      <c r="D60" s="146"/>
      <c r="E60" s="136">
        <v>45693</v>
      </c>
      <c r="F60" s="91">
        <f>VLOOKUP(E60,환율!$A$1798:$B$3001,2,)</f>
        <v>1460.8</v>
      </c>
      <c r="G60" s="92">
        <v>3012.4</v>
      </c>
      <c r="H60" s="93">
        <f t="shared" si="11"/>
        <v>4400513</v>
      </c>
      <c r="I60" s="93">
        <f t="shared" si="12"/>
        <v>4400513</v>
      </c>
      <c r="J60" s="256"/>
      <c r="K60" s="364"/>
      <c r="L60" s="364"/>
      <c r="M60" s="434"/>
      <c r="N60" s="434"/>
      <c r="O60" s="434"/>
      <c r="P60" s="434"/>
      <c r="Q60" s="441"/>
    </row>
    <row r="61" spans="1:17" s="97" customFormat="1" ht="27" customHeight="1">
      <c r="A61" s="2017"/>
      <c r="B61" s="88" t="s">
        <v>2294</v>
      </c>
      <c r="C61" s="146" t="s">
        <v>2295</v>
      </c>
      <c r="D61" s="146"/>
      <c r="E61" s="90">
        <v>45704</v>
      </c>
      <c r="F61" s="91">
        <f>VLOOKUP(E61,환율!$A$1798:$B$3001,2,)</f>
        <v>1450.5</v>
      </c>
      <c r="G61" s="92">
        <v>3938.64</v>
      </c>
      <c r="H61" s="93">
        <f t="shared" si="11"/>
        <v>5712997</v>
      </c>
      <c r="I61" s="93">
        <f t="shared" si="12"/>
        <v>5712997</v>
      </c>
      <c r="J61" s="256"/>
      <c r="L61" s="364"/>
      <c r="M61" s="434"/>
      <c r="N61" s="434"/>
      <c r="O61" s="434"/>
      <c r="P61" s="434"/>
      <c r="Q61" s="441"/>
    </row>
    <row r="62" spans="1:17" s="97" customFormat="1" ht="27" customHeight="1">
      <c r="A62" s="2017"/>
      <c r="B62" s="88" t="s">
        <v>2296</v>
      </c>
      <c r="C62" s="146" t="s">
        <v>2297</v>
      </c>
      <c r="D62" s="146"/>
      <c r="E62" s="90">
        <v>45700</v>
      </c>
      <c r="F62" s="91">
        <f>VLOOKUP(E62,환율!$A$1798:$B$3001,2,)</f>
        <v>1453.5</v>
      </c>
      <c r="G62" s="92">
        <v>2336.6</v>
      </c>
      <c r="H62" s="93">
        <f t="shared" ref="H62" si="13">ROUNDDOWN(G62*F62,0)</f>
        <v>3396248</v>
      </c>
      <c r="I62" s="93">
        <f t="shared" si="12"/>
        <v>3396248</v>
      </c>
      <c r="J62" s="256"/>
      <c r="L62" s="364"/>
      <c r="M62" s="434"/>
      <c r="N62" s="434"/>
      <c r="O62" s="434"/>
      <c r="P62" s="434"/>
      <c r="Q62" s="441"/>
    </row>
    <row r="63" spans="1:17" s="97" customFormat="1" ht="27" customHeight="1">
      <c r="A63" s="2017"/>
      <c r="B63" s="88" t="s">
        <v>2298</v>
      </c>
      <c r="C63" s="146" t="s">
        <v>2299</v>
      </c>
      <c r="D63" s="146"/>
      <c r="E63" s="90">
        <v>45716</v>
      </c>
      <c r="F63" s="91">
        <f>VLOOKUP(E63,환율!$A$1798:$B$3001,2,)</f>
        <v>1439.6</v>
      </c>
      <c r="G63" s="92">
        <v>33188</v>
      </c>
      <c r="H63" s="93">
        <f>ROUNDDOWN(G63*F63,0)</f>
        <v>47777444</v>
      </c>
      <c r="I63" s="93">
        <f t="shared" si="12"/>
        <v>47777444</v>
      </c>
      <c r="J63" s="256"/>
      <c r="L63" s="364"/>
      <c r="M63" s="434"/>
      <c r="N63" s="434"/>
      <c r="O63" s="434"/>
      <c r="P63" s="434"/>
      <c r="Q63" s="441"/>
    </row>
    <row r="64" spans="1:17" s="97" customFormat="1" ht="27" customHeight="1">
      <c r="A64" s="2017"/>
      <c r="B64" s="88" t="s">
        <v>2300</v>
      </c>
      <c r="C64" s="146" t="s">
        <v>2335</v>
      </c>
      <c r="D64" s="146"/>
      <c r="E64" s="90">
        <v>45715</v>
      </c>
      <c r="F64" s="91">
        <f>VLOOKUP(E64,환율!$A$1798:$B$3001,2,)</f>
        <v>1431.8</v>
      </c>
      <c r="G64" s="92">
        <v>1212.3900000000001</v>
      </c>
      <c r="H64" s="93">
        <f>ROUNDDOWN(G64*F64,0)</f>
        <v>1735900</v>
      </c>
      <c r="I64" s="93">
        <f t="shared" si="12"/>
        <v>1735900</v>
      </c>
      <c r="J64" s="256"/>
      <c r="L64" s="364"/>
      <c r="M64" s="434"/>
      <c r="N64" s="434"/>
      <c r="O64" s="434"/>
      <c r="P64" s="434"/>
      <c r="Q64" s="441"/>
    </row>
    <row r="65" spans="1:17" s="97" customFormat="1" ht="27" customHeight="1">
      <c r="A65" s="2035" t="s">
        <v>10</v>
      </c>
      <c r="B65" s="2036"/>
      <c r="C65" s="2036"/>
      <c r="D65" s="2036"/>
      <c r="E65" s="2036"/>
      <c r="F65" s="2037"/>
      <c r="G65" s="127">
        <f>SUM(G56:G64)</f>
        <v>132188.25</v>
      </c>
      <c r="H65" s="160">
        <f>SUM(H56:H64)</f>
        <v>189825425</v>
      </c>
      <c r="I65" s="116">
        <f>SUM(I56:I64)</f>
        <v>189825425</v>
      </c>
      <c r="J65" s="260">
        <f>SUM(J56:J64)</f>
        <v>0</v>
      </c>
      <c r="K65" s="364"/>
      <c r="L65" s="364"/>
      <c r="M65" s="434"/>
      <c r="N65" s="434"/>
      <c r="O65" s="434"/>
      <c r="P65" s="434"/>
      <c r="Q65" s="441"/>
    </row>
    <row r="66" spans="1:17" s="97" customFormat="1" ht="27" customHeight="1">
      <c r="A66" s="399" t="s">
        <v>15</v>
      </c>
      <c r="B66" s="409" t="s">
        <v>2301</v>
      </c>
      <c r="C66" s="409" t="s">
        <v>2302</v>
      </c>
      <c r="D66" s="322"/>
      <c r="E66" s="125">
        <v>45717</v>
      </c>
      <c r="F66" s="102">
        <f>VLOOKUP(E66,환율!$A$1798:$B$3001,2,)</f>
        <v>1439.6</v>
      </c>
      <c r="G66" s="103">
        <v>56899.15</v>
      </c>
      <c r="H66" s="104">
        <f t="shared" ref="H66" si="14">ROUNDDOWN(G66*F66,0)</f>
        <v>81912016</v>
      </c>
      <c r="I66" s="152"/>
      <c r="J66" s="272">
        <f>H66</f>
        <v>81912016</v>
      </c>
      <c r="K66" s="401"/>
      <c r="L66" s="401"/>
      <c r="M66" s="434"/>
      <c r="N66" s="434"/>
      <c r="O66" s="434"/>
      <c r="P66" s="434"/>
      <c r="Q66" s="441"/>
    </row>
    <row r="67" spans="1:17" s="97" customFormat="1" ht="27" customHeight="1">
      <c r="A67" s="2035" t="s">
        <v>10</v>
      </c>
      <c r="B67" s="2036"/>
      <c r="C67" s="2036"/>
      <c r="D67" s="2036"/>
      <c r="E67" s="2036"/>
      <c r="F67" s="2037"/>
      <c r="G67" s="127">
        <f>SUM(G66:G66)</f>
        <v>56899.15</v>
      </c>
      <c r="H67" s="116">
        <f>SUM(H66:H66)</f>
        <v>81912016</v>
      </c>
      <c r="I67" s="116">
        <f>I66</f>
        <v>0</v>
      </c>
      <c r="J67" s="260">
        <f>J66</f>
        <v>81912016</v>
      </c>
      <c r="K67" s="366"/>
      <c r="L67" s="366"/>
      <c r="M67" s="434"/>
      <c r="N67" s="434"/>
      <c r="O67" s="434"/>
      <c r="P67" s="434"/>
      <c r="Q67" s="441"/>
    </row>
    <row r="68" spans="1:17" s="97" customFormat="1" ht="27" customHeight="1">
      <c r="A68" s="2010" t="s">
        <v>726</v>
      </c>
      <c r="B68" s="465" t="s">
        <v>2222</v>
      </c>
      <c r="C68" s="466" t="s">
        <v>2223</v>
      </c>
      <c r="D68" s="465"/>
      <c r="E68" s="455">
        <v>45690</v>
      </c>
      <c r="F68" s="467">
        <v>9.2788000000000004</v>
      </c>
      <c r="G68" s="468">
        <v>14327558</v>
      </c>
      <c r="H68" s="458">
        <f t="shared" ref="H68" si="15">ROUNDDOWN(G68*F68,0)</f>
        <v>132942545</v>
      </c>
      <c r="I68" s="469">
        <f>H68</f>
        <v>132942545</v>
      </c>
      <c r="J68" s="470"/>
      <c r="K68" s="366"/>
      <c r="L68" s="366"/>
      <c r="M68" s="434"/>
      <c r="N68" s="434"/>
      <c r="O68" s="434"/>
      <c r="P68" s="434"/>
      <c r="Q68" s="441"/>
    </row>
    <row r="69" spans="1:17" s="97" customFormat="1" ht="27" customHeight="1">
      <c r="A69" s="2011"/>
      <c r="B69" s="136" t="s">
        <v>2308</v>
      </c>
      <c r="C69" s="136" t="s">
        <v>2309</v>
      </c>
      <c r="D69" s="136"/>
      <c r="E69" s="90">
        <v>45697</v>
      </c>
      <c r="F69" s="397">
        <v>9.5648</v>
      </c>
      <c r="G69" s="177">
        <v>11618080</v>
      </c>
      <c r="H69" s="93">
        <f>ROUNDDOWN(G69*F69,0)</f>
        <v>111124611</v>
      </c>
      <c r="I69" s="93">
        <f>H69</f>
        <v>111124611</v>
      </c>
      <c r="J69" s="263"/>
      <c r="K69" s="364"/>
      <c r="L69" s="364"/>
      <c r="M69" s="434"/>
      <c r="N69" s="434"/>
      <c r="O69" s="434"/>
      <c r="P69" s="434"/>
      <c r="Q69" s="441"/>
    </row>
    <row r="70" spans="1:17" s="97" customFormat="1" ht="27" customHeight="1">
      <c r="A70" s="2011"/>
      <c r="B70" s="136" t="s">
        <v>2310</v>
      </c>
      <c r="C70" s="146" t="s">
        <v>2312</v>
      </c>
      <c r="D70" s="136"/>
      <c r="E70" s="90">
        <v>45704</v>
      </c>
      <c r="F70" s="176">
        <v>9.4847000000000001</v>
      </c>
      <c r="G70" s="177">
        <v>18779740</v>
      </c>
      <c r="H70" s="93">
        <f>ROUNDDOWN(G70*F70,0)</f>
        <v>178120199</v>
      </c>
      <c r="I70" s="93">
        <f t="shared" ref="I70:I71" si="16">H70</f>
        <v>178120199</v>
      </c>
      <c r="J70" s="263"/>
      <c r="K70" s="402">
        <f>'25.01 (갑) '!H58</f>
        <v>132942545</v>
      </c>
      <c r="L70" s="366"/>
      <c r="M70" s="434"/>
      <c r="N70" s="434"/>
      <c r="O70" s="434"/>
      <c r="P70" s="434"/>
      <c r="Q70" s="441"/>
    </row>
    <row r="71" spans="1:17" s="97" customFormat="1" ht="27" customHeight="1">
      <c r="A71" s="2011"/>
      <c r="B71" s="136" t="s">
        <v>2311</v>
      </c>
      <c r="C71" s="146" t="s">
        <v>2313</v>
      </c>
      <c r="D71" s="136"/>
      <c r="E71" s="136">
        <v>45710</v>
      </c>
      <c r="F71" s="176">
        <v>9.6290999999999993</v>
      </c>
      <c r="G71" s="177">
        <v>16472660</v>
      </c>
      <c r="H71" s="93">
        <f t="shared" ref="H71:H80" si="17">ROUNDDOWN(G71*F71,0)</f>
        <v>158616890</v>
      </c>
      <c r="I71" s="93">
        <f t="shared" si="16"/>
        <v>158616890</v>
      </c>
      <c r="J71" s="263"/>
      <c r="L71" s="366"/>
      <c r="M71" s="434"/>
      <c r="N71" s="434"/>
      <c r="O71" s="434"/>
      <c r="P71" s="434"/>
      <c r="Q71" s="441"/>
    </row>
    <row r="72" spans="1:17" s="97" customFormat="1" ht="27" customHeight="1">
      <c r="A72" s="2011"/>
      <c r="B72" s="179" t="s">
        <v>2327</v>
      </c>
      <c r="C72" s="178"/>
      <c r="D72" s="179"/>
      <c r="E72" s="179">
        <v>45716</v>
      </c>
      <c r="F72" s="180">
        <v>9.6181999999999999</v>
      </c>
      <c r="G72" s="181">
        <v>562000</v>
      </c>
      <c r="H72" s="111">
        <f t="shared" si="17"/>
        <v>5405428</v>
      </c>
      <c r="I72" s="111">
        <f>H72</f>
        <v>5405428</v>
      </c>
      <c r="J72" s="427"/>
      <c r="L72" s="366"/>
      <c r="M72" s="434"/>
      <c r="N72" s="434"/>
      <c r="O72" s="434"/>
      <c r="P72" s="434"/>
      <c r="Q72" s="441"/>
    </row>
    <row r="73" spans="1:17" s="97" customFormat="1" ht="27" customHeight="1">
      <c r="A73" s="2011"/>
      <c r="B73" s="179" t="s">
        <v>2328</v>
      </c>
      <c r="C73" s="178"/>
      <c r="D73" s="179"/>
      <c r="E73" s="179">
        <v>45716</v>
      </c>
      <c r="F73" s="180">
        <v>9.6181999999999999</v>
      </c>
      <c r="G73" s="181">
        <v>609000</v>
      </c>
      <c r="H73" s="111">
        <f t="shared" si="17"/>
        <v>5857483</v>
      </c>
      <c r="I73" s="111">
        <f t="shared" ref="I73:I78" si="18">H73</f>
        <v>5857483</v>
      </c>
      <c r="J73" s="283"/>
      <c r="L73" s="366"/>
      <c r="M73" s="434"/>
      <c r="N73" s="434"/>
      <c r="O73" s="434"/>
      <c r="P73" s="434"/>
      <c r="Q73" s="441"/>
    </row>
    <row r="74" spans="1:17" s="97" customFormat="1" ht="27" customHeight="1">
      <c r="A74" s="2011"/>
      <c r="B74" s="179" t="s">
        <v>2329</v>
      </c>
      <c r="C74" s="178"/>
      <c r="D74" s="179"/>
      <c r="E74" s="179">
        <v>45716</v>
      </c>
      <c r="F74" s="180">
        <v>9.6181999999999999</v>
      </c>
      <c r="G74" s="181">
        <v>503000</v>
      </c>
      <c r="H74" s="111">
        <f t="shared" si="17"/>
        <v>4837954</v>
      </c>
      <c r="I74" s="111">
        <f t="shared" si="18"/>
        <v>4837954</v>
      </c>
      <c r="J74" s="283"/>
      <c r="L74" s="366"/>
      <c r="M74" s="434"/>
      <c r="N74" s="434"/>
      <c r="O74" s="434"/>
      <c r="P74" s="434"/>
      <c r="Q74" s="441"/>
    </row>
    <row r="75" spans="1:17" s="97" customFormat="1" ht="27" customHeight="1">
      <c r="A75" s="2011"/>
      <c r="B75" s="179" t="s">
        <v>2330</v>
      </c>
      <c r="C75" s="178"/>
      <c r="D75" s="179"/>
      <c r="E75" s="179">
        <v>45716</v>
      </c>
      <c r="F75" s="180">
        <v>9.6181999999999999</v>
      </c>
      <c r="G75" s="181">
        <v>187000</v>
      </c>
      <c r="H75" s="111">
        <f t="shared" si="17"/>
        <v>1798603</v>
      </c>
      <c r="I75" s="111">
        <f t="shared" si="18"/>
        <v>1798603</v>
      </c>
      <c r="J75" s="283"/>
      <c r="L75" s="366"/>
      <c r="M75" s="434"/>
      <c r="N75" s="434"/>
      <c r="O75" s="434"/>
      <c r="P75" s="434"/>
      <c r="Q75" s="441"/>
    </row>
    <row r="76" spans="1:17" s="97" customFormat="1" ht="27" customHeight="1">
      <c r="A76" s="2011"/>
      <c r="B76" s="179" t="s">
        <v>2331</v>
      </c>
      <c r="C76" s="178"/>
      <c r="D76" s="179"/>
      <c r="E76" s="179">
        <v>45716</v>
      </c>
      <c r="F76" s="180">
        <v>9.6181999999999999</v>
      </c>
      <c r="G76" s="181">
        <v>469000</v>
      </c>
      <c r="H76" s="111">
        <f t="shared" si="17"/>
        <v>4510935</v>
      </c>
      <c r="I76" s="111">
        <f t="shared" si="18"/>
        <v>4510935</v>
      </c>
      <c r="J76" s="283"/>
      <c r="L76" s="366"/>
      <c r="M76" s="434"/>
      <c r="N76" s="434"/>
      <c r="O76" s="434"/>
      <c r="P76" s="434"/>
      <c r="Q76" s="441"/>
    </row>
    <row r="77" spans="1:17" s="97" customFormat="1" ht="26.25" customHeight="1">
      <c r="A77" s="2011"/>
      <c r="B77" s="179" t="s">
        <v>2332</v>
      </c>
      <c r="C77" s="178"/>
      <c r="D77" s="179"/>
      <c r="E77" s="179">
        <v>45716</v>
      </c>
      <c r="F77" s="180">
        <v>9.6181999999999999</v>
      </c>
      <c r="G77" s="181">
        <v>527000</v>
      </c>
      <c r="H77" s="111">
        <f t="shared" si="17"/>
        <v>5068791</v>
      </c>
      <c r="I77" s="111">
        <f t="shared" si="18"/>
        <v>5068791</v>
      </c>
      <c r="J77" s="283"/>
      <c r="L77" s="366"/>
      <c r="M77" s="434"/>
      <c r="N77" s="434"/>
      <c r="O77" s="434"/>
      <c r="P77" s="434"/>
      <c r="Q77" s="441"/>
    </row>
    <row r="78" spans="1:17" s="97" customFormat="1" ht="26.25" customHeight="1">
      <c r="A78" s="2011"/>
      <c r="B78" s="179" t="s">
        <v>2333</v>
      </c>
      <c r="C78" s="178"/>
      <c r="D78" s="179"/>
      <c r="E78" s="179">
        <v>45700</v>
      </c>
      <c r="F78" s="180">
        <v>9.5280000000000005</v>
      </c>
      <c r="G78" s="181">
        <v>1537341</v>
      </c>
      <c r="H78" s="111">
        <f t="shared" si="17"/>
        <v>14647785</v>
      </c>
      <c r="I78" s="111">
        <f t="shared" si="18"/>
        <v>14647785</v>
      </c>
      <c r="J78" s="283"/>
      <c r="L78" s="366"/>
      <c r="M78" s="434"/>
      <c r="N78" s="434"/>
      <c r="O78" s="434"/>
      <c r="P78" s="434"/>
      <c r="Q78" s="441"/>
    </row>
    <row r="79" spans="1:17" s="97" customFormat="1" ht="27" customHeight="1">
      <c r="A79" s="2011"/>
      <c r="B79" s="125" t="s">
        <v>2314</v>
      </c>
      <c r="C79" s="169" t="s">
        <v>2316</v>
      </c>
      <c r="D79" s="125"/>
      <c r="E79" s="101">
        <v>45717</v>
      </c>
      <c r="F79" s="183">
        <v>9.6181999999999999</v>
      </c>
      <c r="G79" s="184">
        <v>16739960</v>
      </c>
      <c r="H79" s="104">
        <f t="shared" si="17"/>
        <v>161008283</v>
      </c>
      <c r="I79" s="104"/>
      <c r="J79" s="272">
        <f>H79</f>
        <v>161008283</v>
      </c>
      <c r="K79" s="366"/>
      <c r="L79" s="366"/>
      <c r="M79" s="434"/>
      <c r="N79" s="434"/>
      <c r="O79" s="434"/>
      <c r="P79" s="434"/>
      <c r="Q79" s="441"/>
    </row>
    <row r="80" spans="1:17" s="97" customFormat="1" ht="27" customHeight="1">
      <c r="A80" s="2019"/>
      <c r="B80" s="125" t="s">
        <v>2315</v>
      </c>
      <c r="C80" s="169" t="s">
        <v>2317</v>
      </c>
      <c r="D80" s="125"/>
      <c r="E80" s="101">
        <v>45717</v>
      </c>
      <c r="F80" s="183">
        <v>9.6181999999999999</v>
      </c>
      <c r="G80" s="184">
        <v>17185490</v>
      </c>
      <c r="H80" s="104">
        <f t="shared" si="17"/>
        <v>165293479</v>
      </c>
      <c r="I80" s="104"/>
      <c r="J80" s="272">
        <f>H80</f>
        <v>165293479</v>
      </c>
      <c r="K80" s="366"/>
      <c r="L80" s="366"/>
      <c r="M80" s="434"/>
      <c r="N80" s="434"/>
      <c r="O80" s="434"/>
      <c r="P80" s="434"/>
      <c r="Q80" s="441"/>
    </row>
    <row r="81" spans="1:17" s="97" customFormat="1" ht="27" customHeight="1">
      <c r="A81" s="2035" t="s">
        <v>10</v>
      </c>
      <c r="B81" s="2036"/>
      <c r="C81" s="2036"/>
      <c r="D81" s="2036"/>
      <c r="E81" s="2036"/>
      <c r="F81" s="2037"/>
      <c r="G81" s="398">
        <f>SUM(G68:G80)</f>
        <v>99517829</v>
      </c>
      <c r="H81" s="116">
        <f>SUM(H68:H80)</f>
        <v>949232986</v>
      </c>
      <c r="I81" s="116">
        <f>SUM(I68:I80)</f>
        <v>622931224</v>
      </c>
      <c r="J81" s="260">
        <f>SUM(J68:J80)</f>
        <v>326301762</v>
      </c>
      <c r="K81" s="364"/>
      <c r="L81" s="364"/>
      <c r="M81" s="434"/>
      <c r="N81" s="434"/>
      <c r="O81" s="434"/>
      <c r="P81" s="434"/>
      <c r="Q81" s="441"/>
    </row>
    <row r="82" spans="1:17" s="310" customFormat="1" ht="27" customHeight="1">
      <c r="A82" s="2057" t="s">
        <v>992</v>
      </c>
      <c r="B82" s="332" t="s">
        <v>2322</v>
      </c>
      <c r="C82" s="303"/>
      <c r="D82" s="303"/>
      <c r="E82" s="303">
        <v>45700</v>
      </c>
      <c r="F82" s="91">
        <f>VLOOKUP(E82,환율!$A$1798:$B$3001,2,)</f>
        <v>1453.5</v>
      </c>
      <c r="G82" s="334">
        <f t="shared" ref="G82:G83" si="19">H82/F82</f>
        <v>16291.049191606468</v>
      </c>
      <c r="H82" s="335">
        <v>23679040</v>
      </c>
      <c r="I82" s="335">
        <f>H82</f>
        <v>23679040</v>
      </c>
      <c r="J82" s="337"/>
      <c r="K82" s="367"/>
      <c r="L82" s="367"/>
      <c r="M82" s="437"/>
      <c r="N82" s="437"/>
      <c r="O82" s="437"/>
      <c r="P82" s="437"/>
      <c r="Q82" s="444"/>
    </row>
    <row r="83" spans="1:17" s="310" customFormat="1" ht="27" customHeight="1">
      <c r="A83" s="2040"/>
      <c r="B83" s="332" t="s">
        <v>2323</v>
      </c>
      <c r="C83" s="303"/>
      <c r="D83" s="303"/>
      <c r="E83" s="303">
        <v>45704</v>
      </c>
      <c r="F83" s="91">
        <f>VLOOKUP(E83,환율!$A$1798:$B$3001,2,)</f>
        <v>1450.5</v>
      </c>
      <c r="G83" s="334">
        <f t="shared" si="19"/>
        <v>16324.743192002757</v>
      </c>
      <c r="H83" s="335">
        <v>23679040</v>
      </c>
      <c r="I83" s="335">
        <f>H83</f>
        <v>23679040</v>
      </c>
      <c r="J83" s="337"/>
      <c r="K83" s="367"/>
      <c r="L83" s="367"/>
      <c r="M83" s="437"/>
      <c r="N83" s="437"/>
      <c r="O83" s="437"/>
      <c r="P83" s="437"/>
      <c r="Q83" s="444"/>
    </row>
    <row r="84" spans="1:17" s="97" customFormat="1" ht="27" customHeight="1" thickBot="1">
      <c r="A84" s="2032" t="s">
        <v>10</v>
      </c>
      <c r="B84" s="2033"/>
      <c r="C84" s="2033"/>
      <c r="D84" s="2033"/>
      <c r="E84" s="2033"/>
      <c r="F84" s="2034"/>
      <c r="G84" s="268">
        <f>SUM(G82:G83)</f>
        <v>32615.792383609223</v>
      </c>
      <c r="H84" s="269">
        <f>SUM(H82:H83)</f>
        <v>47358080</v>
      </c>
      <c r="I84" s="269">
        <f>SUM(I82:I83)</f>
        <v>47358080</v>
      </c>
      <c r="J84" s="270">
        <f>+H84-I84</f>
        <v>0</v>
      </c>
      <c r="K84" s="402"/>
      <c r="L84" s="402"/>
      <c r="M84" s="434"/>
      <c r="N84" s="434"/>
      <c r="O84" s="434"/>
      <c r="P84" s="434"/>
      <c r="Q84" s="441"/>
    </row>
    <row r="85" spans="1:17" s="97" customFormat="1" ht="27" customHeight="1" thickBot="1">
      <c r="A85" s="2094" t="s">
        <v>1176</v>
      </c>
      <c r="B85" s="2030"/>
      <c r="C85" s="2030"/>
      <c r="D85" s="2030"/>
      <c r="E85" s="2031"/>
      <c r="F85" s="2095" t="s">
        <v>2334</v>
      </c>
      <c r="G85" s="193" t="s">
        <v>17</v>
      </c>
      <c r="H85" s="194">
        <f>+H87-H86</f>
        <v>5558368696</v>
      </c>
      <c r="I85" s="473">
        <f>I87-I86</f>
        <v>3685441599</v>
      </c>
      <c r="J85" s="474">
        <f>J87-J86</f>
        <v>1920666853</v>
      </c>
      <c r="K85" s="401"/>
      <c r="L85" s="401"/>
      <c r="M85" s="434"/>
      <c r="N85" s="434"/>
      <c r="O85" s="434"/>
      <c r="P85" s="434"/>
      <c r="Q85" s="441"/>
    </row>
    <row r="86" spans="1:17" s="97" customFormat="1" ht="27" customHeight="1">
      <c r="A86" s="239" t="s">
        <v>20</v>
      </c>
      <c r="B86" s="195" t="s">
        <v>21</v>
      </c>
      <c r="C86" s="196" t="s">
        <v>20</v>
      </c>
      <c r="D86" s="314"/>
      <c r="E86" s="197" t="s">
        <v>21</v>
      </c>
      <c r="F86" s="2096"/>
      <c r="G86" s="198" t="s">
        <v>18</v>
      </c>
      <c r="H86" s="210">
        <f>SUM(H72:H78)</f>
        <v>42126979</v>
      </c>
      <c r="I86" s="210">
        <f t="shared" ref="I86:J86" si="20">SUM(I72:I78)</f>
        <v>42126979</v>
      </c>
      <c r="J86" s="219">
        <f t="shared" si="20"/>
        <v>0</v>
      </c>
      <c r="K86" s="401"/>
      <c r="L86" s="401"/>
      <c r="M86" s="434"/>
      <c r="N86" s="434"/>
      <c r="O86" s="434"/>
      <c r="P86" s="434"/>
      <c r="Q86" s="441"/>
    </row>
    <row r="87" spans="1:17" s="97" customFormat="1" ht="27" customHeight="1" thickBot="1">
      <c r="A87" s="240" t="s">
        <v>9</v>
      </c>
      <c r="B87" s="199">
        <f>H15+H16</f>
        <v>1160814700</v>
      </c>
      <c r="C87" s="200" t="s">
        <v>721</v>
      </c>
      <c r="D87" s="315"/>
      <c r="E87" s="201">
        <v>0</v>
      </c>
      <c r="F87" s="2097"/>
      <c r="G87" s="202" t="s">
        <v>19</v>
      </c>
      <c r="H87" s="203">
        <f>SUM(H17,H25,H46,H48,H51,H53,H55,H65,H67,H81,H84)</f>
        <v>5600495675</v>
      </c>
      <c r="I87" s="203">
        <f>SUM(I17,I25,I46,I48,I51,I53,I55,I65,I67,I81,I84)</f>
        <v>3727568578</v>
      </c>
      <c r="J87" s="475">
        <f>SUM(J17,J25,J46,J48,J51,J53,J55,J65,J67,J81,J84)</f>
        <v>1920666853</v>
      </c>
      <c r="K87" s="401"/>
      <c r="L87" s="364"/>
      <c r="M87" s="434"/>
      <c r="N87" s="434"/>
      <c r="O87" s="434"/>
      <c r="P87" s="434"/>
      <c r="Q87" s="441"/>
    </row>
    <row r="88" spans="1:17" s="97" customFormat="1" ht="27" customHeight="1">
      <c r="A88" s="240" t="s">
        <v>11</v>
      </c>
      <c r="B88" s="199">
        <f>H24</f>
        <v>47739756</v>
      </c>
      <c r="C88" s="200" t="s">
        <v>722</v>
      </c>
      <c r="D88" s="315"/>
      <c r="E88" s="201">
        <v>0</v>
      </c>
      <c r="F88" s="296" t="s">
        <v>20</v>
      </c>
      <c r="G88" s="297" t="s">
        <v>2318</v>
      </c>
      <c r="H88" s="298" t="s">
        <v>117</v>
      </c>
      <c r="I88" s="298" t="s">
        <v>118</v>
      </c>
      <c r="J88" s="234" t="s">
        <v>32</v>
      </c>
      <c r="K88" s="401"/>
      <c r="L88" s="364"/>
      <c r="M88" s="434"/>
      <c r="N88" s="434"/>
      <c r="O88" s="434"/>
      <c r="P88" s="434"/>
      <c r="Q88" s="441"/>
    </row>
    <row r="89" spans="1:17" s="97" customFormat="1" ht="27" customHeight="1">
      <c r="A89" s="241" t="s">
        <v>114</v>
      </c>
      <c r="B89" s="199">
        <f>SUM(H43:H45)</f>
        <v>276922318</v>
      </c>
      <c r="C89" s="293" t="s">
        <v>14</v>
      </c>
      <c r="D89" s="316"/>
      <c r="E89" s="294">
        <v>0</v>
      </c>
      <c r="F89" s="211" t="s">
        <v>22</v>
      </c>
      <c r="G89" s="199">
        <v>132942545</v>
      </c>
      <c r="H89" s="199">
        <f>SUM(H69:H78)</f>
        <v>489988679</v>
      </c>
      <c r="I89" s="199">
        <f>H79+H80</f>
        <v>326301762</v>
      </c>
      <c r="J89" s="201">
        <f>SUM(G89:H89)</f>
        <v>622931224</v>
      </c>
      <c r="K89" s="366"/>
      <c r="L89" s="366"/>
      <c r="M89" s="438"/>
      <c r="N89" s="434"/>
      <c r="O89" s="434"/>
      <c r="P89" s="434"/>
      <c r="Q89" s="441"/>
    </row>
    <row r="90" spans="1:17" s="97" customFormat="1" ht="27" customHeight="1">
      <c r="A90" s="241" t="s">
        <v>153</v>
      </c>
      <c r="B90" s="199">
        <v>0</v>
      </c>
      <c r="C90" s="293" t="s">
        <v>15</v>
      </c>
      <c r="D90" s="317"/>
      <c r="E90" s="295">
        <f>H66</f>
        <v>81912016</v>
      </c>
      <c r="F90" s="211" t="s">
        <v>23</v>
      </c>
      <c r="G90" s="199">
        <f>211435990-802443</f>
        <v>210633547</v>
      </c>
      <c r="H90" s="199">
        <f>SUM(H18:H23,H31:H42,H47,H54,H49)</f>
        <v>952678946</v>
      </c>
      <c r="I90" s="199">
        <f>SUM(H43:H45,H50,H24)</f>
        <v>351638375</v>
      </c>
      <c r="J90" s="201">
        <f>SUM(G90:H90)</f>
        <v>1163312493</v>
      </c>
      <c r="K90" s="175"/>
      <c r="L90" s="175"/>
      <c r="M90" s="438"/>
      <c r="N90" s="434"/>
      <c r="O90" s="434"/>
      <c r="P90" s="434"/>
      <c r="Q90" s="441"/>
    </row>
    <row r="91" spans="1:17" s="126" customFormat="1" ht="27" customHeight="1">
      <c r="A91" s="241" t="s">
        <v>719</v>
      </c>
      <c r="B91" s="199">
        <v>0</v>
      </c>
      <c r="C91" s="293" t="s">
        <v>53</v>
      </c>
      <c r="D91" s="316"/>
      <c r="E91" s="294">
        <v>0</v>
      </c>
      <c r="F91" s="211" t="s">
        <v>24</v>
      </c>
      <c r="G91" s="199">
        <v>1086346686</v>
      </c>
      <c r="H91" s="199">
        <f>SUM(H14:H14)</f>
        <v>564874163</v>
      </c>
      <c r="I91" s="199">
        <f>SUM(H15:H16)</f>
        <v>1160814700</v>
      </c>
      <c r="J91" s="201">
        <f>SUM(G91:H91)</f>
        <v>1651220849</v>
      </c>
      <c r="K91" s="175"/>
      <c r="L91" s="175"/>
      <c r="M91" s="438"/>
      <c r="N91" s="436"/>
      <c r="O91" s="436"/>
      <c r="P91" s="436"/>
      <c r="Q91" s="443"/>
    </row>
    <row r="92" spans="1:17" s="126" customFormat="1" ht="27" customHeight="1">
      <c r="A92" s="241" t="s">
        <v>35</v>
      </c>
      <c r="B92" s="199">
        <f>H50</f>
        <v>26976301</v>
      </c>
      <c r="C92" s="200" t="s">
        <v>252</v>
      </c>
      <c r="D92" s="216"/>
      <c r="E92" s="219">
        <f>H79+H80</f>
        <v>326301762</v>
      </c>
      <c r="F92" s="211" t="s">
        <v>723</v>
      </c>
      <c r="G92" s="199">
        <v>86335542</v>
      </c>
      <c r="H92" s="199">
        <f>SUM(H57:H64,H52:H52)</f>
        <v>160311637</v>
      </c>
      <c r="I92" s="199">
        <f>H66</f>
        <v>81912016</v>
      </c>
      <c r="J92" s="201">
        <f>SUM(G92:H92)</f>
        <v>246647179</v>
      </c>
      <c r="K92" s="366"/>
      <c r="L92" s="366"/>
      <c r="M92" s="439"/>
      <c r="N92" s="436"/>
      <c r="O92" s="436"/>
      <c r="P92" s="436"/>
      <c r="Q92" s="443"/>
    </row>
    <row r="93" spans="1:17" s="126" customFormat="1" ht="27" customHeight="1" thickBot="1">
      <c r="A93" s="215" t="s">
        <v>724</v>
      </c>
      <c r="B93" s="213">
        <v>0</v>
      </c>
      <c r="C93" s="214"/>
      <c r="D93" s="318"/>
      <c r="E93" s="242"/>
      <c r="F93" s="299" t="s">
        <v>1177</v>
      </c>
      <c r="G93" s="311">
        <v>0</v>
      </c>
      <c r="H93" s="311">
        <f>H84</f>
        <v>47358080</v>
      </c>
      <c r="I93" s="311">
        <v>0</v>
      </c>
      <c r="J93" s="312">
        <f>SUM(G93:H93)</f>
        <v>47358080</v>
      </c>
      <c r="K93" s="364" t="b">
        <f>I94=E94</f>
        <v>1</v>
      </c>
      <c r="L93" s="364"/>
      <c r="M93" s="436"/>
      <c r="N93" s="436"/>
      <c r="O93" s="436"/>
      <c r="P93" s="436"/>
      <c r="Q93" s="443"/>
    </row>
    <row r="94" spans="1:17" s="126" customFormat="1" ht="27" customHeight="1" thickTop="1" thickBot="1">
      <c r="A94" s="243"/>
      <c r="B94" s="244" t="s">
        <v>49</v>
      </c>
      <c r="C94" s="245"/>
      <c r="D94" s="244"/>
      <c r="E94" s="246">
        <f>SUM(B87:B93,E87:E93)</f>
        <v>1920666853</v>
      </c>
      <c r="F94" s="236" t="s">
        <v>16</v>
      </c>
      <c r="G94" s="237">
        <f>SUM(G89:G93)</f>
        <v>1516258320</v>
      </c>
      <c r="H94" s="237">
        <f>SUM(H89:H93)</f>
        <v>2215211505</v>
      </c>
      <c r="I94" s="237">
        <f>SUM(I89:I93)</f>
        <v>1920666853</v>
      </c>
      <c r="J94" s="238">
        <f>+G94+H94</f>
        <v>3731469825</v>
      </c>
      <c r="K94" s="364" t="b">
        <f>H87=H94+I94</f>
        <v>0</v>
      </c>
      <c r="L94" s="364"/>
      <c r="M94" s="436"/>
      <c r="N94" s="436"/>
      <c r="O94" s="436"/>
      <c r="P94" s="436"/>
      <c r="Q94" s="443"/>
    </row>
    <row r="95" spans="1:17" s="19" customFormat="1" ht="27" customHeight="1" thickBot="1">
      <c r="A95"/>
      <c r="B95"/>
      <c r="C95"/>
      <c r="D95"/>
      <c r="E95"/>
      <c r="F95" s="2047" t="s">
        <v>1685</v>
      </c>
      <c r="G95" s="2048"/>
      <c r="H95" s="2048"/>
      <c r="I95" s="2049"/>
      <c r="J95" s="404">
        <f>J94-J93</f>
        <v>3684111745</v>
      </c>
      <c r="K95" s="410"/>
      <c r="L95" s="410"/>
      <c r="M95" s="436"/>
      <c r="N95" s="436"/>
      <c r="O95" s="436"/>
      <c r="P95" s="436"/>
      <c r="Q95" s="443"/>
    </row>
    <row r="96" spans="1:17">
      <c r="B96" s="291"/>
      <c r="C96" s="290"/>
      <c r="D96" s="290"/>
      <c r="E96" s="26"/>
      <c r="F96" s="292"/>
      <c r="H96" s="26"/>
      <c r="J96" s="13">
        <v>3699929100</v>
      </c>
    </row>
    <row r="97" spans="1:17" s="24" customFormat="1">
      <c r="A97"/>
      <c r="B97"/>
      <c r="C97" s="290"/>
      <c r="D97" s="290"/>
      <c r="E97" s="26"/>
      <c r="F97" s="292"/>
      <c r="G97" s="47"/>
      <c r="H97" s="26"/>
      <c r="I97"/>
      <c r="J97" s="412">
        <f>J95-J96</f>
        <v>-15817355</v>
      </c>
      <c r="M97" s="434"/>
      <c r="N97" s="440"/>
      <c r="O97" s="440"/>
      <c r="P97" s="440"/>
      <c r="Q97" s="445"/>
    </row>
    <row r="98" spans="1:17" s="24" customFormat="1">
      <c r="A98"/>
      <c r="B98"/>
      <c r="C98" s="290"/>
      <c r="D98" s="290"/>
      <c r="E98" s="26"/>
      <c r="F98" s="292"/>
      <c r="G98" s="47"/>
      <c r="H98" s="26">
        <f>211435990</f>
        <v>211435990</v>
      </c>
      <c r="I98"/>
      <c r="J98" s="26"/>
      <c r="M98" s="434"/>
      <c r="N98" s="440"/>
      <c r="O98" s="440"/>
      <c r="P98" s="440"/>
      <c r="Q98" s="445"/>
    </row>
    <row r="99" spans="1:17" s="24" customFormat="1">
      <c r="A99"/>
      <c r="B99"/>
      <c r="C99" s="290"/>
      <c r="D99" s="290"/>
      <c r="E99" s="26"/>
      <c r="F99" s="292"/>
      <c r="G99" s="47"/>
      <c r="H99" s="26">
        <f>H98-'25.01 (갑) '!I68</f>
        <v>52443446</v>
      </c>
      <c r="I99"/>
      <c r="J99"/>
      <c r="M99" s="434"/>
      <c r="N99" s="440"/>
      <c r="O99" s="440"/>
      <c r="P99" s="440"/>
      <c r="Q99" s="445"/>
    </row>
    <row r="100" spans="1:17" s="24" customFormat="1">
      <c r="A100"/>
      <c r="B100"/>
      <c r="C100" s="290"/>
      <c r="D100" s="290"/>
      <c r="E100"/>
      <c r="F100" s="13"/>
      <c r="G100" s="47"/>
      <c r="H100" s="26"/>
      <c r="I100"/>
      <c r="J100"/>
      <c r="M100" s="434"/>
      <c r="N100" s="440"/>
      <c r="O100" s="440"/>
      <c r="P100" s="440"/>
      <c r="Q100" s="445"/>
    </row>
    <row r="101" spans="1:17" s="24" customFormat="1">
      <c r="A101"/>
      <c r="B101"/>
      <c r="C101"/>
      <c r="D101"/>
      <c r="E101"/>
      <c r="F101" s="13"/>
      <c r="G101" s="47"/>
      <c r="H101"/>
      <c r="I101"/>
      <c r="J101"/>
      <c r="M101" s="434"/>
      <c r="N101" s="440"/>
      <c r="O101" s="440"/>
      <c r="P101" s="440"/>
      <c r="Q101" s="445"/>
    </row>
  </sheetData>
  <autoFilter ref="A10:F94" xr:uid="{00000000-0009-0000-0000-000053000000}"/>
  <mergeCells count="38">
    <mergeCell ref="N5:N9"/>
    <mergeCell ref="O5:O9"/>
    <mergeCell ref="P5:P9"/>
    <mergeCell ref="L3:L9"/>
    <mergeCell ref="M3:M4"/>
    <mergeCell ref="N3:N4"/>
    <mergeCell ref="O3:O4"/>
    <mergeCell ref="P3:P4"/>
    <mergeCell ref="A17:F17"/>
    <mergeCell ref="A18:A24"/>
    <mergeCell ref="A25:F25"/>
    <mergeCell ref="E10:E11"/>
    <mergeCell ref="F10:F11"/>
    <mergeCell ref="A12:A16"/>
    <mergeCell ref="A5:G9"/>
    <mergeCell ref="M5:M9"/>
    <mergeCell ref="A10:A11"/>
    <mergeCell ref="B10:B11"/>
    <mergeCell ref="C10:C11"/>
    <mergeCell ref="D10:D11"/>
    <mergeCell ref="G10:J10"/>
    <mergeCell ref="F95:I95"/>
    <mergeCell ref="A65:F65"/>
    <mergeCell ref="A67:F67"/>
    <mergeCell ref="A81:F81"/>
    <mergeCell ref="A82:A83"/>
    <mergeCell ref="A84:F84"/>
    <mergeCell ref="A85:E85"/>
    <mergeCell ref="F85:F87"/>
    <mergeCell ref="A26:A45"/>
    <mergeCell ref="A56:A64"/>
    <mergeCell ref="A68:A80"/>
    <mergeCell ref="A46:F46"/>
    <mergeCell ref="A48:F48"/>
    <mergeCell ref="A49:A50"/>
    <mergeCell ref="A51:F51"/>
    <mergeCell ref="A53:F53"/>
    <mergeCell ref="A55:F55"/>
  </mergeCells>
  <phoneticPr fontId="2" type="noConversion"/>
  <conditionalFormatting sqref="A12 J14 B15:J16">
    <cfRule type="expression" dxfId="1111" priority="80">
      <formula>#REF!="*01월*"</formula>
    </cfRule>
  </conditionalFormatting>
  <conditionalFormatting sqref="A17">
    <cfRule type="expression" dxfId="1110" priority="81">
      <formula>#REF!="*01월*"</formula>
    </cfRule>
  </conditionalFormatting>
  <conditionalFormatting sqref="A25 G25 I25:J25 J84">
    <cfRule type="expression" dxfId="1109" priority="67">
      <formula>$E31="*01월*"</formula>
    </cfRule>
  </conditionalFormatting>
  <conditionalFormatting sqref="A46:A48 C58:D64">
    <cfRule type="expression" dxfId="1108" priority="64">
      <formula>#REF!="*01월*"</formula>
    </cfRule>
  </conditionalFormatting>
  <conditionalFormatting sqref="A54:A55">
    <cfRule type="expression" dxfId="1107" priority="76">
      <formula>#REF!="*01월*"</formula>
    </cfRule>
  </conditionalFormatting>
  <conditionalFormatting sqref="A65">
    <cfRule type="expression" dxfId="1106" priority="69">
      <formula>#REF!="*01월*"</formula>
    </cfRule>
  </conditionalFormatting>
  <conditionalFormatting sqref="A56:B56">
    <cfRule type="expression" dxfId="1105" priority="15">
      <formula>$E58="*01월*"</formula>
    </cfRule>
  </conditionalFormatting>
  <conditionalFormatting sqref="A10:J11 J12 B57 H61:H62 B63">
    <cfRule type="expression" dxfId="1104" priority="62">
      <formula>$E14="*01월*"</formula>
    </cfRule>
  </conditionalFormatting>
  <conditionalFormatting sqref="B50 E50 B66:D66 I66">
    <cfRule type="expression" dxfId="1103" priority="75">
      <formula>$E51="*01월*"</formula>
    </cfRule>
  </conditionalFormatting>
  <conditionalFormatting sqref="B56">
    <cfRule type="expression" dxfId="1102" priority="17">
      <formula>$E53="*01월*"</formula>
    </cfRule>
  </conditionalFormatting>
  <conditionalFormatting sqref="B58:B59">
    <cfRule type="expression" dxfId="1101" priority="759">
      <formula>#REF!="*01월*"</formula>
    </cfRule>
  </conditionalFormatting>
  <conditionalFormatting sqref="B64">
    <cfRule type="expression" dxfId="1100" priority="30">
      <formula>$E79="*01월*"</formula>
    </cfRule>
  </conditionalFormatting>
  <conditionalFormatting sqref="B82:B83">
    <cfRule type="expression" dxfId="1099" priority="27">
      <formula>#REF!="*01월*"</formula>
    </cfRule>
  </conditionalFormatting>
  <conditionalFormatting sqref="B49:F50">
    <cfRule type="expression" dxfId="1098" priority="50">
      <formula>#REF!="*01월*"</formula>
    </cfRule>
  </conditionalFormatting>
  <conditionalFormatting sqref="B26:H45">
    <cfRule type="expression" dxfId="1097" priority="21">
      <formula>#REF!="*01월*"</formula>
    </cfRule>
  </conditionalFormatting>
  <conditionalFormatting sqref="B68:H68">
    <cfRule type="expression" dxfId="1096" priority="7">
      <formula>#REF!="*01월*"</formula>
    </cfRule>
  </conditionalFormatting>
  <conditionalFormatting sqref="B12:I14">
    <cfRule type="expression" dxfId="1095" priority="23">
      <formula>#REF!="*01월*"</formula>
    </cfRule>
  </conditionalFormatting>
  <conditionalFormatting sqref="B18:J24 A67:A68">
    <cfRule type="expression" dxfId="1094" priority="68">
      <formula>#REF!="*01월*"</formula>
    </cfRule>
  </conditionalFormatting>
  <conditionalFormatting sqref="B47:J47">
    <cfRule type="expression" dxfId="1093" priority="2">
      <formula>#REF!="*01월*"</formula>
    </cfRule>
  </conditionalFormatting>
  <conditionalFormatting sqref="B69:J80">
    <cfRule type="expression" dxfId="1092" priority="43">
      <formula>#REF!="*01월*"</formula>
    </cfRule>
  </conditionalFormatting>
  <conditionalFormatting sqref="C49:D50">
    <cfRule type="expression" dxfId="1091" priority="59">
      <formula>$E51="*01월*"</formula>
    </cfRule>
  </conditionalFormatting>
  <conditionalFormatting sqref="C56:D56 G56:J56">
    <cfRule type="expression" dxfId="1090" priority="16">
      <formula>$E51="*01월*"</formula>
    </cfRule>
  </conditionalFormatting>
  <conditionalFormatting sqref="C96:D100">
    <cfRule type="expression" dxfId="1089" priority="72">
      <formula>$E98="*01월*"</formula>
    </cfRule>
  </conditionalFormatting>
  <conditionalFormatting sqref="C57:E57">
    <cfRule type="expression" dxfId="1088" priority="84">
      <formula>#REF!="*01월*"</formula>
    </cfRule>
  </conditionalFormatting>
  <conditionalFormatting sqref="C56:F56">
    <cfRule type="expression" dxfId="1087" priority="9">
      <formula>#REF!="*01월*"</formula>
    </cfRule>
  </conditionalFormatting>
  <conditionalFormatting sqref="E20 E60 B60:B62">
    <cfRule type="expression" dxfId="1086" priority="45">
      <formula>$E25="*01월*"</formula>
    </cfRule>
  </conditionalFormatting>
  <conditionalFormatting sqref="E21:E23">
    <cfRule type="expression" dxfId="1085" priority="767">
      <formula>$E31="*01월*"</formula>
    </cfRule>
  </conditionalFormatting>
  <conditionalFormatting sqref="E23">
    <cfRule type="expression" dxfId="1084" priority="757">
      <formula>$E34="*01월*"</formula>
    </cfRule>
  </conditionalFormatting>
  <conditionalFormatting sqref="E24">
    <cfRule type="expression" dxfId="1083" priority="774">
      <formula>$E33="*01월*"</formula>
    </cfRule>
  </conditionalFormatting>
  <conditionalFormatting sqref="E49">
    <cfRule type="expression" dxfId="1082" priority="82">
      <formula>#REF!="*01월*"</formula>
    </cfRule>
  </conditionalFormatting>
  <conditionalFormatting sqref="E56">
    <cfRule type="expression" dxfId="1081" priority="10">
      <formula>$E60="*01월*"</formula>
    </cfRule>
  </conditionalFormatting>
  <conditionalFormatting sqref="E58:E59">
    <cfRule type="expression" dxfId="1080" priority="46">
      <formula>#REF!="*01월*"</formula>
    </cfRule>
  </conditionalFormatting>
  <conditionalFormatting sqref="E61:E64">
    <cfRule type="expression" dxfId="1079" priority="63">
      <formula>#REF!="*01월*"</formula>
    </cfRule>
  </conditionalFormatting>
  <conditionalFormatting sqref="E52:F52">
    <cfRule type="expression" dxfId="1078" priority="36">
      <formula>#REF!="*01월*"</formula>
    </cfRule>
  </conditionalFormatting>
  <conditionalFormatting sqref="E66:F66">
    <cfRule type="expression" dxfId="1077" priority="34">
      <formula>#REF!="*01월*"</formula>
    </cfRule>
  </conditionalFormatting>
  <conditionalFormatting sqref="F54">
    <cfRule type="expression" dxfId="1076" priority="35">
      <formula>#REF!="*01월*"</formula>
    </cfRule>
  </conditionalFormatting>
  <conditionalFormatting sqref="F82:G83">
    <cfRule type="expression" dxfId="1075" priority="33">
      <formula>#REF!="*01월*"</formula>
    </cfRule>
  </conditionalFormatting>
  <conditionalFormatting sqref="F57:J64">
    <cfRule type="expression" dxfId="1074" priority="8">
      <formula>#REF!="*01월*"</formula>
    </cfRule>
  </conditionalFormatting>
  <conditionalFormatting sqref="F85:J85">
    <cfRule type="expression" dxfId="1073" priority="41">
      <formula>$E87="*01월*"</formula>
    </cfRule>
  </conditionalFormatting>
  <conditionalFormatting sqref="G48:G51">
    <cfRule type="expression" dxfId="1072" priority="58">
      <formula>#REF!="*01월*"</formula>
    </cfRule>
  </conditionalFormatting>
  <conditionalFormatting sqref="G49:G50 A51 H51:J51 A52:D52 G52:J53 A53 H63 C83:E83 J83 G84:I84 A84:A85 A86:J94">
    <cfRule type="expression" dxfId="1071" priority="74">
      <formula>$E51="*01월*"</formula>
    </cfRule>
  </conditionalFormatting>
  <conditionalFormatting sqref="G65 I65:J65">
    <cfRule type="expression" dxfId="1070" priority="31">
      <formula>$E67="*01월*"</formula>
    </cfRule>
  </conditionalFormatting>
  <conditionalFormatting sqref="G66">
    <cfRule type="expression" dxfId="1069" priority="56">
      <formula>$E70="*01월*"</formula>
    </cfRule>
  </conditionalFormatting>
  <conditionalFormatting sqref="G46:H46">
    <cfRule type="expression" dxfId="1068" priority="3">
      <formula>#REF!="*01월*"</formula>
    </cfRule>
  </conditionalFormatting>
  <conditionalFormatting sqref="G17:J17">
    <cfRule type="expression" dxfId="1067" priority="60">
      <formula>#REF!="*01월*"</formula>
    </cfRule>
  </conditionalFormatting>
  <conditionalFormatting sqref="G55:J56">
    <cfRule type="expression" dxfId="1066" priority="12">
      <formula>#REF!="*01월*"</formula>
    </cfRule>
  </conditionalFormatting>
  <conditionalFormatting sqref="G81:J81">
    <cfRule type="expression" dxfId="1065" priority="73">
      <formula>$E84="*01월*"</formula>
    </cfRule>
  </conditionalFormatting>
  <conditionalFormatting sqref="H25">
    <cfRule type="expression" dxfId="1064" priority="55">
      <formula>#REF!="*01월*"</formula>
    </cfRule>
  </conditionalFormatting>
  <conditionalFormatting sqref="H64">
    <cfRule type="expression" dxfId="1063" priority="29">
      <formula>$E71="*01월*"</formula>
    </cfRule>
    <cfRule type="expression" dxfId="1062" priority="28">
      <formula>$E69="*01월*"</formula>
    </cfRule>
  </conditionalFormatting>
  <conditionalFormatting sqref="H65">
    <cfRule type="expression" dxfId="1061" priority="6">
      <formula>#REF!="*01월*"</formula>
    </cfRule>
  </conditionalFormatting>
  <conditionalFormatting sqref="H50:I50">
    <cfRule type="expression" dxfId="1060" priority="53">
      <formula>#REF!="*01월*"</formula>
    </cfRule>
  </conditionalFormatting>
  <conditionalFormatting sqref="H56:I56">
    <cfRule type="expression" dxfId="1059" priority="14">
      <formula>$E59="*01월*"</formula>
    </cfRule>
  </conditionalFormatting>
  <conditionalFormatting sqref="H83:I83">
    <cfRule type="expression" dxfId="1058" priority="39">
      <formula>$E86="*01월*"</formula>
    </cfRule>
  </conditionalFormatting>
  <conditionalFormatting sqref="H48:J49">
    <cfRule type="expression" dxfId="1057" priority="1">
      <formula>#REF!="*01월*"</formula>
    </cfRule>
  </conditionalFormatting>
  <conditionalFormatting sqref="I26:J46">
    <cfRule type="expression" dxfId="1056" priority="18">
      <formula>#REF!="*01월*"</formula>
    </cfRule>
  </conditionalFormatting>
  <conditionalFormatting sqref="J13 A49 B54:E54 G54:J54 H63 A66 H66 G67:J67 I68:J68 A81:A82 C82:E82 H82:J82">
    <cfRule type="expression" dxfId="1055" priority="61">
      <formula>$E16="*01월*"</formula>
    </cfRule>
  </conditionalFormatting>
  <conditionalFormatting sqref="J50">
    <cfRule type="expression" dxfId="1054" priority="4">
      <formula>$E53="*01월*"</formula>
    </cfRule>
  </conditionalFormatting>
  <conditionalFormatting sqref="J66">
    <cfRule type="expression" dxfId="1053" priority="5">
      <formula>$E69="*01월*"</formula>
    </cfRule>
  </conditionalFormatting>
  <conditionalFormatting sqref="J95 F95:F99">
    <cfRule type="expression" dxfId="1052" priority="66">
      <formula>$E97="*01월*"</formula>
    </cfRule>
  </conditionalFormatting>
  <printOptions horizontalCentered="1"/>
  <pageMargins left="0" right="0" top="0.70866141732283472" bottom="0.23622047244094491" header="0" footer="0"/>
  <pageSetup paperSize="9" scale="43" fitToHeight="0" orientation="portrait" r:id="rId1"/>
  <rowBreaks count="1" manualBreakCount="1">
    <brk id="67" max="9" man="1"/>
  </rowBreaks>
  <colBreaks count="1" manualBreakCount="1">
    <brk id="9" max="1048575" man="1"/>
  </colBreaks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pageSetUpPr fitToPage="1"/>
  </sheetPr>
  <dimension ref="A2:V117"/>
  <sheetViews>
    <sheetView view="pageBreakPreview" zoomScale="70" zoomScaleNormal="70" zoomScaleSheetLayoutView="70" workbookViewId="0">
      <pane xSplit="1" ySplit="11" topLeftCell="B81" activePane="bottomRight" state="frozen"/>
      <selection pane="topRight" activeCell="B1" sqref="B1"/>
      <selection pane="bottomLeft" activeCell="A12" sqref="A12"/>
      <selection pane="bottomRight" activeCell="I101" sqref="I101"/>
    </sheetView>
  </sheetViews>
  <sheetFormatPr defaultRowHeight="25.2"/>
  <cols>
    <col min="1" max="1" width="18.69921875" customWidth="1"/>
    <col min="2" max="2" width="22.8984375" customWidth="1"/>
    <col min="3" max="3" width="29.09765625" customWidth="1"/>
    <col min="4" max="4" width="29.09765625" hidden="1" customWidth="1"/>
    <col min="5" max="6" width="21" customWidth="1"/>
    <col min="7" max="7" width="18.69921875" customWidth="1"/>
    <col min="8" max="8" width="25.69921875" style="47" customWidth="1"/>
    <col min="9" max="9" width="26.5" customWidth="1"/>
    <col min="10" max="10" width="25.09765625" customWidth="1"/>
    <col min="11" max="11" width="29.19921875" customWidth="1"/>
    <col min="12" max="12" width="14.8984375" style="24" customWidth="1"/>
    <col min="13" max="13" width="11.69921875" hidden="1" customWidth="1"/>
    <col min="14" max="14" width="15" hidden="1" customWidth="1"/>
    <col min="15" max="16" width="11.69921875" hidden="1" customWidth="1"/>
    <col min="17" max="17" width="7.5" style="24" customWidth="1"/>
    <col min="18" max="21" width="17.09765625" style="434" customWidth="1"/>
    <col min="22" max="22" width="9" style="441"/>
  </cols>
  <sheetData>
    <row r="2" spans="1:22" ht="25.8" thickBot="1">
      <c r="E2" s="507"/>
      <c r="F2" s="507"/>
      <c r="H2" s="24"/>
      <c r="I2" s="434"/>
      <c r="J2" s="434"/>
      <c r="K2" s="434"/>
      <c r="L2" s="434"/>
      <c r="M2" s="441"/>
      <c r="Q2"/>
      <c r="R2"/>
      <c r="S2"/>
      <c r="T2"/>
      <c r="U2"/>
      <c r="V2"/>
    </row>
    <row r="3" spans="1:22" ht="21.75" customHeight="1" thickTop="1">
      <c r="Q3" s="2058" t="s">
        <v>2041</v>
      </c>
      <c r="R3" s="2082" t="s">
        <v>2034</v>
      </c>
      <c r="S3" s="2084" t="s">
        <v>2034</v>
      </c>
      <c r="T3" s="2084" t="s">
        <v>2035</v>
      </c>
      <c r="U3" s="2086" t="s">
        <v>2036</v>
      </c>
    </row>
    <row r="4" spans="1:22" ht="19.5" customHeight="1">
      <c r="Q4" s="2080"/>
      <c r="R4" s="2083"/>
      <c r="S4" s="2085"/>
      <c r="T4" s="2085"/>
      <c r="U4" s="2087"/>
    </row>
    <row r="5" spans="1:22" ht="19.5" customHeight="1">
      <c r="A5" s="2020" t="s">
        <v>2339</v>
      </c>
      <c r="B5" s="2020"/>
      <c r="C5" s="2020"/>
      <c r="D5" s="2020"/>
      <c r="E5" s="2020"/>
      <c r="F5" s="2020"/>
      <c r="G5" s="2020"/>
      <c r="H5" s="2020"/>
      <c r="I5" s="1"/>
      <c r="J5" s="1"/>
      <c r="K5" s="1"/>
      <c r="M5" s="24"/>
      <c r="N5" s="24"/>
      <c r="O5" s="24"/>
      <c r="P5" s="24"/>
      <c r="Q5" s="2080"/>
      <c r="R5" s="2091"/>
      <c r="S5" s="2088"/>
      <c r="T5" s="2088"/>
      <c r="U5" s="2077"/>
    </row>
    <row r="6" spans="1:22" ht="19.5" customHeight="1">
      <c r="A6" s="2020"/>
      <c r="B6" s="2020"/>
      <c r="C6" s="2020"/>
      <c r="D6" s="2020"/>
      <c r="E6" s="2020"/>
      <c r="F6" s="2020"/>
      <c r="G6" s="2020"/>
      <c r="H6" s="2020"/>
      <c r="I6" s="1"/>
      <c r="J6" s="1"/>
      <c r="K6" s="1"/>
      <c r="M6" s="24"/>
      <c r="N6" s="24"/>
      <c r="O6" s="24"/>
      <c r="P6" s="24"/>
      <c r="Q6" s="2080"/>
      <c r="R6" s="2092"/>
      <c r="S6" s="2089"/>
      <c r="T6" s="2089"/>
      <c r="U6" s="2078"/>
    </row>
    <row r="7" spans="1:22" ht="19.5" customHeight="1">
      <c r="A7" s="2020"/>
      <c r="B7" s="2020"/>
      <c r="C7" s="2020"/>
      <c r="D7" s="2020"/>
      <c r="E7" s="2020"/>
      <c r="F7" s="2020"/>
      <c r="G7" s="2020"/>
      <c r="H7" s="2020"/>
      <c r="I7" s="1"/>
      <c r="J7" s="1"/>
      <c r="K7" s="1"/>
      <c r="M7" s="24"/>
      <c r="N7" s="24"/>
      <c r="O7" s="24"/>
      <c r="P7" s="24"/>
      <c r="Q7" s="2080"/>
      <c r="R7" s="2092"/>
      <c r="S7" s="2089"/>
      <c r="T7" s="2089"/>
      <c r="U7" s="2078"/>
    </row>
    <row r="8" spans="1:22" ht="19.5" customHeight="1" thickBot="1">
      <c r="A8" s="2020"/>
      <c r="B8" s="2020"/>
      <c r="C8" s="2020"/>
      <c r="D8" s="2020"/>
      <c r="E8" s="2020"/>
      <c r="F8" s="2020"/>
      <c r="G8" s="2020"/>
      <c r="H8" s="2020"/>
      <c r="I8" s="2"/>
      <c r="J8" s="2"/>
      <c r="K8" s="2"/>
      <c r="M8" s="24"/>
      <c r="N8" s="24"/>
      <c r="O8" s="24"/>
      <c r="P8" s="24"/>
      <c r="Q8" s="2080"/>
      <c r="R8" s="2092"/>
      <c r="S8" s="2089"/>
      <c r="T8" s="2089"/>
      <c r="U8" s="2078"/>
    </row>
    <row r="9" spans="1:22" ht="19.5" customHeight="1" thickBot="1">
      <c r="A9" s="2052"/>
      <c r="B9" s="2052"/>
      <c r="C9" s="2052"/>
      <c r="D9" s="2052"/>
      <c r="E9" s="2052"/>
      <c r="F9" s="2052"/>
      <c r="G9" s="2052"/>
      <c r="H9" s="2052"/>
      <c r="I9" s="2"/>
      <c r="J9" s="2"/>
      <c r="K9" s="2"/>
      <c r="M9" s="2098" t="s">
        <v>2360</v>
      </c>
      <c r="N9" s="2099"/>
      <c r="O9" s="2099"/>
      <c r="P9" s="2100"/>
      <c r="Q9" s="2081"/>
      <c r="R9" s="2093"/>
      <c r="S9" s="2090"/>
      <c r="T9" s="2090"/>
      <c r="U9" s="2079"/>
    </row>
    <row r="10" spans="1:22" ht="23.25" customHeight="1" thickBot="1">
      <c r="A10" s="2021" t="s">
        <v>0</v>
      </c>
      <c r="B10" s="2023" t="s">
        <v>1</v>
      </c>
      <c r="C10" s="2024" t="s">
        <v>2</v>
      </c>
      <c r="D10" s="2024" t="s">
        <v>1222</v>
      </c>
      <c r="E10" s="2024" t="s">
        <v>3</v>
      </c>
      <c r="F10" s="523"/>
      <c r="G10" s="2025" t="s">
        <v>4</v>
      </c>
      <c r="H10" s="2104" t="s">
        <v>2352</v>
      </c>
      <c r="I10" s="2105"/>
      <c r="J10" s="2105"/>
      <c r="K10" s="2106"/>
      <c r="M10" s="2101"/>
      <c r="N10" s="2102"/>
      <c r="O10" s="2102"/>
      <c r="P10" s="2103"/>
    </row>
    <row r="11" spans="1:22" ht="23.25" customHeight="1">
      <c r="A11" s="2022"/>
      <c r="B11" s="2003"/>
      <c r="C11" s="2004"/>
      <c r="D11" s="2004"/>
      <c r="E11" s="2004"/>
      <c r="F11" s="522" t="s">
        <v>2499</v>
      </c>
      <c r="G11" s="2005"/>
      <c r="H11" s="82" t="s">
        <v>6</v>
      </c>
      <c r="I11" s="3" t="s">
        <v>7</v>
      </c>
      <c r="J11" s="476" t="s">
        <v>2479</v>
      </c>
      <c r="K11" s="271" t="s">
        <v>2336</v>
      </c>
      <c r="M11" s="491" t="s">
        <v>2358</v>
      </c>
      <c r="N11" s="491" t="s">
        <v>2359</v>
      </c>
      <c r="O11" s="490" t="s">
        <v>33</v>
      </c>
      <c r="P11" s="491" t="s">
        <v>44</v>
      </c>
    </row>
    <row r="12" spans="1:22" ht="23.25" customHeight="1">
      <c r="A12" s="2053" t="s">
        <v>9</v>
      </c>
      <c r="B12" s="509" t="s">
        <v>2340</v>
      </c>
      <c r="C12" s="454" t="s">
        <v>2472</v>
      </c>
      <c r="D12" s="454"/>
      <c r="E12" s="455">
        <v>45719</v>
      </c>
      <c r="F12" s="455" t="s">
        <v>2500</v>
      </c>
      <c r="G12" s="456">
        <f>VLOOKUP(E12,환율!$A$2255:$B$2292,2,0)</f>
        <v>1439.6</v>
      </c>
      <c r="H12" s="457">
        <v>407639.14</v>
      </c>
      <c r="I12" s="458">
        <f t="shared" ref="I12:I15" si="0">ROUNDDOWN(H12*G12,0)</f>
        <v>586837305</v>
      </c>
      <c r="J12" s="458">
        <f>I12</f>
        <v>586837305</v>
      </c>
      <c r="K12" s="463"/>
      <c r="M12" s="91" t="s">
        <v>2361</v>
      </c>
      <c r="N12" s="91" t="s">
        <v>2361</v>
      </c>
      <c r="O12" s="91" t="s">
        <v>2361</v>
      </c>
      <c r="P12" s="91" t="s">
        <v>2361</v>
      </c>
    </row>
    <row r="13" spans="1:22" ht="23.25" customHeight="1">
      <c r="A13" s="2053"/>
      <c r="B13" s="509" t="s">
        <v>2341</v>
      </c>
      <c r="C13" s="454" t="s">
        <v>2473</v>
      </c>
      <c r="D13" s="454"/>
      <c r="E13" s="455">
        <v>45721</v>
      </c>
      <c r="F13" s="455" t="s">
        <v>2500</v>
      </c>
      <c r="G13" s="456">
        <f>VLOOKUP(E13,환율!$A$2255:$B$2292,2,0)</f>
        <v>1459.6</v>
      </c>
      <c r="H13" s="457">
        <v>393242.94</v>
      </c>
      <c r="I13" s="458">
        <f t="shared" si="0"/>
        <v>573977395</v>
      </c>
      <c r="J13" s="458">
        <f>I13</f>
        <v>573977395</v>
      </c>
      <c r="K13" s="463"/>
      <c r="M13" s="91" t="s">
        <v>2361</v>
      </c>
      <c r="N13" s="91" t="s">
        <v>2361</v>
      </c>
      <c r="O13" s="91" t="s">
        <v>2361</v>
      </c>
      <c r="P13" s="91" t="s">
        <v>2361</v>
      </c>
    </row>
    <row r="14" spans="1:22" s="97" customFormat="1" ht="27" customHeight="1">
      <c r="A14" s="2053"/>
      <c r="B14" s="155" t="s">
        <v>2353</v>
      </c>
      <c r="C14" s="89" t="s">
        <v>2354</v>
      </c>
      <c r="D14" s="89"/>
      <c r="E14" s="90">
        <v>45730</v>
      </c>
      <c r="F14" s="90" t="s">
        <v>2500</v>
      </c>
      <c r="G14" s="91">
        <f>VLOOKUP(E14,환율!$A$2255:$B$2292,2,0)</f>
        <v>1451.9</v>
      </c>
      <c r="H14" s="92">
        <v>385564.22</v>
      </c>
      <c r="I14" s="93">
        <f t="shared" si="0"/>
        <v>559800691</v>
      </c>
      <c r="J14" s="93">
        <f>I14</f>
        <v>559800691</v>
      </c>
      <c r="K14" s="254"/>
      <c r="L14" s="364"/>
      <c r="M14" s="91" t="s">
        <v>2361</v>
      </c>
      <c r="N14" s="91" t="s">
        <v>2361</v>
      </c>
      <c r="O14" s="91" t="s">
        <v>2361</v>
      </c>
      <c r="P14" s="91" t="s">
        <v>2361</v>
      </c>
      <c r="Q14" s="364"/>
      <c r="R14" s="434"/>
      <c r="S14" s="434"/>
      <c r="T14" s="434"/>
      <c r="U14" s="434"/>
      <c r="V14" s="441"/>
    </row>
    <row r="15" spans="1:22" s="97" customFormat="1" ht="27" customHeight="1">
      <c r="A15" s="2053"/>
      <c r="B15" s="155" t="s">
        <v>2355</v>
      </c>
      <c r="C15" s="144" t="s">
        <v>2356</v>
      </c>
      <c r="D15" s="144"/>
      <c r="E15" s="393">
        <v>45743</v>
      </c>
      <c r="F15" s="393" t="s">
        <v>2500</v>
      </c>
      <c r="G15" s="163">
        <f>VLOOKUP(E15,환율!$A$2255:$B$2292,2,0)</f>
        <v>1465.3</v>
      </c>
      <c r="H15" s="143">
        <v>361713.86</v>
      </c>
      <c r="I15" s="164">
        <f t="shared" si="0"/>
        <v>530019319</v>
      </c>
      <c r="J15" s="93">
        <f>I15</f>
        <v>530019319</v>
      </c>
      <c r="K15" s="396"/>
      <c r="L15" s="401"/>
      <c r="M15" s="163" t="s">
        <v>730</v>
      </c>
      <c r="N15" s="163" t="s">
        <v>730</v>
      </c>
      <c r="O15" s="163" t="s">
        <v>730</v>
      </c>
      <c r="P15" s="163" t="s">
        <v>730</v>
      </c>
      <c r="Q15" s="401"/>
      <c r="R15" s="434"/>
      <c r="S15" s="434"/>
      <c r="T15" s="434"/>
      <c r="U15" s="434"/>
      <c r="V15" s="441"/>
    </row>
    <row r="16" spans="1:22" s="97" customFormat="1" ht="27" customHeight="1">
      <c r="A16" s="2053"/>
      <c r="B16" s="229" t="s">
        <v>2357</v>
      </c>
      <c r="C16" s="100" t="s">
        <v>2362</v>
      </c>
      <c r="D16" s="100"/>
      <c r="E16" s="125">
        <v>45752</v>
      </c>
      <c r="F16" s="125" t="s">
        <v>2501</v>
      </c>
      <c r="G16" s="102">
        <f>VLOOKUP(E16,환율!$A$2255:$B$2292,2,0)</f>
        <v>1467</v>
      </c>
      <c r="H16" s="103">
        <v>394087.05</v>
      </c>
      <c r="I16" s="104">
        <f t="shared" ref="I16" si="1">ROUNDDOWN(H16*G16,0)</f>
        <v>578125702</v>
      </c>
      <c r="J16" s="353"/>
      <c r="K16" s="272">
        <f>I16</f>
        <v>578125702</v>
      </c>
      <c r="L16" s="401"/>
      <c r="M16" s="498"/>
      <c r="N16" s="498"/>
      <c r="O16" s="498"/>
      <c r="P16" s="498"/>
      <c r="Q16" s="401"/>
      <c r="R16" s="434"/>
      <c r="S16" s="434"/>
      <c r="T16" s="434"/>
      <c r="U16" s="434"/>
      <c r="V16" s="441"/>
    </row>
    <row r="17" spans="1:22" s="97" customFormat="1" ht="27" customHeight="1">
      <c r="A17" s="2013"/>
      <c r="B17" s="229" t="s">
        <v>2470</v>
      </c>
      <c r="C17" s="100" t="s">
        <v>2471</v>
      </c>
      <c r="D17" s="100"/>
      <c r="E17" s="125">
        <v>45748</v>
      </c>
      <c r="F17" s="125" t="s">
        <v>2501</v>
      </c>
      <c r="G17" s="102">
        <f>VLOOKUP(E17,환율!$A$2255:$B$2292,2,0)</f>
        <v>1470.6</v>
      </c>
      <c r="H17" s="103">
        <v>343198.88</v>
      </c>
      <c r="I17" s="104">
        <f t="shared" ref="I17" si="2">ROUNDDOWN(H17*G17,0)</f>
        <v>504708272</v>
      </c>
      <c r="J17" s="353"/>
      <c r="K17" s="272">
        <f>I17</f>
        <v>504708272</v>
      </c>
      <c r="L17" s="401"/>
      <c r="M17" s="498" t="s">
        <v>730</v>
      </c>
      <c r="N17" s="498" t="s">
        <v>730</v>
      </c>
      <c r="O17" s="498" t="s">
        <v>730</v>
      </c>
      <c r="P17" s="498" t="s">
        <v>36</v>
      </c>
      <c r="Q17" s="401"/>
      <c r="R17" s="434"/>
      <c r="S17" s="434"/>
      <c r="T17" s="434"/>
      <c r="U17" s="434"/>
      <c r="V17" s="441"/>
    </row>
    <row r="18" spans="1:22" s="97" customFormat="1" ht="27" customHeight="1">
      <c r="A18" s="2035" t="s">
        <v>10</v>
      </c>
      <c r="B18" s="2036"/>
      <c r="C18" s="2036"/>
      <c r="D18" s="2036"/>
      <c r="E18" s="2036"/>
      <c r="F18" s="2036"/>
      <c r="G18" s="2037"/>
      <c r="H18" s="449">
        <f>SUM(H12:H17)</f>
        <v>2285446.0900000003</v>
      </c>
      <c r="I18" s="116">
        <f>SUM(I12:I17)</f>
        <v>3333468684</v>
      </c>
      <c r="J18" s="116">
        <f>SUM(J12:J17)</f>
        <v>2250634710</v>
      </c>
      <c r="K18" s="260">
        <f>SUM(K12:K17)</f>
        <v>1082833974</v>
      </c>
      <c r="L18" s="364"/>
      <c r="M18" s="492"/>
      <c r="N18" s="492"/>
      <c r="O18" s="492"/>
      <c r="P18" s="492"/>
      <c r="Q18" s="364"/>
      <c r="R18" s="434"/>
      <c r="S18" s="434"/>
      <c r="T18" s="434"/>
      <c r="U18" s="434"/>
      <c r="V18" s="441"/>
    </row>
    <row r="19" spans="1:22" s="97" customFormat="1" ht="27" customHeight="1">
      <c r="A19" s="2010" t="s">
        <v>2022</v>
      </c>
      <c r="B19" s="509" t="s">
        <v>2342</v>
      </c>
      <c r="C19" s="454" t="s">
        <v>2474</v>
      </c>
      <c r="D19" s="477"/>
      <c r="E19" s="455">
        <v>45718</v>
      </c>
      <c r="F19" s="455" t="s">
        <v>2500</v>
      </c>
      <c r="G19" s="456">
        <f>VLOOKUP(E19,환율!$A$2255:$B$2292,2,0)</f>
        <v>1439.6</v>
      </c>
      <c r="H19" s="478">
        <v>33161.82</v>
      </c>
      <c r="I19" s="458">
        <f t="shared" ref="I19:I29" si="3">ROUNDDOWN(H19*G19,0)</f>
        <v>47739756</v>
      </c>
      <c r="J19" s="458">
        <f>I19</f>
        <v>47739756</v>
      </c>
      <c r="K19" s="464"/>
      <c r="L19" s="364"/>
      <c r="M19" s="91" t="s">
        <v>2361</v>
      </c>
      <c r="N19" s="91" t="s">
        <v>2361</v>
      </c>
      <c r="O19" s="91" t="s">
        <v>2361</v>
      </c>
      <c r="P19" s="91" t="s">
        <v>2361</v>
      </c>
      <c r="Q19" s="364"/>
      <c r="R19" s="434"/>
      <c r="S19" s="434"/>
      <c r="T19" s="434"/>
      <c r="U19" s="434"/>
      <c r="V19" s="441"/>
    </row>
    <row r="20" spans="1:22" s="120" customFormat="1" ht="27" customHeight="1">
      <c r="A20" s="2011"/>
      <c r="B20" s="155" t="s">
        <v>2371</v>
      </c>
      <c r="C20" s="89" t="s">
        <v>2363</v>
      </c>
      <c r="D20" s="319"/>
      <c r="E20" s="90">
        <v>45732</v>
      </c>
      <c r="F20" s="90" t="s">
        <v>2500</v>
      </c>
      <c r="G20" s="163">
        <f>VLOOKUP(E20,환율!$A$2255:$B$2292,2,0)</f>
        <v>1451.9</v>
      </c>
      <c r="H20" s="131">
        <v>88869.6</v>
      </c>
      <c r="I20" s="164">
        <f t="shared" si="3"/>
        <v>129029772</v>
      </c>
      <c r="J20" s="164">
        <f t="shared" ref="J20:J27" si="4">I20</f>
        <v>129029772</v>
      </c>
      <c r="K20" s="396"/>
      <c r="L20" s="365"/>
      <c r="M20" s="91" t="s">
        <v>730</v>
      </c>
      <c r="N20" s="91" t="s">
        <v>730</v>
      </c>
      <c r="O20" s="91" t="s">
        <v>730</v>
      </c>
      <c r="P20" s="91" t="s">
        <v>730</v>
      </c>
      <c r="Q20" s="365"/>
      <c r="R20" s="435"/>
      <c r="S20" s="435"/>
      <c r="T20" s="435"/>
      <c r="U20" s="435"/>
      <c r="V20" s="442"/>
    </row>
    <row r="21" spans="1:22" s="120" customFormat="1" ht="27" customHeight="1">
      <c r="A21" s="2011"/>
      <c r="B21" s="155" t="s">
        <v>2372</v>
      </c>
      <c r="C21" s="89" t="s">
        <v>2364</v>
      </c>
      <c r="D21" s="319"/>
      <c r="E21" s="136">
        <v>45742</v>
      </c>
      <c r="F21" s="136" t="s">
        <v>2500</v>
      </c>
      <c r="G21" s="163">
        <f>VLOOKUP(E21,환율!$A$2255:$B$2292,2,0)</f>
        <v>1469.6</v>
      </c>
      <c r="H21" s="131">
        <v>35061.120000000003</v>
      </c>
      <c r="I21" s="164">
        <f>ROUNDDOWN(H21*G21,0)</f>
        <v>51525821</v>
      </c>
      <c r="J21" s="164">
        <f t="shared" si="4"/>
        <v>51525821</v>
      </c>
      <c r="K21" s="396"/>
      <c r="L21" s="365"/>
      <c r="M21" s="163" t="s">
        <v>730</v>
      </c>
      <c r="N21" s="163" t="s">
        <v>730</v>
      </c>
      <c r="O21" s="163" t="s">
        <v>730</v>
      </c>
      <c r="P21" s="163" t="s">
        <v>730</v>
      </c>
      <c r="Q21" s="365"/>
      <c r="R21" s="435"/>
      <c r="S21" s="435"/>
      <c r="T21" s="435"/>
      <c r="U21" s="435"/>
      <c r="V21" s="442"/>
    </row>
    <row r="22" spans="1:22" s="120" customFormat="1" ht="27" customHeight="1">
      <c r="A22" s="2011"/>
      <c r="B22" s="155" t="s">
        <v>2373</v>
      </c>
      <c r="C22" s="89" t="s">
        <v>2366</v>
      </c>
      <c r="D22" s="319"/>
      <c r="E22" s="136">
        <v>45735</v>
      </c>
      <c r="F22" s="136" t="s">
        <v>2500</v>
      </c>
      <c r="G22" s="163">
        <f>VLOOKUP(E22,환율!$A$2255:$B$2292,2,0)</f>
        <v>1447.1</v>
      </c>
      <c r="H22" s="131">
        <v>9173.2000000000007</v>
      </c>
      <c r="I22" s="164">
        <f t="shared" si="3"/>
        <v>13274537</v>
      </c>
      <c r="J22" s="164">
        <f t="shared" si="4"/>
        <v>13274537</v>
      </c>
      <c r="K22" s="396"/>
      <c r="L22" s="365"/>
      <c r="M22" s="163" t="s">
        <v>730</v>
      </c>
      <c r="N22" s="163" t="s">
        <v>730</v>
      </c>
      <c r="O22" s="163" t="s">
        <v>730</v>
      </c>
      <c r="P22" s="163" t="s">
        <v>730</v>
      </c>
      <c r="Q22" s="365"/>
      <c r="R22" s="435"/>
      <c r="S22" s="435"/>
      <c r="T22" s="435"/>
      <c r="U22" s="435"/>
      <c r="V22" s="442"/>
    </row>
    <row r="23" spans="1:22" s="120" customFormat="1" ht="27" customHeight="1">
      <c r="A23" s="2011"/>
      <c r="B23" s="155" t="s">
        <v>2374</v>
      </c>
      <c r="C23" s="89" t="s">
        <v>2368</v>
      </c>
      <c r="D23" s="319"/>
      <c r="E23" s="136">
        <v>45740</v>
      </c>
      <c r="F23" s="136" t="s">
        <v>2500</v>
      </c>
      <c r="G23" s="163">
        <f>VLOOKUP(E23,환율!$A$2255:$B$2292,2,0)</f>
        <v>1466.9</v>
      </c>
      <c r="H23" s="131">
        <v>36734.800000000003</v>
      </c>
      <c r="I23" s="164">
        <f t="shared" si="3"/>
        <v>53886278</v>
      </c>
      <c r="J23" s="164">
        <f t="shared" si="4"/>
        <v>53886278</v>
      </c>
      <c r="K23" s="396"/>
      <c r="L23" s="365"/>
      <c r="M23" s="163" t="s">
        <v>730</v>
      </c>
      <c r="N23" s="163" t="s">
        <v>730</v>
      </c>
      <c r="O23" s="163" t="s">
        <v>730</v>
      </c>
      <c r="P23" s="163" t="s">
        <v>730</v>
      </c>
      <c r="Q23" s="365"/>
      <c r="R23" s="435"/>
      <c r="S23" s="435"/>
      <c r="T23" s="435"/>
      <c r="U23" s="435"/>
      <c r="V23" s="442"/>
    </row>
    <row r="24" spans="1:22" s="120" customFormat="1" ht="27" customHeight="1">
      <c r="A24" s="2011"/>
      <c r="B24" s="155" t="s">
        <v>2369</v>
      </c>
      <c r="C24" s="144" t="s">
        <v>2370</v>
      </c>
      <c r="D24" s="392"/>
      <c r="E24" s="130">
        <v>45747</v>
      </c>
      <c r="F24" s="130" t="s">
        <v>2500</v>
      </c>
      <c r="G24" s="163">
        <f>VLOOKUP(E24,환율!$A$2255:$B$2292,2,0)</f>
        <v>1466.5</v>
      </c>
      <c r="H24" s="131">
        <v>23214.240000000002</v>
      </c>
      <c r="I24" s="164">
        <f t="shared" ref="I24" si="5">ROUNDDOWN(H24*G24,0)</f>
        <v>34043682</v>
      </c>
      <c r="J24" s="164">
        <f t="shared" ref="J24" si="6">I24</f>
        <v>34043682</v>
      </c>
      <c r="K24" s="396"/>
      <c r="L24" s="365"/>
      <c r="M24" s="498" t="s">
        <v>730</v>
      </c>
      <c r="N24" s="498" t="s">
        <v>730</v>
      </c>
      <c r="O24" s="498" t="s">
        <v>730</v>
      </c>
      <c r="P24" s="498" t="s">
        <v>36</v>
      </c>
      <c r="Q24" s="365"/>
      <c r="R24" s="435"/>
      <c r="S24" s="435"/>
      <c r="T24" s="435"/>
      <c r="U24" s="435"/>
      <c r="V24" s="442"/>
    </row>
    <row r="25" spans="1:22" s="120" customFormat="1" ht="27" customHeight="1">
      <c r="A25" s="2011"/>
      <c r="B25" s="155" t="s">
        <v>2376</v>
      </c>
      <c r="C25" s="89" t="s">
        <v>2380</v>
      </c>
      <c r="D25" s="319"/>
      <c r="E25" s="136">
        <v>45742</v>
      </c>
      <c r="F25" s="136" t="s">
        <v>2500</v>
      </c>
      <c r="G25" s="163">
        <f>VLOOKUP(E25,환율!$A$2255:$B$2292,2,0)</f>
        <v>1469.6</v>
      </c>
      <c r="H25" s="131">
        <v>719.03</v>
      </c>
      <c r="I25" s="164">
        <f t="shared" ref="I25:I26" si="7">ROUNDDOWN(H25*G25,0)</f>
        <v>1056686</v>
      </c>
      <c r="J25" s="164">
        <f t="shared" ref="J25:J26" si="8">I25</f>
        <v>1056686</v>
      </c>
      <c r="K25" s="396"/>
      <c r="L25" s="365"/>
      <c r="M25" s="498" t="s">
        <v>730</v>
      </c>
      <c r="N25" s="498" t="s">
        <v>730</v>
      </c>
      <c r="O25" s="498" t="s">
        <v>730</v>
      </c>
      <c r="P25" s="498" t="s">
        <v>36</v>
      </c>
      <c r="Q25" s="365"/>
      <c r="R25" s="435"/>
      <c r="S25" s="435"/>
      <c r="T25" s="435"/>
      <c r="U25" s="435"/>
      <c r="V25" s="442"/>
    </row>
    <row r="26" spans="1:22" s="120" customFormat="1" ht="27" customHeight="1">
      <c r="A26" s="2011"/>
      <c r="B26" s="155" t="s">
        <v>2377</v>
      </c>
      <c r="C26" s="89" t="s">
        <v>2381</v>
      </c>
      <c r="D26" s="319"/>
      <c r="E26" s="136">
        <v>45742</v>
      </c>
      <c r="F26" s="136" t="s">
        <v>2500</v>
      </c>
      <c r="G26" s="163">
        <f>VLOOKUP(E26,환율!$A$2255:$B$2292,2,0)</f>
        <v>1469.6</v>
      </c>
      <c r="H26" s="131">
        <v>251.25</v>
      </c>
      <c r="I26" s="164">
        <f t="shared" si="7"/>
        <v>369237</v>
      </c>
      <c r="J26" s="164">
        <f t="shared" si="8"/>
        <v>369237</v>
      </c>
      <c r="K26" s="396"/>
      <c r="L26" s="365"/>
      <c r="M26" s="498" t="s">
        <v>730</v>
      </c>
      <c r="N26" s="498" t="s">
        <v>730</v>
      </c>
      <c r="O26" s="498" t="s">
        <v>730</v>
      </c>
      <c r="P26" s="498" t="s">
        <v>36</v>
      </c>
      <c r="Q26" s="365"/>
      <c r="R26" s="435"/>
      <c r="S26" s="435"/>
      <c r="T26" s="435"/>
      <c r="U26" s="435"/>
      <c r="V26" s="442"/>
    </row>
    <row r="27" spans="1:22" s="120" customFormat="1" ht="27" customHeight="1">
      <c r="A27" s="2011"/>
      <c r="B27" s="155" t="s">
        <v>2378</v>
      </c>
      <c r="C27" s="144" t="s">
        <v>2382</v>
      </c>
      <c r="D27" s="392"/>
      <c r="E27" s="130">
        <v>45742</v>
      </c>
      <c r="F27" s="130" t="s">
        <v>2500</v>
      </c>
      <c r="G27" s="163">
        <f>VLOOKUP(E27,환율!$A$2255:$B$2292,2,0)</f>
        <v>1469.6</v>
      </c>
      <c r="H27" s="131">
        <v>16.760000000000002</v>
      </c>
      <c r="I27" s="164">
        <f t="shared" si="3"/>
        <v>24630</v>
      </c>
      <c r="J27" s="164">
        <f t="shared" si="4"/>
        <v>24630</v>
      </c>
      <c r="K27" s="396"/>
      <c r="L27" s="365"/>
      <c r="M27" s="498" t="s">
        <v>730</v>
      </c>
      <c r="N27" s="498" t="s">
        <v>730</v>
      </c>
      <c r="O27" s="498" t="s">
        <v>730</v>
      </c>
      <c r="P27" s="498" t="s">
        <v>36</v>
      </c>
      <c r="Q27" s="365"/>
      <c r="R27" s="435"/>
      <c r="S27" s="435"/>
      <c r="T27" s="435"/>
      <c r="U27" s="435"/>
      <c r="V27" s="442"/>
    </row>
    <row r="28" spans="1:22" s="120" customFormat="1" ht="27" customHeight="1">
      <c r="A28" s="2011"/>
      <c r="B28" s="155" t="s">
        <v>2375</v>
      </c>
      <c r="C28" s="89" t="s">
        <v>2379</v>
      </c>
      <c r="D28" s="319"/>
      <c r="E28" s="136">
        <v>45732</v>
      </c>
      <c r="F28" s="136" t="s">
        <v>2500</v>
      </c>
      <c r="G28" s="91">
        <v>1451.9</v>
      </c>
      <c r="H28" s="134">
        <v>371.56</v>
      </c>
      <c r="I28" s="93">
        <v>539467</v>
      </c>
      <c r="J28" s="93">
        <v>539467</v>
      </c>
      <c r="K28" s="254"/>
      <c r="L28" s="365"/>
      <c r="M28" s="498"/>
      <c r="N28" s="498"/>
      <c r="O28" s="498"/>
      <c r="P28" s="498"/>
      <c r="Q28" s="365"/>
      <c r="R28" s="435"/>
      <c r="S28" s="435"/>
      <c r="T28" s="435"/>
      <c r="U28" s="435"/>
      <c r="V28" s="442"/>
    </row>
    <row r="29" spans="1:22" s="120" customFormat="1" ht="27" customHeight="1">
      <c r="A29" s="2019"/>
      <c r="B29" s="229" t="s">
        <v>2367</v>
      </c>
      <c r="C29" s="100" t="s">
        <v>2365</v>
      </c>
      <c r="D29" s="320"/>
      <c r="E29" s="125">
        <v>45751</v>
      </c>
      <c r="F29" s="125" t="s">
        <v>2501</v>
      </c>
      <c r="G29" s="102">
        <f>VLOOKUP(E29,환율!$A$2255:$B$2292,2,0)</f>
        <v>1467</v>
      </c>
      <c r="H29" s="138">
        <v>5499.36</v>
      </c>
      <c r="I29" s="104">
        <f t="shared" si="3"/>
        <v>8067561</v>
      </c>
      <c r="J29" s="104"/>
      <c r="K29" s="272">
        <f>I29</f>
        <v>8067561</v>
      </c>
      <c r="L29" s="365"/>
      <c r="M29" s="498" t="s">
        <v>2475</v>
      </c>
      <c r="N29" s="498" t="s">
        <v>2475</v>
      </c>
      <c r="O29" s="498" t="s">
        <v>2475</v>
      </c>
      <c r="P29" s="498" t="s">
        <v>717</v>
      </c>
      <c r="Q29" s="365"/>
      <c r="R29" s="435"/>
      <c r="S29" s="435"/>
      <c r="T29" s="435"/>
      <c r="U29" s="435"/>
      <c r="V29" s="442"/>
    </row>
    <row r="30" spans="1:22" s="97" customFormat="1" ht="27" customHeight="1">
      <c r="A30" s="2035" t="s">
        <v>10</v>
      </c>
      <c r="B30" s="2036"/>
      <c r="C30" s="2036"/>
      <c r="D30" s="2036"/>
      <c r="E30" s="2036"/>
      <c r="F30" s="2036"/>
      <c r="G30" s="2037"/>
      <c r="H30" s="127">
        <f>SUM(H19:H29)</f>
        <v>233072.74000000002</v>
      </c>
      <c r="I30" s="116">
        <f>SUM(I19:I29)</f>
        <v>339557427</v>
      </c>
      <c r="J30" s="116">
        <f>SUM(J19:J29)</f>
        <v>331489866</v>
      </c>
      <c r="K30" s="260">
        <f>SUM(K19:K29)</f>
        <v>8067561</v>
      </c>
      <c r="L30" s="364"/>
      <c r="M30" s="492"/>
      <c r="N30" s="492"/>
      <c r="O30" s="492"/>
      <c r="P30" s="492"/>
      <c r="Q30" s="364"/>
      <c r="R30" s="434"/>
      <c r="S30" s="434"/>
      <c r="T30" s="434"/>
      <c r="U30" s="434"/>
      <c r="V30" s="441"/>
    </row>
    <row r="31" spans="1:22" s="97" customFormat="1" ht="27" customHeight="1">
      <c r="A31" s="2012" t="s">
        <v>114</v>
      </c>
      <c r="B31" s="510" t="s">
        <v>2343</v>
      </c>
      <c r="C31" s="460" t="s">
        <v>2476</v>
      </c>
      <c r="D31" s="460"/>
      <c r="E31" s="455">
        <v>45717</v>
      </c>
      <c r="F31" s="455" t="s">
        <v>2501</v>
      </c>
      <c r="G31" s="456">
        <f>VLOOKUP(E31,환율!$A$2255:$B$2292,2,0)</f>
        <v>1439.6</v>
      </c>
      <c r="H31" s="461">
        <v>41977.599999999999</v>
      </c>
      <c r="I31" s="458">
        <f>ROUNDDOWN(H31*G31,0)</f>
        <v>60430952</v>
      </c>
      <c r="J31" s="458">
        <f>I31</f>
        <v>60430952</v>
      </c>
      <c r="K31" s="464"/>
      <c r="L31" s="364"/>
      <c r="M31" s="91" t="s">
        <v>2361</v>
      </c>
      <c r="N31" s="91" t="s">
        <v>2361</v>
      </c>
      <c r="O31" s="91" t="s">
        <v>730</v>
      </c>
      <c r="P31" s="91" t="s">
        <v>730</v>
      </c>
      <c r="Q31" s="364"/>
      <c r="R31" s="434"/>
      <c r="S31" s="434"/>
      <c r="T31" s="434"/>
      <c r="U31" s="434"/>
      <c r="V31" s="441"/>
    </row>
    <row r="32" spans="1:22" s="97" customFormat="1" ht="27" customHeight="1">
      <c r="A32" s="2053"/>
      <c r="B32" s="510" t="s">
        <v>2344</v>
      </c>
      <c r="C32" s="460" t="s">
        <v>2477</v>
      </c>
      <c r="D32" s="460"/>
      <c r="E32" s="455">
        <v>45740</v>
      </c>
      <c r="F32" s="455" t="s">
        <v>2501</v>
      </c>
      <c r="G32" s="456">
        <f>VLOOKUP(E32,환율!$A$2255:$B$2292,2,0)</f>
        <v>1466.9</v>
      </c>
      <c r="H32" s="462">
        <v>78708</v>
      </c>
      <c r="I32" s="458">
        <f>ROUNDDOWN(H32*G32,0)</f>
        <v>115456765</v>
      </c>
      <c r="J32" s="458">
        <f t="shared" ref="J32:J33" si="9">I32</f>
        <v>115456765</v>
      </c>
      <c r="K32" s="464"/>
      <c r="L32" s="364"/>
      <c r="M32" s="91" t="s">
        <v>2361</v>
      </c>
      <c r="N32" s="91" t="s">
        <v>2361</v>
      </c>
      <c r="O32" s="91" t="s">
        <v>730</v>
      </c>
      <c r="P32" s="91" t="s">
        <v>730</v>
      </c>
      <c r="Q32" s="364"/>
      <c r="R32" s="434"/>
      <c r="S32" s="434"/>
      <c r="T32" s="434"/>
      <c r="U32" s="434"/>
      <c r="V32" s="441"/>
    </row>
    <row r="33" spans="1:22" s="97" customFormat="1" ht="27" customHeight="1">
      <c r="A33" s="2053"/>
      <c r="B33" s="510" t="s">
        <v>2345</v>
      </c>
      <c r="C33" s="460" t="s">
        <v>2478</v>
      </c>
      <c r="D33" s="460"/>
      <c r="E33" s="455">
        <v>45717</v>
      </c>
      <c r="F33" s="455" t="s">
        <v>2501</v>
      </c>
      <c r="G33" s="456">
        <f>VLOOKUP(E33,환율!$A$2255:$B$2292,2,0)</f>
        <v>1439.6</v>
      </c>
      <c r="H33" s="462">
        <v>71675.100000000006</v>
      </c>
      <c r="I33" s="458">
        <f t="shared" ref="I33" si="10">ROUNDDOWN(H33*G33,0)</f>
        <v>103183473</v>
      </c>
      <c r="J33" s="458">
        <f t="shared" si="9"/>
        <v>103183473</v>
      </c>
      <c r="K33" s="464"/>
      <c r="L33" s="364"/>
      <c r="M33" s="91" t="s">
        <v>2361</v>
      </c>
      <c r="N33" s="91" t="s">
        <v>2361</v>
      </c>
      <c r="O33" s="91" t="s">
        <v>730</v>
      </c>
      <c r="P33" s="91" t="s">
        <v>730</v>
      </c>
      <c r="Q33" s="364"/>
      <c r="R33" s="434"/>
      <c r="S33" s="434"/>
      <c r="T33" s="434"/>
      <c r="U33" s="434"/>
      <c r="V33" s="441"/>
    </row>
    <row r="34" spans="1:22" s="97" customFormat="1" ht="27" customHeight="1">
      <c r="A34" s="2053"/>
      <c r="B34" s="511" t="s">
        <v>2383</v>
      </c>
      <c r="C34" s="479" t="s">
        <v>2406</v>
      </c>
      <c r="D34" s="479"/>
      <c r="E34" s="393">
        <v>45731</v>
      </c>
      <c r="F34" s="393" t="s">
        <v>2501</v>
      </c>
      <c r="G34" s="163">
        <f>VLOOKUP(E34,환율!$A$2255:$B$2292,2,0)</f>
        <v>1451.9</v>
      </c>
      <c r="H34" s="131">
        <v>3124.8</v>
      </c>
      <c r="I34" s="164">
        <f>ROUNDDOWN(H34*G34,0)</f>
        <v>4536897</v>
      </c>
      <c r="J34" s="164">
        <f>I34</f>
        <v>4536897</v>
      </c>
      <c r="K34" s="396"/>
      <c r="L34" s="364"/>
      <c r="M34" s="163" t="s">
        <v>730</v>
      </c>
      <c r="N34" s="163" t="s">
        <v>730</v>
      </c>
      <c r="O34" s="163" t="s">
        <v>730</v>
      </c>
      <c r="P34" s="163" t="s">
        <v>730</v>
      </c>
      <c r="Q34" s="364"/>
      <c r="R34" s="434"/>
      <c r="S34" s="434"/>
      <c r="T34" s="434"/>
      <c r="U34" s="434"/>
      <c r="V34" s="441"/>
    </row>
    <row r="35" spans="1:22" s="97" customFormat="1" ht="27" customHeight="1">
      <c r="A35" s="2053"/>
      <c r="B35" s="511" t="s">
        <v>2384</v>
      </c>
      <c r="C35" s="479" t="s">
        <v>2407</v>
      </c>
      <c r="D35" s="479"/>
      <c r="E35" s="393">
        <v>45722</v>
      </c>
      <c r="F35" s="393" t="s">
        <v>2501</v>
      </c>
      <c r="G35" s="163">
        <f>VLOOKUP(E35,환율!$A$2255:$B$2292,2,0)</f>
        <v>1456</v>
      </c>
      <c r="H35" s="131">
        <v>29800.22</v>
      </c>
      <c r="I35" s="164">
        <f t="shared" ref="I35:I36" si="11">ROUNDDOWN(H35*G35,0)</f>
        <v>43389120</v>
      </c>
      <c r="J35" s="164">
        <f t="shared" ref="J35:J50" si="12">I35</f>
        <v>43389120</v>
      </c>
      <c r="K35" s="396"/>
      <c r="L35" s="364"/>
      <c r="M35" s="163" t="s">
        <v>730</v>
      </c>
      <c r="N35" s="163" t="s">
        <v>730</v>
      </c>
      <c r="O35" s="163" t="s">
        <v>730</v>
      </c>
      <c r="P35" s="163" t="s">
        <v>730</v>
      </c>
      <c r="Q35" s="364"/>
      <c r="R35" s="434"/>
      <c r="S35" s="434"/>
      <c r="T35" s="434"/>
      <c r="U35" s="434"/>
      <c r="V35" s="441"/>
    </row>
    <row r="36" spans="1:22" s="126" customFormat="1" ht="27" customHeight="1">
      <c r="A36" s="2053"/>
      <c r="B36" s="511" t="s">
        <v>2385</v>
      </c>
      <c r="C36" s="479" t="s">
        <v>2408</v>
      </c>
      <c r="D36" s="479"/>
      <c r="E36" s="393">
        <v>45740</v>
      </c>
      <c r="F36" s="393" t="s">
        <v>2501</v>
      </c>
      <c r="G36" s="163">
        <f>VLOOKUP(E36,환율!$A$2255:$B$2292,2,0)</f>
        <v>1466.9</v>
      </c>
      <c r="H36" s="480">
        <v>31814.799999999999</v>
      </c>
      <c r="I36" s="164">
        <f t="shared" si="11"/>
        <v>46669130</v>
      </c>
      <c r="J36" s="164">
        <f t="shared" si="12"/>
        <v>46669130</v>
      </c>
      <c r="K36" s="396"/>
      <c r="L36" s="364"/>
      <c r="M36" s="91" t="s">
        <v>730</v>
      </c>
      <c r="N36" s="91" t="s">
        <v>730</v>
      </c>
      <c r="O36" s="91" t="s">
        <v>730</v>
      </c>
      <c r="P36" s="91" t="s">
        <v>730</v>
      </c>
      <c r="Q36" s="364"/>
      <c r="R36" s="436"/>
      <c r="S36" s="436"/>
      <c r="T36" s="436"/>
      <c r="U36" s="436"/>
      <c r="V36" s="443"/>
    </row>
    <row r="37" spans="1:22" s="126" customFormat="1" ht="27" customHeight="1">
      <c r="A37" s="2053"/>
      <c r="B37" s="511" t="s">
        <v>2386</v>
      </c>
      <c r="C37" s="129" t="s">
        <v>2409</v>
      </c>
      <c r="D37" s="129"/>
      <c r="E37" s="90">
        <v>45731</v>
      </c>
      <c r="F37" s="90" t="s">
        <v>2501</v>
      </c>
      <c r="G37" s="91">
        <f>VLOOKUP(E37,환율!$A$2255:$B$2292,2,0)</f>
        <v>1451.9</v>
      </c>
      <c r="H37" s="134">
        <v>30175.1</v>
      </c>
      <c r="I37" s="93">
        <f>ROUNDDOWN(H37*G37,0)</f>
        <v>43811227</v>
      </c>
      <c r="J37" s="164">
        <f t="shared" si="12"/>
        <v>43811227</v>
      </c>
      <c r="K37" s="254"/>
      <c r="L37" s="401"/>
      <c r="M37" s="91" t="s">
        <v>730</v>
      </c>
      <c r="N37" s="91" t="s">
        <v>730</v>
      </c>
      <c r="O37" s="91" t="s">
        <v>730</v>
      </c>
      <c r="P37" s="91" t="s">
        <v>730</v>
      </c>
      <c r="Q37" s="364"/>
      <c r="R37" s="436"/>
      <c r="S37" s="436"/>
      <c r="T37" s="436"/>
      <c r="U37" s="436"/>
      <c r="V37" s="443"/>
    </row>
    <row r="38" spans="1:22" s="126" customFormat="1" ht="27" customHeight="1">
      <c r="A38" s="2053"/>
      <c r="B38" s="511" t="s">
        <v>2387</v>
      </c>
      <c r="C38" s="129" t="s">
        <v>2410</v>
      </c>
      <c r="D38" s="129"/>
      <c r="E38" s="90">
        <v>45747</v>
      </c>
      <c r="F38" s="90" t="s">
        <v>2501</v>
      </c>
      <c r="G38" s="91">
        <f>VLOOKUP(E38,환율!$A$2255:$B$2292,2,0)</f>
        <v>1466.5</v>
      </c>
      <c r="H38" s="134">
        <v>3237</v>
      </c>
      <c r="I38" s="93">
        <f t="shared" ref="I38:I41" si="13">ROUNDDOWN(H38*G38,0)</f>
        <v>4747060</v>
      </c>
      <c r="J38" s="164">
        <f t="shared" si="12"/>
        <v>4747060</v>
      </c>
      <c r="K38" s="254"/>
      <c r="L38" s="401"/>
      <c r="M38" s="91" t="s">
        <v>730</v>
      </c>
      <c r="N38" s="91" t="s">
        <v>730</v>
      </c>
      <c r="O38" s="91" t="s">
        <v>730</v>
      </c>
      <c r="P38" s="91" t="s">
        <v>730</v>
      </c>
      <c r="Q38" s="364"/>
      <c r="R38" s="436"/>
      <c r="S38" s="436"/>
      <c r="T38" s="436"/>
      <c r="U38" s="436"/>
      <c r="V38" s="443"/>
    </row>
    <row r="39" spans="1:22" s="126" customFormat="1" ht="27" customHeight="1">
      <c r="A39" s="2053"/>
      <c r="B39" s="511" t="s">
        <v>2388</v>
      </c>
      <c r="C39" s="129" t="s">
        <v>2411</v>
      </c>
      <c r="D39" s="129"/>
      <c r="E39" s="90">
        <v>45747</v>
      </c>
      <c r="F39" s="90" t="s">
        <v>2501</v>
      </c>
      <c r="G39" s="91">
        <f>VLOOKUP(E39,환율!$A$2255:$B$2292,2,0)</f>
        <v>1466.5</v>
      </c>
      <c r="H39" s="134">
        <v>91712.04</v>
      </c>
      <c r="I39" s="93">
        <f t="shared" si="13"/>
        <v>134495706</v>
      </c>
      <c r="J39" s="164">
        <f t="shared" si="12"/>
        <v>134495706</v>
      </c>
      <c r="K39" s="254"/>
      <c r="L39" s="401"/>
      <c r="M39" s="91" t="s">
        <v>730</v>
      </c>
      <c r="N39" s="91" t="s">
        <v>730</v>
      </c>
      <c r="O39" s="91" t="s">
        <v>730</v>
      </c>
      <c r="P39" s="91" t="s">
        <v>730</v>
      </c>
      <c r="Q39" s="364"/>
      <c r="R39" s="436"/>
      <c r="S39" s="436"/>
      <c r="T39" s="436"/>
      <c r="U39" s="436"/>
      <c r="V39" s="443"/>
    </row>
    <row r="40" spans="1:22" s="126" customFormat="1" ht="27" customHeight="1">
      <c r="A40" s="2053"/>
      <c r="B40" s="511" t="s">
        <v>2389</v>
      </c>
      <c r="C40" s="129" t="s">
        <v>2412</v>
      </c>
      <c r="D40" s="129"/>
      <c r="E40" s="90">
        <v>45747</v>
      </c>
      <c r="F40" s="90" t="s">
        <v>2501</v>
      </c>
      <c r="G40" s="91">
        <f>VLOOKUP(E40,환율!$A$2255:$B$2292,2,0)</f>
        <v>1466.5</v>
      </c>
      <c r="H40" s="134">
        <v>1391.76</v>
      </c>
      <c r="I40" s="93">
        <f t="shared" si="13"/>
        <v>2041016</v>
      </c>
      <c r="J40" s="164">
        <f t="shared" si="12"/>
        <v>2041016</v>
      </c>
      <c r="K40" s="254"/>
      <c r="L40" s="401"/>
      <c r="M40" s="91" t="s">
        <v>730</v>
      </c>
      <c r="N40" s="91" t="s">
        <v>730</v>
      </c>
      <c r="O40" s="91" t="s">
        <v>730</v>
      </c>
      <c r="P40" s="91" t="s">
        <v>730</v>
      </c>
      <c r="Q40" s="364"/>
      <c r="R40" s="436"/>
      <c r="S40" s="436"/>
      <c r="T40" s="436"/>
      <c r="U40" s="436"/>
      <c r="V40" s="443"/>
    </row>
    <row r="41" spans="1:22" s="126" customFormat="1" ht="27" customHeight="1">
      <c r="A41" s="2053"/>
      <c r="B41" s="511" t="s">
        <v>2391</v>
      </c>
      <c r="C41" s="129" t="s">
        <v>2413</v>
      </c>
      <c r="D41" s="129"/>
      <c r="E41" s="136">
        <v>45747</v>
      </c>
      <c r="F41" s="136" t="s">
        <v>2501</v>
      </c>
      <c r="G41" s="91">
        <f>VLOOKUP(E41,환율!$A$2255:$B$2292,2,0)</f>
        <v>1466.5</v>
      </c>
      <c r="H41" s="134">
        <v>37934.269999999997</v>
      </c>
      <c r="I41" s="93">
        <f t="shared" si="13"/>
        <v>55630606</v>
      </c>
      <c r="J41" s="164">
        <f t="shared" si="12"/>
        <v>55630606</v>
      </c>
      <c r="K41" s="254"/>
      <c r="L41" s="364"/>
      <c r="M41" s="91" t="s">
        <v>730</v>
      </c>
      <c r="N41" s="91" t="s">
        <v>730</v>
      </c>
      <c r="O41" s="91" t="s">
        <v>730</v>
      </c>
      <c r="P41" s="91" t="s">
        <v>730</v>
      </c>
      <c r="Q41" s="364"/>
      <c r="R41" s="436"/>
      <c r="S41" s="436"/>
      <c r="T41" s="436"/>
      <c r="U41" s="436"/>
      <c r="V41" s="443"/>
    </row>
    <row r="42" spans="1:22" s="126" customFormat="1" ht="27" customHeight="1">
      <c r="A42" s="2053"/>
      <c r="B42" s="511" t="s">
        <v>2392</v>
      </c>
      <c r="C42" s="129" t="s">
        <v>2415</v>
      </c>
      <c r="D42" s="129"/>
      <c r="E42" s="90">
        <v>45743</v>
      </c>
      <c r="F42" s="90" t="s">
        <v>2501</v>
      </c>
      <c r="G42" s="91">
        <f>VLOOKUP(E42,환율!$A$2255:$B$2292,2,0)</f>
        <v>1465.3</v>
      </c>
      <c r="H42" s="134">
        <v>3744</v>
      </c>
      <c r="I42" s="93">
        <f>ROUNDDOWN(H42*G42,0)</f>
        <v>5486083</v>
      </c>
      <c r="J42" s="164">
        <f t="shared" si="12"/>
        <v>5486083</v>
      </c>
      <c r="K42" s="254"/>
      <c r="L42" s="364"/>
      <c r="M42" s="498" t="s">
        <v>2414</v>
      </c>
      <c r="N42" s="498" t="s">
        <v>730</v>
      </c>
      <c r="O42" s="498" t="s">
        <v>730</v>
      </c>
      <c r="P42" s="498" t="s">
        <v>36</v>
      </c>
      <c r="Q42" s="364"/>
      <c r="R42" s="436"/>
      <c r="S42" s="436"/>
      <c r="T42" s="436"/>
      <c r="U42" s="436"/>
      <c r="V42" s="443"/>
    </row>
    <row r="43" spans="1:22" s="126" customFormat="1" ht="27" customHeight="1">
      <c r="A43" s="2053"/>
      <c r="B43" s="518" t="s">
        <v>2393</v>
      </c>
      <c r="C43" s="519" t="s">
        <v>2416</v>
      </c>
      <c r="D43" s="519"/>
      <c r="E43" s="520">
        <v>45743</v>
      </c>
      <c r="F43" s="520" t="s">
        <v>2501</v>
      </c>
      <c r="G43" s="498">
        <f>VLOOKUP(E43,환율!$A$2255:$B$2292,2,0)</f>
        <v>1465.3</v>
      </c>
      <c r="H43" s="521">
        <v>5322.24</v>
      </c>
      <c r="I43" s="517">
        <f>ROUNDDOWN(H43*G43,0)</f>
        <v>7798678</v>
      </c>
      <c r="J43" s="517">
        <f t="shared" si="12"/>
        <v>7798678</v>
      </c>
      <c r="K43" s="254"/>
      <c r="L43" s="364"/>
      <c r="M43" s="91" t="s">
        <v>730</v>
      </c>
      <c r="N43" s="91" t="s">
        <v>730</v>
      </c>
      <c r="O43" s="91" t="s">
        <v>730</v>
      </c>
      <c r="P43" s="91" t="s">
        <v>730</v>
      </c>
      <c r="Q43" s="364"/>
      <c r="R43" s="436"/>
      <c r="S43" s="436"/>
      <c r="T43" s="436"/>
      <c r="U43" s="436"/>
      <c r="V43" s="443"/>
    </row>
    <row r="44" spans="1:22" s="126" customFormat="1" ht="27" customHeight="1">
      <c r="A44" s="2053"/>
      <c r="B44" s="511" t="s">
        <v>2394</v>
      </c>
      <c r="C44" s="129" t="s">
        <v>2417</v>
      </c>
      <c r="D44" s="129"/>
      <c r="E44" s="90">
        <v>45737</v>
      </c>
      <c r="F44" s="90" t="s">
        <v>2501</v>
      </c>
      <c r="G44" s="91">
        <f>VLOOKUP(E44,환율!$A$2255:$B$2292,2,0)</f>
        <v>1459.2</v>
      </c>
      <c r="H44" s="134">
        <v>27606.32</v>
      </c>
      <c r="I44" s="93">
        <f>ROUNDDOWN(H44*G44,0)</f>
        <v>40283142</v>
      </c>
      <c r="J44" s="164">
        <f t="shared" si="12"/>
        <v>40283142</v>
      </c>
      <c r="K44" s="254"/>
      <c r="L44" s="364"/>
      <c r="M44" s="91" t="s">
        <v>730</v>
      </c>
      <c r="N44" s="91" t="s">
        <v>730</v>
      </c>
      <c r="O44" s="91" t="s">
        <v>730</v>
      </c>
      <c r="P44" s="91" t="s">
        <v>730</v>
      </c>
      <c r="Q44" s="364"/>
      <c r="R44" s="436"/>
      <c r="S44" s="436"/>
      <c r="T44" s="436"/>
      <c r="U44" s="436"/>
      <c r="V44" s="443"/>
    </row>
    <row r="45" spans="1:22" s="126" customFormat="1" ht="27" customHeight="1">
      <c r="A45" s="2053"/>
      <c r="B45" s="518" t="s">
        <v>2395</v>
      </c>
      <c r="C45" s="519" t="s">
        <v>2418</v>
      </c>
      <c r="D45" s="519"/>
      <c r="E45" s="520">
        <v>45743</v>
      </c>
      <c r="F45" s="520" t="s">
        <v>2501</v>
      </c>
      <c r="G45" s="498">
        <f>VLOOKUP(E45,환율!$A$2255:$B$2292,2,0)</f>
        <v>1465.3</v>
      </c>
      <c r="H45" s="521">
        <v>62966.400000000001</v>
      </c>
      <c r="I45" s="517">
        <f t="shared" ref="I45" si="14">ROUNDDOWN(H45*G45,0)</f>
        <v>92264665</v>
      </c>
      <c r="J45" s="517">
        <f t="shared" si="12"/>
        <v>92264665</v>
      </c>
      <c r="K45" s="254"/>
      <c r="L45" s="364"/>
      <c r="M45" s="91" t="s">
        <v>730</v>
      </c>
      <c r="N45" s="91" t="s">
        <v>730</v>
      </c>
      <c r="O45" s="91" t="s">
        <v>730</v>
      </c>
      <c r="P45" s="91" t="s">
        <v>730</v>
      </c>
      <c r="Q45" s="364"/>
      <c r="R45" s="436"/>
      <c r="S45" s="436"/>
      <c r="T45" s="436"/>
      <c r="U45" s="436"/>
      <c r="V45" s="443"/>
    </row>
    <row r="46" spans="1:22" s="126" customFormat="1" ht="27" customHeight="1">
      <c r="A46" s="2053"/>
      <c r="B46" s="518" t="s">
        <v>2396</v>
      </c>
      <c r="C46" s="519" t="s">
        <v>2419</v>
      </c>
      <c r="D46" s="519"/>
      <c r="E46" s="520">
        <v>45743</v>
      </c>
      <c r="F46" s="520" t="s">
        <v>2501</v>
      </c>
      <c r="G46" s="498">
        <f>VLOOKUP(E46,환율!$A$2255:$B$2292,2,0)</f>
        <v>1465.3</v>
      </c>
      <c r="H46" s="521">
        <v>25623.040000000001</v>
      </c>
      <c r="I46" s="517">
        <f>ROUNDDOWN(H46*G46,0)</f>
        <v>37545440</v>
      </c>
      <c r="J46" s="517">
        <f t="shared" si="12"/>
        <v>37545440</v>
      </c>
      <c r="K46" s="254"/>
      <c r="L46" s="364"/>
      <c r="M46" s="498" t="s">
        <v>2414</v>
      </c>
      <c r="N46" s="498" t="s">
        <v>730</v>
      </c>
      <c r="O46" s="498" t="s">
        <v>730</v>
      </c>
      <c r="P46" s="498" t="s">
        <v>730</v>
      </c>
      <c r="Q46" s="364"/>
      <c r="R46" s="436"/>
      <c r="S46" s="436"/>
      <c r="T46" s="436"/>
      <c r="U46" s="436"/>
      <c r="V46" s="443"/>
    </row>
    <row r="47" spans="1:22" s="126" customFormat="1" ht="27" customHeight="1">
      <c r="A47" s="2053"/>
      <c r="B47" s="511" t="s">
        <v>2397</v>
      </c>
      <c r="C47" s="479" t="s">
        <v>2420</v>
      </c>
      <c r="D47" s="479"/>
      <c r="E47" s="393">
        <v>45746</v>
      </c>
      <c r="F47" s="393" t="s">
        <v>2501</v>
      </c>
      <c r="G47" s="163">
        <f>VLOOKUP(E47,환율!$A$2255:$B$2292,2,0)</f>
        <v>1466.8</v>
      </c>
      <c r="H47" s="131">
        <v>26255.200000000001</v>
      </c>
      <c r="I47" s="164">
        <f>ROUNDDOWN(H47*G47,0)</f>
        <v>38511127</v>
      </c>
      <c r="J47" s="164">
        <f t="shared" si="12"/>
        <v>38511127</v>
      </c>
      <c r="K47" s="396"/>
      <c r="L47" s="364"/>
      <c r="M47" s="163" t="s">
        <v>730</v>
      </c>
      <c r="N47" s="163" t="s">
        <v>730</v>
      </c>
      <c r="O47" s="163" t="s">
        <v>730</v>
      </c>
      <c r="P47" s="163" t="s">
        <v>730</v>
      </c>
      <c r="Q47" s="364"/>
      <c r="R47" s="436"/>
      <c r="S47" s="436"/>
      <c r="T47" s="436"/>
      <c r="U47" s="436"/>
      <c r="V47" s="443"/>
    </row>
    <row r="48" spans="1:22" s="126" customFormat="1" ht="27" customHeight="1">
      <c r="A48" s="2053"/>
      <c r="B48" s="511" t="s">
        <v>2400</v>
      </c>
      <c r="C48" s="479" t="s">
        <v>2423</v>
      </c>
      <c r="D48" s="479"/>
      <c r="E48" s="130">
        <v>45735</v>
      </c>
      <c r="F48" s="130" t="s">
        <v>2501</v>
      </c>
      <c r="G48" s="163">
        <f>VLOOKUP(E48,환율!$A$2255:$B$2292,2,0)</f>
        <v>1447.1</v>
      </c>
      <c r="H48" s="131">
        <v>948</v>
      </c>
      <c r="I48" s="164">
        <f t="shared" ref="I48:I50" si="15">ROUNDDOWN(H48*G48,0)</f>
        <v>1371850</v>
      </c>
      <c r="J48" s="164">
        <f t="shared" si="12"/>
        <v>1371850</v>
      </c>
      <c r="K48" s="396"/>
      <c r="L48" s="364"/>
      <c r="M48" s="163" t="s">
        <v>730</v>
      </c>
      <c r="N48" s="163" t="s">
        <v>730</v>
      </c>
      <c r="O48" s="163" t="s">
        <v>730</v>
      </c>
      <c r="P48" s="163" t="s">
        <v>730</v>
      </c>
      <c r="Q48" s="364"/>
      <c r="R48" s="436"/>
      <c r="S48" s="436"/>
      <c r="T48" s="436"/>
      <c r="U48" s="436"/>
      <c r="V48" s="443"/>
    </row>
    <row r="49" spans="1:22" s="126" customFormat="1" ht="27" customHeight="1">
      <c r="A49" s="2053"/>
      <c r="B49" s="511" t="s">
        <v>2403</v>
      </c>
      <c r="C49" s="479" t="s">
        <v>2426</v>
      </c>
      <c r="D49" s="479"/>
      <c r="E49" s="130">
        <v>45743</v>
      </c>
      <c r="F49" s="130" t="s">
        <v>2501</v>
      </c>
      <c r="G49" s="163">
        <f>VLOOKUP(E49,환율!$A$2255:$B$2292,2,0)</f>
        <v>1465.3</v>
      </c>
      <c r="H49" s="131">
        <v>4474.1899999999996</v>
      </c>
      <c r="I49" s="164">
        <f t="shared" si="15"/>
        <v>6556030</v>
      </c>
      <c r="J49" s="164">
        <f t="shared" si="12"/>
        <v>6556030</v>
      </c>
      <c r="K49" s="396"/>
      <c r="L49" s="364"/>
      <c r="M49" s="163" t="s">
        <v>2428</v>
      </c>
      <c r="N49" s="163" t="s">
        <v>2428</v>
      </c>
      <c r="O49" s="163" t="s">
        <v>2428</v>
      </c>
      <c r="P49" s="163" t="s">
        <v>2428</v>
      </c>
      <c r="Q49" s="364"/>
      <c r="R49" s="436"/>
      <c r="S49" s="436"/>
      <c r="T49" s="436"/>
      <c r="U49" s="436"/>
      <c r="V49" s="443"/>
    </row>
    <row r="50" spans="1:22" s="126" customFormat="1" ht="27" customHeight="1">
      <c r="A50" s="2053"/>
      <c r="B50" s="511" t="s">
        <v>2404</v>
      </c>
      <c r="C50" s="479" t="s">
        <v>2427</v>
      </c>
      <c r="D50" s="479"/>
      <c r="E50" s="130">
        <v>45743</v>
      </c>
      <c r="F50" s="130" t="s">
        <v>2501</v>
      </c>
      <c r="G50" s="163">
        <f>VLOOKUP(E50,환율!$A$2255:$B$2292,2,0)</f>
        <v>1465.3</v>
      </c>
      <c r="H50" s="131">
        <v>6947.5</v>
      </c>
      <c r="I50" s="164">
        <f t="shared" si="15"/>
        <v>10180171</v>
      </c>
      <c r="J50" s="164">
        <f t="shared" si="12"/>
        <v>10180171</v>
      </c>
      <c r="K50" s="396"/>
      <c r="L50" s="364"/>
      <c r="M50" s="163" t="s">
        <v>2428</v>
      </c>
      <c r="N50" s="163" t="s">
        <v>2428</v>
      </c>
      <c r="O50" s="163" t="s">
        <v>2428</v>
      </c>
      <c r="P50" s="163" t="s">
        <v>2428</v>
      </c>
      <c r="Q50" s="364"/>
      <c r="R50" s="436"/>
      <c r="S50" s="436"/>
      <c r="T50" s="436"/>
      <c r="U50" s="436"/>
      <c r="V50" s="443"/>
    </row>
    <row r="51" spans="1:22" s="126" customFormat="1" ht="27" customHeight="1">
      <c r="A51" s="2053"/>
      <c r="B51" s="512" t="s">
        <v>2390</v>
      </c>
      <c r="C51" s="499" t="s">
        <v>2525</v>
      </c>
      <c r="D51" s="499"/>
      <c r="E51" s="500">
        <v>45751</v>
      </c>
      <c r="F51" s="500" t="s">
        <v>2501</v>
      </c>
      <c r="G51" s="501">
        <v>1466.5</v>
      </c>
      <c r="H51" s="502">
        <v>71361.919999999998</v>
      </c>
      <c r="I51" s="503">
        <f t="shared" ref="I51:I56" si="16">ROUNDDOWN(H51*G51,0)</f>
        <v>104652255</v>
      </c>
      <c r="J51" s="503"/>
      <c r="K51" s="504">
        <f t="shared" ref="K51:K56" si="17">I51</f>
        <v>104652255</v>
      </c>
      <c r="L51" s="401"/>
      <c r="M51" s="91" t="s">
        <v>730</v>
      </c>
      <c r="N51" s="91" t="s">
        <v>730</v>
      </c>
      <c r="O51" s="91" t="s">
        <v>730</v>
      </c>
      <c r="P51" s="91" t="s">
        <v>730</v>
      </c>
      <c r="Q51" s="364"/>
      <c r="R51" s="436"/>
      <c r="S51" s="436"/>
      <c r="T51" s="436"/>
      <c r="U51" s="436"/>
      <c r="V51" s="443"/>
    </row>
    <row r="52" spans="1:22" s="126" customFormat="1" ht="27" customHeight="1">
      <c r="A52" s="2053"/>
      <c r="B52" s="512" t="s">
        <v>2398</v>
      </c>
      <c r="C52" s="499" t="s">
        <v>2421</v>
      </c>
      <c r="D52" s="499"/>
      <c r="E52" s="500">
        <v>45759</v>
      </c>
      <c r="F52" s="500" t="s">
        <v>2501</v>
      </c>
      <c r="G52" s="501">
        <v>1466.5</v>
      </c>
      <c r="H52" s="502">
        <v>73046.12</v>
      </c>
      <c r="I52" s="503">
        <f t="shared" si="16"/>
        <v>107122134</v>
      </c>
      <c r="J52" s="503"/>
      <c r="K52" s="504">
        <f t="shared" si="17"/>
        <v>107122134</v>
      </c>
      <c r="L52" s="401"/>
      <c r="M52" s="91"/>
      <c r="N52" s="91"/>
      <c r="O52" s="91"/>
      <c r="P52" s="91"/>
      <c r="Q52" s="364"/>
      <c r="R52" s="436"/>
      <c r="S52" s="436"/>
      <c r="T52" s="436"/>
      <c r="U52" s="436"/>
      <c r="V52" s="443"/>
    </row>
    <row r="53" spans="1:22" s="126" customFormat="1" ht="27" customHeight="1">
      <c r="A53" s="2053"/>
      <c r="B53" s="512" t="s">
        <v>2399</v>
      </c>
      <c r="C53" s="499" t="s">
        <v>2422</v>
      </c>
      <c r="D53" s="499"/>
      <c r="E53" s="500">
        <v>45752</v>
      </c>
      <c r="F53" s="500" t="s">
        <v>2501</v>
      </c>
      <c r="G53" s="501">
        <v>1467</v>
      </c>
      <c r="H53" s="502">
        <v>3744</v>
      </c>
      <c r="I53" s="503">
        <f t="shared" si="16"/>
        <v>5492448</v>
      </c>
      <c r="J53" s="503"/>
      <c r="K53" s="504">
        <f t="shared" si="17"/>
        <v>5492448</v>
      </c>
      <c r="L53" s="364"/>
      <c r="M53" s="163"/>
      <c r="N53" s="163"/>
      <c r="O53" s="163"/>
      <c r="P53" s="163"/>
      <c r="Q53" s="364"/>
      <c r="R53" s="436"/>
      <c r="S53" s="436"/>
      <c r="T53" s="436"/>
      <c r="U53" s="436"/>
      <c r="V53" s="443"/>
    </row>
    <row r="54" spans="1:22" s="126" customFormat="1" ht="27" customHeight="1">
      <c r="A54" s="2053"/>
      <c r="B54" s="512" t="s">
        <v>2401</v>
      </c>
      <c r="C54" s="499" t="s">
        <v>2424</v>
      </c>
      <c r="D54" s="499"/>
      <c r="E54" s="500">
        <v>45751</v>
      </c>
      <c r="F54" s="500" t="s">
        <v>2501</v>
      </c>
      <c r="G54" s="501">
        <v>1466.5</v>
      </c>
      <c r="H54" s="502">
        <v>29669.68</v>
      </c>
      <c r="I54" s="503">
        <f t="shared" si="16"/>
        <v>43510585</v>
      </c>
      <c r="J54" s="503"/>
      <c r="K54" s="504">
        <f t="shared" si="17"/>
        <v>43510585</v>
      </c>
      <c r="L54" s="364"/>
      <c r="M54" s="163"/>
      <c r="N54" s="163"/>
      <c r="O54" s="163"/>
      <c r="P54" s="163"/>
      <c r="Q54" s="364"/>
      <c r="R54" s="436"/>
      <c r="S54" s="436"/>
      <c r="T54" s="436"/>
      <c r="U54" s="436"/>
      <c r="V54" s="443"/>
    </row>
    <row r="55" spans="1:22" s="126" customFormat="1" ht="27" customHeight="1">
      <c r="A55" s="2053"/>
      <c r="B55" s="512" t="s">
        <v>2402</v>
      </c>
      <c r="C55" s="499" t="s">
        <v>2425</v>
      </c>
      <c r="D55" s="499"/>
      <c r="E55" s="500">
        <v>45751</v>
      </c>
      <c r="F55" s="500" t="s">
        <v>2501</v>
      </c>
      <c r="G55" s="501">
        <v>1467</v>
      </c>
      <c r="H55" s="502">
        <v>44667</v>
      </c>
      <c r="I55" s="503">
        <f t="shared" si="16"/>
        <v>65526489</v>
      </c>
      <c r="J55" s="503"/>
      <c r="K55" s="504">
        <f t="shared" si="17"/>
        <v>65526489</v>
      </c>
      <c r="L55" s="364"/>
      <c r="M55" s="163"/>
      <c r="N55" s="163"/>
      <c r="O55" s="163"/>
      <c r="P55" s="163"/>
      <c r="Q55" s="364"/>
      <c r="R55" s="436"/>
      <c r="S55" s="436"/>
      <c r="T55" s="436"/>
      <c r="U55" s="436"/>
      <c r="V55" s="443"/>
    </row>
    <row r="56" spans="1:22" s="126" customFormat="1" ht="27" customHeight="1">
      <c r="A56" s="2013"/>
      <c r="B56" s="512" t="s">
        <v>2405</v>
      </c>
      <c r="C56" s="499" t="s">
        <v>2429</v>
      </c>
      <c r="D56" s="499"/>
      <c r="E56" s="500">
        <v>45759</v>
      </c>
      <c r="F56" s="500" t="s">
        <v>2501</v>
      </c>
      <c r="G56" s="501">
        <v>1466.5</v>
      </c>
      <c r="H56" s="502">
        <v>10330.120000000001</v>
      </c>
      <c r="I56" s="503">
        <f t="shared" si="16"/>
        <v>15149120</v>
      </c>
      <c r="J56" s="503"/>
      <c r="K56" s="504">
        <f t="shared" si="17"/>
        <v>15149120</v>
      </c>
      <c r="L56" s="364"/>
      <c r="M56" s="163"/>
      <c r="N56" s="163"/>
      <c r="O56" s="163"/>
      <c r="P56" s="163"/>
      <c r="Q56" s="364"/>
      <c r="R56" s="436"/>
      <c r="S56" s="436"/>
      <c r="T56" s="436"/>
      <c r="U56" s="436"/>
      <c r="V56" s="443"/>
    </row>
    <row r="57" spans="1:22" s="97" customFormat="1" ht="27" customHeight="1">
      <c r="A57" s="2035" t="s">
        <v>10</v>
      </c>
      <c r="B57" s="2036"/>
      <c r="C57" s="2036"/>
      <c r="D57" s="2036"/>
      <c r="E57" s="2036"/>
      <c r="F57" s="2036"/>
      <c r="G57" s="2037"/>
      <c r="H57" s="127">
        <f>SUM(H31:H56)</f>
        <v>818256.42</v>
      </c>
      <c r="I57" s="116">
        <f>SUM(I31:I56)</f>
        <v>1195842169</v>
      </c>
      <c r="J57" s="116">
        <f>SUM(J31:J56)</f>
        <v>854389138</v>
      </c>
      <c r="K57" s="260">
        <f>SUM(K31:K56)</f>
        <v>341453031</v>
      </c>
      <c r="L57" s="364"/>
      <c r="M57" s="492"/>
      <c r="N57" s="492"/>
      <c r="O57" s="492"/>
      <c r="P57" s="492"/>
      <c r="Q57" s="364"/>
      <c r="R57" s="434"/>
      <c r="S57" s="434"/>
      <c r="T57" s="434"/>
      <c r="U57" s="434"/>
      <c r="V57" s="441"/>
    </row>
    <row r="58" spans="1:22" s="97" customFormat="1" ht="27" customHeight="1">
      <c r="A58" s="2012" t="s">
        <v>1892</v>
      </c>
      <c r="B58" s="513" t="s">
        <v>2432</v>
      </c>
      <c r="C58" s="313" t="s">
        <v>2431</v>
      </c>
      <c r="D58" s="90"/>
      <c r="E58" s="90">
        <v>45724</v>
      </c>
      <c r="F58" s="90" t="s">
        <v>2500</v>
      </c>
      <c r="G58" s="91">
        <f>VLOOKUP(E58,환율!$A$2255:$B$2292,2,0)</f>
        <v>1441.6</v>
      </c>
      <c r="H58" s="92">
        <v>124001.16</v>
      </c>
      <c r="I58" s="93">
        <f>ROUNDDOWN(H58*G58,0)</f>
        <v>178760072</v>
      </c>
      <c r="J58" s="93">
        <f>I58</f>
        <v>178760072</v>
      </c>
      <c r="K58" s="321"/>
      <c r="L58" s="364"/>
      <c r="M58" s="163" t="s">
        <v>2428</v>
      </c>
      <c r="N58" s="163" t="s">
        <v>2428</v>
      </c>
      <c r="O58" s="163" t="s">
        <v>2428</v>
      </c>
      <c r="P58" s="163" t="s">
        <v>2428</v>
      </c>
      <c r="Q58" s="364"/>
      <c r="R58" s="434"/>
      <c r="S58" s="434"/>
      <c r="T58" s="434"/>
      <c r="U58" s="434"/>
      <c r="V58" s="441"/>
    </row>
    <row r="59" spans="1:22" s="97" customFormat="1" ht="27" customHeight="1">
      <c r="A59" s="2013"/>
      <c r="B59" s="513" t="s">
        <v>2433</v>
      </c>
      <c r="C59" s="142" t="s">
        <v>2434</v>
      </c>
      <c r="D59" s="90"/>
      <c r="E59" s="90">
        <v>45737</v>
      </c>
      <c r="F59" s="90" t="s">
        <v>2500</v>
      </c>
      <c r="G59" s="91">
        <f>VLOOKUP(E59,환율!$A$2255:$B$2292,2,0)</f>
        <v>1459.2</v>
      </c>
      <c r="H59" s="92">
        <v>52668</v>
      </c>
      <c r="I59" s="93">
        <f t="shared" ref="I59" si="18">ROUNDDOWN(H59*G59,0)</f>
        <v>76853145</v>
      </c>
      <c r="J59" s="93">
        <f>I59</f>
        <v>76853145</v>
      </c>
      <c r="K59" s="321"/>
      <c r="L59" s="364"/>
      <c r="M59" s="163" t="s">
        <v>2428</v>
      </c>
      <c r="N59" s="163" t="s">
        <v>2428</v>
      </c>
      <c r="O59" s="163" t="s">
        <v>2428</v>
      </c>
      <c r="P59" s="163" t="s">
        <v>2428</v>
      </c>
      <c r="Q59" s="364"/>
      <c r="R59" s="434"/>
      <c r="S59" s="434"/>
      <c r="T59" s="434"/>
      <c r="U59" s="434"/>
      <c r="V59" s="441"/>
    </row>
    <row r="60" spans="1:22" s="97" customFormat="1" ht="27" customHeight="1">
      <c r="A60" s="2035" t="s">
        <v>10</v>
      </c>
      <c r="B60" s="2036"/>
      <c r="C60" s="2036"/>
      <c r="D60" s="2036"/>
      <c r="E60" s="2036"/>
      <c r="F60" s="2036"/>
      <c r="G60" s="2037"/>
      <c r="H60" s="127">
        <f>SUM(H58:H59)</f>
        <v>176669.16</v>
      </c>
      <c r="I60" s="116">
        <f>SUM(I58:I59)</f>
        <v>255613217</v>
      </c>
      <c r="J60" s="116">
        <f>SUM(J58:J59)</f>
        <v>255613217</v>
      </c>
      <c r="K60" s="260">
        <v>0</v>
      </c>
      <c r="L60" s="364"/>
      <c r="M60" s="492"/>
      <c r="N60" s="492"/>
      <c r="O60" s="492"/>
      <c r="P60" s="492"/>
      <c r="Q60" s="364"/>
      <c r="R60" s="434"/>
      <c r="S60" s="434"/>
      <c r="T60" s="434"/>
      <c r="U60" s="434"/>
      <c r="V60" s="441"/>
    </row>
    <row r="61" spans="1:22" s="97" customFormat="1" ht="27" customHeight="1">
      <c r="A61" s="2010" t="s">
        <v>35</v>
      </c>
      <c r="B61" s="514" t="s">
        <v>2346</v>
      </c>
      <c r="C61" s="481" t="s">
        <v>2496</v>
      </c>
      <c r="D61" s="482"/>
      <c r="E61" s="455">
        <v>45725</v>
      </c>
      <c r="F61" s="455" t="s">
        <v>2500</v>
      </c>
      <c r="G61" s="456">
        <f>VLOOKUP(E61,환율!$A$1798:$B$3001,2,)</f>
        <v>1441.6</v>
      </c>
      <c r="H61" s="457"/>
      <c r="I61" s="458">
        <v>26976301</v>
      </c>
      <c r="J61" s="458">
        <f>I61</f>
        <v>26976301</v>
      </c>
      <c r="K61" s="483"/>
      <c r="L61" s="401"/>
      <c r="M61" s="91" t="s">
        <v>2361</v>
      </c>
      <c r="N61" s="91" t="s">
        <v>2361</v>
      </c>
      <c r="O61" s="91" t="s">
        <v>2361</v>
      </c>
      <c r="P61" s="91" t="s">
        <v>2361</v>
      </c>
      <c r="Q61" s="364"/>
      <c r="R61" s="434"/>
      <c r="S61" s="434"/>
      <c r="T61" s="434"/>
      <c r="U61" s="434"/>
      <c r="V61" s="441"/>
    </row>
    <row r="62" spans="1:22" s="97" customFormat="1" ht="27" customHeight="1">
      <c r="A62" s="2011"/>
      <c r="B62" s="174" t="s">
        <v>2494</v>
      </c>
      <c r="C62" s="173" t="s">
        <v>2495</v>
      </c>
      <c r="D62" s="288"/>
      <c r="E62" s="90">
        <v>45745</v>
      </c>
      <c r="F62" s="90" t="s">
        <v>2500</v>
      </c>
      <c r="G62" s="91">
        <f>VLOOKUP(E62,환율!$A$1798:$B$3001,2,)</f>
        <v>1466.8</v>
      </c>
      <c r="H62" s="92"/>
      <c r="I62" s="93">
        <v>21396593</v>
      </c>
      <c r="J62" s="93">
        <f t="shared" ref="J62" si="19">I62</f>
        <v>21396593</v>
      </c>
      <c r="K62" s="329"/>
      <c r="L62" s="401"/>
      <c r="M62" s="91"/>
      <c r="N62" s="91"/>
      <c r="O62" s="91"/>
      <c r="P62" s="91"/>
      <c r="Q62" s="364"/>
      <c r="R62" s="434"/>
      <c r="S62" s="434"/>
      <c r="T62" s="434"/>
      <c r="U62" s="434"/>
      <c r="V62" s="441"/>
    </row>
    <row r="63" spans="1:22" s="97" customFormat="1" ht="27" customHeight="1">
      <c r="A63" s="2019"/>
      <c r="B63" s="524" t="s">
        <v>2497</v>
      </c>
      <c r="C63" s="525" t="s">
        <v>2498</v>
      </c>
      <c r="D63" s="526"/>
      <c r="E63" s="527">
        <v>45748</v>
      </c>
      <c r="F63" s="527" t="s">
        <v>2501</v>
      </c>
      <c r="G63" s="528">
        <f>VLOOKUP(E63,환율!$A$1798:$B$3001,2,)</f>
        <v>1470.6</v>
      </c>
      <c r="H63" s="529"/>
      <c r="I63" s="530">
        <v>57862810</v>
      </c>
      <c r="J63" s="530"/>
      <c r="K63" s="531">
        <f>I63</f>
        <v>57862810</v>
      </c>
      <c r="L63" s="401"/>
      <c r="M63" s="91"/>
      <c r="N63" s="91"/>
      <c r="O63" s="91"/>
      <c r="P63" s="91"/>
      <c r="Q63" s="364"/>
      <c r="R63" s="434"/>
      <c r="S63" s="434"/>
      <c r="T63" s="434"/>
      <c r="U63" s="434"/>
      <c r="V63" s="441"/>
    </row>
    <row r="64" spans="1:22" s="97" customFormat="1" ht="27" customHeight="1">
      <c r="A64" s="2035" t="s">
        <v>10</v>
      </c>
      <c r="B64" s="2036"/>
      <c r="C64" s="2036"/>
      <c r="D64" s="2036"/>
      <c r="E64" s="2036"/>
      <c r="F64" s="2036"/>
      <c r="G64" s="2037"/>
      <c r="H64" s="127">
        <f>SUM(H61:H61)</f>
        <v>0</v>
      </c>
      <c r="I64" s="116">
        <f>SUM(I61:I63)</f>
        <v>106235704</v>
      </c>
      <c r="J64" s="116">
        <f>SUM(J61:J63)</f>
        <v>48372894</v>
      </c>
      <c r="K64" s="260">
        <f>SUM(K61:K63)</f>
        <v>57862810</v>
      </c>
      <c r="L64" s="364"/>
      <c r="M64" s="492"/>
      <c r="N64" s="492"/>
      <c r="O64" s="492"/>
      <c r="P64" s="492"/>
      <c r="Q64" s="364"/>
      <c r="R64" s="434"/>
      <c r="S64" s="434"/>
      <c r="T64" s="434"/>
      <c r="U64" s="434"/>
      <c r="V64" s="441"/>
    </row>
    <row r="65" spans="1:22" s="97" customFormat="1" ht="27" customHeight="1">
      <c r="A65" s="399" t="s">
        <v>47</v>
      </c>
      <c r="B65" s="515" t="s">
        <v>2435</v>
      </c>
      <c r="C65" s="484" t="s">
        <v>2436</v>
      </c>
      <c r="D65" s="485"/>
      <c r="E65" s="486">
        <v>45745</v>
      </c>
      <c r="F65" s="486" t="s">
        <v>2500</v>
      </c>
      <c r="G65" s="91">
        <f>VLOOKUP(E65,환율!$A$2255:$B$2292,2,0)</f>
        <v>1466.8</v>
      </c>
      <c r="H65" s="118">
        <v>39476</v>
      </c>
      <c r="I65" s="93">
        <f t="shared" ref="I65" si="20">ROUNDDOWN(H65*G65,0)</f>
        <v>57903396</v>
      </c>
      <c r="J65" s="93">
        <f>I65</f>
        <v>57903396</v>
      </c>
      <c r="K65" s="263"/>
      <c r="L65" s="364"/>
      <c r="M65" s="91" t="s">
        <v>2361</v>
      </c>
      <c r="N65" s="91" t="s">
        <v>2361</v>
      </c>
      <c r="O65" s="91" t="s">
        <v>2361</v>
      </c>
      <c r="P65" s="91" t="s">
        <v>36</v>
      </c>
      <c r="Q65" s="364"/>
      <c r="R65" s="434"/>
      <c r="S65" s="434"/>
      <c r="T65" s="434"/>
      <c r="U65" s="434"/>
      <c r="V65" s="441"/>
    </row>
    <row r="66" spans="1:22" s="97" customFormat="1" ht="27" customHeight="1">
      <c r="A66" s="2035" t="s">
        <v>10</v>
      </c>
      <c r="B66" s="2036"/>
      <c r="C66" s="2036"/>
      <c r="D66" s="2036"/>
      <c r="E66" s="2036"/>
      <c r="F66" s="2036"/>
      <c r="G66" s="2037"/>
      <c r="H66" s="127">
        <f>SUM(H65:H65)</f>
        <v>39476</v>
      </c>
      <c r="I66" s="116">
        <f>SUM(I65:I65)</f>
        <v>57903396</v>
      </c>
      <c r="J66" s="116">
        <f>J65</f>
        <v>57903396</v>
      </c>
      <c r="K66" s="260">
        <v>0</v>
      </c>
      <c r="L66" s="364"/>
      <c r="M66" s="492"/>
      <c r="N66" s="492"/>
      <c r="O66" s="492"/>
      <c r="P66" s="492"/>
      <c r="Q66" s="364"/>
      <c r="R66" s="434"/>
      <c r="S66" s="434"/>
      <c r="T66" s="434"/>
      <c r="U66" s="434"/>
      <c r="V66" s="441"/>
    </row>
    <row r="67" spans="1:22" s="97" customFormat="1" ht="27" customHeight="1">
      <c r="A67" s="261" t="s">
        <v>2437</v>
      </c>
      <c r="B67" s="515" t="s">
        <v>2438</v>
      </c>
      <c r="C67" s="484" t="s">
        <v>2439</v>
      </c>
      <c r="D67" s="485"/>
      <c r="E67" s="486">
        <v>45742</v>
      </c>
      <c r="F67" s="486" t="s">
        <v>2500</v>
      </c>
      <c r="G67" s="91">
        <f>VLOOKUP(E67,환율!$A$2255:$B$2292,2,0)</f>
        <v>1469.6</v>
      </c>
      <c r="H67" s="118">
        <v>11026.5</v>
      </c>
      <c r="I67" s="93">
        <f t="shared" ref="I67" si="21">ROUNDDOWN(H67*G67,0)</f>
        <v>16204544</v>
      </c>
      <c r="J67" s="93">
        <f>I67</f>
        <v>16204544</v>
      </c>
      <c r="K67" s="263"/>
      <c r="L67" s="401"/>
      <c r="M67" s="163" t="s">
        <v>2428</v>
      </c>
      <c r="N67" s="163" t="s">
        <v>2428</v>
      </c>
      <c r="O67" s="163" t="s">
        <v>2428</v>
      </c>
      <c r="P67" s="163" t="s">
        <v>2428</v>
      </c>
      <c r="Q67" s="401"/>
      <c r="R67" s="434"/>
      <c r="S67" s="434"/>
      <c r="T67" s="434"/>
      <c r="U67" s="434"/>
      <c r="V67" s="441"/>
    </row>
    <row r="68" spans="1:22" s="97" customFormat="1" ht="27" customHeight="1">
      <c r="A68" s="2035" t="s">
        <v>10</v>
      </c>
      <c r="B68" s="2036"/>
      <c r="C68" s="2036"/>
      <c r="D68" s="2036"/>
      <c r="E68" s="2036"/>
      <c r="F68" s="2036"/>
      <c r="G68" s="2037"/>
      <c r="H68" s="159">
        <f>SUM(H67:H67)</f>
        <v>11026.5</v>
      </c>
      <c r="I68" s="160">
        <f>SUM(I67:I67)</f>
        <v>16204544</v>
      </c>
      <c r="J68" s="116">
        <f>J67</f>
        <v>16204544</v>
      </c>
      <c r="K68" s="264">
        <v>0</v>
      </c>
      <c r="L68" s="364"/>
      <c r="M68" s="492"/>
      <c r="N68" s="492"/>
      <c r="O68" s="492"/>
      <c r="P68" s="492"/>
      <c r="Q68" s="364"/>
      <c r="R68" s="434"/>
      <c r="S68" s="434"/>
      <c r="T68" s="434"/>
      <c r="U68" s="434"/>
      <c r="V68" s="441"/>
    </row>
    <row r="69" spans="1:22" s="97" customFormat="1" ht="27" customHeight="1">
      <c r="A69" s="2017" t="s">
        <v>14</v>
      </c>
      <c r="B69" s="174" t="s">
        <v>2445</v>
      </c>
      <c r="C69" s="173" t="s">
        <v>2452</v>
      </c>
      <c r="D69" s="288"/>
      <c r="E69" s="222">
        <v>45731</v>
      </c>
      <c r="F69" s="222"/>
      <c r="G69" s="91">
        <f>VLOOKUP(E69,환율!$A$2255:$B$2292,2,0)</f>
        <v>1451.9</v>
      </c>
      <c r="H69" s="92">
        <v>24891</v>
      </c>
      <c r="I69" s="93">
        <f t="shared" ref="I69:I75" si="22">ROUNDDOWN(H69*G69,0)</f>
        <v>36139242</v>
      </c>
      <c r="J69" s="93">
        <f>I69</f>
        <v>36139242</v>
      </c>
      <c r="K69" s="254"/>
      <c r="L69" s="497"/>
      <c r="M69" s="163" t="s">
        <v>2428</v>
      </c>
      <c r="N69" s="163" t="s">
        <v>2428</v>
      </c>
      <c r="O69" s="163" t="s">
        <v>2428</v>
      </c>
      <c r="P69" s="163" t="s">
        <v>2428</v>
      </c>
      <c r="Q69" s="364"/>
      <c r="R69" s="434"/>
      <c r="S69" s="434"/>
      <c r="T69" s="434"/>
      <c r="U69" s="434"/>
      <c r="V69" s="441"/>
    </row>
    <row r="70" spans="1:22" s="97" customFormat="1" ht="27" customHeight="1">
      <c r="A70" s="2017"/>
      <c r="B70" s="174" t="s">
        <v>2446</v>
      </c>
      <c r="C70" s="173" t="s">
        <v>2453</v>
      </c>
      <c r="D70" s="288"/>
      <c r="E70" s="222">
        <v>45731</v>
      </c>
      <c r="F70" s="222"/>
      <c r="G70" s="91">
        <f>VLOOKUP(E70,환율!$A$2255:$B$2292,2,0)</f>
        <v>1451.9</v>
      </c>
      <c r="H70" s="92">
        <v>16594</v>
      </c>
      <c r="I70" s="93">
        <f t="shared" si="22"/>
        <v>24092828</v>
      </c>
      <c r="J70" s="93">
        <f t="shared" ref="J70:J74" si="23">I70</f>
        <v>24092828</v>
      </c>
      <c r="K70" s="254"/>
      <c r="L70" s="364"/>
      <c r="M70" s="91" t="s">
        <v>2428</v>
      </c>
      <c r="N70" s="91" t="s">
        <v>2428</v>
      </c>
      <c r="O70" s="91" t="s">
        <v>2428</v>
      </c>
      <c r="P70" s="91" t="s">
        <v>2428</v>
      </c>
      <c r="Q70" s="364"/>
      <c r="R70" s="434"/>
      <c r="S70" s="434"/>
      <c r="T70" s="434"/>
      <c r="U70" s="434"/>
      <c r="V70" s="441"/>
    </row>
    <row r="71" spans="1:22" s="97" customFormat="1" ht="27" customHeight="1">
      <c r="A71" s="2017"/>
      <c r="B71" s="174" t="s">
        <v>2447</v>
      </c>
      <c r="C71" s="173" t="s">
        <v>2454</v>
      </c>
      <c r="D71" s="288"/>
      <c r="E71" s="222">
        <v>45724</v>
      </c>
      <c r="F71" s="222"/>
      <c r="G71" s="91">
        <f>VLOOKUP(E71,환율!$A$2255:$B$2292,2,0)</f>
        <v>1441.6</v>
      </c>
      <c r="H71" s="118">
        <v>3984</v>
      </c>
      <c r="I71" s="93">
        <f t="shared" si="22"/>
        <v>5743334</v>
      </c>
      <c r="J71" s="93">
        <f t="shared" si="23"/>
        <v>5743334</v>
      </c>
      <c r="K71" s="255"/>
      <c r="L71" s="403"/>
      <c r="M71" s="91" t="s">
        <v>2428</v>
      </c>
      <c r="N71" s="91" t="s">
        <v>2455</v>
      </c>
      <c r="O71" s="91" t="s">
        <v>2455</v>
      </c>
      <c r="P71" s="91" t="s">
        <v>2455</v>
      </c>
      <c r="R71" s="434"/>
      <c r="S71" s="434"/>
      <c r="T71" s="434"/>
      <c r="U71" s="434"/>
      <c r="V71" s="441"/>
    </row>
    <row r="72" spans="1:22" s="97" customFormat="1" ht="27" customHeight="1">
      <c r="A72" s="2017"/>
      <c r="B72" s="174" t="s">
        <v>2448</v>
      </c>
      <c r="C72" s="173" t="s">
        <v>2456</v>
      </c>
      <c r="D72" s="288"/>
      <c r="E72" s="222">
        <v>45722</v>
      </c>
      <c r="F72" s="222"/>
      <c r="G72" s="91">
        <f>VLOOKUP(E72,환율!$A$2255:$B$2292,2,0)</f>
        <v>1456</v>
      </c>
      <c r="H72" s="92">
        <v>2379.7800000000002</v>
      </c>
      <c r="I72" s="93">
        <f t="shared" si="22"/>
        <v>3464959</v>
      </c>
      <c r="J72" s="93">
        <f t="shared" si="23"/>
        <v>3464959</v>
      </c>
      <c r="K72" s="256"/>
      <c r="L72" s="364"/>
      <c r="M72" s="91" t="s">
        <v>2428</v>
      </c>
      <c r="N72" s="91" t="s">
        <v>2428</v>
      </c>
      <c r="O72" s="91" t="s">
        <v>2428</v>
      </c>
      <c r="P72" s="91" t="s">
        <v>2428</v>
      </c>
      <c r="Q72" s="364"/>
      <c r="R72" s="434"/>
      <c r="S72" s="434"/>
      <c r="T72" s="434"/>
      <c r="U72" s="434"/>
      <c r="V72" s="441"/>
    </row>
    <row r="73" spans="1:22" s="97" customFormat="1" ht="27" customHeight="1">
      <c r="A73" s="2017"/>
      <c r="B73" s="174" t="s">
        <v>2449</v>
      </c>
      <c r="C73" s="173" t="s">
        <v>2457</v>
      </c>
      <c r="D73" s="288"/>
      <c r="E73" s="222">
        <v>45729</v>
      </c>
      <c r="F73" s="222"/>
      <c r="G73" s="91">
        <f>VLOOKUP(E73,환율!$A$2255:$B$2292,2,0)</f>
        <v>1452</v>
      </c>
      <c r="H73" s="92">
        <v>597.44000000000005</v>
      </c>
      <c r="I73" s="93">
        <f t="shared" si="22"/>
        <v>867482</v>
      </c>
      <c r="J73" s="93">
        <f t="shared" si="23"/>
        <v>867482</v>
      </c>
      <c r="K73" s="256"/>
      <c r="L73" s="364"/>
      <c r="M73" s="91" t="s">
        <v>2428</v>
      </c>
      <c r="N73" s="91" t="s">
        <v>2428</v>
      </c>
      <c r="O73" s="91" t="s">
        <v>2428</v>
      </c>
      <c r="P73" s="91" t="s">
        <v>2455</v>
      </c>
      <c r="Q73" s="364"/>
      <c r="R73" s="434"/>
      <c r="S73" s="434"/>
      <c r="T73" s="434"/>
      <c r="U73" s="434"/>
      <c r="V73" s="441"/>
    </row>
    <row r="74" spans="1:22" s="97" customFormat="1" ht="27" customHeight="1">
      <c r="A74" s="2017"/>
      <c r="B74" s="174" t="s">
        <v>2450</v>
      </c>
      <c r="C74" s="173" t="s">
        <v>2458</v>
      </c>
      <c r="D74" s="288"/>
      <c r="E74" s="222">
        <v>45747</v>
      </c>
      <c r="F74" s="222"/>
      <c r="G74" s="91">
        <f>VLOOKUP(E74,환율!$A$2255:$B$2292,2,0)</f>
        <v>1466.5</v>
      </c>
      <c r="H74" s="92">
        <v>1372.03</v>
      </c>
      <c r="I74" s="93">
        <f t="shared" si="22"/>
        <v>2012081</v>
      </c>
      <c r="J74" s="93">
        <f t="shared" si="23"/>
        <v>2012081</v>
      </c>
      <c r="K74" s="256"/>
      <c r="M74" s="91" t="s">
        <v>2428</v>
      </c>
      <c r="N74" s="91" t="s">
        <v>2428</v>
      </c>
      <c r="O74" s="91" t="s">
        <v>2428</v>
      </c>
      <c r="P74" s="91" t="s">
        <v>2428</v>
      </c>
      <c r="Q74" s="364"/>
      <c r="R74" s="434"/>
      <c r="S74" s="434"/>
      <c r="T74" s="434"/>
      <c r="U74" s="434"/>
      <c r="V74" s="441"/>
    </row>
    <row r="75" spans="1:22" s="97" customFormat="1" ht="27" customHeight="1">
      <c r="A75" s="2017"/>
      <c r="B75" s="174" t="s">
        <v>2451</v>
      </c>
      <c r="C75" s="173" t="s">
        <v>2459</v>
      </c>
      <c r="D75" s="288"/>
      <c r="E75" s="222">
        <v>45751</v>
      </c>
      <c r="F75" s="222"/>
      <c r="G75" s="91">
        <f>VLOOKUP(E75,환율!$A$2255:$B$2292,2,0)</f>
        <v>1467</v>
      </c>
      <c r="H75" s="92">
        <v>18750.5</v>
      </c>
      <c r="I75" s="93">
        <f t="shared" si="22"/>
        <v>27506983</v>
      </c>
      <c r="J75" s="93"/>
      <c r="K75" s="256">
        <f>I75</f>
        <v>27506983</v>
      </c>
      <c r="M75" s="91" t="s">
        <v>2428</v>
      </c>
      <c r="N75" s="91" t="s">
        <v>2428</v>
      </c>
      <c r="O75" s="91" t="s">
        <v>2428</v>
      </c>
      <c r="P75" s="91" t="s">
        <v>2430</v>
      </c>
      <c r="Q75" s="364"/>
      <c r="R75" s="434"/>
      <c r="S75" s="434"/>
      <c r="T75" s="434"/>
      <c r="U75" s="434"/>
      <c r="V75" s="441"/>
    </row>
    <row r="76" spans="1:22" s="97" customFormat="1" ht="27" customHeight="1">
      <c r="A76" s="2035" t="s">
        <v>10</v>
      </c>
      <c r="B76" s="2036"/>
      <c r="C76" s="2036"/>
      <c r="D76" s="2036"/>
      <c r="E76" s="2036"/>
      <c r="F76" s="2036"/>
      <c r="G76" s="2037"/>
      <c r="H76" s="127">
        <f>SUM(H69:H75)</f>
        <v>68568.75</v>
      </c>
      <c r="I76" s="160">
        <f>SUM(I69:I75)</f>
        <v>99826909</v>
      </c>
      <c r="J76" s="116">
        <f>SUM(J69:J75)</f>
        <v>72319926</v>
      </c>
      <c r="K76" s="260">
        <f>SUM(K69:K75)</f>
        <v>27506983</v>
      </c>
      <c r="L76" s="364"/>
      <c r="M76" s="492"/>
      <c r="N76" s="492"/>
      <c r="O76" s="492"/>
      <c r="P76" s="492"/>
      <c r="Q76" s="364"/>
      <c r="R76" s="434"/>
      <c r="S76" s="434"/>
      <c r="T76" s="434"/>
      <c r="U76" s="434"/>
      <c r="V76" s="441"/>
    </row>
    <row r="77" spans="1:22" s="97" customFormat="1" ht="27" customHeight="1">
      <c r="A77" s="2012" t="s">
        <v>15</v>
      </c>
      <c r="B77" s="514" t="s">
        <v>2301</v>
      </c>
      <c r="C77" s="487" t="s">
        <v>2480</v>
      </c>
      <c r="D77" s="482"/>
      <c r="E77" s="465">
        <v>45717</v>
      </c>
      <c r="F77" s="465" t="s">
        <v>2500</v>
      </c>
      <c r="G77" s="456">
        <f>VLOOKUP(E77,환율!$A$2255:$B$2292,2,0)</f>
        <v>1439.6</v>
      </c>
      <c r="H77" s="457">
        <v>56899.15</v>
      </c>
      <c r="I77" s="458">
        <f t="shared" ref="I77" si="24">ROUNDDOWN(H77*G77,0)</f>
        <v>81912016</v>
      </c>
      <c r="J77" s="458">
        <f>I77</f>
        <v>81912016</v>
      </c>
      <c r="K77" s="464"/>
      <c r="L77" s="401"/>
      <c r="M77" s="91" t="s">
        <v>2361</v>
      </c>
      <c r="N77" s="91" t="s">
        <v>2361</v>
      </c>
      <c r="O77" s="91" t="s">
        <v>2361</v>
      </c>
      <c r="P77" s="91" t="s">
        <v>2361</v>
      </c>
      <c r="Q77" s="401"/>
      <c r="R77" s="434"/>
      <c r="S77" s="434"/>
      <c r="T77" s="434"/>
      <c r="U77" s="434"/>
      <c r="V77" s="441"/>
    </row>
    <row r="78" spans="1:22" s="97" customFormat="1" ht="27" customHeight="1">
      <c r="A78" s="2053"/>
      <c r="B78" s="153" t="s">
        <v>2440</v>
      </c>
      <c r="C78" s="409" t="s">
        <v>2441</v>
      </c>
      <c r="D78" s="322"/>
      <c r="E78" s="125">
        <v>45748</v>
      </c>
      <c r="F78" s="125" t="s">
        <v>2501</v>
      </c>
      <c r="G78" s="102">
        <f>VLOOKUP(E78,환율!$A$2255:$B$2292,2,0)</f>
        <v>1470.6</v>
      </c>
      <c r="H78" s="103">
        <v>8868.4500000000007</v>
      </c>
      <c r="I78" s="104">
        <f t="shared" ref="I78" si="25">ROUNDDOWN(H78*G78,0)</f>
        <v>13041942</v>
      </c>
      <c r="J78" s="152"/>
      <c r="K78" s="272">
        <f t="shared" ref="K78" si="26">I78</f>
        <v>13041942</v>
      </c>
      <c r="L78" s="401"/>
      <c r="M78" s="91" t="s">
        <v>2428</v>
      </c>
      <c r="N78" s="91" t="s">
        <v>2442</v>
      </c>
      <c r="O78" s="91" t="s">
        <v>2428</v>
      </c>
      <c r="P78" s="91" t="s">
        <v>2428</v>
      </c>
      <c r="Q78" s="401"/>
      <c r="R78" s="434"/>
      <c r="S78" s="434"/>
      <c r="T78" s="434"/>
      <c r="U78" s="434"/>
      <c r="V78" s="441"/>
    </row>
    <row r="79" spans="1:22" s="97" customFormat="1" ht="27" customHeight="1">
      <c r="A79" s="2035" t="s">
        <v>10</v>
      </c>
      <c r="B79" s="2036"/>
      <c r="C79" s="2036"/>
      <c r="D79" s="2036"/>
      <c r="E79" s="2036"/>
      <c r="F79" s="2036"/>
      <c r="G79" s="2037"/>
      <c r="H79" s="127">
        <f>SUM(H77:H78)</f>
        <v>65767.600000000006</v>
      </c>
      <c r="I79" s="116">
        <f>SUM(I77:I78)</f>
        <v>94953958</v>
      </c>
      <c r="J79" s="116">
        <f>J77</f>
        <v>81912016</v>
      </c>
      <c r="K79" s="260">
        <f>SUM(K77:K78)</f>
        <v>13041942</v>
      </c>
      <c r="L79" s="366"/>
      <c r="M79" s="492"/>
      <c r="N79" s="492"/>
      <c r="O79" s="492"/>
      <c r="P79" s="492"/>
      <c r="Q79" s="366"/>
      <c r="R79" s="434"/>
      <c r="S79" s="434"/>
      <c r="T79" s="434"/>
      <c r="U79" s="434"/>
      <c r="V79" s="441"/>
    </row>
    <row r="80" spans="1:22" s="97" customFormat="1" ht="27" customHeight="1">
      <c r="A80" s="2010" t="s">
        <v>726</v>
      </c>
      <c r="B80" s="466" t="s">
        <v>2347</v>
      </c>
      <c r="C80" s="466" t="s">
        <v>2348</v>
      </c>
      <c r="D80" s="465"/>
      <c r="E80" s="455">
        <v>45717</v>
      </c>
      <c r="F80" s="455" t="s">
        <v>2500</v>
      </c>
      <c r="G80" s="467">
        <v>9.6181999999999999</v>
      </c>
      <c r="H80" s="468">
        <v>16739960</v>
      </c>
      <c r="I80" s="458">
        <f t="shared" ref="I80:I83" si="27">ROUNDDOWN(H80*G80,0)</f>
        <v>161008283</v>
      </c>
      <c r="J80" s="458">
        <f>I80</f>
        <v>161008283</v>
      </c>
      <c r="K80" s="470"/>
      <c r="L80" s="366"/>
      <c r="M80" s="91" t="s">
        <v>2361</v>
      </c>
      <c r="N80" s="91" t="s">
        <v>2361</v>
      </c>
      <c r="O80" s="91" t="s">
        <v>2361</v>
      </c>
      <c r="P80" s="91" t="s">
        <v>2361</v>
      </c>
      <c r="Q80" s="366"/>
      <c r="R80" s="434"/>
      <c r="S80" s="434"/>
      <c r="T80" s="434"/>
      <c r="U80" s="434"/>
      <c r="V80" s="441"/>
    </row>
    <row r="81" spans="1:22" s="97" customFormat="1" ht="27" customHeight="1">
      <c r="A81" s="2011"/>
      <c r="B81" s="466" t="s">
        <v>2349</v>
      </c>
      <c r="C81" s="466" t="s">
        <v>2350</v>
      </c>
      <c r="D81" s="465"/>
      <c r="E81" s="455">
        <v>45717</v>
      </c>
      <c r="F81" s="455" t="s">
        <v>2500</v>
      </c>
      <c r="G81" s="488">
        <v>9.6181999999999999</v>
      </c>
      <c r="H81" s="468">
        <v>17185490</v>
      </c>
      <c r="I81" s="458">
        <f t="shared" si="27"/>
        <v>165293479</v>
      </c>
      <c r="J81" s="458">
        <f>I81</f>
        <v>165293479</v>
      </c>
      <c r="K81" s="489"/>
      <c r="L81" s="364"/>
      <c r="M81" s="91" t="s">
        <v>2361</v>
      </c>
      <c r="N81" s="91" t="s">
        <v>2361</v>
      </c>
      <c r="O81" s="91" t="s">
        <v>2361</v>
      </c>
      <c r="P81" s="91" t="s">
        <v>2361</v>
      </c>
      <c r="Q81" s="364"/>
      <c r="R81" s="434"/>
      <c r="S81" s="434"/>
      <c r="T81" s="434"/>
      <c r="U81" s="434"/>
      <c r="V81" s="441"/>
    </row>
    <row r="82" spans="1:22" s="97" customFormat="1" ht="27" customHeight="1">
      <c r="A82" s="2011"/>
      <c r="B82" s="146" t="s">
        <v>2460</v>
      </c>
      <c r="C82" s="146" t="s">
        <v>2461</v>
      </c>
      <c r="D82" s="136"/>
      <c r="E82" s="90">
        <v>45724</v>
      </c>
      <c r="F82" s="90" t="s">
        <v>2500</v>
      </c>
      <c r="G82" s="176">
        <v>9.7428000000000008</v>
      </c>
      <c r="H82" s="177">
        <v>15991220</v>
      </c>
      <c r="I82" s="93">
        <f>ROUNDDOWN(H82*G82,0)</f>
        <v>155799258</v>
      </c>
      <c r="J82" s="93">
        <f t="shared" ref="J82:J83" si="28">I82</f>
        <v>155799258</v>
      </c>
      <c r="K82" s="263"/>
      <c r="L82" s="402"/>
      <c r="M82" s="176"/>
      <c r="N82" s="176"/>
      <c r="O82" s="176"/>
      <c r="P82" s="176"/>
      <c r="Q82" s="366"/>
      <c r="R82" s="434"/>
      <c r="S82" s="434"/>
      <c r="T82" s="434"/>
      <c r="U82" s="434"/>
      <c r="V82" s="441"/>
    </row>
    <row r="83" spans="1:22" s="97" customFormat="1" ht="27" customHeight="1">
      <c r="A83" s="2011"/>
      <c r="B83" s="146" t="s">
        <v>2462</v>
      </c>
      <c r="C83" s="146" t="s">
        <v>2463</v>
      </c>
      <c r="D83" s="136"/>
      <c r="E83" s="136">
        <v>45732</v>
      </c>
      <c r="F83" s="136" t="s">
        <v>2500</v>
      </c>
      <c r="G83" s="176">
        <v>9.8163999999999998</v>
      </c>
      <c r="H83" s="177">
        <v>13124360</v>
      </c>
      <c r="I83" s="93">
        <f t="shared" si="27"/>
        <v>128833967</v>
      </c>
      <c r="J83" s="93">
        <f t="shared" si="28"/>
        <v>128833967</v>
      </c>
      <c r="K83" s="263"/>
      <c r="M83" s="176"/>
      <c r="N83" s="176"/>
      <c r="O83" s="176"/>
      <c r="P83" s="176"/>
      <c r="Q83" s="366"/>
      <c r="R83" s="434"/>
      <c r="S83" s="434"/>
      <c r="T83" s="434"/>
      <c r="U83" s="434"/>
      <c r="V83" s="441"/>
    </row>
    <row r="84" spans="1:22" s="97" customFormat="1" ht="27" customHeight="1">
      <c r="A84" s="2011"/>
      <c r="B84" s="146" t="s">
        <v>2464</v>
      </c>
      <c r="C84" s="146" t="s">
        <v>2465</v>
      </c>
      <c r="D84" s="136"/>
      <c r="E84" s="136">
        <v>45739</v>
      </c>
      <c r="F84" s="136" t="s">
        <v>2500</v>
      </c>
      <c r="G84" s="176">
        <v>9.8114000000000008</v>
      </c>
      <c r="H84" s="177">
        <v>26757090</v>
      </c>
      <c r="I84" s="93">
        <f t="shared" ref="I84:I88" si="29">ROUNDDOWN(H84*G84,0)</f>
        <v>262524512</v>
      </c>
      <c r="J84" s="93">
        <f t="shared" ref="J84:J85" si="30">I84</f>
        <v>262524512</v>
      </c>
      <c r="K84" s="263"/>
      <c r="M84" s="176"/>
      <c r="N84" s="176"/>
      <c r="O84" s="176"/>
      <c r="P84" s="176"/>
      <c r="Q84" s="366"/>
      <c r="R84" s="434"/>
      <c r="S84" s="434"/>
      <c r="T84" s="434"/>
      <c r="U84" s="434"/>
      <c r="V84" s="441"/>
    </row>
    <row r="85" spans="1:22" s="97" customFormat="1" ht="27" customHeight="1">
      <c r="A85" s="2011"/>
      <c r="B85" s="146" t="s">
        <v>2466</v>
      </c>
      <c r="C85" s="146" t="s">
        <v>2467</v>
      </c>
      <c r="D85" s="136"/>
      <c r="E85" s="136">
        <v>45746</v>
      </c>
      <c r="F85" s="136" t="s">
        <v>2500</v>
      </c>
      <c r="G85" s="176">
        <v>9.7126000000000001</v>
      </c>
      <c r="H85" s="177">
        <v>17277540</v>
      </c>
      <c r="I85" s="93">
        <f t="shared" si="29"/>
        <v>167809835</v>
      </c>
      <c r="J85" s="93">
        <f t="shared" si="30"/>
        <v>167809835</v>
      </c>
      <c r="K85" s="263"/>
      <c r="M85" s="176"/>
      <c r="N85" s="176"/>
      <c r="O85" s="176"/>
      <c r="P85" s="176"/>
      <c r="Q85" s="366"/>
      <c r="R85" s="434"/>
      <c r="S85" s="434"/>
      <c r="T85" s="434"/>
      <c r="U85" s="434"/>
      <c r="V85" s="441"/>
    </row>
    <row r="86" spans="1:22" s="97" customFormat="1" ht="27" customHeight="1">
      <c r="A86" s="2011"/>
      <c r="B86" s="169" t="s">
        <v>2468</v>
      </c>
      <c r="C86" s="169" t="s">
        <v>2469</v>
      </c>
      <c r="D86" s="125"/>
      <c r="E86" s="125">
        <v>45753</v>
      </c>
      <c r="F86" s="125" t="s">
        <v>2501</v>
      </c>
      <c r="G86" s="183">
        <v>10.06</v>
      </c>
      <c r="H86" s="184">
        <v>13190160</v>
      </c>
      <c r="I86" s="104">
        <f t="shared" si="29"/>
        <v>132693009</v>
      </c>
      <c r="J86" s="104"/>
      <c r="K86" s="272">
        <f>I86</f>
        <v>132693009</v>
      </c>
      <c r="L86" s="403"/>
      <c r="M86" s="176"/>
      <c r="N86" s="176"/>
      <c r="O86" s="176"/>
      <c r="P86" s="176"/>
      <c r="Q86" s="366"/>
      <c r="R86" s="434"/>
      <c r="S86" s="434"/>
      <c r="T86" s="434"/>
      <c r="U86" s="434"/>
      <c r="V86" s="441"/>
    </row>
    <row r="87" spans="1:22" s="97" customFormat="1" ht="27" customHeight="1">
      <c r="A87" s="2035" t="s">
        <v>10</v>
      </c>
      <c r="B87" s="2036"/>
      <c r="C87" s="2036"/>
      <c r="D87" s="2036"/>
      <c r="E87" s="2036"/>
      <c r="F87" s="2036"/>
      <c r="G87" s="2037"/>
      <c r="H87" s="398">
        <f>SUM(H80:H86)</f>
        <v>120265820</v>
      </c>
      <c r="I87" s="116">
        <f>SUM(I80:I86)</f>
        <v>1173962343</v>
      </c>
      <c r="J87" s="116">
        <f>SUM(J80:J86)</f>
        <v>1041269334</v>
      </c>
      <c r="K87" s="260">
        <f>SUM(K80:K86)</f>
        <v>132693009</v>
      </c>
      <c r="L87" s="364"/>
      <c r="M87" s="91"/>
      <c r="N87" s="91"/>
      <c r="O87" s="91"/>
      <c r="P87" s="91"/>
      <c r="Q87" s="364"/>
      <c r="R87" s="434"/>
      <c r="S87" s="434"/>
      <c r="T87" s="434"/>
      <c r="U87" s="434"/>
      <c r="V87" s="441"/>
    </row>
    <row r="88" spans="1:22" s="496" customFormat="1" ht="27" customHeight="1">
      <c r="A88" s="541" t="s">
        <v>992</v>
      </c>
      <c r="B88" s="174" t="s">
        <v>2443</v>
      </c>
      <c r="C88" s="136" t="s">
        <v>2444</v>
      </c>
      <c r="D88" s="136"/>
      <c r="E88" s="136">
        <v>45746</v>
      </c>
      <c r="F88" s="136"/>
      <c r="G88" s="166">
        <f>VLOOKUP(E88,환율!$A$2255:$B$2292,2,0)</f>
        <v>1466.8</v>
      </c>
      <c r="H88" s="341">
        <v>19453.68</v>
      </c>
      <c r="I88" s="542">
        <f t="shared" si="29"/>
        <v>28534657</v>
      </c>
      <c r="J88" s="542">
        <f>I88</f>
        <v>28534657</v>
      </c>
      <c r="K88" s="337" t="s">
        <v>2491</v>
      </c>
      <c r="L88" s="493"/>
      <c r="M88" s="163" t="s">
        <v>2428</v>
      </c>
      <c r="N88" s="163" t="s">
        <v>2428</v>
      </c>
      <c r="O88" s="163" t="s">
        <v>2428</v>
      </c>
      <c r="P88" s="163" t="s">
        <v>2430</v>
      </c>
      <c r="Q88" s="493"/>
      <c r="R88" s="494"/>
      <c r="S88" s="494"/>
      <c r="T88" s="494"/>
      <c r="U88" s="494"/>
      <c r="V88" s="495"/>
    </row>
    <row r="89" spans="1:22" s="97" customFormat="1" ht="27" customHeight="1">
      <c r="A89" s="2035" t="s">
        <v>10</v>
      </c>
      <c r="B89" s="2036"/>
      <c r="C89" s="2036"/>
      <c r="D89" s="2036"/>
      <c r="E89" s="2036"/>
      <c r="F89" s="2036"/>
      <c r="G89" s="2037"/>
      <c r="H89" s="398">
        <f>SUM(H88)</f>
        <v>19453.68</v>
      </c>
      <c r="I89" s="116">
        <f>SUM(I88)</f>
        <v>28534657</v>
      </c>
      <c r="J89" s="116">
        <f>SUM(J88)</f>
        <v>28534657</v>
      </c>
      <c r="K89" s="260"/>
      <c r="L89" s="364"/>
      <c r="M89" s="91"/>
      <c r="N89" s="91"/>
      <c r="O89" s="91"/>
      <c r="P89" s="91"/>
      <c r="Q89" s="364"/>
      <c r="R89" s="434"/>
      <c r="S89" s="434"/>
      <c r="T89" s="434"/>
      <c r="U89" s="434"/>
      <c r="V89" s="441"/>
    </row>
    <row r="90" spans="1:22" s="496" customFormat="1" ht="27" customHeight="1">
      <c r="A90" s="543" t="s">
        <v>2481</v>
      </c>
      <c r="B90" s="301" t="s">
        <v>2482</v>
      </c>
      <c r="C90" s="303"/>
      <c r="D90" s="303"/>
      <c r="E90" s="303">
        <v>45726</v>
      </c>
      <c r="F90" s="303"/>
      <c r="G90" s="304">
        <f>VLOOKUP(E90,환율!$A$2255:$B$2292,2,0)</f>
        <v>1446.3</v>
      </c>
      <c r="H90" s="334"/>
      <c r="I90" s="335">
        <v>21526400</v>
      </c>
      <c r="J90" s="335">
        <f>I90</f>
        <v>21526400</v>
      </c>
      <c r="K90" s="337" t="s">
        <v>2492</v>
      </c>
      <c r="L90" s="493"/>
      <c r="M90" s="505"/>
      <c r="N90" s="505"/>
      <c r="O90" s="505"/>
      <c r="P90" s="505"/>
      <c r="Q90" s="493"/>
      <c r="R90" s="494"/>
      <c r="S90" s="494"/>
      <c r="T90" s="494"/>
      <c r="U90" s="494"/>
      <c r="V90" s="495"/>
    </row>
    <row r="91" spans="1:22" s="496" customFormat="1" ht="27" customHeight="1">
      <c r="A91" s="543" t="s">
        <v>992</v>
      </c>
      <c r="B91" s="301" t="s">
        <v>2483</v>
      </c>
      <c r="C91" s="303"/>
      <c r="D91" s="303"/>
      <c r="E91" s="303">
        <v>45744</v>
      </c>
      <c r="F91" s="303"/>
      <c r="G91" s="91">
        <f>VLOOKUP(E91,환율!$A$2255:$B$2292,2,0)</f>
        <v>1466.8</v>
      </c>
      <c r="H91" s="334"/>
      <c r="I91" s="335">
        <v>1065000</v>
      </c>
      <c r="J91" s="335">
        <f>I91</f>
        <v>1065000</v>
      </c>
      <c r="K91" s="337"/>
      <c r="L91" s="493"/>
      <c r="M91" s="505"/>
      <c r="N91" s="505"/>
      <c r="O91" s="505"/>
      <c r="P91" s="505"/>
      <c r="Q91" s="493"/>
      <c r="R91" s="494"/>
      <c r="S91" s="494"/>
      <c r="T91" s="494"/>
      <c r="U91" s="494"/>
      <c r="V91" s="495"/>
    </row>
    <row r="92" spans="1:22" s="496" customFormat="1" ht="27" customHeight="1">
      <c r="A92" s="543" t="s">
        <v>992</v>
      </c>
      <c r="B92" s="301" t="s">
        <v>2484</v>
      </c>
      <c r="C92" s="303"/>
      <c r="D92" s="303"/>
      <c r="E92" s="303">
        <v>45744</v>
      </c>
      <c r="F92" s="303"/>
      <c r="G92" s="91">
        <f>VLOOKUP(E92,환율!$A$2255:$B$2292,2,0)</f>
        <v>1466.8</v>
      </c>
      <c r="H92" s="334"/>
      <c r="I92" s="335">
        <v>993800</v>
      </c>
      <c r="J92" s="335">
        <f t="shared" ref="J92:J98" si="31">I92</f>
        <v>993800</v>
      </c>
      <c r="K92" s="337"/>
      <c r="L92" s="493"/>
      <c r="M92" s="505"/>
      <c r="N92" s="505"/>
      <c r="O92" s="505"/>
      <c r="P92" s="505"/>
      <c r="Q92" s="493"/>
      <c r="R92" s="494"/>
      <c r="S92" s="494"/>
      <c r="T92" s="494"/>
      <c r="U92" s="494"/>
      <c r="V92" s="495"/>
    </row>
    <row r="93" spans="1:22" s="496" customFormat="1" ht="27" customHeight="1">
      <c r="A93" s="543" t="s">
        <v>992</v>
      </c>
      <c r="B93" s="301" t="s">
        <v>2485</v>
      </c>
      <c r="C93" s="303"/>
      <c r="D93" s="303"/>
      <c r="E93" s="303">
        <v>45744</v>
      </c>
      <c r="F93" s="303"/>
      <c r="G93" s="91">
        <f>VLOOKUP(E93,환율!$A$2255:$B$2292,2,0)</f>
        <v>1466.8</v>
      </c>
      <c r="H93" s="334"/>
      <c r="I93" s="335">
        <v>1014200</v>
      </c>
      <c r="J93" s="335">
        <f t="shared" si="31"/>
        <v>1014200</v>
      </c>
      <c r="K93" s="337"/>
      <c r="L93" s="493"/>
      <c r="M93" s="505"/>
      <c r="N93" s="505"/>
      <c r="O93" s="505"/>
      <c r="P93" s="505"/>
      <c r="Q93" s="493"/>
      <c r="R93" s="494"/>
      <c r="S93" s="494"/>
      <c r="T93" s="494"/>
      <c r="U93" s="494"/>
      <c r="V93" s="495"/>
    </row>
    <row r="94" spans="1:22" s="496" customFormat="1" ht="27" customHeight="1">
      <c r="A94" s="543" t="s">
        <v>992</v>
      </c>
      <c r="B94" s="301" t="s">
        <v>2486</v>
      </c>
      <c r="C94" s="303"/>
      <c r="D94" s="303"/>
      <c r="E94" s="303">
        <v>45744</v>
      </c>
      <c r="F94" s="303"/>
      <c r="G94" s="91">
        <f>VLOOKUP(E94,환율!$A$2255:$B$2292,2,0)</f>
        <v>1466.8</v>
      </c>
      <c r="H94" s="334"/>
      <c r="I94" s="335">
        <v>741300</v>
      </c>
      <c r="J94" s="335">
        <f t="shared" si="31"/>
        <v>741300</v>
      </c>
      <c r="K94" s="337"/>
      <c r="L94" s="493"/>
      <c r="M94" s="505"/>
      <c r="N94" s="505"/>
      <c r="O94" s="505"/>
      <c r="P94" s="505"/>
      <c r="Q94" s="493"/>
      <c r="R94" s="494"/>
      <c r="S94" s="494"/>
      <c r="T94" s="494"/>
      <c r="U94" s="494"/>
      <c r="V94" s="495"/>
    </row>
    <row r="95" spans="1:22" s="496" customFormat="1" ht="27" customHeight="1">
      <c r="A95" s="543" t="s">
        <v>992</v>
      </c>
      <c r="B95" s="301" t="s">
        <v>2487</v>
      </c>
      <c r="C95" s="303"/>
      <c r="D95" s="303"/>
      <c r="E95" s="303">
        <v>45744</v>
      </c>
      <c r="F95" s="303"/>
      <c r="G95" s="91">
        <f>VLOOKUP(E95,환율!$A$2255:$B$2292,2,0)</f>
        <v>1466.8</v>
      </c>
      <c r="H95" s="334"/>
      <c r="I95" s="335">
        <v>1830603</v>
      </c>
      <c r="J95" s="335">
        <f t="shared" si="31"/>
        <v>1830603</v>
      </c>
      <c r="K95" s="337"/>
      <c r="L95" s="493"/>
      <c r="M95" s="505"/>
      <c r="N95" s="505"/>
      <c r="O95" s="505"/>
      <c r="P95" s="505"/>
      <c r="Q95" s="493"/>
      <c r="R95" s="494"/>
      <c r="S95" s="494"/>
      <c r="T95" s="494"/>
      <c r="U95" s="494"/>
      <c r="V95" s="495"/>
    </row>
    <row r="96" spans="1:22" s="496" customFormat="1" ht="27" customHeight="1">
      <c r="A96" s="543" t="s">
        <v>992</v>
      </c>
      <c r="B96" s="301" t="s">
        <v>2488</v>
      </c>
      <c r="C96" s="303"/>
      <c r="D96" s="303"/>
      <c r="E96" s="303">
        <v>45744</v>
      </c>
      <c r="F96" s="303"/>
      <c r="G96" s="91">
        <f>VLOOKUP(E96,환율!$A$2255:$B$2292,2,0)</f>
        <v>1466.8</v>
      </c>
      <c r="H96" s="334"/>
      <c r="I96" s="335">
        <v>993800</v>
      </c>
      <c r="J96" s="335">
        <f t="shared" si="31"/>
        <v>993800</v>
      </c>
      <c r="K96" s="337"/>
      <c r="L96" s="493"/>
      <c r="M96" s="505"/>
      <c r="N96" s="505"/>
      <c r="O96" s="505"/>
      <c r="P96" s="505"/>
      <c r="Q96" s="493"/>
      <c r="R96" s="494"/>
      <c r="S96" s="494"/>
      <c r="T96" s="494"/>
      <c r="U96" s="494"/>
      <c r="V96" s="495"/>
    </row>
    <row r="97" spans="1:22" s="496" customFormat="1" ht="27" customHeight="1">
      <c r="A97" s="543" t="s">
        <v>992</v>
      </c>
      <c r="B97" s="301" t="s">
        <v>2489</v>
      </c>
      <c r="C97" s="303"/>
      <c r="D97" s="303"/>
      <c r="E97" s="303">
        <v>45744</v>
      </c>
      <c r="F97" s="303"/>
      <c r="G97" s="91">
        <f>VLOOKUP(E97,환율!$A$2255:$B$2292,2,0)</f>
        <v>1466.8</v>
      </c>
      <c r="H97" s="334"/>
      <c r="I97" s="335">
        <v>741300</v>
      </c>
      <c r="J97" s="335">
        <f t="shared" si="31"/>
        <v>741300</v>
      </c>
      <c r="K97" s="337"/>
      <c r="L97" s="493"/>
      <c r="M97" s="505"/>
      <c r="N97" s="505"/>
      <c r="O97" s="505"/>
      <c r="P97" s="505"/>
      <c r="Q97" s="493"/>
      <c r="R97" s="494"/>
      <c r="S97" s="494"/>
      <c r="T97" s="494"/>
      <c r="U97" s="494"/>
      <c r="V97" s="495"/>
    </row>
    <row r="98" spans="1:22" s="496" customFormat="1" ht="27" customHeight="1">
      <c r="A98" s="543" t="s">
        <v>992</v>
      </c>
      <c r="B98" s="301" t="s">
        <v>2490</v>
      </c>
      <c r="C98" s="303"/>
      <c r="D98" s="303"/>
      <c r="E98" s="303">
        <v>45744</v>
      </c>
      <c r="F98" s="303"/>
      <c r="G98" s="91">
        <f>VLOOKUP(E98,환율!$A$2255:$B$2292,2,0)</f>
        <v>1466.8</v>
      </c>
      <c r="H98" s="334"/>
      <c r="I98" s="335">
        <v>993800</v>
      </c>
      <c r="J98" s="335">
        <f t="shared" si="31"/>
        <v>993800</v>
      </c>
      <c r="K98" s="337"/>
      <c r="L98" s="493"/>
      <c r="M98" s="505"/>
      <c r="N98" s="505"/>
      <c r="O98" s="505"/>
      <c r="P98" s="505"/>
      <c r="Q98" s="493"/>
      <c r="R98" s="494"/>
      <c r="S98" s="494"/>
      <c r="T98" s="494"/>
      <c r="U98" s="494"/>
      <c r="V98" s="495"/>
    </row>
    <row r="99" spans="1:22" s="97" customFormat="1" ht="27" customHeight="1" thickBot="1">
      <c r="A99" s="2032" t="s">
        <v>10</v>
      </c>
      <c r="B99" s="2033"/>
      <c r="C99" s="2033"/>
      <c r="D99" s="2033"/>
      <c r="E99" s="2033"/>
      <c r="F99" s="2033"/>
      <c r="G99" s="2034"/>
      <c r="H99" s="268"/>
      <c r="I99" s="269">
        <f>SUM(I90:I98)</f>
        <v>29900203</v>
      </c>
      <c r="J99" s="269">
        <f>SUM(J90:J98)</f>
        <v>29900203</v>
      </c>
      <c r="K99" s="506">
        <f>SUM(K88:K98)</f>
        <v>0</v>
      </c>
      <c r="L99" s="402"/>
      <c r="M99" s="434"/>
      <c r="N99" s="434"/>
      <c r="O99" s="434"/>
      <c r="P99" s="434"/>
      <c r="Q99" s="441"/>
    </row>
    <row r="100" spans="1:22" s="97" customFormat="1" ht="27" customHeight="1" thickBot="1">
      <c r="A100" s="2094" t="s">
        <v>1176</v>
      </c>
      <c r="B100" s="2030"/>
      <c r="C100" s="2030"/>
      <c r="D100" s="2030"/>
      <c r="E100" s="2031"/>
      <c r="F100" s="532"/>
      <c r="G100" s="2095" t="s">
        <v>2334</v>
      </c>
      <c r="H100" s="193" t="s">
        <v>17</v>
      </c>
      <c r="I100" s="194">
        <f>+I102-I101</f>
        <v>5118032908</v>
      </c>
      <c r="J100" s="473">
        <f>J102-J101</f>
        <v>5068543901</v>
      </c>
      <c r="K100" s="474">
        <f>K102-K101</f>
        <v>1663459310</v>
      </c>
      <c r="L100" s="401"/>
      <c r="M100" s="434"/>
      <c r="N100" s="434"/>
      <c r="O100" s="434"/>
      <c r="P100" s="434"/>
      <c r="Q100" s="441"/>
    </row>
    <row r="101" spans="1:22" s="97" customFormat="1" ht="27" customHeight="1">
      <c r="A101" s="239" t="s">
        <v>20</v>
      </c>
      <c r="B101" s="195" t="s">
        <v>21</v>
      </c>
      <c r="C101" s="196" t="s">
        <v>20</v>
      </c>
      <c r="D101" s="314"/>
      <c r="E101" s="197" t="s">
        <v>21</v>
      </c>
      <c r="F101" s="533"/>
      <c r="G101" s="2096"/>
      <c r="H101" s="198" t="s">
        <v>18</v>
      </c>
      <c r="I101" s="210">
        <f>SUM(I91:I98)</f>
        <v>8373803</v>
      </c>
      <c r="J101" s="210"/>
      <c r="K101" s="219">
        <v>0</v>
      </c>
      <c r="L101" s="401"/>
      <c r="M101" s="434"/>
      <c r="N101" s="434"/>
      <c r="O101" s="434"/>
      <c r="P101" s="434"/>
      <c r="Q101" s="441"/>
    </row>
    <row r="102" spans="1:22" s="97" customFormat="1" ht="27" customHeight="1" thickBot="1">
      <c r="A102" s="240" t="s">
        <v>9</v>
      </c>
      <c r="B102" s="199">
        <f>K18</f>
        <v>1082833974</v>
      </c>
      <c r="C102" s="200" t="s">
        <v>721</v>
      </c>
      <c r="D102" s="315"/>
      <c r="E102" s="201">
        <v>0</v>
      </c>
      <c r="F102" s="534"/>
      <c r="G102" s="2097"/>
      <c r="H102" s="202" t="s">
        <v>19</v>
      </c>
      <c r="I102" s="203">
        <f>SUM(I18,I30,I57,I60,I64,I66,I68,I76,I79,I87,I99)-E109+I89</f>
        <v>5126406711</v>
      </c>
      <c r="J102" s="203">
        <f>H109+I109</f>
        <v>5068543901</v>
      </c>
      <c r="K102" s="475">
        <f>SUM(K18,K30,K57,K60,K64,K66,K68,K76,K79,K87,K99)</f>
        <v>1663459310</v>
      </c>
      <c r="L102" s="401"/>
      <c r="M102" s="434"/>
      <c r="N102" s="434"/>
      <c r="O102" s="434"/>
      <c r="P102" s="434"/>
      <c r="Q102" s="441"/>
      <c r="R102" s="403"/>
      <c r="S102" s="403"/>
      <c r="T102" s="403"/>
    </row>
    <row r="103" spans="1:22" s="97" customFormat="1" ht="27" customHeight="1">
      <c r="A103" s="240" t="s">
        <v>11</v>
      </c>
      <c r="B103" s="199">
        <f>K30</f>
        <v>8067561</v>
      </c>
      <c r="C103" s="200" t="s">
        <v>722</v>
      </c>
      <c r="D103" s="315"/>
      <c r="E103" s="201">
        <v>0</v>
      </c>
      <c r="F103" s="535"/>
      <c r="G103" s="296" t="s">
        <v>20</v>
      </c>
      <c r="H103" s="297" t="s">
        <v>2351</v>
      </c>
      <c r="I103" s="298" t="s">
        <v>121</v>
      </c>
      <c r="J103" s="298" t="s">
        <v>122</v>
      </c>
      <c r="K103" s="234" t="s">
        <v>32</v>
      </c>
      <c r="L103" s="401"/>
      <c r="M103" s="434"/>
      <c r="N103" s="434"/>
      <c r="O103" s="434"/>
      <c r="P103" s="434"/>
      <c r="Q103" s="441"/>
      <c r="R103" s="403"/>
      <c r="S103" s="403"/>
    </row>
    <row r="104" spans="1:22" s="97" customFormat="1" ht="27" customHeight="1">
      <c r="A104" s="241" t="s">
        <v>114</v>
      </c>
      <c r="B104" s="199">
        <f>K57</f>
        <v>341453031</v>
      </c>
      <c r="C104" s="293" t="s">
        <v>14</v>
      </c>
      <c r="D104" s="316"/>
      <c r="E104" s="294">
        <f>K76</f>
        <v>27506983</v>
      </c>
      <c r="F104" s="536"/>
      <c r="G104" s="211" t="s">
        <v>22</v>
      </c>
      <c r="H104" s="199">
        <f>I80+I81</f>
        <v>326301762</v>
      </c>
      <c r="I104" s="199">
        <f>SUM(I82:I85)</f>
        <v>714967572</v>
      </c>
      <c r="J104" s="199">
        <f>K86</f>
        <v>132693009</v>
      </c>
      <c r="K104" s="201">
        <f>SUM(H104:I104)</f>
        <v>1041269334</v>
      </c>
      <c r="L104" s="366"/>
      <c r="M104" s="438"/>
      <c r="N104" s="434"/>
      <c r="O104" s="434"/>
      <c r="P104" s="434"/>
      <c r="Q104" s="441"/>
      <c r="R104" s="403"/>
      <c r="S104" s="403"/>
    </row>
    <row r="105" spans="1:22" s="97" customFormat="1" ht="27" customHeight="1">
      <c r="A105" s="241" t="s">
        <v>153</v>
      </c>
      <c r="B105" s="199">
        <v>0</v>
      </c>
      <c r="C105" s="293" t="s">
        <v>15</v>
      </c>
      <c r="D105" s="317"/>
      <c r="E105" s="295">
        <f>K79</f>
        <v>13041942</v>
      </c>
      <c r="F105" s="537"/>
      <c r="G105" s="211" t="s">
        <v>23</v>
      </c>
      <c r="H105" s="199">
        <f>J19+SUM(J31:J33)+J61</f>
        <v>353787247</v>
      </c>
      <c r="I105" s="199">
        <f>SUM(J20:J28)+SUM(J34:J50)+SUM(J58:J59)+J67+J62</f>
        <v>1152282412</v>
      </c>
      <c r="J105" s="199">
        <f>SUM(K29)+SUM(K51:K56)</f>
        <v>349520592</v>
      </c>
      <c r="K105" s="201">
        <f>SUM(H105:I105)</f>
        <v>1506069659</v>
      </c>
      <c r="L105" s="175"/>
      <c r="M105" s="438"/>
      <c r="N105" s="434"/>
      <c r="O105" s="434"/>
      <c r="P105" s="434"/>
      <c r="Q105" s="441"/>
      <c r="R105" s="403"/>
      <c r="S105" s="403"/>
    </row>
    <row r="106" spans="1:22" s="126" customFormat="1" ht="27" customHeight="1">
      <c r="A106" s="241" t="s">
        <v>719</v>
      </c>
      <c r="B106" s="199">
        <v>0</v>
      </c>
      <c r="C106" s="293" t="s">
        <v>53</v>
      </c>
      <c r="D106" s="316"/>
      <c r="E106" s="294">
        <v>0</v>
      </c>
      <c r="F106" s="536"/>
      <c r="G106" s="211" t="s">
        <v>24</v>
      </c>
      <c r="H106" s="199">
        <f>I12+I13</f>
        <v>1160814700</v>
      </c>
      <c r="I106" s="199">
        <f>I14+I15</f>
        <v>1089820010</v>
      </c>
      <c r="J106" s="199">
        <f>K16+K17+J63</f>
        <v>1082833974</v>
      </c>
      <c r="K106" s="201">
        <f>SUM(H106:I106)</f>
        <v>2250634710</v>
      </c>
      <c r="L106" s="175"/>
      <c r="M106" s="438"/>
      <c r="N106" s="436"/>
      <c r="O106" s="436"/>
      <c r="P106" s="436"/>
      <c r="Q106" s="443"/>
      <c r="R106" s="403"/>
      <c r="S106" s="403"/>
      <c r="T106" s="97"/>
    </row>
    <row r="107" spans="1:22" s="126" customFormat="1" ht="27" customHeight="1">
      <c r="A107" s="241" t="s">
        <v>35</v>
      </c>
      <c r="B107" s="199">
        <v>0</v>
      </c>
      <c r="C107" s="200" t="s">
        <v>252</v>
      </c>
      <c r="D107" s="216"/>
      <c r="E107" s="508">
        <f>K87</f>
        <v>132693009</v>
      </c>
      <c r="F107" s="538"/>
      <c r="G107" s="211" t="s">
        <v>723</v>
      </c>
      <c r="H107" s="199">
        <f>I77</f>
        <v>81912016</v>
      </c>
      <c r="I107" s="199">
        <f>I88+I69+I70+I71+I72+I73+I74+I65</f>
        <v>158757979</v>
      </c>
      <c r="J107" s="199">
        <f>I78+I75</f>
        <v>40548925</v>
      </c>
      <c r="K107" s="201">
        <f>SUM(H107:I107)</f>
        <v>240669995</v>
      </c>
      <c r="L107" s="366"/>
      <c r="M107" s="439"/>
      <c r="N107" s="436"/>
      <c r="O107" s="436"/>
      <c r="P107" s="436"/>
      <c r="Q107" s="443"/>
      <c r="R107" s="403"/>
      <c r="S107" s="403"/>
      <c r="T107" s="97"/>
    </row>
    <row r="108" spans="1:22" s="126" customFormat="1" ht="27" customHeight="1" thickBot="1">
      <c r="A108" s="215" t="s">
        <v>724</v>
      </c>
      <c r="B108" s="213">
        <v>0</v>
      </c>
      <c r="C108" s="214"/>
      <c r="D108" s="318"/>
      <c r="E108" s="242"/>
      <c r="F108" s="539"/>
      <c r="G108" s="299" t="s">
        <v>1177</v>
      </c>
      <c r="H108" s="311">
        <v>0</v>
      </c>
      <c r="I108" s="311">
        <f>SUM(I99)</f>
        <v>29900203</v>
      </c>
      <c r="J108" s="311">
        <v>0</v>
      </c>
      <c r="K108" s="312">
        <f>SUM(H108:I108)</f>
        <v>29900203</v>
      </c>
      <c r="L108" s="364" t="b">
        <f>J109=E109</f>
        <v>1</v>
      </c>
      <c r="M108" s="436"/>
      <c r="N108" s="436"/>
      <c r="O108" s="436"/>
      <c r="P108" s="436"/>
      <c r="Q108" s="443"/>
      <c r="S108" s="205"/>
    </row>
    <row r="109" spans="1:22" s="126" customFormat="1" ht="27" customHeight="1" thickTop="1" thickBot="1">
      <c r="A109" s="243"/>
      <c r="B109" s="244" t="s">
        <v>49</v>
      </c>
      <c r="C109" s="245"/>
      <c r="D109" s="244"/>
      <c r="E109" s="246">
        <f>SUM(B102:B108,E102:E108)</f>
        <v>1605596500</v>
      </c>
      <c r="F109" s="540"/>
      <c r="G109" s="236" t="s">
        <v>16</v>
      </c>
      <c r="H109" s="237">
        <f>SUM(H104:H108)</f>
        <v>1922815725</v>
      </c>
      <c r="I109" s="237">
        <f>SUM(I104:I108)</f>
        <v>3145728176</v>
      </c>
      <c r="J109" s="237">
        <f>SUM(J104:J108)</f>
        <v>1605596500</v>
      </c>
      <c r="K109" s="238">
        <f>+H109+I109</f>
        <v>5068543901</v>
      </c>
      <c r="L109" s="364" t="b">
        <f>I102=I109+H109</f>
        <v>0</v>
      </c>
      <c r="M109" s="436"/>
      <c r="N109" s="436"/>
      <c r="O109" s="436"/>
      <c r="P109" s="436"/>
      <c r="Q109" s="443"/>
    </row>
    <row r="110" spans="1:22" s="19" customFormat="1" ht="27" customHeight="1" thickBot="1">
      <c r="A110"/>
      <c r="B110"/>
      <c r="C110"/>
      <c r="D110"/>
      <c r="E110"/>
      <c r="F110"/>
      <c r="G110" s="2047" t="s">
        <v>1685</v>
      </c>
      <c r="H110" s="2048"/>
      <c r="I110" s="2048"/>
      <c r="J110" s="2049"/>
      <c r="K110" s="404">
        <f>K109-K108</f>
        <v>5038643698</v>
      </c>
      <c r="L110" s="410"/>
      <c r="M110" s="436"/>
      <c r="N110" s="436"/>
      <c r="O110" s="436"/>
      <c r="P110" s="436"/>
      <c r="Q110" s="443"/>
      <c r="R110" s="15"/>
    </row>
    <row r="111" spans="1:22">
      <c r="B111" s="291"/>
      <c r="C111" s="290"/>
      <c r="D111" s="290"/>
      <c r="E111" s="26"/>
      <c r="F111" s="26"/>
      <c r="G111" s="292"/>
      <c r="I111" s="26"/>
      <c r="K111" s="13">
        <v>3699929100</v>
      </c>
      <c r="M111" s="434"/>
      <c r="N111" s="434"/>
      <c r="O111" s="434"/>
      <c r="P111" s="434"/>
      <c r="Q111" s="441"/>
      <c r="R111" s="26"/>
      <c r="S111"/>
      <c r="T111"/>
      <c r="U111"/>
      <c r="V111"/>
    </row>
    <row r="112" spans="1:22" s="24" customFormat="1">
      <c r="A112"/>
      <c r="B112"/>
      <c r="C112" s="290"/>
      <c r="D112" s="290"/>
      <c r="E112" s="26"/>
      <c r="F112" s="26"/>
      <c r="G112" s="292"/>
      <c r="H112" s="47"/>
      <c r="I112" s="26"/>
      <c r="J112"/>
      <c r="K112" s="412">
        <f>K110-K111</f>
        <v>1338714598</v>
      </c>
      <c r="M112" s="434"/>
      <c r="N112" s="440"/>
      <c r="O112" s="440"/>
      <c r="P112" s="440"/>
      <c r="Q112" s="445"/>
    </row>
    <row r="113" spans="1:22" s="24" customFormat="1">
      <c r="A113"/>
      <c r="B113"/>
      <c r="C113" s="290"/>
      <c r="D113" s="290"/>
      <c r="E113" s="26"/>
      <c r="F113" s="26"/>
      <c r="G113" s="292"/>
      <c r="H113" s="47"/>
      <c r="I113" s="26">
        <f>211435990</f>
        <v>211435990</v>
      </c>
      <c r="J113"/>
      <c r="K113" s="26"/>
      <c r="M113" s="434"/>
      <c r="N113" s="440"/>
      <c r="O113" s="440"/>
      <c r="P113" s="440"/>
      <c r="Q113" s="445"/>
    </row>
    <row r="114" spans="1:22" s="24" customFormat="1">
      <c r="A114"/>
      <c r="B114"/>
      <c r="C114" s="290"/>
      <c r="D114" s="290"/>
      <c r="E114" s="26"/>
      <c r="F114" s="26"/>
      <c r="G114" s="292"/>
      <c r="H114" s="47"/>
      <c r="I114" s="26">
        <f>I113-'25.01 (갑) '!I68</f>
        <v>52443446</v>
      </c>
      <c r="J114"/>
      <c r="K114"/>
      <c r="M114" s="13"/>
      <c r="N114" s="13"/>
      <c r="O114" s="13"/>
      <c r="P114" s="13"/>
      <c r="R114" s="434"/>
      <c r="S114" s="440"/>
      <c r="T114" s="440"/>
      <c r="U114" s="440"/>
      <c r="V114" s="445"/>
    </row>
    <row r="115" spans="1:22" s="24" customFormat="1">
      <c r="A115"/>
      <c r="B115"/>
      <c r="C115" s="290"/>
      <c r="D115" s="290"/>
      <c r="E115"/>
      <c r="F115"/>
      <c r="G115" s="13"/>
      <c r="H115" s="47"/>
      <c r="I115" s="26"/>
      <c r="J115"/>
      <c r="K115"/>
      <c r="M115" s="13"/>
      <c r="N115" s="13"/>
      <c r="O115" s="13"/>
      <c r="P115" s="13"/>
      <c r="R115" s="434"/>
      <c r="S115" s="440"/>
      <c r="T115" s="440"/>
      <c r="U115" s="440"/>
      <c r="V115" s="445"/>
    </row>
    <row r="116" spans="1:22" s="24" customFormat="1">
      <c r="A116"/>
      <c r="B116"/>
      <c r="C116"/>
      <c r="D116"/>
      <c r="E116"/>
      <c r="F116"/>
      <c r="G116" s="13"/>
      <c r="H116" s="47">
        <f>H106+I106</f>
        <v>2250634710</v>
      </c>
      <c r="I116"/>
      <c r="J116"/>
      <c r="K116"/>
      <c r="M116"/>
      <c r="N116"/>
      <c r="O116"/>
      <c r="P116"/>
      <c r="R116" s="434"/>
      <c r="S116" s="440"/>
      <c r="T116" s="440"/>
      <c r="U116" s="440"/>
      <c r="V116" s="445"/>
    </row>
    <row r="117" spans="1:22">
      <c r="H117" s="47">
        <f>2250634710</f>
        <v>2250634710</v>
      </c>
      <c r="I117" s="47">
        <f>H116-H117</f>
        <v>0</v>
      </c>
    </row>
  </sheetData>
  <autoFilter ref="A10:G109" xr:uid="{00000000-0009-0000-0000-000054000000}"/>
  <mergeCells count="41">
    <mergeCell ref="T5:T9"/>
    <mergeCell ref="U5:U9"/>
    <mergeCell ref="Q3:Q9"/>
    <mergeCell ref="R3:R4"/>
    <mergeCell ref="S3:S4"/>
    <mergeCell ref="T3:T4"/>
    <mergeCell ref="U3:U4"/>
    <mergeCell ref="G10:G11"/>
    <mergeCell ref="A58:A59"/>
    <mergeCell ref="A5:H9"/>
    <mergeCell ref="R5:R9"/>
    <mergeCell ref="S5:S9"/>
    <mergeCell ref="A10:A11"/>
    <mergeCell ref="B10:B11"/>
    <mergeCell ref="C10:C11"/>
    <mergeCell ref="D10:D11"/>
    <mergeCell ref="E10:E11"/>
    <mergeCell ref="A19:A29"/>
    <mergeCell ref="A12:A17"/>
    <mergeCell ref="G110:J110"/>
    <mergeCell ref="M9:P10"/>
    <mergeCell ref="A69:A75"/>
    <mergeCell ref="A76:G76"/>
    <mergeCell ref="A79:G79"/>
    <mergeCell ref="A80:A86"/>
    <mergeCell ref="A87:G87"/>
    <mergeCell ref="A57:G57"/>
    <mergeCell ref="A60:G60"/>
    <mergeCell ref="A64:G64"/>
    <mergeCell ref="A66:G66"/>
    <mergeCell ref="A68:G68"/>
    <mergeCell ref="H10:K10"/>
    <mergeCell ref="A18:G18"/>
    <mergeCell ref="A30:G30"/>
    <mergeCell ref="A77:A78"/>
    <mergeCell ref="A99:G99"/>
    <mergeCell ref="A100:E100"/>
    <mergeCell ref="G100:G102"/>
    <mergeCell ref="A31:A56"/>
    <mergeCell ref="A89:G89"/>
    <mergeCell ref="A61:A63"/>
  </mergeCells>
  <phoneticPr fontId="2" type="noConversion"/>
  <conditionalFormatting sqref="A12 B19:K29 H60:H64">
    <cfRule type="expression" dxfId="1051" priority="128">
      <formula>#REF!="*01월*"</formula>
    </cfRule>
  </conditionalFormatting>
  <conditionalFormatting sqref="A30 H30 J30:K30 K99">
    <cfRule type="expression" dxfId="1050" priority="120">
      <formula>$E36="*01월*"</formula>
    </cfRule>
  </conditionalFormatting>
  <conditionalFormatting sqref="A57:A58 A60">
    <cfRule type="expression" dxfId="1049" priority="118">
      <formula>#REF!="*01월*"</formula>
    </cfRule>
  </conditionalFormatting>
  <conditionalFormatting sqref="A61 A77 I77:I78 K77:K78">
    <cfRule type="expression" dxfId="1048" priority="111">
      <formula>$E65="*01월*"</formula>
    </cfRule>
  </conditionalFormatting>
  <conditionalFormatting sqref="A64:A66 A69 C69:D73 I74:I75 J78 A99:A100">
    <cfRule type="expression" dxfId="1047" priority="88">
      <formula>$E66="*01월*"</formula>
    </cfRule>
  </conditionalFormatting>
  <conditionalFormatting sqref="A67:A68">
    <cfRule type="expression" dxfId="1046" priority="127">
      <formula>#REF!="*01월*"</formula>
    </cfRule>
  </conditionalFormatting>
  <conditionalFormatting sqref="A76">
    <cfRule type="expression" dxfId="1045" priority="122">
      <formula>#REF!="*01월*"</formula>
    </cfRule>
  </conditionalFormatting>
  <conditionalFormatting sqref="A79:A80">
    <cfRule type="expression" dxfId="1044" priority="121">
      <formula>#REF!="*01월*"</formula>
    </cfRule>
  </conditionalFormatting>
  <conditionalFormatting sqref="A87:A89 C88:F88 I88:K88">
    <cfRule type="expression" dxfId="1043" priority="134">
      <formula>$E99="*01월*"</formula>
    </cfRule>
  </conditionalFormatting>
  <conditionalFormatting sqref="A91:A98 C91:F98 I91:K98">
    <cfRule type="expression" dxfId="1042" priority="9">
      <formula>$E101="*01월*"</formula>
    </cfRule>
  </conditionalFormatting>
  <conditionalFormatting sqref="A10:K11">
    <cfRule type="expression" dxfId="1041" priority="116">
      <formula>$E14="*01월*"</formula>
    </cfRule>
  </conditionalFormatting>
  <conditionalFormatting sqref="B65 E65:F65">
    <cfRule type="expression" dxfId="1040" priority="73">
      <formula>$E66="*01월*"</formula>
    </cfRule>
  </conditionalFormatting>
  <conditionalFormatting sqref="B67 E67:F67">
    <cfRule type="expression" dxfId="1039" priority="70">
      <formula>$E68="*01월*"</formula>
    </cfRule>
  </conditionalFormatting>
  <conditionalFormatting sqref="B69:B74 E69:F74">
    <cfRule type="expression" dxfId="1038" priority="126">
      <formula>$E70="*01월*"</formula>
    </cfRule>
  </conditionalFormatting>
  <conditionalFormatting sqref="B88 B90:B98">
    <cfRule type="expression" dxfId="1037" priority="4">
      <formula>#REF!="*01월*"</formula>
    </cfRule>
  </conditionalFormatting>
  <conditionalFormatting sqref="B77:D78">
    <cfRule type="expression" dxfId="1036" priority="124">
      <formula>$E79="*01월*"</formula>
    </cfRule>
  </conditionalFormatting>
  <conditionalFormatting sqref="B80:F81 G81:K81 B82:K85 B86:J86">
    <cfRule type="expression" dxfId="1035" priority="105">
      <formula>#REF!="*01월*"</formula>
    </cfRule>
  </conditionalFormatting>
  <conditionalFormatting sqref="B61:G63">
    <cfRule type="expression" dxfId="1034" priority="108">
      <formula>#REF!="*01월*"</formula>
    </cfRule>
  </conditionalFormatting>
  <conditionalFormatting sqref="B65:G65">
    <cfRule type="expression" dxfId="1033" priority="71">
      <formula>#REF!="*01월*"</formula>
    </cfRule>
  </conditionalFormatting>
  <conditionalFormatting sqref="B67:G67">
    <cfRule type="expression" dxfId="1032" priority="68">
      <formula>#REF!="*01월*"</formula>
    </cfRule>
  </conditionalFormatting>
  <conditionalFormatting sqref="B58:K59">
    <cfRule type="expression" dxfId="1031" priority="77">
      <formula>#REF!="*01월*"</formula>
    </cfRule>
  </conditionalFormatting>
  <conditionalFormatting sqref="B69:K75">
    <cfRule type="expression" dxfId="1030" priority="65">
      <formula>#REF!="*01월*"</formula>
    </cfRule>
  </conditionalFormatting>
  <conditionalFormatting sqref="C61:D63 H61:H63 H76 J76:K76">
    <cfRule type="expression" dxfId="1029" priority="98">
      <formula>$E64="*01월*"</formula>
    </cfRule>
  </conditionalFormatting>
  <conditionalFormatting sqref="C65:D65">
    <cfRule type="expression" dxfId="1028" priority="72">
      <formula>$E67="*01월*"</formula>
    </cfRule>
  </conditionalFormatting>
  <conditionalFormatting sqref="C67:D67">
    <cfRule type="expression" dxfId="1027" priority="69">
      <formula>$E69="*01월*"</formula>
    </cfRule>
  </conditionalFormatting>
  <conditionalFormatting sqref="C74:D75 B75 E75:F75">
    <cfRule type="expression" dxfId="1026" priority="797">
      <formula>#REF!="*01월*"</formula>
    </cfRule>
  </conditionalFormatting>
  <conditionalFormatting sqref="C111:D115">
    <cfRule type="expression" dxfId="1025" priority="123">
      <formula>$E113="*01월*"</formula>
    </cfRule>
  </conditionalFormatting>
  <conditionalFormatting sqref="E21:F21">
    <cfRule type="expression" dxfId="1024" priority="804">
      <formula>$E30="*01월*"</formula>
    </cfRule>
  </conditionalFormatting>
  <conditionalFormatting sqref="E22:F25">
    <cfRule type="expression" dxfId="1023" priority="789">
      <formula>$E37="*01월*"</formula>
    </cfRule>
  </conditionalFormatting>
  <conditionalFormatting sqref="E23:F24">
    <cfRule type="expression" dxfId="1022" priority="792">
      <formula>$E39="*01월*"</formula>
    </cfRule>
  </conditionalFormatting>
  <conditionalFormatting sqref="E24:F24 E29:F29">
    <cfRule type="expression" dxfId="1021" priority="106">
      <formula>$E34="*01월*"</formula>
    </cfRule>
  </conditionalFormatting>
  <conditionalFormatting sqref="E25:F26">
    <cfRule type="expression" dxfId="1020" priority="132">
      <formula>$E39="*01월*"</formula>
    </cfRule>
  </conditionalFormatting>
  <conditionalFormatting sqref="E26:F26">
    <cfRule type="expression" dxfId="1019" priority="802">
      <formula>$E39="*01월*"</formula>
    </cfRule>
  </conditionalFormatting>
  <conditionalFormatting sqref="E27:F28 A90 C90:F90 I90:K90">
    <cfRule type="expression" dxfId="1018" priority="800">
      <formula>$E38="*01월*"</formula>
    </cfRule>
  </conditionalFormatting>
  <conditionalFormatting sqref="E28:F28">
    <cfRule type="expression" dxfId="1017" priority="2">
      <formula>$E44="*01월*"</formula>
    </cfRule>
  </conditionalFormatting>
  <conditionalFormatting sqref="E28:F29">
    <cfRule type="expression" dxfId="1016" priority="1">
      <formula>$E43="*01월*"</formula>
    </cfRule>
  </conditionalFormatting>
  <conditionalFormatting sqref="E77:G78">
    <cfRule type="expression" dxfId="1015" priority="100">
      <formula>#REF!="*01월*"</formula>
    </cfRule>
  </conditionalFormatting>
  <conditionalFormatting sqref="G88:H88 G90:H98">
    <cfRule type="expression" dxfId="1014" priority="99">
      <formula>#REF!="*01월*"</formula>
    </cfRule>
  </conditionalFormatting>
  <conditionalFormatting sqref="G80:I80">
    <cfRule type="expression" dxfId="1013" priority="82">
      <formula>#REF!="*01월*"</formula>
    </cfRule>
  </conditionalFormatting>
  <conditionalFormatting sqref="G100:K100">
    <cfRule type="expression" dxfId="1012" priority="104">
      <formula>$E102="*01월*"</formula>
    </cfRule>
  </conditionalFormatting>
  <conditionalFormatting sqref="H57:I57">
    <cfRule type="expression" dxfId="1011" priority="78">
      <formula>#REF!="*01월*"</formula>
    </cfRule>
  </conditionalFormatting>
  <conditionalFormatting sqref="H67:I67 K67 H79:K79 J80:K80">
    <cfRule type="expression" dxfId="1010" priority="115">
      <formula>$E70="*01월*"</formula>
    </cfRule>
  </conditionalFormatting>
  <conditionalFormatting sqref="H68:I68 K68">
    <cfRule type="expression" dxfId="1009" priority="86">
      <formula>#REF!="*01월*"</formula>
    </cfRule>
  </conditionalFormatting>
  <conditionalFormatting sqref="H18:K18">
    <cfRule type="expression" dxfId="1008" priority="114">
      <formula>#REF!="*01월*"</formula>
    </cfRule>
  </conditionalFormatting>
  <conditionalFormatting sqref="H69:K69">
    <cfRule type="expression" dxfId="1007" priority="89">
      <formula>$E64="*01월*"</formula>
    </cfRule>
  </conditionalFormatting>
  <conditionalFormatting sqref="H87:K87">
    <cfRule type="expression" dxfId="1006" priority="798">
      <formula>$E99="*01월*"</formula>
    </cfRule>
  </conditionalFormatting>
  <conditionalFormatting sqref="H89:K89">
    <cfRule type="expression" dxfId="1005" priority="3">
      <formula>$E101="*01월*"</formula>
    </cfRule>
  </conditionalFormatting>
  <conditionalFormatting sqref="I30">
    <cfRule type="expression" dxfId="1004" priority="110">
      <formula>#REF!="*01월*"</formula>
    </cfRule>
  </conditionalFormatting>
  <conditionalFormatting sqref="I76">
    <cfRule type="expression" dxfId="1003" priority="81">
      <formula>#REF!="*01월*"</formula>
    </cfRule>
  </conditionalFormatting>
  <conditionalFormatting sqref="I69:J69">
    <cfRule type="expression" dxfId="1002" priority="87">
      <formula>$E72="*01월*"</formula>
    </cfRule>
  </conditionalFormatting>
  <conditionalFormatting sqref="I60:K63">
    <cfRule type="expression" dxfId="1001" priority="76">
      <formula>#REF!="*01월*"</formula>
    </cfRule>
  </conditionalFormatting>
  <conditionalFormatting sqref="I64:K64 H65:K66 H99:J99 A101:K109">
    <cfRule type="expression" dxfId="1000" priority="125">
      <formula>$E66="*01월*"</formula>
    </cfRule>
  </conditionalFormatting>
  <conditionalFormatting sqref="J67:J68">
    <cfRule type="expression" dxfId="999" priority="7">
      <formula>$E69="*01월*"</formula>
    </cfRule>
  </conditionalFormatting>
  <conditionalFormatting sqref="J77">
    <cfRule type="expression" dxfId="998" priority="6">
      <formula>$E80="*01월*"</formula>
    </cfRule>
  </conditionalFormatting>
  <conditionalFormatting sqref="K86">
    <cfRule type="expression" dxfId="997" priority="5">
      <formula>$E92="*01월*"</formula>
    </cfRule>
  </conditionalFormatting>
  <conditionalFormatting sqref="K110 G110:G114">
    <cfRule type="expression" dxfId="996" priority="119">
      <formula>$E112="*01월*"</formula>
    </cfRule>
  </conditionalFormatting>
  <conditionalFormatting sqref="M9 H77:H78">
    <cfRule type="expression" dxfId="995" priority="59">
      <formula>$E14="*01월*"</formula>
    </cfRule>
  </conditionalFormatting>
  <conditionalFormatting sqref="M11:P98 B12:K17 A18 B31:K51 B52:I56 J52:K57">
    <cfRule type="expression" dxfId="994" priority="129">
      <formula>#REF!="*01월*"</formula>
    </cfRule>
  </conditionalFormatting>
  <printOptions horizontalCentered="1"/>
  <pageMargins left="0" right="0" top="0.70866141732283472" bottom="0.23622047244094491" header="0" footer="0"/>
  <pageSetup paperSize="9" scale="40" fitToHeight="0" orientation="portrait" r:id="rId1"/>
  <rowBreaks count="1" manualBreakCount="1">
    <brk id="68" max="9" man="1"/>
  </rowBreaks>
  <colBreaks count="1" manualBreakCount="1">
    <brk id="10" max="1048575" man="1"/>
  </colBreaks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pageSetUpPr fitToPage="1"/>
  </sheetPr>
  <dimension ref="A2:S124"/>
  <sheetViews>
    <sheetView view="pageBreakPreview" zoomScale="70" zoomScaleNormal="70" zoomScaleSheetLayoutView="7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I99" sqref="I99"/>
    </sheetView>
  </sheetViews>
  <sheetFormatPr defaultRowHeight="25.2"/>
  <cols>
    <col min="1" max="1" width="18.69921875" customWidth="1"/>
    <col min="2" max="2" width="22.8984375" customWidth="1"/>
    <col min="3" max="3" width="22.8984375" hidden="1" customWidth="1"/>
    <col min="4" max="4" width="29.09765625" customWidth="1"/>
    <col min="5" max="5" width="29.09765625" hidden="1" customWidth="1"/>
    <col min="6" max="6" width="21" customWidth="1"/>
    <col min="7" max="7" width="21" hidden="1" customWidth="1"/>
    <col min="8" max="8" width="18.69921875" customWidth="1"/>
    <col min="9" max="9" width="25.69921875" style="47" customWidth="1"/>
    <col min="10" max="10" width="26.5" customWidth="1"/>
    <col min="11" max="11" width="25.09765625" customWidth="1"/>
    <col min="12" max="12" width="29.19921875" customWidth="1"/>
    <col min="13" max="13" width="14.8984375" style="24" customWidth="1"/>
    <col min="14" max="14" width="7.5" style="24" customWidth="1"/>
    <col min="15" max="18" width="17.09765625" style="434" customWidth="1"/>
    <col min="19" max="19" width="9" style="441"/>
  </cols>
  <sheetData>
    <row r="2" spans="1:19" ht="25.8" thickBot="1">
      <c r="F2" s="507"/>
      <c r="G2" s="507"/>
      <c r="I2" s="24"/>
      <c r="J2" s="434"/>
      <c r="K2" s="434"/>
      <c r="L2" s="434"/>
      <c r="M2" s="434"/>
      <c r="N2"/>
      <c r="O2"/>
      <c r="P2"/>
      <c r="Q2"/>
      <c r="R2"/>
      <c r="S2"/>
    </row>
    <row r="3" spans="1:19" ht="21.75" customHeight="1" thickTop="1">
      <c r="F3" s="507"/>
      <c r="N3" s="2058" t="s">
        <v>2041</v>
      </c>
      <c r="O3" s="2082" t="s">
        <v>2034</v>
      </c>
      <c r="P3" s="2084" t="s">
        <v>2034</v>
      </c>
      <c r="Q3" s="2084" t="s">
        <v>2035</v>
      </c>
      <c r="R3" s="2086" t="s">
        <v>2036</v>
      </c>
    </row>
    <row r="4" spans="1:19" ht="19.5" customHeight="1">
      <c r="N4" s="2080"/>
      <c r="O4" s="2083"/>
      <c r="P4" s="2085"/>
      <c r="Q4" s="2085"/>
      <c r="R4" s="2087"/>
    </row>
    <row r="5" spans="1:19" ht="19.5" customHeight="1">
      <c r="A5" s="2020" t="s">
        <v>2649</v>
      </c>
      <c r="B5" s="2020"/>
      <c r="C5" s="2020"/>
      <c r="D5" s="2020"/>
      <c r="E5" s="2020"/>
      <c r="F5" s="2020"/>
      <c r="G5" s="2020"/>
      <c r="H5" s="2020"/>
      <c r="I5" s="2020"/>
      <c r="J5" s="1"/>
      <c r="K5" s="1"/>
      <c r="L5" s="1"/>
      <c r="N5" s="2080"/>
      <c r="O5" s="2091"/>
      <c r="P5" s="2088"/>
      <c r="Q5" s="2088"/>
      <c r="R5" s="2077"/>
    </row>
    <row r="6" spans="1:19" ht="19.5" customHeight="1">
      <c r="A6" s="2020"/>
      <c r="B6" s="2020"/>
      <c r="C6" s="2020"/>
      <c r="D6" s="2020"/>
      <c r="E6" s="2020"/>
      <c r="F6" s="2020"/>
      <c r="G6" s="2020"/>
      <c r="H6" s="2020"/>
      <c r="I6" s="2020"/>
      <c r="J6" s="1"/>
      <c r="K6" s="1"/>
      <c r="L6" s="1"/>
      <c r="N6" s="2080"/>
      <c r="O6" s="2092"/>
      <c r="P6" s="2089"/>
      <c r="Q6" s="2089"/>
      <c r="R6" s="2078"/>
    </row>
    <row r="7" spans="1:19" ht="19.5" customHeight="1">
      <c r="A7" s="2020"/>
      <c r="B7" s="2020"/>
      <c r="C7" s="2020"/>
      <c r="D7" s="2020"/>
      <c r="E7" s="2020"/>
      <c r="F7" s="2020"/>
      <c r="G7" s="2020"/>
      <c r="H7" s="2020"/>
      <c r="I7" s="2020"/>
      <c r="J7" s="1"/>
      <c r="K7" s="1"/>
      <c r="L7" s="1"/>
      <c r="N7" s="2080"/>
      <c r="O7" s="2092"/>
      <c r="P7" s="2089"/>
      <c r="Q7" s="2089"/>
      <c r="R7" s="2078"/>
    </row>
    <row r="8" spans="1:19" ht="19.5" customHeight="1">
      <c r="A8" s="2020"/>
      <c r="B8" s="2020"/>
      <c r="C8" s="2020"/>
      <c r="D8" s="2020"/>
      <c r="E8" s="2020"/>
      <c r="F8" s="2020"/>
      <c r="G8" s="2020"/>
      <c r="H8" s="2020"/>
      <c r="I8" s="2020"/>
      <c r="J8" s="2"/>
      <c r="K8" s="2"/>
      <c r="L8" s="2"/>
      <c r="N8" s="2080"/>
      <c r="O8" s="2092"/>
      <c r="P8" s="2089"/>
      <c r="Q8" s="2089"/>
      <c r="R8" s="2078"/>
    </row>
    <row r="9" spans="1:19" ht="19.5" customHeight="1" thickBot="1">
      <c r="A9" s="2052"/>
      <c r="B9" s="2052"/>
      <c r="C9" s="2052"/>
      <c r="D9" s="2052"/>
      <c r="E9" s="2052"/>
      <c r="F9" s="2052"/>
      <c r="G9" s="2052"/>
      <c r="H9" s="2052"/>
      <c r="I9" s="2052"/>
      <c r="J9" s="2"/>
      <c r="K9" s="2"/>
      <c r="L9" s="2"/>
      <c r="N9" s="2081"/>
      <c r="O9" s="2093"/>
      <c r="P9" s="2090"/>
      <c r="Q9" s="2090"/>
      <c r="R9" s="2079"/>
    </row>
    <row r="10" spans="1:19" ht="23.25" customHeight="1">
      <c r="A10" s="2021" t="s">
        <v>0</v>
      </c>
      <c r="B10" s="2023" t="s">
        <v>1</v>
      </c>
      <c r="C10" s="2107" t="s">
        <v>2655</v>
      </c>
      <c r="D10" s="2024" t="s">
        <v>2</v>
      </c>
      <c r="E10" s="2024" t="s">
        <v>1222</v>
      </c>
      <c r="F10" s="2024" t="s">
        <v>3</v>
      </c>
      <c r="G10" s="523"/>
      <c r="H10" s="2025" t="s">
        <v>4</v>
      </c>
      <c r="I10" s="2104" t="s">
        <v>2352</v>
      </c>
      <c r="J10" s="2105"/>
      <c r="K10" s="2105"/>
      <c r="L10" s="2106"/>
    </row>
    <row r="11" spans="1:19" ht="23.25" customHeight="1">
      <c r="A11" s="2022"/>
      <c r="B11" s="2003"/>
      <c r="C11" s="2108"/>
      <c r="D11" s="2004"/>
      <c r="E11" s="2004"/>
      <c r="F11" s="2004"/>
      <c r="G11" s="522" t="s">
        <v>2499</v>
      </c>
      <c r="H11" s="2005"/>
      <c r="I11" s="82" t="s">
        <v>6</v>
      </c>
      <c r="J11" s="3" t="s">
        <v>7</v>
      </c>
      <c r="K11" s="476" t="s">
        <v>2479</v>
      </c>
      <c r="L11" s="271" t="s">
        <v>2336</v>
      </c>
      <c r="M11" s="24" t="s">
        <v>2528</v>
      </c>
      <c r="N11" s="434" t="s">
        <v>33</v>
      </c>
      <c r="O11" s="434" t="s">
        <v>2522</v>
      </c>
      <c r="P11" s="434" t="s">
        <v>2358</v>
      </c>
      <c r="Q11" s="434" t="s">
        <v>44</v>
      </c>
    </row>
    <row r="12" spans="1:19" ht="23.25" customHeight="1">
      <c r="A12" s="2053" t="s">
        <v>9</v>
      </c>
      <c r="B12" s="509" t="s">
        <v>2502</v>
      </c>
      <c r="C12" s="509" t="s">
        <v>2657</v>
      </c>
      <c r="D12" s="454" t="s">
        <v>2503</v>
      </c>
      <c r="E12" s="454"/>
      <c r="F12" s="455">
        <v>45752</v>
      </c>
      <c r="G12" s="455" t="s">
        <v>2504</v>
      </c>
      <c r="H12" s="456">
        <f>VLOOKUP(F12,환율!A:B,2,0)</f>
        <v>1467</v>
      </c>
      <c r="I12" s="457">
        <v>394087.05</v>
      </c>
      <c r="J12" s="458">
        <f t="shared" ref="J12:J14" si="0">ROUNDDOWN(I12*H12,0)</f>
        <v>578125702</v>
      </c>
      <c r="K12" s="458">
        <f>J12</f>
        <v>578125702</v>
      </c>
      <c r="L12" s="463"/>
      <c r="N12" s="434"/>
    </row>
    <row r="13" spans="1:19" ht="23.25" customHeight="1">
      <c r="A13" s="2053"/>
      <c r="B13" s="509" t="s">
        <v>2505</v>
      </c>
      <c r="C13" s="509" t="s">
        <v>2657</v>
      </c>
      <c r="D13" s="454" t="s">
        <v>2506</v>
      </c>
      <c r="E13" s="454"/>
      <c r="F13" s="455">
        <v>45752</v>
      </c>
      <c r="G13" s="455" t="s">
        <v>2504</v>
      </c>
      <c r="H13" s="456">
        <f>VLOOKUP(F13,환율!A:B,2,0)</f>
        <v>1467</v>
      </c>
      <c r="I13" s="457">
        <v>343198.88</v>
      </c>
      <c r="J13" s="458">
        <f t="shared" si="0"/>
        <v>503472756</v>
      </c>
      <c r="K13" s="458">
        <f>J13</f>
        <v>503472756</v>
      </c>
      <c r="L13" s="463"/>
      <c r="N13" s="434"/>
    </row>
    <row r="14" spans="1:19" s="97" customFormat="1" ht="27" customHeight="1">
      <c r="A14" s="2053"/>
      <c r="B14" s="155" t="s">
        <v>2519</v>
      </c>
      <c r="C14" s="155" t="s">
        <v>2657</v>
      </c>
      <c r="D14" s="89" t="s">
        <v>2526</v>
      </c>
      <c r="E14" s="89"/>
      <c r="F14" s="90">
        <v>45773</v>
      </c>
      <c r="G14" s="90" t="s">
        <v>2475</v>
      </c>
      <c r="H14" s="91">
        <f>VLOOKUP(F14,환율!A:B,2,0)</f>
        <v>1430.2</v>
      </c>
      <c r="I14" s="92">
        <v>376501.17</v>
      </c>
      <c r="J14" s="93">
        <f t="shared" si="0"/>
        <v>538471973</v>
      </c>
      <c r="K14" s="93">
        <f>J14</f>
        <v>538471973</v>
      </c>
      <c r="L14" s="254"/>
      <c r="M14" s="364"/>
      <c r="N14" s="434"/>
      <c r="O14" s="434"/>
      <c r="P14" s="434"/>
      <c r="Q14" s="434"/>
      <c r="R14" s="434"/>
      <c r="S14" s="441"/>
    </row>
    <row r="15" spans="1:19" s="97" customFormat="1" ht="27" customHeight="1">
      <c r="A15" s="2053"/>
      <c r="B15" s="155" t="s">
        <v>2520</v>
      </c>
      <c r="C15" s="155" t="s">
        <v>2657</v>
      </c>
      <c r="D15" s="89" t="s">
        <v>2527</v>
      </c>
      <c r="E15" s="89"/>
      <c r="F15" s="90">
        <v>45773</v>
      </c>
      <c r="G15" s="90" t="s">
        <v>2475</v>
      </c>
      <c r="H15" s="91">
        <f>VLOOKUP(F15,환율!A:B,2,0)</f>
        <v>1430.2</v>
      </c>
      <c r="I15" s="92">
        <v>382984.31</v>
      </c>
      <c r="J15" s="93">
        <f t="shared" ref="J15:J16" si="1">ROUNDDOWN(I15*H15,0)</f>
        <v>547744160</v>
      </c>
      <c r="K15" s="93">
        <f t="shared" ref="K15" si="2">J15</f>
        <v>547744160</v>
      </c>
      <c r="L15" s="254"/>
      <c r="M15" s="401"/>
      <c r="N15" s="434"/>
      <c r="O15" s="434"/>
      <c r="P15" s="434"/>
      <c r="Q15" s="434"/>
      <c r="R15" s="434"/>
      <c r="S15" s="441"/>
    </row>
    <row r="16" spans="1:19" s="97" customFormat="1" ht="27" customHeight="1">
      <c r="A16" s="2053"/>
      <c r="B16" s="546" t="s">
        <v>2521</v>
      </c>
      <c r="C16" s="546" t="s">
        <v>2656</v>
      </c>
      <c r="D16" s="547" t="s">
        <v>2529</v>
      </c>
      <c r="E16" s="547"/>
      <c r="F16" s="527">
        <v>45782</v>
      </c>
      <c r="G16" s="527" t="s">
        <v>2475</v>
      </c>
      <c r="H16" s="528">
        <f>VLOOKUP(F16,환율!A:B,2,0)</f>
        <v>1426.9</v>
      </c>
      <c r="I16" s="529">
        <v>385566.22</v>
      </c>
      <c r="J16" s="530">
        <f t="shared" si="1"/>
        <v>550164439</v>
      </c>
      <c r="K16" s="530"/>
      <c r="L16" s="548">
        <f>J16</f>
        <v>550164439</v>
      </c>
      <c r="M16" s="401"/>
      <c r="N16" s="434"/>
      <c r="O16" s="434"/>
      <c r="P16" s="434"/>
      <c r="Q16" s="434"/>
      <c r="R16" s="434"/>
      <c r="S16" s="441"/>
    </row>
    <row r="17" spans="1:19" s="97" customFormat="1" ht="27" customHeight="1">
      <c r="A17" s="2035" t="s">
        <v>10</v>
      </c>
      <c r="B17" s="2036"/>
      <c r="C17" s="2036"/>
      <c r="D17" s="2036"/>
      <c r="E17" s="2036"/>
      <c r="F17" s="2036"/>
      <c r="G17" s="2036"/>
      <c r="H17" s="2037"/>
      <c r="I17" s="449">
        <f>SUM(I12:I16)</f>
        <v>1882337.63</v>
      </c>
      <c r="J17" s="116">
        <f>SUM(J12:J16)</f>
        <v>2717979030</v>
      </c>
      <c r="K17" s="116">
        <f>SUM(K12:K16)</f>
        <v>2167814591</v>
      </c>
      <c r="L17" s="260">
        <f>SUM(L12:L16)</f>
        <v>550164439</v>
      </c>
      <c r="M17" s="364"/>
      <c r="N17" s="434"/>
      <c r="O17" s="434"/>
      <c r="P17" s="434"/>
      <c r="Q17" s="434"/>
      <c r="R17" s="434"/>
      <c r="S17" s="441"/>
    </row>
    <row r="18" spans="1:19" s="97" customFormat="1" ht="27" customHeight="1">
      <c r="A18" s="2010" t="s">
        <v>2022</v>
      </c>
      <c r="B18" s="509" t="s">
        <v>2367</v>
      </c>
      <c r="C18" s="509" t="s">
        <v>2657</v>
      </c>
      <c r="D18" s="454" t="s">
        <v>2507</v>
      </c>
      <c r="E18" s="477"/>
      <c r="F18" s="455">
        <v>45751</v>
      </c>
      <c r="G18" s="455" t="s">
        <v>2504</v>
      </c>
      <c r="H18" s="456">
        <f>VLOOKUP(F18,환율!A:B,2,0)</f>
        <v>1467</v>
      </c>
      <c r="I18" s="478">
        <v>5499.36</v>
      </c>
      <c r="J18" s="458">
        <f t="shared" ref="J18:J19" si="3">ROUNDDOWN(I18*H18,0)</f>
        <v>8067561</v>
      </c>
      <c r="K18" s="458">
        <f>J18</f>
        <v>8067561</v>
      </c>
      <c r="L18" s="464"/>
      <c r="M18" s="364"/>
      <c r="N18" s="434"/>
      <c r="O18" s="434"/>
      <c r="P18" s="434"/>
      <c r="Q18" s="434"/>
      <c r="R18" s="434"/>
      <c r="S18" s="441"/>
    </row>
    <row r="19" spans="1:19" s="120" customFormat="1" ht="27" customHeight="1">
      <c r="A19" s="2011"/>
      <c r="B19" s="155" t="s">
        <v>2530</v>
      </c>
      <c r="C19" s="155" t="s">
        <v>2657</v>
      </c>
      <c r="D19" s="89" t="s">
        <v>2542</v>
      </c>
      <c r="E19" s="319"/>
      <c r="F19" s="90">
        <v>45757</v>
      </c>
      <c r="G19" s="90"/>
      <c r="H19" s="163">
        <f>VLOOKUP(F19,환율!A:B,2,0)</f>
        <v>1482.9</v>
      </c>
      <c r="I19" s="131">
        <v>39725.279999999999</v>
      </c>
      <c r="J19" s="164">
        <f t="shared" si="3"/>
        <v>58908617</v>
      </c>
      <c r="K19" s="164">
        <f>J19</f>
        <v>58908617</v>
      </c>
      <c r="L19" s="396"/>
      <c r="M19" s="365"/>
      <c r="N19" s="434"/>
      <c r="O19" s="434"/>
      <c r="P19" s="434"/>
      <c r="Q19" s="434"/>
      <c r="R19" s="435"/>
      <c r="S19" s="442"/>
    </row>
    <row r="20" spans="1:19" s="120" customFormat="1" ht="27" customHeight="1">
      <c r="A20" s="2011"/>
      <c r="B20" s="155" t="s">
        <v>2531</v>
      </c>
      <c r="C20" s="155" t="s">
        <v>2657</v>
      </c>
      <c r="D20" s="89" t="s">
        <v>2543</v>
      </c>
      <c r="E20" s="319"/>
      <c r="F20" s="136">
        <v>45767</v>
      </c>
      <c r="G20" s="136"/>
      <c r="H20" s="163">
        <f>VLOOKUP(F20,환율!A:B,2,0)</f>
        <v>1419.9</v>
      </c>
      <c r="I20" s="131">
        <v>14272.8</v>
      </c>
      <c r="J20" s="164">
        <f t="shared" ref="J20:J28" si="4">ROUNDDOWN(I20*H20,0)</f>
        <v>20265948</v>
      </c>
      <c r="K20" s="164">
        <f t="shared" ref="K20:K28" si="5">J20</f>
        <v>20265948</v>
      </c>
      <c r="L20" s="396"/>
      <c r="M20" s="365"/>
      <c r="N20" s="434"/>
      <c r="O20" s="434"/>
      <c r="P20" s="434"/>
      <c r="Q20" s="434"/>
      <c r="R20" s="435"/>
      <c r="S20" s="442"/>
    </row>
    <row r="21" spans="1:19" s="120" customFormat="1" ht="27" customHeight="1">
      <c r="A21" s="2011"/>
      <c r="B21" s="155" t="s">
        <v>2532</v>
      </c>
      <c r="C21" s="155" t="s">
        <v>2657</v>
      </c>
      <c r="D21" s="89" t="s">
        <v>2544</v>
      </c>
      <c r="E21" s="319"/>
      <c r="F21" s="136">
        <v>45763</v>
      </c>
      <c r="G21" s="136"/>
      <c r="H21" s="163">
        <f>VLOOKUP(F21,환율!A:B,2,0)</f>
        <v>1423.3</v>
      </c>
      <c r="I21" s="131">
        <v>71756.639999999999</v>
      </c>
      <c r="J21" s="164">
        <f t="shared" si="4"/>
        <v>102131225</v>
      </c>
      <c r="K21" s="164">
        <f t="shared" si="5"/>
        <v>102131225</v>
      </c>
      <c r="L21" s="396"/>
      <c r="M21" s="365"/>
      <c r="N21" s="434"/>
      <c r="O21" s="434"/>
      <c r="P21" s="434"/>
      <c r="Q21" s="434"/>
      <c r="R21" s="435"/>
      <c r="S21" s="442"/>
    </row>
    <row r="22" spans="1:19" s="120" customFormat="1" ht="27" customHeight="1">
      <c r="A22" s="2011"/>
      <c r="B22" s="155" t="s">
        <v>2533</v>
      </c>
      <c r="C22" s="155" t="s">
        <v>2657</v>
      </c>
      <c r="D22" s="89" t="s">
        <v>2545</v>
      </c>
      <c r="E22" s="319"/>
      <c r="F22" s="136">
        <v>45763</v>
      </c>
      <c r="G22" s="136"/>
      <c r="H22" s="163">
        <f>VLOOKUP(F22,환율!A:B,2,0)</f>
        <v>1423.3</v>
      </c>
      <c r="I22" s="131">
        <v>346.82</v>
      </c>
      <c r="J22" s="164">
        <f t="shared" si="4"/>
        <v>493628</v>
      </c>
      <c r="K22" s="164">
        <f t="shared" si="5"/>
        <v>493628</v>
      </c>
      <c r="L22" s="396"/>
      <c r="M22" s="365"/>
      <c r="R22" s="435"/>
      <c r="S22" s="442"/>
    </row>
    <row r="23" spans="1:19" s="120" customFormat="1" ht="27" customHeight="1">
      <c r="A23" s="2011"/>
      <c r="B23" s="155" t="s">
        <v>2534</v>
      </c>
      <c r="C23" s="155" t="s">
        <v>2657</v>
      </c>
      <c r="D23" s="144" t="s">
        <v>2546</v>
      </c>
      <c r="E23" s="392"/>
      <c r="F23" s="130">
        <v>45768</v>
      </c>
      <c r="G23" s="130"/>
      <c r="H23" s="163">
        <f>VLOOKUP(F23,환율!A:B,2,0)</f>
        <v>1421.5</v>
      </c>
      <c r="I23" s="131">
        <v>32815.599999999999</v>
      </c>
      <c r="J23" s="164">
        <f t="shared" si="4"/>
        <v>46647375</v>
      </c>
      <c r="K23" s="164">
        <f t="shared" si="5"/>
        <v>46647375</v>
      </c>
      <c r="L23" s="396"/>
      <c r="M23" s="365"/>
      <c r="R23" s="435"/>
      <c r="S23" s="442"/>
    </row>
    <row r="24" spans="1:19" s="120" customFormat="1" ht="27" customHeight="1">
      <c r="A24" s="2011"/>
      <c r="B24" s="155" t="s">
        <v>2535</v>
      </c>
      <c r="C24" s="155" t="s">
        <v>2657</v>
      </c>
      <c r="D24" s="89" t="s">
        <v>2547</v>
      </c>
      <c r="E24" s="319"/>
      <c r="F24" s="136">
        <v>45771</v>
      </c>
      <c r="G24" s="136"/>
      <c r="H24" s="163">
        <f>VLOOKUP(F24,환율!A:B,2,0)</f>
        <v>1426.6</v>
      </c>
      <c r="I24" s="131">
        <v>17781.12</v>
      </c>
      <c r="J24" s="164">
        <f t="shared" si="4"/>
        <v>25366545</v>
      </c>
      <c r="K24" s="164">
        <f t="shared" si="5"/>
        <v>25366545</v>
      </c>
      <c r="L24" s="396"/>
      <c r="M24" s="365"/>
      <c r="R24" s="435"/>
      <c r="S24" s="442"/>
    </row>
    <row r="25" spans="1:19" s="120" customFormat="1" ht="27" customHeight="1">
      <c r="A25" s="2011"/>
      <c r="B25" s="155" t="s">
        <v>2536</v>
      </c>
      <c r="C25" s="155" t="s">
        <v>2657</v>
      </c>
      <c r="D25" s="89" t="s">
        <v>2548</v>
      </c>
      <c r="E25" s="319"/>
      <c r="F25" s="136">
        <v>45771</v>
      </c>
      <c r="G25" s="136"/>
      <c r="H25" s="163">
        <f>VLOOKUP(F25,환율!A:B,2,0)</f>
        <v>1426.6</v>
      </c>
      <c r="I25" s="131">
        <v>692.45</v>
      </c>
      <c r="J25" s="164">
        <f t="shared" si="4"/>
        <v>987849</v>
      </c>
      <c r="K25" s="164">
        <f t="shared" si="5"/>
        <v>987849</v>
      </c>
      <c r="L25" s="396"/>
      <c r="M25" s="365"/>
      <c r="R25" s="435"/>
      <c r="S25" s="442"/>
    </row>
    <row r="26" spans="1:19" s="120" customFormat="1" ht="27" customHeight="1">
      <c r="A26" s="2011"/>
      <c r="B26" s="155" t="s">
        <v>2537</v>
      </c>
      <c r="C26" s="155" t="s">
        <v>2657</v>
      </c>
      <c r="D26" s="89" t="s">
        <v>2549</v>
      </c>
      <c r="E26" s="392"/>
      <c r="F26" s="130">
        <v>45771</v>
      </c>
      <c r="G26" s="130"/>
      <c r="H26" s="163">
        <f>VLOOKUP(F26,환율!A:B,2,0)</f>
        <v>1426.6</v>
      </c>
      <c r="I26" s="131">
        <v>682.76</v>
      </c>
      <c r="J26" s="164">
        <f t="shared" si="4"/>
        <v>974025</v>
      </c>
      <c r="K26" s="164">
        <f t="shared" si="5"/>
        <v>974025</v>
      </c>
      <c r="L26" s="396"/>
      <c r="M26" s="365"/>
      <c r="R26" s="435"/>
      <c r="S26" s="442"/>
    </row>
    <row r="27" spans="1:19" s="120" customFormat="1" ht="27" customHeight="1">
      <c r="A27" s="2011"/>
      <c r="B27" s="155" t="s">
        <v>2538</v>
      </c>
      <c r="C27" s="155" t="s">
        <v>2657</v>
      </c>
      <c r="D27" s="144" t="s">
        <v>2550</v>
      </c>
      <c r="E27" s="392"/>
      <c r="F27" s="130">
        <v>45766</v>
      </c>
      <c r="G27" s="130"/>
      <c r="H27" s="163">
        <f>VLOOKUP(F27,환율!A:B,2,0)</f>
        <v>1419.9</v>
      </c>
      <c r="I27" s="131">
        <v>13598.4</v>
      </c>
      <c r="J27" s="164">
        <f t="shared" si="4"/>
        <v>19308368</v>
      </c>
      <c r="K27" s="164">
        <f t="shared" si="5"/>
        <v>19308368</v>
      </c>
      <c r="L27" s="396"/>
      <c r="M27" s="365"/>
      <c r="R27" s="435"/>
      <c r="S27" s="442"/>
    </row>
    <row r="28" spans="1:19" s="120" customFormat="1" ht="27" customHeight="1">
      <c r="A28" s="2011"/>
      <c r="B28" s="155" t="s">
        <v>2539</v>
      </c>
      <c r="C28" s="155" t="s">
        <v>2657</v>
      </c>
      <c r="D28" s="144" t="s">
        <v>2551</v>
      </c>
      <c r="E28" s="392"/>
      <c r="F28" s="130">
        <v>45770</v>
      </c>
      <c r="G28" s="130"/>
      <c r="H28" s="163">
        <f>VLOOKUP(F28,환율!A:B,2,0)</f>
        <v>1422.6</v>
      </c>
      <c r="I28" s="131">
        <v>3736.8</v>
      </c>
      <c r="J28" s="164">
        <f t="shared" si="4"/>
        <v>5315971</v>
      </c>
      <c r="K28" s="164">
        <f t="shared" si="5"/>
        <v>5315971</v>
      </c>
      <c r="L28" s="396"/>
      <c r="M28" s="365"/>
      <c r="R28" s="435"/>
      <c r="S28" s="442"/>
    </row>
    <row r="29" spans="1:19" s="120" customFormat="1" ht="27" customHeight="1">
      <c r="A29" s="2011"/>
      <c r="B29" s="155" t="s">
        <v>2541</v>
      </c>
      <c r="C29" s="155" t="s">
        <v>2657</v>
      </c>
      <c r="D29" s="89" t="s">
        <v>2553</v>
      </c>
      <c r="E29" s="319"/>
      <c r="F29" s="136">
        <v>45777</v>
      </c>
      <c r="G29" s="136"/>
      <c r="H29" s="163">
        <f>VLOOKUP(F29,환율!A:B,2,0)</f>
        <v>1438.5</v>
      </c>
      <c r="I29" s="131">
        <v>9173.2000000000007</v>
      </c>
      <c r="J29" s="164">
        <f t="shared" ref="J29" si="6">ROUNDDOWN(I29*H29,0)</f>
        <v>13195648</v>
      </c>
      <c r="K29" s="164">
        <f t="shared" ref="K29" si="7">J29</f>
        <v>13195648</v>
      </c>
      <c r="L29" s="254"/>
      <c r="M29" s="365"/>
      <c r="N29" s="434"/>
      <c r="O29" s="434"/>
      <c r="P29" s="434"/>
      <c r="Q29" s="434"/>
      <c r="R29" s="435"/>
      <c r="S29" s="442"/>
    </row>
    <row r="30" spans="1:19" s="120" customFormat="1" ht="27" customHeight="1">
      <c r="A30" s="2011"/>
      <c r="B30" s="546" t="s">
        <v>2540</v>
      </c>
      <c r="C30" s="546" t="s">
        <v>2656</v>
      </c>
      <c r="D30" s="547" t="s">
        <v>2552</v>
      </c>
      <c r="E30" s="549"/>
      <c r="F30" s="550">
        <v>45784</v>
      </c>
      <c r="G30" s="550"/>
      <c r="H30" s="528">
        <f>VLOOKUP(F30,환율!A:B,2,0)</f>
        <v>1426.6</v>
      </c>
      <c r="I30" s="551">
        <v>3064.32</v>
      </c>
      <c r="J30" s="530">
        <f>ROUNDDOWN(I30*H30,0)</f>
        <v>4371558</v>
      </c>
      <c r="K30" s="530"/>
      <c r="L30" s="548">
        <f>J30</f>
        <v>4371558</v>
      </c>
      <c r="M30" s="365"/>
      <c r="N30" s="434"/>
      <c r="O30" s="434"/>
      <c r="P30" s="434"/>
      <c r="Q30" s="434"/>
      <c r="R30" s="435"/>
      <c r="S30" s="442"/>
    </row>
    <row r="31" spans="1:19" s="97" customFormat="1" ht="27" customHeight="1">
      <c r="A31" s="2035" t="s">
        <v>10</v>
      </c>
      <c r="B31" s="2036"/>
      <c r="C31" s="2036"/>
      <c r="D31" s="2036"/>
      <c r="E31" s="2036"/>
      <c r="F31" s="2036"/>
      <c r="G31" s="2036"/>
      <c r="H31" s="2037"/>
      <c r="I31" s="127">
        <f>SUM(I18:I30)</f>
        <v>213145.55000000005</v>
      </c>
      <c r="J31" s="116">
        <f>SUM(J18:J30)</f>
        <v>306034318</v>
      </c>
      <c r="K31" s="116">
        <f>SUM(K18:K30)</f>
        <v>301662760</v>
      </c>
      <c r="L31" s="260">
        <f>SUM(L18:L30)</f>
        <v>4371558</v>
      </c>
      <c r="M31" s="364"/>
      <c r="N31" s="434"/>
      <c r="O31" s="434"/>
      <c r="P31" s="434"/>
      <c r="Q31" s="434"/>
      <c r="R31" s="434"/>
      <c r="S31" s="441"/>
    </row>
    <row r="32" spans="1:19" s="97" customFormat="1" ht="27" customHeight="1">
      <c r="A32" s="2012" t="s">
        <v>114</v>
      </c>
      <c r="B32" s="510" t="s">
        <v>2390</v>
      </c>
      <c r="C32" s="561"/>
      <c r="D32" s="460" t="s">
        <v>2524</v>
      </c>
      <c r="E32" s="460"/>
      <c r="F32" s="455">
        <v>45751</v>
      </c>
      <c r="G32" s="455" t="s">
        <v>2504</v>
      </c>
      <c r="H32" s="456">
        <f>VLOOKUP(F32,환율!A:B,2,0)</f>
        <v>1467</v>
      </c>
      <c r="I32" s="461">
        <v>71361.919999999998</v>
      </c>
      <c r="J32" s="458">
        <f>ROUNDDOWN(I32*H32,0)</f>
        <v>104687936</v>
      </c>
      <c r="K32" s="458">
        <f>J32</f>
        <v>104687936</v>
      </c>
      <c r="L32" s="464"/>
      <c r="M32" s="364"/>
      <c r="N32" s="434"/>
      <c r="O32" s="434"/>
      <c r="P32" s="434"/>
      <c r="Q32" s="434"/>
      <c r="R32" s="434"/>
      <c r="S32" s="441"/>
    </row>
    <row r="33" spans="1:19" s="97" customFormat="1" ht="27" customHeight="1">
      <c r="A33" s="2053"/>
      <c r="B33" s="510" t="s">
        <v>2398</v>
      </c>
      <c r="C33" s="561"/>
      <c r="D33" s="460" t="s">
        <v>2508</v>
      </c>
      <c r="E33" s="460"/>
      <c r="F33" s="455">
        <v>45759</v>
      </c>
      <c r="G33" s="455" t="s">
        <v>2504</v>
      </c>
      <c r="H33" s="456">
        <f>VLOOKUP(F33,환율!A:B,2,0)</f>
        <v>1458.5</v>
      </c>
      <c r="I33" s="462">
        <v>73046.12</v>
      </c>
      <c r="J33" s="458">
        <f>ROUNDDOWN(I33*H33,0)</f>
        <v>106537766</v>
      </c>
      <c r="K33" s="458">
        <f t="shared" ref="K33:K34" si="8">J33</f>
        <v>106537766</v>
      </c>
      <c r="L33" s="464"/>
      <c r="M33" s="364"/>
      <c r="N33" s="434"/>
      <c r="O33" s="434"/>
      <c r="P33" s="434"/>
      <c r="Q33" s="434"/>
      <c r="R33" s="434"/>
      <c r="S33" s="441"/>
    </row>
    <row r="34" spans="1:19" s="97" customFormat="1" ht="27" customHeight="1">
      <c r="A34" s="2053"/>
      <c r="B34" s="510" t="s">
        <v>2399</v>
      </c>
      <c r="C34" s="561"/>
      <c r="D34" s="460" t="s">
        <v>2509</v>
      </c>
      <c r="E34" s="460"/>
      <c r="F34" s="455">
        <v>45752</v>
      </c>
      <c r="G34" s="455" t="s">
        <v>2504</v>
      </c>
      <c r="H34" s="456">
        <f>VLOOKUP(F34,환율!A:B,2,0)</f>
        <v>1467</v>
      </c>
      <c r="I34" s="462">
        <v>3744</v>
      </c>
      <c r="J34" s="458">
        <f t="shared" ref="J34" si="9">ROUNDDOWN(I34*H34,0)</f>
        <v>5492448</v>
      </c>
      <c r="K34" s="458">
        <f t="shared" si="8"/>
        <v>5492448</v>
      </c>
      <c r="L34" s="464"/>
      <c r="M34" s="364"/>
      <c r="N34" s="434"/>
      <c r="O34" s="434"/>
      <c r="P34" s="434"/>
      <c r="Q34" s="434"/>
      <c r="R34" s="434"/>
      <c r="S34" s="441"/>
    </row>
    <row r="35" spans="1:19" s="97" customFormat="1" ht="27" customHeight="1">
      <c r="A35" s="2053"/>
      <c r="B35" s="510" t="s">
        <v>2401</v>
      </c>
      <c r="C35" s="561"/>
      <c r="D35" s="460" t="s">
        <v>2510</v>
      </c>
      <c r="E35" s="460"/>
      <c r="F35" s="455">
        <v>45751</v>
      </c>
      <c r="G35" s="455" t="s">
        <v>2504</v>
      </c>
      <c r="H35" s="456">
        <f>VLOOKUP(F35,환율!A:B,2,0)</f>
        <v>1467</v>
      </c>
      <c r="I35" s="461">
        <v>29669.68</v>
      </c>
      <c r="J35" s="458">
        <f>ROUNDDOWN(I35*H35,0)</f>
        <v>43525420</v>
      </c>
      <c r="K35" s="458">
        <f>J35</f>
        <v>43525420</v>
      </c>
      <c r="L35" s="464"/>
      <c r="M35" s="364"/>
      <c r="N35" s="434"/>
      <c r="O35" s="434"/>
      <c r="P35" s="434"/>
      <c r="Q35" s="434"/>
      <c r="R35" s="434"/>
      <c r="S35" s="441"/>
    </row>
    <row r="36" spans="1:19" s="97" customFormat="1" ht="27" customHeight="1">
      <c r="A36" s="2053"/>
      <c r="B36" s="510" t="s">
        <v>2402</v>
      </c>
      <c r="C36" s="561"/>
      <c r="D36" s="460" t="s">
        <v>2511</v>
      </c>
      <c r="E36" s="460"/>
      <c r="F36" s="455">
        <v>45751</v>
      </c>
      <c r="G36" s="455" t="s">
        <v>2504</v>
      </c>
      <c r="H36" s="456">
        <f>VLOOKUP(F36,환율!A:B,2,0)</f>
        <v>1467</v>
      </c>
      <c r="I36" s="462">
        <v>44667</v>
      </c>
      <c r="J36" s="458">
        <f t="shared" ref="J36:J47" si="10">ROUNDDOWN(I36*H36,0)</f>
        <v>65526489</v>
      </c>
      <c r="K36" s="458">
        <f t="shared" ref="K36:K47" si="11">J36</f>
        <v>65526489</v>
      </c>
      <c r="L36" s="464"/>
      <c r="M36" s="364"/>
      <c r="N36" s="434"/>
      <c r="O36" s="434"/>
      <c r="P36" s="434"/>
      <c r="Q36" s="434"/>
      <c r="R36" s="434"/>
      <c r="S36" s="441"/>
    </row>
    <row r="37" spans="1:19" s="126" customFormat="1" ht="27" customHeight="1">
      <c r="A37" s="2053"/>
      <c r="B37" s="510" t="s">
        <v>2405</v>
      </c>
      <c r="C37" s="561"/>
      <c r="D37" s="460" t="s">
        <v>2512</v>
      </c>
      <c r="E37" s="460"/>
      <c r="F37" s="455">
        <v>45759</v>
      </c>
      <c r="G37" s="455" t="s">
        <v>2504</v>
      </c>
      <c r="H37" s="456">
        <f>VLOOKUP(F37,환율!A:B,2,0)</f>
        <v>1458.5</v>
      </c>
      <c r="I37" s="462">
        <v>10330.120000000001</v>
      </c>
      <c r="J37" s="458">
        <f t="shared" si="10"/>
        <v>15066480</v>
      </c>
      <c r="K37" s="458">
        <f t="shared" si="11"/>
        <v>15066480</v>
      </c>
      <c r="L37" s="464"/>
      <c r="M37" s="364"/>
      <c r="N37" s="434"/>
      <c r="O37" s="434"/>
      <c r="P37" s="434"/>
      <c r="Q37" s="434"/>
      <c r="R37" s="436"/>
      <c r="S37" s="443"/>
    </row>
    <row r="38" spans="1:19" s="126" customFormat="1" ht="27" customHeight="1">
      <c r="A38" s="2053"/>
      <c r="B38" s="511" t="s">
        <v>2591</v>
      </c>
      <c r="C38" s="562"/>
      <c r="D38" s="129" t="s">
        <v>2607</v>
      </c>
      <c r="E38" s="129"/>
      <c r="F38" s="90">
        <v>45760</v>
      </c>
      <c r="G38" s="90"/>
      <c r="H38" s="91">
        <f>VLOOKUP(F38,환율!A:B,2,0)</f>
        <v>1458.5</v>
      </c>
      <c r="I38" s="134">
        <v>35078.720000000001</v>
      </c>
      <c r="J38" s="93">
        <f t="shared" si="10"/>
        <v>51162313</v>
      </c>
      <c r="K38" s="164">
        <f t="shared" si="11"/>
        <v>51162313</v>
      </c>
      <c r="L38" s="254"/>
      <c r="M38" s="401"/>
      <c r="N38" s="434"/>
      <c r="O38" s="434"/>
      <c r="P38" s="434"/>
      <c r="Q38" s="434"/>
      <c r="R38" s="436"/>
      <c r="S38" s="443"/>
    </row>
    <row r="39" spans="1:19" s="126" customFormat="1" ht="27" customHeight="1">
      <c r="A39" s="2053"/>
      <c r="B39" s="511" t="s">
        <v>2592</v>
      </c>
      <c r="C39" s="562"/>
      <c r="D39" s="129" t="s">
        <v>2608</v>
      </c>
      <c r="E39" s="129"/>
      <c r="F39" s="90">
        <v>45768</v>
      </c>
      <c r="G39" s="90"/>
      <c r="H39" s="91">
        <f>VLOOKUP(F39,환율!A:B,2,0)</f>
        <v>1421.5</v>
      </c>
      <c r="I39" s="134">
        <v>71854.039999999994</v>
      </c>
      <c r="J39" s="93">
        <f t="shared" si="10"/>
        <v>102140517</v>
      </c>
      <c r="K39" s="164">
        <f t="shared" si="11"/>
        <v>102140517</v>
      </c>
      <c r="L39" s="254"/>
      <c r="M39" s="401"/>
      <c r="N39" s="434"/>
      <c r="O39" s="434"/>
      <c r="P39" s="434"/>
      <c r="Q39" s="434"/>
      <c r="R39" s="436"/>
      <c r="S39" s="443"/>
    </row>
    <row r="40" spans="1:19" s="126" customFormat="1" ht="27" customHeight="1">
      <c r="A40" s="2053"/>
      <c r="B40" s="511" t="s">
        <v>2593</v>
      </c>
      <c r="C40" s="562"/>
      <c r="D40" s="129" t="s">
        <v>2609</v>
      </c>
      <c r="E40" s="129"/>
      <c r="F40" s="90">
        <v>45760</v>
      </c>
      <c r="G40" s="90"/>
      <c r="H40" s="91">
        <f>VLOOKUP(F40,환율!A:B,2,0)</f>
        <v>1458.5</v>
      </c>
      <c r="I40" s="134">
        <v>9347.0400000000009</v>
      </c>
      <c r="J40" s="93">
        <f t="shared" si="10"/>
        <v>13632657</v>
      </c>
      <c r="K40" s="164">
        <f t="shared" si="11"/>
        <v>13632657</v>
      </c>
      <c r="L40" s="254"/>
      <c r="M40" s="401"/>
      <c r="N40" s="434"/>
      <c r="O40" s="434"/>
      <c r="P40" s="434"/>
      <c r="Q40" s="434"/>
      <c r="R40" s="436"/>
      <c r="S40" s="443"/>
    </row>
    <row r="41" spans="1:19" s="126" customFormat="1" ht="27" customHeight="1">
      <c r="A41" s="2053"/>
      <c r="B41" s="511" t="s">
        <v>2594</v>
      </c>
      <c r="C41" s="562"/>
      <c r="D41" s="129" t="s">
        <v>2610</v>
      </c>
      <c r="E41" s="129"/>
      <c r="F41" s="90">
        <v>45768</v>
      </c>
      <c r="G41" s="90"/>
      <c r="H41" s="91">
        <f>VLOOKUP(F41,환율!A:B,2,0)</f>
        <v>1421.5</v>
      </c>
      <c r="I41" s="134">
        <v>23786</v>
      </c>
      <c r="J41" s="93">
        <f t="shared" si="10"/>
        <v>33811799</v>
      </c>
      <c r="K41" s="164">
        <f t="shared" si="11"/>
        <v>33811799</v>
      </c>
      <c r="L41" s="254"/>
      <c r="M41" s="401"/>
      <c r="N41" s="434"/>
      <c r="O41" s="434"/>
      <c r="P41" s="434"/>
      <c r="Q41" s="434"/>
      <c r="R41" s="436"/>
      <c r="S41" s="443"/>
    </row>
    <row r="42" spans="1:19" s="126" customFormat="1" ht="27" customHeight="1">
      <c r="A42" s="2053"/>
      <c r="B42" s="511" t="s">
        <v>2595</v>
      </c>
      <c r="C42" s="562"/>
      <c r="D42" s="129" t="s">
        <v>2611</v>
      </c>
      <c r="E42" s="129"/>
      <c r="F42" s="136">
        <v>45755</v>
      </c>
      <c r="G42" s="136"/>
      <c r="H42" s="91">
        <f>VLOOKUP(F42,환율!A:B,2,0)</f>
        <v>1465.9</v>
      </c>
      <c r="I42" s="134">
        <v>6947.5</v>
      </c>
      <c r="J42" s="93">
        <f t="shared" si="10"/>
        <v>10184340</v>
      </c>
      <c r="K42" s="164">
        <f t="shared" si="11"/>
        <v>10184340</v>
      </c>
      <c r="L42" s="254"/>
      <c r="M42" s="364" t="s">
        <v>2648</v>
      </c>
      <c r="N42" s="434"/>
      <c r="O42" s="434"/>
      <c r="P42" s="434"/>
      <c r="Q42" s="434"/>
      <c r="R42" s="436"/>
      <c r="S42" s="443"/>
    </row>
    <row r="43" spans="1:19" s="126" customFormat="1" ht="27" customHeight="1">
      <c r="A43" s="2053"/>
      <c r="B43" s="511" t="s">
        <v>2596</v>
      </c>
      <c r="C43" s="562"/>
      <c r="D43" s="129" t="s">
        <v>2612</v>
      </c>
      <c r="E43" s="129"/>
      <c r="F43" s="90">
        <v>45773</v>
      </c>
      <c r="G43" s="90"/>
      <c r="H43" s="91">
        <f>VLOOKUP(F43,환율!A:B,2,0)</f>
        <v>1430.2</v>
      </c>
      <c r="I43" s="134">
        <v>44577.5</v>
      </c>
      <c r="J43" s="93">
        <f t="shared" si="10"/>
        <v>63754740</v>
      </c>
      <c r="K43" s="164">
        <f t="shared" si="11"/>
        <v>63754740</v>
      </c>
      <c r="L43" s="254"/>
      <c r="M43" s="364"/>
      <c r="N43" s="434"/>
      <c r="O43" s="434"/>
      <c r="P43" s="434"/>
      <c r="Q43" s="434"/>
      <c r="R43" s="436"/>
      <c r="S43" s="443"/>
    </row>
    <row r="44" spans="1:19" s="126" customFormat="1" ht="27" customHeight="1">
      <c r="A44" s="2053"/>
      <c r="B44" s="511" t="s">
        <v>2597</v>
      </c>
      <c r="C44" s="562"/>
      <c r="D44" s="129" t="s">
        <v>2613</v>
      </c>
      <c r="E44" s="129"/>
      <c r="F44" s="90">
        <v>45773</v>
      </c>
      <c r="G44" s="90"/>
      <c r="H44" s="91">
        <f>VLOOKUP(F44,환율!A:B,2,0)</f>
        <v>1430.2</v>
      </c>
      <c r="I44" s="134">
        <v>152647.67999999999</v>
      </c>
      <c r="J44" s="93">
        <f t="shared" si="10"/>
        <v>218316711</v>
      </c>
      <c r="K44" s="93">
        <f t="shared" si="11"/>
        <v>218316711</v>
      </c>
      <c r="L44" s="254"/>
      <c r="M44" s="364"/>
      <c r="N44" s="434"/>
      <c r="O44" s="434"/>
      <c r="P44" s="434"/>
      <c r="Q44" s="434"/>
      <c r="R44" s="436"/>
      <c r="S44" s="443"/>
    </row>
    <row r="45" spans="1:19" s="126" customFormat="1" ht="27" customHeight="1">
      <c r="A45" s="2053"/>
      <c r="B45" s="511" t="s">
        <v>2598</v>
      </c>
      <c r="C45" s="562"/>
      <c r="D45" s="129" t="s">
        <v>2614</v>
      </c>
      <c r="E45" s="129"/>
      <c r="F45" s="90">
        <v>45756</v>
      </c>
      <c r="G45" s="90"/>
      <c r="H45" s="91">
        <f>VLOOKUP(F45,환율!A:B,2,0)</f>
        <v>1470.2</v>
      </c>
      <c r="I45" s="134">
        <v>808.2</v>
      </c>
      <c r="J45" s="93">
        <f t="shared" si="10"/>
        <v>1188215</v>
      </c>
      <c r="K45" s="93">
        <f t="shared" si="11"/>
        <v>1188215</v>
      </c>
      <c r="L45" s="254"/>
      <c r="M45" s="364"/>
      <c r="N45" s="434"/>
      <c r="O45" s="434"/>
      <c r="P45" s="434"/>
      <c r="Q45" s="434"/>
      <c r="R45" s="436"/>
      <c r="S45" s="443"/>
    </row>
    <row r="46" spans="1:19" s="126" customFormat="1" ht="27" customHeight="1">
      <c r="A46" s="2053"/>
      <c r="B46" s="511" t="s">
        <v>2599</v>
      </c>
      <c r="C46" s="562"/>
      <c r="D46" s="129" t="s">
        <v>2615</v>
      </c>
      <c r="E46" s="129"/>
      <c r="F46" s="90">
        <v>45773</v>
      </c>
      <c r="G46" s="90"/>
      <c r="H46" s="91">
        <f>VLOOKUP(F46,환율!A:B,2,0)</f>
        <v>1430.2</v>
      </c>
      <c r="I46" s="134">
        <v>2783.52</v>
      </c>
      <c r="J46" s="93">
        <f t="shared" si="10"/>
        <v>3980990</v>
      </c>
      <c r="K46" s="93">
        <f t="shared" si="11"/>
        <v>3980990</v>
      </c>
      <c r="L46" s="254"/>
      <c r="M46" s="364"/>
      <c r="N46" s="434"/>
      <c r="O46" s="434"/>
      <c r="P46" s="434"/>
      <c r="Q46" s="434"/>
      <c r="R46" s="436"/>
      <c r="S46" s="443"/>
    </row>
    <row r="47" spans="1:19" s="126" customFormat="1" ht="27" customHeight="1">
      <c r="A47" s="2053"/>
      <c r="B47" s="511" t="s">
        <v>2600</v>
      </c>
      <c r="C47" s="562"/>
      <c r="D47" s="129" t="s">
        <v>2616</v>
      </c>
      <c r="E47" s="129"/>
      <c r="F47" s="90">
        <v>45777</v>
      </c>
      <c r="G47" s="90"/>
      <c r="H47" s="91">
        <f>VLOOKUP(F47,환율!A:B,2,0)</f>
        <v>1438.5</v>
      </c>
      <c r="I47" s="134">
        <v>44374.559999999998</v>
      </c>
      <c r="J47" s="93">
        <f t="shared" si="10"/>
        <v>63832804</v>
      </c>
      <c r="K47" s="93">
        <f t="shared" si="11"/>
        <v>63832804</v>
      </c>
      <c r="L47" s="254"/>
      <c r="M47" s="364"/>
      <c r="N47" s="434"/>
      <c r="O47" s="434"/>
      <c r="P47" s="434"/>
      <c r="Q47" s="434"/>
      <c r="R47" s="436"/>
      <c r="S47" s="443"/>
    </row>
    <row r="48" spans="1:19" s="126" customFormat="1" ht="27" customHeight="1">
      <c r="A48" s="2053"/>
      <c r="B48" s="511" t="s">
        <v>2605</v>
      </c>
      <c r="C48" s="562"/>
      <c r="D48" s="129" t="s">
        <v>2620</v>
      </c>
      <c r="E48" s="129"/>
      <c r="F48" s="90">
        <v>45776</v>
      </c>
      <c r="G48" s="90"/>
      <c r="H48" s="91">
        <f>VLOOKUP(F48,환율!A:B,2,0)</f>
        <v>1439.3</v>
      </c>
      <c r="I48" s="134">
        <v>1080.8</v>
      </c>
      <c r="J48" s="93">
        <f t="shared" ref="J48:J53" si="12">ROUNDDOWN(I48*H48,0)</f>
        <v>1555595</v>
      </c>
      <c r="K48" s="93">
        <f t="shared" ref="K48:K49" si="13">J48</f>
        <v>1555595</v>
      </c>
      <c r="L48" s="254"/>
      <c r="M48" s="364"/>
      <c r="N48" s="434"/>
      <c r="O48" s="434"/>
      <c r="P48" s="434"/>
      <c r="Q48" s="434"/>
      <c r="R48" s="436"/>
      <c r="S48" s="443"/>
    </row>
    <row r="49" spans="1:19" s="126" customFormat="1" ht="27" customHeight="1">
      <c r="A49" s="2053"/>
      <c r="B49" s="513" t="s">
        <v>2606</v>
      </c>
      <c r="C49" s="563"/>
      <c r="D49" s="129" t="s">
        <v>2652</v>
      </c>
      <c r="E49" s="129"/>
      <c r="F49" s="90">
        <v>45775</v>
      </c>
      <c r="G49" s="90"/>
      <c r="H49" s="91">
        <f>VLOOKUP(F49,환율!A:B,2,0)</f>
        <v>1434.6</v>
      </c>
      <c r="I49" s="134">
        <v>6947.5</v>
      </c>
      <c r="J49" s="93">
        <f t="shared" si="12"/>
        <v>9966883</v>
      </c>
      <c r="K49" s="93">
        <f t="shared" si="13"/>
        <v>9966883</v>
      </c>
      <c r="L49" s="254"/>
      <c r="M49" s="364"/>
      <c r="N49" s="434"/>
      <c r="O49" s="434"/>
      <c r="P49" s="434"/>
      <c r="Q49" s="434"/>
      <c r="R49" s="436"/>
      <c r="S49" s="443"/>
    </row>
    <row r="50" spans="1:19" s="126" customFormat="1" ht="27" customHeight="1">
      <c r="A50" s="2053"/>
      <c r="B50" s="556" t="s">
        <v>2601</v>
      </c>
      <c r="C50" s="564" t="s">
        <v>2656</v>
      </c>
      <c r="D50" s="557" t="s">
        <v>2617</v>
      </c>
      <c r="E50" s="557"/>
      <c r="F50" s="527">
        <v>45787</v>
      </c>
      <c r="G50" s="527"/>
      <c r="H50" s="528">
        <f>VLOOKUP(F50,환율!A:B,2,0)</f>
        <v>1396</v>
      </c>
      <c r="I50" s="551">
        <v>57843.38</v>
      </c>
      <c r="J50" s="530">
        <f t="shared" si="12"/>
        <v>80749358</v>
      </c>
      <c r="K50" s="530"/>
      <c r="L50" s="548">
        <f>J50</f>
        <v>80749358</v>
      </c>
      <c r="M50" s="364"/>
      <c r="N50" s="434"/>
      <c r="O50" s="434"/>
      <c r="P50" s="434"/>
      <c r="Q50" s="434"/>
      <c r="R50" s="436"/>
      <c r="S50" s="443"/>
    </row>
    <row r="51" spans="1:19" s="126" customFormat="1" ht="27" customHeight="1">
      <c r="A51" s="2053"/>
      <c r="B51" s="556" t="s">
        <v>2602</v>
      </c>
      <c r="C51" s="564" t="s">
        <v>2656</v>
      </c>
      <c r="D51" s="557" t="s">
        <v>2618</v>
      </c>
      <c r="E51" s="557"/>
      <c r="F51" s="550">
        <v>45787</v>
      </c>
      <c r="G51" s="550"/>
      <c r="H51" s="528">
        <f>VLOOKUP(F51,환율!A:B,2,0)</f>
        <v>1396</v>
      </c>
      <c r="I51" s="551">
        <v>115250.72</v>
      </c>
      <c r="J51" s="530">
        <f t="shared" si="12"/>
        <v>160890005</v>
      </c>
      <c r="K51" s="530"/>
      <c r="L51" s="548">
        <f t="shared" ref="L51:L53" si="14">J51</f>
        <v>160890005</v>
      </c>
      <c r="M51" s="364"/>
      <c r="N51" s="434"/>
      <c r="O51" s="434"/>
      <c r="P51" s="434"/>
      <c r="Q51" s="434"/>
      <c r="R51" s="436"/>
      <c r="S51" s="443"/>
    </row>
    <row r="52" spans="1:19" s="126" customFormat="1" ht="27" customHeight="1">
      <c r="A52" s="2053"/>
      <c r="B52" s="556" t="s">
        <v>2603</v>
      </c>
      <c r="C52" s="564" t="s">
        <v>2656</v>
      </c>
      <c r="D52" s="557" t="s">
        <v>2645</v>
      </c>
      <c r="E52" s="557"/>
      <c r="F52" s="550">
        <v>45778</v>
      </c>
      <c r="G52" s="550"/>
      <c r="H52" s="528">
        <f>VLOOKUP(F52,환율!A:B,2,0)</f>
        <v>1438.5</v>
      </c>
      <c r="I52" s="551">
        <v>3744</v>
      </c>
      <c r="J52" s="530">
        <f t="shared" si="12"/>
        <v>5385744</v>
      </c>
      <c r="K52" s="530"/>
      <c r="L52" s="548">
        <f t="shared" si="14"/>
        <v>5385744</v>
      </c>
      <c r="M52" s="401"/>
      <c r="N52" s="434"/>
      <c r="O52" s="434"/>
      <c r="P52" s="434"/>
      <c r="Q52" s="434" t="s">
        <v>2644</v>
      </c>
      <c r="R52" s="436"/>
      <c r="S52" s="443"/>
    </row>
    <row r="53" spans="1:19" s="126" customFormat="1" ht="27" customHeight="1">
      <c r="A53" s="2053"/>
      <c r="B53" s="556" t="s">
        <v>2604</v>
      </c>
      <c r="C53" s="564" t="s">
        <v>2656</v>
      </c>
      <c r="D53" s="557" t="s">
        <v>2619</v>
      </c>
      <c r="E53" s="557"/>
      <c r="F53" s="550">
        <v>45787</v>
      </c>
      <c r="G53" s="550"/>
      <c r="H53" s="528">
        <f>VLOOKUP(F53,환율!A:B,2,0)</f>
        <v>1396</v>
      </c>
      <c r="I53" s="551">
        <v>6816.25</v>
      </c>
      <c r="J53" s="530">
        <f t="shared" si="12"/>
        <v>9515485</v>
      </c>
      <c r="K53" s="530"/>
      <c r="L53" s="548">
        <f t="shared" si="14"/>
        <v>9515485</v>
      </c>
      <c r="M53" s="401"/>
      <c r="N53" s="434"/>
      <c r="O53" s="434"/>
      <c r="P53" s="434"/>
      <c r="Q53" s="434"/>
      <c r="R53" s="436"/>
      <c r="S53" s="443"/>
    </row>
    <row r="54" spans="1:19" s="97" customFormat="1" ht="27" customHeight="1">
      <c r="A54" s="2035" t="s">
        <v>10</v>
      </c>
      <c r="B54" s="2036"/>
      <c r="C54" s="2036"/>
      <c r="D54" s="2036"/>
      <c r="E54" s="2036"/>
      <c r="F54" s="2036"/>
      <c r="G54" s="2036"/>
      <c r="H54" s="2037"/>
      <c r="I54" s="127">
        <f>SUM(I32:I53)</f>
        <v>816706.24999999988</v>
      </c>
      <c r="J54" s="116">
        <f>SUM(J32:J53)</f>
        <v>1170904695</v>
      </c>
      <c r="K54" s="116">
        <f>SUM(K32:K53)</f>
        <v>914364103</v>
      </c>
      <c r="L54" s="260">
        <f>SUM(L32:L53)</f>
        <v>256540592</v>
      </c>
      <c r="M54" s="364"/>
      <c r="N54" s="434"/>
      <c r="O54" s="434"/>
      <c r="P54" s="434"/>
      <c r="Q54" s="434"/>
      <c r="R54" s="434"/>
      <c r="S54" s="441"/>
    </row>
    <row r="55" spans="1:19" s="97" customFormat="1" ht="27" customHeight="1">
      <c r="A55" s="2012" t="s">
        <v>1892</v>
      </c>
      <c r="B55" s="513" t="s">
        <v>2554</v>
      </c>
      <c r="C55" s="313" t="s">
        <v>2657</v>
      </c>
      <c r="D55" s="313" t="s">
        <v>2556</v>
      </c>
      <c r="E55" s="90"/>
      <c r="F55" s="90">
        <v>45754</v>
      </c>
      <c r="G55" s="90"/>
      <c r="H55" s="91">
        <f>VLOOKUP(F55,환율!A:B,2,0)</f>
        <v>1439.3</v>
      </c>
      <c r="I55" s="92">
        <v>111557.1</v>
      </c>
      <c r="J55" s="93">
        <f t="shared" ref="J55:J56" si="15">ROUNDDOWN(I55*H55,0)</f>
        <v>160564134</v>
      </c>
      <c r="K55" s="93">
        <f t="shared" ref="K55:K56" si="16">J55</f>
        <v>160564134</v>
      </c>
      <c r="L55" s="321"/>
      <c r="M55" s="364"/>
      <c r="R55" s="434"/>
      <c r="S55" s="441"/>
    </row>
    <row r="56" spans="1:19" s="97" customFormat="1" ht="27" customHeight="1">
      <c r="A56" s="2013"/>
      <c r="B56" s="513" t="s">
        <v>2555</v>
      </c>
      <c r="C56" s="565" t="s">
        <v>2657</v>
      </c>
      <c r="D56" s="142" t="s">
        <v>2557</v>
      </c>
      <c r="E56" s="90"/>
      <c r="F56" s="90">
        <v>45772</v>
      </c>
      <c r="G56" s="90"/>
      <c r="H56" s="91">
        <f>VLOOKUP(F56,환율!A:B,2,0)</f>
        <v>1430.2</v>
      </c>
      <c r="I56" s="92">
        <v>79756.62</v>
      </c>
      <c r="J56" s="93">
        <f t="shared" si="15"/>
        <v>114067917</v>
      </c>
      <c r="K56" s="93">
        <f t="shared" si="16"/>
        <v>114067917</v>
      </c>
      <c r="L56" s="321"/>
      <c r="M56" s="364"/>
      <c r="R56" s="434"/>
      <c r="S56" s="441"/>
    </row>
    <row r="57" spans="1:19" s="97" customFormat="1" ht="27" customHeight="1">
      <c r="A57" s="2035" t="s">
        <v>10</v>
      </c>
      <c r="B57" s="2036"/>
      <c r="C57" s="2036"/>
      <c r="D57" s="2036"/>
      <c r="E57" s="2036"/>
      <c r="F57" s="2036"/>
      <c r="G57" s="2036"/>
      <c r="H57" s="2037"/>
      <c r="I57" s="127">
        <f>SUM(I55:I56)</f>
        <v>191313.72</v>
      </c>
      <c r="J57" s="116">
        <f>SUM(J55:J56)</f>
        <v>274632051</v>
      </c>
      <c r="K57" s="116">
        <f>SUM(K55:K56)</f>
        <v>274632051</v>
      </c>
      <c r="L57" s="260">
        <v>0</v>
      </c>
      <c r="M57" s="364"/>
      <c r="N57" s="434"/>
      <c r="O57" s="434"/>
      <c r="P57" s="434"/>
      <c r="Q57" s="434"/>
      <c r="R57" s="434"/>
      <c r="S57" s="441"/>
    </row>
    <row r="58" spans="1:19" s="97" customFormat="1" ht="27" customHeight="1">
      <c r="A58" s="2012" t="s">
        <v>35</v>
      </c>
      <c r="B58" s="514" t="s">
        <v>2513</v>
      </c>
      <c r="C58" s="481" t="s">
        <v>2657</v>
      </c>
      <c r="D58" s="481" t="s">
        <v>2514</v>
      </c>
      <c r="E58" s="482"/>
      <c r="F58" s="455">
        <v>45761</v>
      </c>
      <c r="G58" s="455" t="s">
        <v>2504</v>
      </c>
      <c r="H58" s="456">
        <f>VLOOKUP(F58,환율!A:B,2,0)</f>
        <v>1450.8</v>
      </c>
      <c r="I58" s="457"/>
      <c r="J58" s="458">
        <v>57862810</v>
      </c>
      <c r="K58" s="458">
        <f>J58</f>
        <v>57862810</v>
      </c>
      <c r="L58" s="483"/>
      <c r="M58" s="401"/>
      <c r="N58" s="434"/>
      <c r="O58" s="434"/>
      <c r="P58" s="434"/>
      <c r="Q58" s="434"/>
      <c r="R58" s="434"/>
      <c r="S58" s="441"/>
    </row>
    <row r="59" spans="1:19" s="97" customFormat="1" ht="27" customHeight="1">
      <c r="A59" s="2053"/>
      <c r="B59" s="524" t="s">
        <v>2558</v>
      </c>
      <c r="C59" s="525" t="s">
        <v>2656</v>
      </c>
      <c r="D59" s="525"/>
      <c r="E59" s="526"/>
      <c r="F59" s="527">
        <v>45786</v>
      </c>
      <c r="G59" s="527"/>
      <c r="H59" s="528">
        <f>VLOOKUP(F59,환율!A:B,2,0)</f>
        <v>1396</v>
      </c>
      <c r="I59" s="529"/>
      <c r="J59" s="530">
        <v>25013687</v>
      </c>
      <c r="K59" s="530"/>
      <c r="L59" s="548">
        <f>J59</f>
        <v>25013687</v>
      </c>
      <c r="M59" s="401"/>
      <c r="N59" s="434"/>
      <c r="O59" s="434"/>
      <c r="P59" s="434"/>
      <c r="Q59" s="434"/>
      <c r="R59" s="434"/>
      <c r="S59" s="441"/>
    </row>
    <row r="60" spans="1:19" s="97" customFormat="1" ht="27" customHeight="1">
      <c r="A60" s="2013"/>
      <c r="B60" s="524" t="s">
        <v>2643</v>
      </c>
      <c r="C60" s="524" t="s">
        <v>2656</v>
      </c>
      <c r="D60" s="524"/>
      <c r="E60" s="552"/>
      <c r="F60" s="547">
        <v>45787</v>
      </c>
      <c r="G60" s="547"/>
      <c r="H60" s="528">
        <f>VLOOKUP(F60,환율!A:B,2,0)</f>
        <v>1396</v>
      </c>
      <c r="I60" s="529"/>
      <c r="J60" s="530">
        <v>52170230</v>
      </c>
      <c r="K60" s="530"/>
      <c r="L60" s="548">
        <f>J60</f>
        <v>52170230</v>
      </c>
      <c r="M60" s="401"/>
      <c r="N60" s="434"/>
      <c r="O60" s="434"/>
      <c r="P60" s="434"/>
      <c r="Q60" s="434"/>
      <c r="R60" s="434"/>
      <c r="S60" s="441"/>
    </row>
    <row r="61" spans="1:19" s="97" customFormat="1" ht="27" customHeight="1">
      <c r="A61" s="2035" t="s">
        <v>10</v>
      </c>
      <c r="B61" s="2036"/>
      <c r="C61" s="2036"/>
      <c r="D61" s="2036"/>
      <c r="E61" s="2036"/>
      <c r="F61" s="2036"/>
      <c r="G61" s="2036"/>
      <c r="H61" s="2037"/>
      <c r="I61" s="127">
        <f>SUM(I58:I58)</f>
        <v>0</v>
      </c>
      <c r="J61" s="116">
        <f>SUM(J58:J60)</f>
        <v>135046727</v>
      </c>
      <c r="K61" s="116">
        <f>SUM(K58:K60)</f>
        <v>57862810</v>
      </c>
      <c r="L61" s="260">
        <f>SUM(L58:L60)</f>
        <v>77183917</v>
      </c>
      <c r="M61" s="364"/>
      <c r="N61" s="434"/>
      <c r="O61" s="434"/>
      <c r="P61" s="434"/>
      <c r="Q61" s="434"/>
      <c r="R61" s="434"/>
      <c r="S61" s="441"/>
    </row>
    <row r="62" spans="1:19" s="97" customFormat="1" ht="38.4">
      <c r="A62" s="2010" t="s">
        <v>47</v>
      </c>
      <c r="B62" s="560" t="s">
        <v>2650</v>
      </c>
      <c r="C62" s="560" t="s">
        <v>2656</v>
      </c>
      <c r="D62" s="174" t="s">
        <v>2651</v>
      </c>
      <c r="E62" s="288"/>
      <c r="F62" s="222"/>
      <c r="G62" s="222"/>
      <c r="H62" s="91">
        <f>J62/I62</f>
        <v>1437.4833654203399</v>
      </c>
      <c r="I62" s="118">
        <v>-11842.8</v>
      </c>
      <c r="J62" s="93">
        <f>-14182740-2841088</f>
        <v>-17023828</v>
      </c>
      <c r="K62" s="93">
        <f>J62</f>
        <v>-17023828</v>
      </c>
      <c r="L62" s="263"/>
      <c r="M62" s="364"/>
      <c r="N62" s="434"/>
      <c r="O62" s="434"/>
      <c r="P62" s="434"/>
      <c r="Q62" s="434"/>
      <c r="R62" s="434"/>
      <c r="S62" s="441"/>
    </row>
    <row r="63" spans="1:19" s="97" customFormat="1" ht="27" customHeight="1">
      <c r="A63" s="2019"/>
      <c r="B63" s="524" t="s">
        <v>2560</v>
      </c>
      <c r="C63" s="524" t="s">
        <v>2656</v>
      </c>
      <c r="D63" s="524" t="s">
        <v>2559</v>
      </c>
      <c r="E63" s="526"/>
      <c r="F63" s="553">
        <v>45786</v>
      </c>
      <c r="G63" s="553"/>
      <c r="H63" s="528">
        <f>VLOOKUP(F63,환율!A:B,2,0)</f>
        <v>1396</v>
      </c>
      <c r="I63" s="554">
        <v>39476</v>
      </c>
      <c r="J63" s="530">
        <f t="shared" ref="J63" si="17">ROUNDDOWN(I63*H63,0)</f>
        <v>55108496</v>
      </c>
      <c r="K63" s="530"/>
      <c r="L63" s="548">
        <f>J63</f>
        <v>55108496</v>
      </c>
      <c r="M63" s="364"/>
      <c r="N63" s="434"/>
      <c r="O63" s="434"/>
      <c r="P63" s="434"/>
      <c r="Q63" s="434"/>
      <c r="R63" s="434"/>
      <c r="S63" s="441"/>
    </row>
    <row r="64" spans="1:19" s="97" customFormat="1" ht="27" customHeight="1">
      <c r="A64" s="2035" t="s">
        <v>10</v>
      </c>
      <c r="B64" s="2036"/>
      <c r="C64" s="2036"/>
      <c r="D64" s="2036"/>
      <c r="E64" s="2036"/>
      <c r="F64" s="2036"/>
      <c r="G64" s="2036"/>
      <c r="H64" s="2037"/>
      <c r="I64" s="127">
        <f>SUM(I63:I63)</f>
        <v>39476</v>
      </c>
      <c r="J64" s="116">
        <f>SUM(J62:J63)</f>
        <v>38084668</v>
      </c>
      <c r="K64" s="116">
        <f>SUM(K62:K63)</f>
        <v>-17023828</v>
      </c>
      <c r="L64" s="555">
        <f>L63</f>
        <v>55108496</v>
      </c>
      <c r="M64" s="364"/>
      <c r="N64" s="434"/>
      <c r="O64" s="434"/>
      <c r="P64" s="434"/>
      <c r="Q64" s="434"/>
      <c r="R64" s="434"/>
      <c r="S64" s="441"/>
    </row>
    <row r="65" spans="1:19" s="97" customFormat="1" ht="27" customHeight="1">
      <c r="A65" s="2010" t="s">
        <v>34</v>
      </c>
      <c r="B65" s="515" t="s">
        <v>2567</v>
      </c>
      <c r="C65" s="515" t="s">
        <v>2657</v>
      </c>
      <c r="D65" s="515" t="s">
        <v>2566</v>
      </c>
      <c r="E65" s="485"/>
      <c r="F65" s="130">
        <v>45763</v>
      </c>
      <c r="G65" s="486"/>
      <c r="H65" s="91">
        <f>VLOOKUP(F65,환율!A:B,2,0)</f>
        <v>1423.3</v>
      </c>
      <c r="I65" s="118">
        <v>11630</v>
      </c>
      <c r="J65" s="93">
        <f t="shared" ref="J65:J66" si="18">ROUNDDOWN(I65*H65,0)</f>
        <v>16552979</v>
      </c>
      <c r="K65" s="93">
        <f t="shared" ref="K65:K77" si="19">J65</f>
        <v>16552979</v>
      </c>
      <c r="L65" s="263"/>
      <c r="M65" s="401"/>
      <c r="N65" s="434"/>
      <c r="O65" s="434"/>
      <c r="P65" s="434"/>
      <c r="Q65" s="434"/>
      <c r="R65" s="434"/>
      <c r="S65" s="441"/>
    </row>
    <row r="66" spans="1:19" s="97" customFormat="1" ht="27" customHeight="1">
      <c r="A66" s="2019"/>
      <c r="B66" s="515" t="s">
        <v>2568</v>
      </c>
      <c r="C66" s="484" t="s">
        <v>2657</v>
      </c>
      <c r="D66" s="484" t="s">
        <v>2569</v>
      </c>
      <c r="E66" s="485"/>
      <c r="F66" s="130">
        <v>45771</v>
      </c>
      <c r="G66" s="486"/>
      <c r="H66" s="91">
        <f>VLOOKUP(F66,환율!A:B,2,0)</f>
        <v>1426.6</v>
      </c>
      <c r="I66" s="118">
        <v>6269.76</v>
      </c>
      <c r="J66" s="93">
        <f t="shared" si="18"/>
        <v>8944439</v>
      </c>
      <c r="K66" s="93">
        <f t="shared" si="19"/>
        <v>8944439</v>
      </c>
      <c r="L66" s="263"/>
      <c r="M66" s="401"/>
      <c r="N66" s="434"/>
      <c r="O66" s="434"/>
      <c r="P66" s="434"/>
      <c r="Q66" s="434"/>
      <c r="R66" s="434"/>
      <c r="S66" s="441"/>
    </row>
    <row r="67" spans="1:19" s="97" customFormat="1" ht="27" customHeight="1">
      <c r="A67" s="2035" t="s">
        <v>10</v>
      </c>
      <c r="B67" s="2036"/>
      <c r="C67" s="2036"/>
      <c r="D67" s="2036"/>
      <c r="E67" s="2036"/>
      <c r="F67" s="2036"/>
      <c r="G67" s="2036"/>
      <c r="H67" s="2037"/>
      <c r="I67" s="159">
        <f>SUM(I65:I66)</f>
        <v>17899.760000000002</v>
      </c>
      <c r="J67" s="160">
        <f>SUM(J65:J66)</f>
        <v>25497418</v>
      </c>
      <c r="K67" s="116">
        <f>SUM(K65:K66)</f>
        <v>25497418</v>
      </c>
      <c r="L67" s="264">
        <v>0</v>
      </c>
      <c r="M67" s="364"/>
      <c r="N67" s="434"/>
      <c r="O67" s="434"/>
      <c r="P67" s="434"/>
      <c r="Q67" s="434"/>
      <c r="R67" s="434"/>
      <c r="S67" s="441"/>
    </row>
    <row r="68" spans="1:19" s="97" customFormat="1" ht="27" customHeight="1">
      <c r="A68" s="2017" t="s">
        <v>14</v>
      </c>
      <c r="B68" s="174" t="s">
        <v>2570</v>
      </c>
      <c r="C68" s="173" t="s">
        <v>2656</v>
      </c>
      <c r="D68" s="173" t="s">
        <v>2580</v>
      </c>
      <c r="E68" s="288"/>
      <c r="F68" s="136">
        <v>45767</v>
      </c>
      <c r="G68" s="222"/>
      <c r="H68" s="91">
        <f>VLOOKUP(F68,환율!A:B,2,0)</f>
        <v>1419.9</v>
      </c>
      <c r="I68" s="92">
        <v>18421.5</v>
      </c>
      <c r="J68" s="93">
        <f t="shared" ref="J68:J77" si="20">ROUNDDOWN(I68*H68,0)</f>
        <v>26156687</v>
      </c>
      <c r="K68" s="93">
        <f t="shared" si="19"/>
        <v>26156687</v>
      </c>
      <c r="L68" s="254"/>
      <c r="M68" s="364"/>
      <c r="N68" s="434"/>
      <c r="O68" s="434"/>
      <c r="P68" s="434"/>
      <c r="Q68" s="434"/>
      <c r="R68" s="434"/>
      <c r="S68" s="441"/>
    </row>
    <row r="69" spans="1:19" s="97" customFormat="1" ht="27" customHeight="1">
      <c r="A69" s="2017"/>
      <c r="B69" s="174" t="s">
        <v>2571</v>
      </c>
      <c r="C69" s="173" t="s">
        <v>2656</v>
      </c>
      <c r="D69" s="173" t="s">
        <v>2581</v>
      </c>
      <c r="E69" s="288"/>
      <c r="F69" s="136">
        <v>45767</v>
      </c>
      <c r="G69" s="222"/>
      <c r="H69" s="91">
        <f>VLOOKUP(F69,환율!A:B,2,0)</f>
        <v>1419.9</v>
      </c>
      <c r="I69" s="92">
        <v>12281</v>
      </c>
      <c r="J69" s="93">
        <f t="shared" si="20"/>
        <v>17437791</v>
      </c>
      <c r="K69" s="93">
        <f t="shared" si="19"/>
        <v>17437791</v>
      </c>
      <c r="L69" s="254"/>
      <c r="M69" s="364"/>
      <c r="N69" s="434"/>
      <c r="O69" s="434"/>
      <c r="P69" s="434"/>
      <c r="Q69" s="434"/>
      <c r="R69" s="434"/>
      <c r="S69" s="441"/>
    </row>
    <row r="70" spans="1:19" s="97" customFormat="1" ht="27" customHeight="1">
      <c r="A70" s="2017"/>
      <c r="B70" s="174" t="s">
        <v>2572</v>
      </c>
      <c r="C70" s="173" t="s">
        <v>2656</v>
      </c>
      <c r="D70" s="173" t="s">
        <v>2582</v>
      </c>
      <c r="E70" s="288"/>
      <c r="F70" s="136">
        <v>45753</v>
      </c>
      <c r="G70" s="222"/>
      <c r="H70" s="91">
        <f>VLOOKUP(F70,환율!A:B,2,0)</f>
        <v>1467</v>
      </c>
      <c r="I70" s="118">
        <v>6140.5</v>
      </c>
      <c r="J70" s="93">
        <f t="shared" si="20"/>
        <v>9008113</v>
      </c>
      <c r="K70" s="93">
        <f t="shared" si="19"/>
        <v>9008113</v>
      </c>
      <c r="L70" s="255"/>
      <c r="M70" s="403"/>
      <c r="N70" s="434"/>
      <c r="O70" s="434"/>
      <c r="P70" s="434"/>
      <c r="Q70" s="434"/>
      <c r="R70" s="434"/>
      <c r="S70" s="441"/>
    </row>
    <row r="71" spans="1:19" s="97" customFormat="1" ht="27" customHeight="1">
      <c r="A71" s="2017"/>
      <c r="B71" s="174" t="s">
        <v>2573</v>
      </c>
      <c r="C71" s="173" t="s">
        <v>2656</v>
      </c>
      <c r="D71" s="173" t="s">
        <v>2583</v>
      </c>
      <c r="E71" s="288"/>
      <c r="F71" s="136">
        <v>45767</v>
      </c>
      <c r="G71" s="222"/>
      <c r="H71" s="91">
        <f>VLOOKUP(F71,환율!A:B,2,0)</f>
        <v>1419.9</v>
      </c>
      <c r="I71" s="92">
        <v>10124.5</v>
      </c>
      <c r="J71" s="93">
        <f t="shared" si="20"/>
        <v>14375777</v>
      </c>
      <c r="K71" s="93">
        <f t="shared" si="19"/>
        <v>14375777</v>
      </c>
      <c r="L71" s="256"/>
      <c r="M71" s="364"/>
      <c r="N71" s="434"/>
      <c r="O71" s="434"/>
      <c r="P71" s="434"/>
      <c r="Q71" s="434"/>
      <c r="R71" s="434"/>
      <c r="S71" s="441"/>
    </row>
    <row r="72" spans="1:19" s="97" customFormat="1" ht="27" customHeight="1">
      <c r="A72" s="2017"/>
      <c r="B72" s="174" t="s">
        <v>2574</v>
      </c>
      <c r="C72" s="173" t="s">
        <v>2656</v>
      </c>
      <c r="D72" s="173" t="s">
        <v>2584</v>
      </c>
      <c r="E72" s="288"/>
      <c r="F72" s="136">
        <v>45767</v>
      </c>
      <c r="G72" s="222"/>
      <c r="H72" s="91">
        <f>VLOOKUP(F72,환율!A:B,2,0)</f>
        <v>1419.9</v>
      </c>
      <c r="I72" s="92">
        <v>15095.5</v>
      </c>
      <c r="J72" s="93">
        <f t="shared" si="20"/>
        <v>21434100</v>
      </c>
      <c r="K72" s="93">
        <f t="shared" si="19"/>
        <v>21434100</v>
      </c>
      <c r="L72" s="256"/>
      <c r="M72" s="364"/>
      <c r="N72" s="434"/>
      <c r="O72" s="434"/>
      <c r="P72" s="434"/>
      <c r="Q72" s="434"/>
      <c r="R72" s="434"/>
      <c r="S72" s="441"/>
    </row>
    <row r="73" spans="1:19" s="97" customFormat="1" ht="27" customHeight="1">
      <c r="A73" s="2017"/>
      <c r="B73" s="174" t="s">
        <v>2575</v>
      </c>
      <c r="C73" s="173" t="s">
        <v>2656</v>
      </c>
      <c r="D73" s="173" t="s">
        <v>2585</v>
      </c>
      <c r="E73" s="288"/>
      <c r="F73" s="136">
        <v>45765</v>
      </c>
      <c r="G73" s="222"/>
      <c r="H73" s="91">
        <f>VLOOKUP(F73,환율!A:B,2,0)</f>
        <v>1419.9</v>
      </c>
      <c r="I73" s="92">
        <v>2259.81</v>
      </c>
      <c r="J73" s="93">
        <f t="shared" si="20"/>
        <v>3208704</v>
      </c>
      <c r="K73" s="93">
        <f t="shared" si="19"/>
        <v>3208704</v>
      </c>
      <c r="L73" s="256"/>
      <c r="M73" s="364"/>
      <c r="N73" s="434"/>
      <c r="O73" s="434"/>
      <c r="P73" s="434"/>
      <c r="Q73" s="434"/>
      <c r="R73" s="434"/>
      <c r="S73" s="441"/>
    </row>
    <row r="74" spans="1:19" s="97" customFormat="1" ht="27" customHeight="1">
      <c r="A74" s="2017"/>
      <c r="B74" s="174" t="s">
        <v>2576</v>
      </c>
      <c r="C74" s="173" t="s">
        <v>2656</v>
      </c>
      <c r="D74" s="173" t="s">
        <v>2586</v>
      </c>
      <c r="E74" s="288"/>
      <c r="F74" s="136">
        <v>45773</v>
      </c>
      <c r="G74" s="222"/>
      <c r="H74" s="91">
        <f>VLOOKUP(F74,환율!A:B,2,0)</f>
        <v>1430.2</v>
      </c>
      <c r="I74" s="92">
        <v>2533.64</v>
      </c>
      <c r="J74" s="93">
        <f t="shared" si="20"/>
        <v>3623611</v>
      </c>
      <c r="K74" s="93">
        <f t="shared" si="19"/>
        <v>3623611</v>
      </c>
      <c r="L74" s="256"/>
      <c r="M74" s="364"/>
      <c r="N74" s="434"/>
      <c r="O74" s="434"/>
      <c r="P74" s="434"/>
      <c r="Q74" s="434"/>
      <c r="R74" s="434"/>
      <c r="S74" s="441"/>
    </row>
    <row r="75" spans="1:19" s="97" customFormat="1" ht="27" customHeight="1">
      <c r="A75" s="2017"/>
      <c r="B75" s="174" t="s">
        <v>2577</v>
      </c>
      <c r="C75" s="173" t="s">
        <v>2656</v>
      </c>
      <c r="D75" s="173" t="s">
        <v>2587</v>
      </c>
      <c r="E75" s="288"/>
      <c r="F75" s="136">
        <v>45770</v>
      </c>
      <c r="G75" s="222"/>
      <c r="H75" s="91">
        <f>VLOOKUP(F75,환율!A:B,2,0)</f>
        <v>1422.6</v>
      </c>
      <c r="I75" s="92">
        <v>255.55</v>
      </c>
      <c r="J75" s="93">
        <f t="shared" si="20"/>
        <v>363545</v>
      </c>
      <c r="K75" s="93">
        <f t="shared" si="19"/>
        <v>363545</v>
      </c>
      <c r="L75" s="256"/>
      <c r="M75" s="364"/>
      <c r="N75" s="434"/>
      <c r="O75" s="434"/>
      <c r="P75" s="434"/>
      <c r="Q75" s="434"/>
      <c r="R75" s="434"/>
      <c r="S75" s="441"/>
    </row>
    <row r="76" spans="1:19" s="97" customFormat="1" ht="27" customHeight="1">
      <c r="A76" s="2017"/>
      <c r="B76" s="174" t="s">
        <v>2578</v>
      </c>
      <c r="C76" s="173" t="s">
        <v>2656</v>
      </c>
      <c r="D76" s="173" t="s">
        <v>2588</v>
      </c>
      <c r="E76" s="288"/>
      <c r="F76" s="136">
        <v>45775</v>
      </c>
      <c r="G76" s="222"/>
      <c r="H76" s="91">
        <f>VLOOKUP(F76,환율!A:B,2,0)</f>
        <v>1434.6</v>
      </c>
      <c r="I76" s="92">
        <v>225.54</v>
      </c>
      <c r="J76" s="93">
        <f t="shared" si="20"/>
        <v>323559</v>
      </c>
      <c r="K76" s="93">
        <f t="shared" si="19"/>
        <v>323559</v>
      </c>
      <c r="L76" s="256"/>
      <c r="N76" s="434"/>
      <c r="O76" s="434"/>
      <c r="P76" s="434"/>
      <c r="Q76" s="434"/>
      <c r="R76" s="434"/>
      <c r="S76" s="441"/>
    </row>
    <row r="77" spans="1:19" s="97" customFormat="1" ht="27" customHeight="1">
      <c r="A77" s="2017"/>
      <c r="B77" s="174" t="s">
        <v>2579</v>
      </c>
      <c r="C77" s="173" t="s">
        <v>2656</v>
      </c>
      <c r="D77" s="173" t="s">
        <v>2589</v>
      </c>
      <c r="E77" s="288"/>
      <c r="F77" s="136">
        <v>45774</v>
      </c>
      <c r="G77" s="222"/>
      <c r="H77" s="91">
        <f>VLOOKUP(F77,환율!A:B,2,0)</f>
        <v>1430.2</v>
      </c>
      <c r="I77" s="92">
        <v>5548.12</v>
      </c>
      <c r="J77" s="93">
        <f t="shared" si="20"/>
        <v>7934921</v>
      </c>
      <c r="K77" s="93">
        <f t="shared" si="19"/>
        <v>7934921</v>
      </c>
      <c r="L77" s="256"/>
      <c r="N77" s="434"/>
      <c r="O77" s="434"/>
      <c r="P77" s="434"/>
      <c r="Q77" s="434"/>
      <c r="R77" s="434"/>
      <c r="S77" s="441"/>
    </row>
    <row r="78" spans="1:19" s="97" customFormat="1" ht="27" customHeight="1">
      <c r="A78" s="2035" t="s">
        <v>10</v>
      </c>
      <c r="B78" s="2036"/>
      <c r="C78" s="2036"/>
      <c r="D78" s="2036"/>
      <c r="E78" s="2036"/>
      <c r="F78" s="2036"/>
      <c r="G78" s="2036"/>
      <c r="H78" s="2037"/>
      <c r="I78" s="127">
        <f>SUM(I68:I77)</f>
        <v>72885.659999999989</v>
      </c>
      <c r="J78" s="160">
        <f>SUM(J68:J77)</f>
        <v>103866808</v>
      </c>
      <c r="K78" s="116">
        <f>SUM(K68:K77)</f>
        <v>103866808</v>
      </c>
      <c r="L78" s="260">
        <f>SUM(L68:L77)</f>
        <v>0</v>
      </c>
      <c r="M78" s="364"/>
      <c r="N78" s="434"/>
      <c r="O78" s="434"/>
      <c r="P78" s="434"/>
      <c r="Q78" s="434"/>
      <c r="R78" s="434"/>
      <c r="S78" s="441"/>
    </row>
    <row r="79" spans="1:19" s="97" customFormat="1" ht="27" customHeight="1">
      <c r="A79" s="2012" t="s">
        <v>15</v>
      </c>
      <c r="B79" s="514" t="s">
        <v>2517</v>
      </c>
      <c r="C79" s="487" t="s">
        <v>2657</v>
      </c>
      <c r="D79" s="487" t="s">
        <v>2518</v>
      </c>
      <c r="E79" s="482"/>
      <c r="F79" s="465">
        <v>45748</v>
      </c>
      <c r="G79" s="465" t="s">
        <v>2504</v>
      </c>
      <c r="H79" s="456">
        <f>VLOOKUP(F79,환율!A:B,2,0)</f>
        <v>1470.6</v>
      </c>
      <c r="I79" s="457">
        <v>8868.4500000000007</v>
      </c>
      <c r="J79" s="458">
        <f t="shared" ref="J79:J81" si="21">ROUNDDOWN(I79*H79,0)</f>
        <v>13041942</v>
      </c>
      <c r="K79" s="458">
        <f>J79</f>
        <v>13041942</v>
      </c>
      <c r="L79" s="464"/>
      <c r="M79" s="401" t="s">
        <v>2565</v>
      </c>
      <c r="N79" s="434" t="s">
        <v>2523</v>
      </c>
      <c r="O79" s="434" t="s">
        <v>2523</v>
      </c>
      <c r="P79" s="434" t="s">
        <v>2523</v>
      </c>
      <c r="Q79" s="434" t="s">
        <v>2523</v>
      </c>
      <c r="R79" s="434"/>
      <c r="S79" s="441"/>
    </row>
    <row r="80" spans="1:19" s="97" customFormat="1" ht="27" customHeight="1">
      <c r="A80" s="2053"/>
      <c r="B80" s="514" t="s">
        <v>2561</v>
      </c>
      <c r="C80" s="487" t="s">
        <v>2657</v>
      </c>
      <c r="D80" s="487" t="s">
        <v>2563</v>
      </c>
      <c r="E80" s="482"/>
      <c r="F80" s="465">
        <v>45751</v>
      </c>
      <c r="G80" s="465"/>
      <c r="H80" s="456">
        <f>VLOOKUP(F80,환율!A:B,2,0)</f>
        <v>1467</v>
      </c>
      <c r="I80" s="457">
        <v>68009.240000000005</v>
      </c>
      <c r="J80" s="458">
        <f t="shared" si="21"/>
        <v>99769555</v>
      </c>
      <c r="K80" s="458">
        <f t="shared" ref="K80" si="22">J80</f>
        <v>99769555</v>
      </c>
      <c r="L80" s="464"/>
      <c r="M80" s="401" t="s">
        <v>2565</v>
      </c>
      <c r="N80" s="434" t="s">
        <v>2564</v>
      </c>
      <c r="O80" s="434" t="s">
        <v>2564</v>
      </c>
      <c r="P80" s="434" t="s">
        <v>2564</v>
      </c>
      <c r="Q80" s="434" t="s">
        <v>2564</v>
      </c>
      <c r="R80" s="434"/>
      <c r="S80" s="441"/>
    </row>
    <row r="81" spans="1:19" s="97" customFormat="1" ht="27" customHeight="1">
      <c r="A81" s="2013"/>
      <c r="B81" s="524" t="s">
        <v>2562</v>
      </c>
      <c r="C81" s="524" t="s">
        <v>2656</v>
      </c>
      <c r="D81" s="524"/>
      <c r="E81" s="552"/>
      <c r="F81" s="552">
        <v>45780</v>
      </c>
      <c r="G81" s="552"/>
      <c r="H81" s="528">
        <f>VLOOKUP(F81,환율!A:B,2,0)</f>
        <v>1426.9</v>
      </c>
      <c r="I81" s="529">
        <v>33494.339999999997</v>
      </c>
      <c r="J81" s="530">
        <f t="shared" si="21"/>
        <v>47793073</v>
      </c>
      <c r="K81" s="524"/>
      <c r="L81" s="530">
        <f>J81</f>
        <v>47793073</v>
      </c>
      <c r="M81" s="401" t="s">
        <v>2590</v>
      </c>
      <c r="N81" s="434" t="s">
        <v>2565</v>
      </c>
      <c r="O81" s="434" t="s">
        <v>2564</v>
      </c>
      <c r="P81" s="434" t="s">
        <v>2564</v>
      </c>
      <c r="Q81" s="434" t="s">
        <v>2565</v>
      </c>
      <c r="R81" s="434"/>
      <c r="S81" s="441"/>
    </row>
    <row r="82" spans="1:19" s="97" customFormat="1" ht="27" customHeight="1">
      <c r="A82" s="2035" t="s">
        <v>10</v>
      </c>
      <c r="B82" s="2036"/>
      <c r="C82" s="2036"/>
      <c r="D82" s="2036"/>
      <c r="E82" s="2036"/>
      <c r="F82" s="2036"/>
      <c r="G82" s="2036"/>
      <c r="H82" s="2037"/>
      <c r="I82" s="127">
        <f>SUM(I79:I80)</f>
        <v>76877.69</v>
      </c>
      <c r="J82" s="116">
        <f>SUM(J79:J81)</f>
        <v>160604570</v>
      </c>
      <c r="K82" s="116">
        <f>SUM(K79:K81)</f>
        <v>112811497</v>
      </c>
      <c r="L82" s="260">
        <f>SUM(L79:L81)</f>
        <v>47793073</v>
      </c>
      <c r="M82" s="366"/>
      <c r="N82" s="434"/>
      <c r="O82" s="434"/>
      <c r="P82" s="434"/>
      <c r="Q82" s="434"/>
      <c r="R82" s="434"/>
      <c r="S82" s="441"/>
    </row>
    <row r="83" spans="1:19" s="97" customFormat="1" ht="27" customHeight="1">
      <c r="A83" s="2010" t="s">
        <v>726</v>
      </c>
      <c r="B83" s="466" t="s">
        <v>2515</v>
      </c>
      <c r="C83" s="466" t="s">
        <v>2657</v>
      </c>
      <c r="D83" s="466" t="s">
        <v>2516</v>
      </c>
      <c r="E83" s="465"/>
      <c r="F83" s="455">
        <v>45753</v>
      </c>
      <c r="G83" s="455" t="s">
        <v>2504</v>
      </c>
      <c r="H83" s="467">
        <v>10.06</v>
      </c>
      <c r="I83" s="468">
        <v>13190160</v>
      </c>
      <c r="J83" s="458">
        <f t="shared" ref="J83:J93" si="23">ROUNDDOWN(I83*H83,0)</f>
        <v>132693009</v>
      </c>
      <c r="K83" s="458">
        <f>J83</f>
        <v>132693009</v>
      </c>
      <c r="L83" s="470"/>
      <c r="M83" s="366"/>
      <c r="N83" s="434"/>
      <c r="O83" s="434"/>
      <c r="P83" s="434"/>
      <c r="Q83" s="434"/>
      <c r="R83" s="434"/>
      <c r="S83" s="441"/>
    </row>
    <row r="84" spans="1:19" s="97" customFormat="1" ht="27" customHeight="1">
      <c r="A84" s="2011"/>
      <c r="B84" s="146" t="s">
        <v>2621</v>
      </c>
      <c r="C84" s="146" t="s">
        <v>2657</v>
      </c>
      <c r="D84" s="146" t="s">
        <v>2626</v>
      </c>
      <c r="E84" s="136"/>
      <c r="F84" s="90">
        <v>45754</v>
      </c>
      <c r="G84" s="90"/>
      <c r="H84" s="397">
        <v>9.9245000000000001</v>
      </c>
      <c r="I84" s="177">
        <v>13177910</v>
      </c>
      <c r="J84" s="93">
        <f t="shared" ref="J84:J88" si="24">ROUNDDOWN(I84*H84,0)</f>
        <v>130784167</v>
      </c>
      <c r="K84" s="93">
        <f t="shared" ref="K84:K88" si="25">J84</f>
        <v>130784167</v>
      </c>
      <c r="L84" s="263"/>
      <c r="M84" s="364"/>
      <c r="R84" s="434"/>
      <c r="S84" s="441"/>
    </row>
    <row r="85" spans="1:19" s="97" customFormat="1" ht="27" customHeight="1">
      <c r="A85" s="2011"/>
      <c r="B85" s="146" t="s">
        <v>2622</v>
      </c>
      <c r="C85" s="146" t="s">
        <v>2657</v>
      </c>
      <c r="D85" s="146" t="s">
        <v>2627</v>
      </c>
      <c r="E85" s="136"/>
      <c r="F85" s="90">
        <v>45760</v>
      </c>
      <c r="G85" s="90"/>
      <c r="H85" s="176">
        <v>10.120699999999999</v>
      </c>
      <c r="I85" s="177">
        <v>14437860</v>
      </c>
      <c r="J85" s="93">
        <f t="shared" si="24"/>
        <v>146121249</v>
      </c>
      <c r="K85" s="93">
        <f t="shared" si="25"/>
        <v>146121249</v>
      </c>
      <c r="L85" s="263"/>
      <c r="M85" s="402"/>
      <c r="R85" s="434"/>
      <c r="S85" s="441"/>
    </row>
    <row r="86" spans="1:19" s="97" customFormat="1" ht="27" customHeight="1">
      <c r="A86" s="2011"/>
      <c r="B86" s="146" t="s">
        <v>2623</v>
      </c>
      <c r="C86" s="146" t="s">
        <v>2657</v>
      </c>
      <c r="D86" s="146" t="s">
        <v>2628</v>
      </c>
      <c r="E86" s="136"/>
      <c r="F86" s="136">
        <v>45768</v>
      </c>
      <c r="G86" s="136"/>
      <c r="H86" s="176">
        <v>10.035299999999999</v>
      </c>
      <c r="I86" s="177">
        <v>19922000</v>
      </c>
      <c r="J86" s="93">
        <f t="shared" si="24"/>
        <v>199923246</v>
      </c>
      <c r="K86" s="93">
        <f t="shared" si="25"/>
        <v>199923246</v>
      </c>
      <c r="L86" s="263"/>
      <c r="R86" s="434"/>
      <c r="S86" s="441"/>
    </row>
    <row r="87" spans="1:19" s="97" customFormat="1" ht="27" customHeight="1">
      <c r="A87" s="2011"/>
      <c r="B87" s="146" t="s">
        <v>2624</v>
      </c>
      <c r="C87" s="146" t="s">
        <v>2657</v>
      </c>
      <c r="D87" s="146" t="s">
        <v>2629</v>
      </c>
      <c r="E87" s="136"/>
      <c r="F87" s="136">
        <v>45775</v>
      </c>
      <c r="G87" s="136"/>
      <c r="H87" s="176">
        <v>9.9787999999999997</v>
      </c>
      <c r="I87" s="177">
        <v>11639150</v>
      </c>
      <c r="J87" s="93">
        <f t="shared" si="24"/>
        <v>116144750</v>
      </c>
      <c r="K87" s="93">
        <f t="shared" si="25"/>
        <v>116144750</v>
      </c>
      <c r="L87" s="263"/>
      <c r="R87" s="434"/>
      <c r="S87" s="441"/>
    </row>
    <row r="88" spans="1:19" s="97" customFormat="1" ht="27" customHeight="1">
      <c r="A88" s="2011"/>
      <c r="B88" s="146" t="s">
        <v>2625</v>
      </c>
      <c r="C88" s="146" t="s">
        <v>2657</v>
      </c>
      <c r="D88" s="146" t="s">
        <v>2630</v>
      </c>
      <c r="E88" s="136"/>
      <c r="F88" s="136">
        <v>45775</v>
      </c>
      <c r="G88" s="136"/>
      <c r="H88" s="176">
        <v>9.9787999999999997</v>
      </c>
      <c r="I88" s="177">
        <v>13049080</v>
      </c>
      <c r="J88" s="93">
        <f t="shared" si="24"/>
        <v>130214159</v>
      </c>
      <c r="K88" s="93">
        <f t="shared" si="25"/>
        <v>130214159</v>
      </c>
      <c r="L88" s="263"/>
      <c r="R88" s="434"/>
      <c r="S88" s="441"/>
    </row>
    <row r="89" spans="1:19" s="97" customFormat="1" ht="27" customHeight="1">
      <c r="A89" s="2011"/>
      <c r="B89" s="552" t="s">
        <v>2647</v>
      </c>
      <c r="C89" s="552" t="s">
        <v>2656</v>
      </c>
      <c r="D89" s="552" t="s">
        <v>2631</v>
      </c>
      <c r="E89" s="550"/>
      <c r="F89" s="550">
        <v>45780</v>
      </c>
      <c r="G89" s="550"/>
      <c r="H89" s="558">
        <v>9.8088999999999995</v>
      </c>
      <c r="I89" s="559">
        <v>14811000</v>
      </c>
      <c r="J89" s="530">
        <f t="shared" si="23"/>
        <v>145279617</v>
      </c>
      <c r="K89" s="530"/>
      <c r="L89" s="548">
        <f>J89</f>
        <v>145279617</v>
      </c>
      <c r="M89" s="403"/>
      <c r="R89" s="434"/>
      <c r="S89" s="441"/>
    </row>
    <row r="90" spans="1:19" s="97" customFormat="1" ht="27" customHeight="1">
      <c r="A90" s="2035" t="s">
        <v>10</v>
      </c>
      <c r="B90" s="2036"/>
      <c r="C90" s="2036"/>
      <c r="D90" s="2036"/>
      <c r="E90" s="2036"/>
      <c r="F90" s="2036"/>
      <c r="G90" s="2036"/>
      <c r="H90" s="2037"/>
      <c r="I90" s="398">
        <f>SUM(I83:I89)</f>
        <v>100227160</v>
      </c>
      <c r="J90" s="116">
        <f>SUM(J83:J89)</f>
        <v>1001160197</v>
      </c>
      <c r="K90" s="116">
        <f>SUM(K83:K89)</f>
        <v>855880580</v>
      </c>
      <c r="L90" s="260">
        <f>SUM(L83:L89)</f>
        <v>145279617</v>
      </c>
      <c r="M90" s="364"/>
      <c r="N90" s="434"/>
      <c r="O90" s="434"/>
      <c r="P90" s="434"/>
      <c r="Q90" s="434"/>
      <c r="R90" s="434"/>
      <c r="S90" s="441"/>
    </row>
    <row r="91" spans="1:19" s="97" customFormat="1" ht="27" customHeight="1">
      <c r="A91" s="362" t="s">
        <v>2632</v>
      </c>
      <c r="B91" s="146" t="s">
        <v>2633</v>
      </c>
      <c r="C91" s="146"/>
      <c r="D91" s="146" t="s">
        <v>2634</v>
      </c>
      <c r="E91" s="136"/>
      <c r="F91" s="90">
        <v>45776</v>
      </c>
      <c r="G91" s="90"/>
      <c r="H91" s="397">
        <v>10.118499999999999</v>
      </c>
      <c r="I91" s="177">
        <v>246661</v>
      </c>
      <c r="J91" s="93">
        <f t="shared" ref="J91" si="26">ROUNDDOWN(I91*H91,0)</f>
        <v>2495839</v>
      </c>
      <c r="K91" s="93">
        <f t="shared" ref="K91" si="27">J91</f>
        <v>2495839</v>
      </c>
      <c r="L91" s="263"/>
      <c r="M91" s="364"/>
      <c r="N91" s="434"/>
      <c r="O91" s="434"/>
      <c r="P91" s="434"/>
      <c r="Q91" s="434"/>
      <c r="R91" s="434"/>
      <c r="S91" s="441"/>
    </row>
    <row r="92" spans="1:19" s="97" customFormat="1" ht="27" customHeight="1">
      <c r="A92" s="2035" t="s">
        <v>10</v>
      </c>
      <c r="B92" s="2036"/>
      <c r="C92" s="2036"/>
      <c r="D92" s="2036"/>
      <c r="E92" s="2036"/>
      <c r="F92" s="2036"/>
      <c r="G92" s="2036"/>
      <c r="H92" s="2037"/>
      <c r="I92" s="398">
        <f>SUM(I91)</f>
        <v>246661</v>
      </c>
      <c r="J92" s="116">
        <f>SUM(J91)</f>
        <v>2495839</v>
      </c>
      <c r="K92" s="116">
        <f>SUM(K91)</f>
        <v>2495839</v>
      </c>
      <c r="L92" s="260"/>
      <c r="M92" s="364"/>
      <c r="N92" s="434"/>
      <c r="O92" s="434"/>
      <c r="P92" s="434"/>
      <c r="Q92" s="434"/>
      <c r="R92" s="434"/>
      <c r="S92" s="441"/>
    </row>
    <row r="93" spans="1:19" s="496" customFormat="1" ht="27" customHeight="1">
      <c r="A93" s="541" t="s">
        <v>992</v>
      </c>
      <c r="B93" s="174" t="s">
        <v>2653</v>
      </c>
      <c r="C93" s="339" t="s">
        <v>2656</v>
      </c>
      <c r="D93" s="136" t="s">
        <v>2654</v>
      </c>
      <c r="E93" s="136"/>
      <c r="F93" s="136">
        <v>45773</v>
      </c>
      <c r="G93" s="136"/>
      <c r="H93" s="166">
        <f>VLOOKUP(F93,환율!A:B,2,0)</f>
        <v>1430.2</v>
      </c>
      <c r="I93" s="341">
        <v>19453.68</v>
      </c>
      <c r="J93" s="542">
        <f t="shared" si="23"/>
        <v>27822653</v>
      </c>
      <c r="K93" s="542">
        <f>J93</f>
        <v>27822653</v>
      </c>
      <c r="L93" s="254"/>
      <c r="M93" s="493" t="s">
        <v>2590</v>
      </c>
      <c r="N93" s="434" t="s">
        <v>2565</v>
      </c>
      <c r="O93" s="434" t="s">
        <v>2564</v>
      </c>
      <c r="P93" s="434" t="s">
        <v>2564</v>
      </c>
      <c r="Q93" s="434" t="s">
        <v>2565</v>
      </c>
      <c r="R93" s="494"/>
      <c r="S93" s="495"/>
    </row>
    <row r="94" spans="1:19" s="97" customFormat="1" ht="27" customHeight="1">
      <c r="A94" s="2035" t="s">
        <v>10</v>
      </c>
      <c r="B94" s="2036"/>
      <c r="C94" s="2036"/>
      <c r="D94" s="2036"/>
      <c r="E94" s="2036"/>
      <c r="F94" s="2036"/>
      <c r="G94" s="2036"/>
      <c r="H94" s="2037"/>
      <c r="I94" s="127">
        <f>SUM(I93)</f>
        <v>19453.68</v>
      </c>
      <c r="J94" s="116">
        <f>SUM(J93)</f>
        <v>27822653</v>
      </c>
      <c r="K94" s="116">
        <f>SUM(K93)</f>
        <v>27822653</v>
      </c>
      <c r="L94" s="260">
        <f>SUM(L93)</f>
        <v>0</v>
      </c>
      <c r="M94" s="364"/>
      <c r="N94" s="434"/>
      <c r="O94" s="434"/>
      <c r="P94" s="434"/>
      <c r="Q94" s="434"/>
      <c r="R94" s="434"/>
      <c r="S94" s="441"/>
    </row>
    <row r="95" spans="1:19" s="496" customFormat="1" ht="27" customHeight="1">
      <c r="A95" s="543" t="s">
        <v>2481</v>
      </c>
      <c r="B95" s="301" t="s">
        <v>2640</v>
      </c>
      <c r="C95" s="332" t="s">
        <v>2656</v>
      </c>
      <c r="D95" s="303"/>
      <c r="E95" s="303"/>
      <c r="F95" s="303">
        <v>45763</v>
      </c>
      <c r="G95" s="303"/>
      <c r="H95" s="304">
        <f>VLOOKUP(F95,환율!A:B,2,0)</f>
        <v>1423.3</v>
      </c>
      <c r="I95" s="334"/>
      <c r="J95" s="335">
        <v>21526400</v>
      </c>
      <c r="K95" s="335">
        <f>J95</f>
        <v>21526400</v>
      </c>
      <c r="L95" s="337"/>
      <c r="M95" s="493"/>
      <c r="N95" s="434"/>
      <c r="O95" s="434"/>
      <c r="P95" s="434"/>
      <c r="Q95" s="434"/>
      <c r="R95" s="494"/>
      <c r="S95" s="495"/>
    </row>
    <row r="96" spans="1:19" s="496" customFormat="1" ht="27" customHeight="1">
      <c r="A96" s="543" t="s">
        <v>992</v>
      </c>
      <c r="B96" s="301" t="s">
        <v>2641</v>
      </c>
      <c r="C96" s="332" t="s">
        <v>2656</v>
      </c>
      <c r="D96" s="303"/>
      <c r="E96" s="303"/>
      <c r="F96" s="303">
        <v>45776</v>
      </c>
      <c r="G96" s="303"/>
      <c r="H96" s="304">
        <f>VLOOKUP(F96,환율!A:B,2,0)</f>
        <v>1439.3</v>
      </c>
      <c r="I96" s="334"/>
      <c r="J96" s="335">
        <v>21526400</v>
      </c>
      <c r="K96" s="335">
        <f>J96</f>
        <v>21526400</v>
      </c>
      <c r="L96" s="337"/>
      <c r="M96" s="493"/>
      <c r="N96" s="434"/>
      <c r="O96" s="434"/>
      <c r="P96" s="434"/>
      <c r="Q96" s="434"/>
      <c r="R96" s="494"/>
      <c r="S96" s="495"/>
    </row>
    <row r="97" spans="1:19" s="496" customFormat="1" ht="27" customHeight="1">
      <c r="A97" s="543" t="s">
        <v>992</v>
      </c>
      <c r="B97" s="301" t="s">
        <v>2635</v>
      </c>
      <c r="C97" s="332" t="s">
        <v>2656</v>
      </c>
      <c r="D97" s="303"/>
      <c r="E97" s="303"/>
      <c r="F97" s="303">
        <v>45757</v>
      </c>
      <c r="G97" s="303"/>
      <c r="H97" s="304">
        <f>VLOOKUP(F97,환율!A:B,2,0)</f>
        <v>1482.9</v>
      </c>
      <c r="I97" s="334"/>
      <c r="J97" s="335">
        <v>1401965</v>
      </c>
      <c r="K97" s="335">
        <f t="shared" ref="K97:K101" si="28">J97</f>
        <v>1401965</v>
      </c>
      <c r="L97" s="337"/>
      <c r="M97" s="493"/>
      <c r="N97" s="434"/>
      <c r="O97" s="434"/>
      <c r="P97" s="434"/>
      <c r="Q97" s="434"/>
      <c r="R97" s="494"/>
      <c r="S97" s="495"/>
    </row>
    <row r="98" spans="1:19" s="496" customFormat="1" ht="27" customHeight="1">
      <c r="A98" s="543" t="s">
        <v>992</v>
      </c>
      <c r="B98" s="301" t="s">
        <v>2636</v>
      </c>
      <c r="C98" s="332" t="s">
        <v>2656</v>
      </c>
      <c r="D98" s="303"/>
      <c r="E98" s="303"/>
      <c r="F98" s="303">
        <v>45757</v>
      </c>
      <c r="G98" s="303"/>
      <c r="H98" s="304">
        <f>VLOOKUP(F98,환율!A:B,2,0)</f>
        <v>1482.9</v>
      </c>
      <c r="I98" s="334"/>
      <c r="J98" s="335">
        <v>1531407</v>
      </c>
      <c r="K98" s="335">
        <f t="shared" si="28"/>
        <v>1531407</v>
      </c>
      <c r="L98" s="337"/>
      <c r="M98" s="493"/>
      <c r="N98" s="434"/>
      <c r="O98" s="434"/>
      <c r="P98" s="434"/>
      <c r="Q98" s="434"/>
      <c r="R98" s="494"/>
      <c r="S98" s="495"/>
    </row>
    <row r="99" spans="1:19" s="496" customFormat="1" ht="27" customHeight="1">
      <c r="A99" s="543" t="s">
        <v>992</v>
      </c>
      <c r="B99" s="301" t="s">
        <v>2637</v>
      </c>
      <c r="C99" s="332" t="s">
        <v>2656</v>
      </c>
      <c r="D99" s="303"/>
      <c r="E99" s="303"/>
      <c r="F99" s="303">
        <v>45757</v>
      </c>
      <c r="G99" s="303"/>
      <c r="H99" s="304">
        <f>VLOOKUP(F99,환율!A:B,2,0)</f>
        <v>1482.9</v>
      </c>
      <c r="I99" s="334"/>
      <c r="J99" s="335">
        <v>1808599</v>
      </c>
      <c r="K99" s="335">
        <f t="shared" si="28"/>
        <v>1808599</v>
      </c>
      <c r="L99" s="337"/>
      <c r="M99" s="493"/>
      <c r="N99" s="434"/>
      <c r="O99" s="434"/>
      <c r="P99" s="434"/>
      <c r="Q99" s="434"/>
      <c r="R99" s="494"/>
      <c r="S99" s="495"/>
    </row>
    <row r="100" spans="1:19" s="496" customFormat="1" ht="27" customHeight="1">
      <c r="A100" s="543" t="s">
        <v>992</v>
      </c>
      <c r="B100" s="301" t="s">
        <v>2638</v>
      </c>
      <c r="C100" s="332" t="s">
        <v>2656</v>
      </c>
      <c r="D100" s="303"/>
      <c r="E100" s="303"/>
      <c r="F100" s="303">
        <v>45757</v>
      </c>
      <c r="G100" s="303"/>
      <c r="H100" s="304">
        <f>VLOOKUP(F100,환율!A:B,2,0)</f>
        <v>1482.9</v>
      </c>
      <c r="I100" s="334"/>
      <c r="J100" s="335">
        <v>993800</v>
      </c>
      <c r="K100" s="335">
        <f t="shared" si="28"/>
        <v>993800</v>
      </c>
      <c r="L100" s="337"/>
      <c r="M100" s="493"/>
      <c r="N100" s="434"/>
      <c r="O100" s="434"/>
      <c r="P100" s="434"/>
      <c r="Q100" s="434"/>
      <c r="R100" s="494"/>
      <c r="S100" s="495"/>
    </row>
    <row r="101" spans="1:19" s="496" customFormat="1" ht="27" customHeight="1">
      <c r="A101" s="543" t="s">
        <v>992</v>
      </c>
      <c r="B101" s="301" t="s">
        <v>2639</v>
      </c>
      <c r="C101" s="332" t="s">
        <v>2656</v>
      </c>
      <c r="D101" s="303"/>
      <c r="E101" s="303"/>
      <c r="F101" s="303">
        <v>45757</v>
      </c>
      <c r="G101" s="303"/>
      <c r="H101" s="304">
        <f>VLOOKUP(F101,환율!A:B,2,0)</f>
        <v>1482.9</v>
      </c>
      <c r="I101" s="334"/>
      <c r="J101" s="335">
        <v>993800</v>
      </c>
      <c r="K101" s="335">
        <f t="shared" si="28"/>
        <v>993800</v>
      </c>
      <c r="L101" s="337"/>
      <c r="M101" s="493"/>
      <c r="N101" s="434"/>
      <c r="O101" s="434"/>
      <c r="P101" s="434"/>
      <c r="Q101" s="434"/>
      <c r="R101" s="494"/>
      <c r="S101" s="495"/>
    </row>
    <row r="102" spans="1:19" s="97" customFormat="1" ht="27" customHeight="1" thickBot="1">
      <c r="A102" s="2032" t="s">
        <v>10</v>
      </c>
      <c r="B102" s="2033"/>
      <c r="C102" s="2033"/>
      <c r="D102" s="2033"/>
      <c r="E102" s="2033"/>
      <c r="F102" s="2033"/>
      <c r="G102" s="2033"/>
      <c r="H102" s="2034"/>
      <c r="I102" s="268"/>
      <c r="J102" s="269">
        <f>SUM(J95:J101)</f>
        <v>49782371</v>
      </c>
      <c r="K102" s="269">
        <f>SUM(K95:K101)</f>
        <v>49782371</v>
      </c>
      <c r="L102" s="506">
        <f>SUM(L95:L101)</f>
        <v>0</v>
      </c>
      <c r="M102" s="402"/>
      <c r="N102" s="434"/>
      <c r="O102" s="434"/>
      <c r="P102" s="434"/>
      <c r="Q102" s="434"/>
    </row>
    <row r="103" spans="1:19" s="97" customFormat="1" ht="27" customHeight="1" thickBot="1">
      <c r="A103" s="2094" t="s">
        <v>1176</v>
      </c>
      <c r="B103" s="2030"/>
      <c r="C103" s="2030"/>
      <c r="D103" s="2030"/>
      <c r="E103" s="2030"/>
      <c r="F103" s="2031"/>
      <c r="G103" s="532"/>
      <c r="H103" s="2095" t="s">
        <v>2334</v>
      </c>
      <c r="I103" s="193" t="s">
        <v>17</v>
      </c>
      <c r="J103" s="194">
        <f>+J105-J104</f>
        <v>4870740082</v>
      </c>
      <c r="K103" s="473">
        <f>K105-K104</f>
        <v>4870740082</v>
      </c>
      <c r="L103" s="474">
        <f>L105-L104</f>
        <v>1136441692</v>
      </c>
      <c r="M103" s="401"/>
      <c r="N103" s="441"/>
    </row>
    <row r="104" spans="1:19" s="97" customFormat="1" ht="27" customHeight="1">
      <c r="A104" s="239" t="s">
        <v>20</v>
      </c>
      <c r="B104" s="195" t="s">
        <v>21</v>
      </c>
      <c r="C104" s="196"/>
      <c r="D104" s="196" t="s">
        <v>20</v>
      </c>
      <c r="E104" s="314"/>
      <c r="F104" s="197" t="s">
        <v>21</v>
      </c>
      <c r="G104" s="533"/>
      <c r="H104" s="2096"/>
      <c r="I104" s="198" t="s">
        <v>18</v>
      </c>
      <c r="J104" s="210">
        <f>SUM(J97:J101)</f>
        <v>6729571</v>
      </c>
      <c r="K104" s="210">
        <f>J104</f>
        <v>6729571</v>
      </c>
      <c r="L104" s="219">
        <v>0</v>
      </c>
      <c r="M104" s="401"/>
      <c r="N104" s="441"/>
    </row>
    <row r="105" spans="1:19" s="97" customFormat="1" ht="27" customHeight="1" thickBot="1">
      <c r="A105" s="240" t="s">
        <v>9</v>
      </c>
      <c r="B105" s="199">
        <f>J16</f>
        <v>550164439</v>
      </c>
      <c r="C105" s="199"/>
      <c r="D105" s="200" t="s">
        <v>721</v>
      </c>
      <c r="E105" s="315"/>
      <c r="F105" s="201">
        <v>0</v>
      </c>
      <c r="G105" s="534"/>
      <c r="H105" s="2097"/>
      <c r="I105" s="202" t="s">
        <v>19</v>
      </c>
      <c r="J105" s="203">
        <f>SUM(J102,J94,J92,J90,J82,J78,J67,J64,J61,J57,J54,J31,J17)-F112</f>
        <v>4877469653</v>
      </c>
      <c r="K105" s="203">
        <f>I112+J112</f>
        <v>4877469653</v>
      </c>
      <c r="L105" s="475">
        <f>SUM(L17,L31,L54,L57,L61,L64,L67,L78,L82,L90,L102)+L94+L92</f>
        <v>1136441692</v>
      </c>
      <c r="M105" s="401"/>
      <c r="N105" s="441"/>
      <c r="O105" s="403"/>
      <c r="P105" s="403"/>
      <c r="Q105" s="403"/>
    </row>
    <row r="106" spans="1:19" s="97" customFormat="1" ht="27" customHeight="1">
      <c r="A106" s="240" t="s">
        <v>11</v>
      </c>
      <c r="B106" s="199">
        <f>L31</f>
        <v>4371558</v>
      </c>
      <c r="C106" s="199"/>
      <c r="D106" s="200" t="s">
        <v>722</v>
      </c>
      <c r="E106" s="315"/>
      <c r="F106" s="201">
        <v>0</v>
      </c>
      <c r="G106" s="535"/>
      <c r="H106" s="296" t="s">
        <v>20</v>
      </c>
      <c r="I106" s="297" t="s">
        <v>2642</v>
      </c>
      <c r="J106" s="298" t="s">
        <v>143</v>
      </c>
      <c r="K106" s="298" t="s">
        <v>144</v>
      </c>
      <c r="L106" s="234" t="s">
        <v>32</v>
      </c>
      <c r="M106" s="401"/>
      <c r="N106" s="441"/>
      <c r="O106" s="403"/>
      <c r="P106" s="403"/>
    </row>
    <row r="107" spans="1:19" s="97" customFormat="1" ht="27" customHeight="1">
      <c r="A107" s="241" t="s">
        <v>114</v>
      </c>
      <c r="B107" s="199">
        <f>SUM(J50:J53)</f>
        <v>256540592</v>
      </c>
      <c r="C107" s="199"/>
      <c r="D107" s="293" t="s">
        <v>14</v>
      </c>
      <c r="E107" s="316"/>
      <c r="F107" s="294">
        <f>L78</f>
        <v>0</v>
      </c>
      <c r="G107" s="536"/>
      <c r="H107" s="211" t="s">
        <v>22</v>
      </c>
      <c r="I107" s="199">
        <f>J83</f>
        <v>132693009</v>
      </c>
      <c r="J107" s="199">
        <f>SUM(J84:J88)+J91</f>
        <v>725683410</v>
      </c>
      <c r="K107" s="199">
        <f>L89</f>
        <v>145279617</v>
      </c>
      <c r="L107" s="201">
        <f>SUM(I107:J107)</f>
        <v>858376419</v>
      </c>
      <c r="M107" s="366"/>
      <c r="N107" s="441"/>
      <c r="O107" s="403"/>
      <c r="P107" s="403"/>
    </row>
    <row r="108" spans="1:19" s="97" customFormat="1" ht="27" customHeight="1">
      <c r="A108" s="241" t="s">
        <v>153</v>
      </c>
      <c r="B108" s="199">
        <v>0</v>
      </c>
      <c r="C108" s="199"/>
      <c r="D108" s="293" t="s">
        <v>15</v>
      </c>
      <c r="E108" s="317"/>
      <c r="F108" s="295">
        <f>L82</f>
        <v>47793073</v>
      </c>
      <c r="G108" s="537"/>
      <c r="H108" s="211" t="s">
        <v>23</v>
      </c>
      <c r="I108" s="199">
        <f>K18+SUM(K32:K37)+K58</f>
        <v>406766910</v>
      </c>
      <c r="J108" s="199">
        <f>SUM(K19:K30)+SUM(K38:K49)+SUM(K55:K56)+K65+K66</f>
        <v>1167252232</v>
      </c>
      <c r="K108" s="199">
        <f>L30+L50+L51+L52+L53+L59+L60</f>
        <v>338096067</v>
      </c>
      <c r="L108" s="201">
        <f>SUM(I108:J108)</f>
        <v>1574019142</v>
      </c>
      <c r="M108" s="175"/>
      <c r="N108" s="441"/>
      <c r="O108" s="403"/>
      <c r="P108" s="403"/>
    </row>
    <row r="109" spans="1:19" s="126" customFormat="1" ht="27" customHeight="1">
      <c r="A109" s="241" t="s">
        <v>719</v>
      </c>
      <c r="B109" s="199">
        <v>0</v>
      </c>
      <c r="C109" s="199"/>
      <c r="D109" s="293" t="s">
        <v>53</v>
      </c>
      <c r="E109" s="316"/>
      <c r="F109" s="294">
        <f>J63</f>
        <v>55108496</v>
      </c>
      <c r="G109" s="536"/>
      <c r="H109" s="211" t="s">
        <v>24</v>
      </c>
      <c r="I109" s="199">
        <f>J12+J13</f>
        <v>1081598458</v>
      </c>
      <c r="J109" s="199">
        <f>J14+J15</f>
        <v>1086216133</v>
      </c>
      <c r="K109" s="199">
        <f>L16</f>
        <v>550164439</v>
      </c>
      <c r="L109" s="201">
        <f>SUM(I109:J109)</f>
        <v>2167814591</v>
      </c>
      <c r="M109" s="175"/>
      <c r="N109" s="443"/>
      <c r="O109" s="403"/>
      <c r="P109" s="403"/>
      <c r="Q109" s="97"/>
    </row>
    <row r="110" spans="1:19" s="126" customFormat="1" ht="27" customHeight="1">
      <c r="A110" s="241" t="s">
        <v>35</v>
      </c>
      <c r="B110" s="199">
        <f>L61</f>
        <v>77183917</v>
      </c>
      <c r="C110" s="199"/>
      <c r="D110" s="200" t="s">
        <v>252</v>
      </c>
      <c r="E110" s="216"/>
      <c r="F110" s="294">
        <f>J89</f>
        <v>145279617</v>
      </c>
      <c r="G110" s="538"/>
      <c r="H110" s="211" t="s">
        <v>723</v>
      </c>
      <c r="I110" s="199">
        <f>J79+J80</f>
        <v>112811497</v>
      </c>
      <c r="J110" s="199">
        <f>SUM(K68:K77)+K64+K94</f>
        <v>114665633</v>
      </c>
      <c r="K110" s="199">
        <f>L64+L81</f>
        <v>102901569</v>
      </c>
      <c r="L110" s="201">
        <f>SUM(I110:J110)</f>
        <v>227477130</v>
      </c>
      <c r="M110" s="366"/>
      <c r="N110" s="443"/>
      <c r="O110" s="403"/>
      <c r="P110" s="403"/>
      <c r="Q110" s="97"/>
    </row>
    <row r="111" spans="1:19" s="126" customFormat="1" ht="27" customHeight="1" thickBot="1">
      <c r="A111" s="215" t="s">
        <v>2646</v>
      </c>
      <c r="B111" s="213">
        <v>0</v>
      </c>
      <c r="C111" s="213"/>
      <c r="D111" s="214"/>
      <c r="E111" s="318"/>
      <c r="F111" s="242"/>
      <c r="G111" s="539"/>
      <c r="H111" s="299" t="s">
        <v>1177</v>
      </c>
      <c r="I111" s="311">
        <v>0</v>
      </c>
      <c r="J111" s="311">
        <f>SUM(J102)</f>
        <v>49782371</v>
      </c>
      <c r="K111" s="311">
        <v>0</v>
      </c>
      <c r="L111" s="312">
        <f>SUM(I111:J111)</f>
        <v>49782371</v>
      </c>
      <c r="M111" s="364" t="b">
        <f>K112=F112</f>
        <v>1</v>
      </c>
      <c r="N111" s="443"/>
      <c r="P111" s="205"/>
    </row>
    <row r="112" spans="1:19" s="126" customFormat="1" ht="27" customHeight="1" thickTop="1" thickBot="1">
      <c r="A112" s="243"/>
      <c r="B112" s="244" t="s">
        <v>49</v>
      </c>
      <c r="C112" s="244"/>
      <c r="D112" s="245"/>
      <c r="E112" s="244"/>
      <c r="F112" s="246">
        <f>SUM(B105:B111,F105:F111)</f>
        <v>1136441692</v>
      </c>
      <c r="G112" s="540"/>
      <c r="H112" s="236" t="s">
        <v>16</v>
      </c>
      <c r="I112" s="237">
        <f>SUM(I107:I111)</f>
        <v>1733869874</v>
      </c>
      <c r="J112" s="237">
        <f>SUM(J107:J111)</f>
        <v>3143599779</v>
      </c>
      <c r="K112" s="237">
        <f>SUM(K107:K111)</f>
        <v>1136441692</v>
      </c>
      <c r="L112" s="238">
        <f>+I112+J112</f>
        <v>4877469653</v>
      </c>
      <c r="M112" s="364" t="b">
        <f>J105=J112+I112</f>
        <v>1</v>
      </c>
      <c r="N112" s="443"/>
    </row>
    <row r="113" spans="1:19" s="19" customFormat="1" ht="27" customHeight="1" thickBot="1">
      <c r="A113"/>
      <c r="B113"/>
      <c r="C113"/>
      <c r="D113"/>
      <c r="E113"/>
      <c r="F113"/>
      <c r="G113"/>
      <c r="H113" s="2047" t="s">
        <v>1685</v>
      </c>
      <c r="I113" s="2048"/>
      <c r="J113" s="2048"/>
      <c r="K113" s="2049"/>
      <c r="L113" s="404">
        <f>L112-L111</f>
        <v>4827687282</v>
      </c>
      <c r="M113" s="410"/>
      <c r="N113" s="443"/>
      <c r="O113" s="15"/>
    </row>
    <row r="114" spans="1:19">
      <c r="B114" s="291"/>
      <c r="C114" s="291"/>
      <c r="D114" s="290"/>
      <c r="E114" s="290"/>
      <c r="F114" s="26"/>
      <c r="G114" s="26"/>
      <c r="H114" s="292"/>
      <c r="J114" s="26"/>
      <c r="L114" s="13">
        <v>3699929100</v>
      </c>
      <c r="N114" s="441"/>
      <c r="O114" s="26"/>
      <c r="P114"/>
      <c r="Q114"/>
      <c r="R114"/>
      <c r="S114"/>
    </row>
    <row r="115" spans="1:19" s="24" customFormat="1">
      <c r="A115"/>
      <c r="B115"/>
      <c r="C115"/>
      <c r="D115" s="290"/>
      <c r="E115" s="290"/>
      <c r="F115" s="26"/>
      <c r="G115" s="26"/>
      <c r="H115" s="292"/>
      <c r="I115" s="47"/>
      <c r="J115" s="26"/>
      <c r="K115"/>
      <c r="L115" s="412">
        <f>L113-L114</f>
        <v>1127758182</v>
      </c>
      <c r="N115" s="445"/>
    </row>
    <row r="116" spans="1:19" s="24" customFormat="1">
      <c r="A116"/>
      <c r="B116"/>
      <c r="C116"/>
      <c r="D116" s="290"/>
      <c r="E116" s="290"/>
      <c r="F116" s="26"/>
      <c r="G116" s="26"/>
      <c r="H116" s="292"/>
      <c r="I116" s="47"/>
      <c r="J116" s="26">
        <f>211435990</f>
        <v>211435990</v>
      </c>
      <c r="K116"/>
      <c r="L116" s="26"/>
      <c r="N116" s="445"/>
    </row>
    <row r="117" spans="1:19" s="24" customFormat="1">
      <c r="A117"/>
      <c r="B117"/>
      <c r="C117"/>
      <c r="D117" s="290"/>
      <c r="E117" s="290"/>
      <c r="F117" s="26"/>
      <c r="G117" s="26"/>
      <c r="H117" s="292"/>
      <c r="I117" s="47"/>
      <c r="J117" s="26">
        <f>J116-'25.01 (갑) '!I68</f>
        <v>52443446</v>
      </c>
      <c r="K117"/>
      <c r="L117"/>
      <c r="O117" s="434"/>
      <c r="P117" s="440"/>
      <c r="Q117" s="440"/>
      <c r="R117" s="440"/>
      <c r="S117" s="445"/>
    </row>
    <row r="118" spans="1:19" s="24" customFormat="1">
      <c r="A118"/>
      <c r="B118"/>
      <c r="C118"/>
      <c r="D118" s="290"/>
      <c r="E118" s="290"/>
      <c r="F118"/>
      <c r="G118"/>
      <c r="H118" s="13"/>
      <c r="I118" s="47"/>
      <c r="J118" s="26"/>
      <c r="K118"/>
      <c r="L118" s="26">
        <f>J108+I108</f>
        <v>1574019142</v>
      </c>
      <c r="O118" s="434"/>
      <c r="P118" s="440"/>
      <c r="Q118" s="440"/>
      <c r="R118" s="440"/>
      <c r="S118" s="445"/>
    </row>
    <row r="119" spans="1:19" s="24" customFormat="1">
      <c r="A119"/>
      <c r="B119"/>
      <c r="C119"/>
      <c r="D119"/>
      <c r="E119"/>
      <c r="F119"/>
      <c r="G119"/>
      <c r="H119" s="13"/>
      <c r="I119" s="47">
        <f>I109+J109</f>
        <v>2167814591</v>
      </c>
      <c r="J119"/>
      <c r="K119"/>
      <c r="L119">
        <v>1565554497</v>
      </c>
      <c r="O119" s="434"/>
      <c r="P119" s="440"/>
      <c r="Q119" s="440"/>
      <c r="R119" s="440"/>
      <c r="S119" s="445"/>
    </row>
    <row r="120" spans="1:19">
      <c r="I120" s="47">
        <f>2250634710</f>
        <v>2250634710</v>
      </c>
      <c r="J120" s="47">
        <f>I119-I120</f>
        <v>-82820119</v>
      </c>
      <c r="L120" s="26">
        <f>L118-L119</f>
        <v>8464645</v>
      </c>
    </row>
    <row r="122" spans="1:19">
      <c r="L122" s="26">
        <f>J110+I110</f>
        <v>227477130</v>
      </c>
    </row>
    <row r="123" spans="1:19">
      <c r="J123" s="26">
        <f>J121-J122</f>
        <v>0</v>
      </c>
      <c r="L123">
        <v>199348025</v>
      </c>
    </row>
    <row r="124" spans="1:19">
      <c r="L124" s="26">
        <f>L122-L123</f>
        <v>28129105</v>
      </c>
    </row>
  </sheetData>
  <autoFilter ref="A10:H112" xr:uid="{00000000-0009-0000-0000-000055000000}"/>
  <mergeCells count="44">
    <mergeCell ref="N3:N9"/>
    <mergeCell ref="O3:O4"/>
    <mergeCell ref="P3:P4"/>
    <mergeCell ref="Q3:Q4"/>
    <mergeCell ref="R3:R4"/>
    <mergeCell ref="O5:O9"/>
    <mergeCell ref="P5:P9"/>
    <mergeCell ref="Q5:Q9"/>
    <mergeCell ref="R5:R9"/>
    <mergeCell ref="I10:L10"/>
    <mergeCell ref="A5:I9"/>
    <mergeCell ref="A12:A16"/>
    <mergeCell ref="A17:H17"/>
    <mergeCell ref="A18:A30"/>
    <mergeCell ref="C10:C11"/>
    <mergeCell ref="A55:A56"/>
    <mergeCell ref="A57:H57"/>
    <mergeCell ref="A61:H61"/>
    <mergeCell ref="A64:H64"/>
    <mergeCell ref="A67:H67"/>
    <mergeCell ref="A54:H54"/>
    <mergeCell ref="A10:A11"/>
    <mergeCell ref="B10:B11"/>
    <mergeCell ref="D10:D11"/>
    <mergeCell ref="E10:E11"/>
    <mergeCell ref="F10:F11"/>
    <mergeCell ref="H10:H11"/>
    <mergeCell ref="A31:H31"/>
    <mergeCell ref="A32:A53"/>
    <mergeCell ref="A103:F103"/>
    <mergeCell ref="H103:H105"/>
    <mergeCell ref="H113:K113"/>
    <mergeCell ref="A58:A60"/>
    <mergeCell ref="A65:A66"/>
    <mergeCell ref="A62:A63"/>
    <mergeCell ref="A94:H94"/>
    <mergeCell ref="A102:H102"/>
    <mergeCell ref="A68:A77"/>
    <mergeCell ref="A78:H78"/>
    <mergeCell ref="A82:H82"/>
    <mergeCell ref="A83:A89"/>
    <mergeCell ref="A79:A81"/>
    <mergeCell ref="A92:H92"/>
    <mergeCell ref="A90:H90"/>
  </mergeCells>
  <phoneticPr fontId="2" type="noConversion"/>
  <conditionalFormatting sqref="A12">
    <cfRule type="expression" dxfId="993" priority="67">
      <formula>#REF!="*01월*"</formula>
    </cfRule>
  </conditionalFormatting>
  <conditionalFormatting sqref="A17 I57:I61">
    <cfRule type="expression" dxfId="992" priority="68">
      <formula>#REF!="*01월*"</formula>
    </cfRule>
  </conditionalFormatting>
  <conditionalFormatting sqref="A31 I31 K31:L31 I79:I81 L102">
    <cfRule type="expression" dxfId="991" priority="59">
      <formula>$F37="*01월*"</formula>
    </cfRule>
  </conditionalFormatting>
  <conditionalFormatting sqref="A54:A55 A57">
    <cfRule type="expression" dxfId="990" priority="57">
      <formula>#REF!="*01월*"</formula>
    </cfRule>
  </conditionalFormatting>
  <conditionalFormatting sqref="A58 A79 J79:J81 L79:L81">
    <cfRule type="expression" dxfId="989" priority="45">
      <formula>$F63="*01월*"</formula>
    </cfRule>
  </conditionalFormatting>
  <conditionalFormatting sqref="A62 B65:C66 F65:G66 K67 A68 D68:E70 B75:C75 F75:G75 J76:J77 A102:A103 A104:L112 H113:H117">
    <cfRule type="expression" dxfId="988" priority="32">
      <formula>$F64="*01월*"</formula>
    </cfRule>
  </conditionalFormatting>
  <conditionalFormatting sqref="A65 A67">
    <cfRule type="expression" dxfId="987" priority="66">
      <formula>#REF!="*01월*"</formula>
    </cfRule>
  </conditionalFormatting>
  <conditionalFormatting sqref="A78">
    <cfRule type="expression" dxfId="986" priority="61">
      <formula>#REF!="*01월*"</formula>
    </cfRule>
  </conditionalFormatting>
  <conditionalFormatting sqref="A82:A83">
    <cfRule type="expression" dxfId="985" priority="60">
      <formula>#REF!="*01월*"</formula>
    </cfRule>
  </conditionalFormatting>
  <conditionalFormatting sqref="A92:A94 D93:G93 J93:K93">
    <cfRule type="expression" dxfId="984" priority="27">
      <formula>$F102="*01월*"</formula>
    </cfRule>
  </conditionalFormatting>
  <conditionalFormatting sqref="A95 D95:G95 J95:L95">
    <cfRule type="expression" dxfId="983" priority="75">
      <formula>$F104="*01월*"</formula>
    </cfRule>
  </conditionalFormatting>
  <conditionalFormatting sqref="A10:L10 A11:B11 D11:L11 D59:E60 I59:I60 I65:J66 L65:L66 B72:C73 F72:G73 D74:E74 I78 K78:L78">
    <cfRule type="expression" dxfId="982" priority="56">
      <formula>$F14="*01월*"</formula>
    </cfRule>
  </conditionalFormatting>
  <conditionalFormatting sqref="B93:C93 B95:C101">
    <cfRule type="expression" dxfId="981" priority="23">
      <formula>#REF!="*01월*"</formula>
    </cfRule>
  </conditionalFormatting>
  <conditionalFormatting sqref="B62:D63 F62:G63 B68:C77 F76:G76">
    <cfRule type="expression" dxfId="980" priority="7">
      <formula>$F63="*01월*"</formula>
    </cfRule>
  </conditionalFormatting>
  <conditionalFormatting sqref="B83:G84 H84:L84 B85:L88 B89:K89">
    <cfRule type="expression" dxfId="979" priority="49">
      <formula>#REF!="*01월*"</formula>
    </cfRule>
  </conditionalFormatting>
  <conditionalFormatting sqref="B58:H60">
    <cfRule type="expression" dxfId="978" priority="51">
      <formula>#REF!="*01월*"</formula>
    </cfRule>
  </conditionalFormatting>
  <conditionalFormatting sqref="B62:H63">
    <cfRule type="expression" dxfId="977" priority="5">
      <formula>#REF!="*01월*"</formula>
    </cfRule>
  </conditionalFormatting>
  <conditionalFormatting sqref="B65:H66">
    <cfRule type="expression" dxfId="976" priority="30">
      <formula>#REF!="*01월*"</formula>
    </cfRule>
  </conditionalFormatting>
  <conditionalFormatting sqref="B12:L16">
    <cfRule type="expression" dxfId="975" priority="19">
      <formula>#REF!="*01월*"</formula>
    </cfRule>
  </conditionalFormatting>
  <conditionalFormatting sqref="B18:L30">
    <cfRule type="expression" dxfId="974" priority="11">
      <formula>#REF!="*01월*"</formula>
    </cfRule>
  </conditionalFormatting>
  <conditionalFormatting sqref="B32:L53">
    <cfRule type="expression" dxfId="973" priority="10">
      <formula>#REF!="*01월*"</formula>
    </cfRule>
  </conditionalFormatting>
  <conditionalFormatting sqref="B55:L56">
    <cfRule type="expression" dxfId="972" priority="37">
      <formula>#REF!="*01월*"</formula>
    </cfRule>
  </conditionalFormatting>
  <conditionalFormatting sqref="B68:L77">
    <cfRule type="expression" dxfId="971" priority="29">
      <formula>#REF!="*01월*"</formula>
    </cfRule>
  </conditionalFormatting>
  <conditionalFormatting sqref="B91:L91">
    <cfRule type="expression" dxfId="970" priority="17">
      <formula>#REF!="*01월*"</formula>
    </cfRule>
  </conditionalFormatting>
  <conditionalFormatting sqref="D65">
    <cfRule type="expression" dxfId="969" priority="18">
      <formula>$F67="*01월*"</formula>
    </cfRule>
  </conditionalFormatting>
  <conditionalFormatting sqref="D58:E58 I58 A61 J61:L61 A64 I64:L64 K65:K66 B74:C74 F74:G74 D75:E75 B79:E81 K81 K83:L83">
    <cfRule type="expression" dxfId="968" priority="63">
      <formula>$F61="*01월*"</formula>
    </cfRule>
  </conditionalFormatting>
  <conditionalFormatting sqref="D62:E63">
    <cfRule type="expression" dxfId="967" priority="6">
      <formula>$F64="*01월*"</formula>
    </cfRule>
  </conditionalFormatting>
  <conditionalFormatting sqref="D65:E66">
    <cfRule type="expression" dxfId="966" priority="31">
      <formula>$F68="*01월*"</formula>
    </cfRule>
  </conditionalFormatting>
  <conditionalFormatting sqref="D71:E73">
    <cfRule type="expression" dxfId="965" priority="53">
      <formula>$F76="*01월*"</formula>
    </cfRule>
  </conditionalFormatting>
  <conditionalFormatting sqref="D76:E77 B77:C77 F77:G77">
    <cfRule type="expression" dxfId="964" priority="73">
      <formula>#REF!="*01월*"</formula>
    </cfRule>
  </conditionalFormatting>
  <conditionalFormatting sqref="D114:E118">
    <cfRule type="expression" dxfId="963" priority="62">
      <formula>$F116="*01월*"</formula>
    </cfRule>
  </conditionalFormatting>
  <conditionalFormatting sqref="F20:G20">
    <cfRule type="expression" dxfId="962" priority="77">
      <formula>$F31="*01월*"</formula>
    </cfRule>
  </conditionalFormatting>
  <conditionalFormatting sqref="F21:G24">
    <cfRule type="expression" dxfId="961" priority="71">
      <formula>$F38="*01월*"</formula>
    </cfRule>
  </conditionalFormatting>
  <conditionalFormatting sqref="F22:G23">
    <cfRule type="expression" dxfId="960" priority="72">
      <formula>$F40="*01월*"</formula>
    </cfRule>
  </conditionalFormatting>
  <conditionalFormatting sqref="F23:G23">
    <cfRule type="expression" dxfId="959" priority="823">
      <formula>$F35="*01월*"</formula>
    </cfRule>
  </conditionalFormatting>
  <conditionalFormatting sqref="F24:G25">
    <cfRule type="expression" dxfId="958" priority="69">
      <formula>$F40="*01월*"</formula>
    </cfRule>
  </conditionalFormatting>
  <conditionalFormatting sqref="F25:G25">
    <cfRule type="expression" dxfId="957" priority="76">
      <formula>$F40="*01월*"</formula>
    </cfRule>
  </conditionalFormatting>
  <conditionalFormatting sqref="F26:G27">
    <cfRule type="expression" dxfId="956" priority="825">
      <formula>$F39="*01월*"</formula>
    </cfRule>
  </conditionalFormatting>
  <conditionalFormatting sqref="F28:G28">
    <cfRule type="expression" dxfId="955" priority="70">
      <formula>$F40="*01월*"</formula>
    </cfRule>
  </conditionalFormatting>
  <conditionalFormatting sqref="F29:G29">
    <cfRule type="expression" dxfId="954" priority="15">
      <formula>$F39="*01월*"</formula>
    </cfRule>
    <cfRule type="expression" dxfId="953" priority="14">
      <formula>$F44="*01월*"</formula>
    </cfRule>
    <cfRule type="expression" dxfId="952" priority="13">
      <formula>$F43="*01월*"</formula>
    </cfRule>
  </conditionalFormatting>
  <conditionalFormatting sqref="F29:G30">
    <cfRule type="expression" dxfId="951" priority="12">
      <formula>$F40="*01월*"</formula>
    </cfRule>
  </conditionalFormatting>
  <conditionalFormatting sqref="F68:G71">
    <cfRule type="expression" dxfId="950" priority="65">
      <formula>$F69="*01월*"</formula>
    </cfRule>
  </conditionalFormatting>
  <conditionalFormatting sqref="F79:H81">
    <cfRule type="expression" dxfId="949" priority="47">
      <formula>#REF!="*01월*"</formula>
    </cfRule>
  </conditionalFormatting>
  <conditionalFormatting sqref="H93:I93 H95:I101">
    <cfRule type="expression" dxfId="948" priority="46">
      <formula>#REF!="*01월*"</formula>
    </cfRule>
  </conditionalFormatting>
  <conditionalFormatting sqref="H83:J83">
    <cfRule type="expression" dxfId="947" priority="40">
      <formula>#REF!="*01월*"</formula>
    </cfRule>
  </conditionalFormatting>
  <conditionalFormatting sqref="H103:L103">
    <cfRule type="expression" dxfId="946" priority="48">
      <formula>$F105="*01월*"</formula>
    </cfRule>
  </conditionalFormatting>
  <conditionalFormatting sqref="I94">
    <cfRule type="expression" dxfId="945" priority="9">
      <formula>$F97="*01월*"</formula>
    </cfRule>
  </conditionalFormatting>
  <conditionalFormatting sqref="I67:J67 L67">
    <cfRule type="expression" dxfId="944" priority="41">
      <formula>#REF!="*01월*"</formula>
    </cfRule>
  </conditionalFormatting>
  <conditionalFormatting sqref="I63:K63">
    <cfRule type="expression" dxfId="943" priority="43">
      <formula>$F65="*01월*"</formula>
    </cfRule>
  </conditionalFormatting>
  <conditionalFormatting sqref="I92:K92">
    <cfRule type="expression" dxfId="942" priority="16">
      <formula>$F102="*01월*"</formula>
    </cfRule>
  </conditionalFormatting>
  <conditionalFormatting sqref="I102:K102">
    <cfRule type="expression" dxfId="941" priority="64">
      <formula>$F104="*01월*"</formula>
    </cfRule>
  </conditionalFormatting>
  <conditionalFormatting sqref="I17:L17">
    <cfRule type="expression" dxfId="940" priority="54">
      <formula>#REF!="*01월*"</formula>
    </cfRule>
  </conditionalFormatting>
  <conditionalFormatting sqref="I54:L54">
    <cfRule type="expression" dxfId="939" priority="38">
      <formula>#REF!="*01월*"</formula>
    </cfRule>
  </conditionalFormatting>
  <conditionalFormatting sqref="I62:L62">
    <cfRule type="expression" dxfId="938" priority="8">
      <formula>$F64="*01월*"</formula>
    </cfRule>
  </conditionalFormatting>
  <conditionalFormatting sqref="I68:L68">
    <cfRule type="expression" dxfId="937" priority="44">
      <formula>$F61="*01월*"</formula>
    </cfRule>
  </conditionalFormatting>
  <conditionalFormatting sqref="I82:L82">
    <cfRule type="expression" dxfId="936" priority="55">
      <formula>$F85="*01월*"</formula>
    </cfRule>
  </conditionalFormatting>
  <conditionalFormatting sqref="I90:L90 A90:A91">
    <cfRule type="expression" dxfId="935" priority="826">
      <formula>$F102="*01월*"</formula>
    </cfRule>
  </conditionalFormatting>
  <conditionalFormatting sqref="J31">
    <cfRule type="expression" dxfId="934" priority="52">
      <formula>#REF!="*01월*"</formula>
    </cfRule>
  </conditionalFormatting>
  <conditionalFormatting sqref="J78">
    <cfRule type="expression" dxfId="933" priority="39">
      <formula>#REF!="*01월*"</formula>
    </cfRule>
  </conditionalFormatting>
  <conditionalFormatting sqref="J68:K68">
    <cfRule type="expression" dxfId="932" priority="42">
      <formula>$F71="*01월*"</formula>
    </cfRule>
  </conditionalFormatting>
  <conditionalFormatting sqref="J57:L60">
    <cfRule type="expression" dxfId="931" priority="3">
      <formula>#REF!="*01월*"</formula>
    </cfRule>
  </conditionalFormatting>
  <conditionalFormatting sqref="J94:L94">
    <cfRule type="expression" dxfId="930" priority="22">
      <formula>$F104="*01월*"</formula>
    </cfRule>
  </conditionalFormatting>
  <conditionalFormatting sqref="K79:K80">
    <cfRule type="expression" dxfId="929" priority="25">
      <formula>$F83="*01월*"</formula>
    </cfRule>
  </conditionalFormatting>
  <conditionalFormatting sqref="L63">
    <cfRule type="expression" dxfId="928" priority="2">
      <formula>#REF!="*01월*"</formula>
    </cfRule>
  </conditionalFormatting>
  <conditionalFormatting sqref="L89 A96:A101 D96:G101 J96:L101">
    <cfRule type="expression" dxfId="927" priority="24">
      <formula>$F97="*01월*"</formula>
    </cfRule>
  </conditionalFormatting>
  <conditionalFormatting sqref="L92">
    <cfRule type="expression" dxfId="926" priority="1">
      <formula>$F104="*01월*"</formula>
    </cfRule>
  </conditionalFormatting>
  <conditionalFormatting sqref="L93">
    <cfRule type="expression" dxfId="925" priority="4">
      <formula>$F101="*01월*"</formula>
    </cfRule>
  </conditionalFormatting>
  <conditionalFormatting sqref="L113">
    <cfRule type="expression" dxfId="924" priority="58">
      <formula>$F115="*01월*"</formula>
    </cfRule>
  </conditionalFormatting>
  <printOptions horizontalCentered="1"/>
  <pageMargins left="0" right="0" top="0.70866141732283472" bottom="0.23622047244094491" header="0" footer="0"/>
  <pageSetup paperSize="9" scale="44" fitToHeight="0" orientation="portrait" r:id="rId1"/>
  <rowBreaks count="1" manualBreakCount="1">
    <brk id="67" max="9" man="1"/>
  </rowBreaks>
  <colBreaks count="1" manualBreakCount="1">
    <brk id="11" max="1048575" man="1"/>
  </colBreaks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pageSetUpPr fitToPage="1"/>
  </sheetPr>
  <dimension ref="A2:S126"/>
  <sheetViews>
    <sheetView view="pageBreakPreview" zoomScale="70" zoomScaleNormal="70" zoomScaleSheetLayoutView="70" workbookViewId="0">
      <pane xSplit="1" ySplit="11" topLeftCell="B75" activePane="bottomRight" state="frozen"/>
      <selection pane="topRight" activeCell="B1" sqref="B1"/>
      <selection pane="bottomLeft" activeCell="A12" sqref="A12"/>
      <selection pane="bottomRight" activeCell="J105" sqref="J105"/>
    </sheetView>
  </sheetViews>
  <sheetFormatPr defaultRowHeight="25.2"/>
  <cols>
    <col min="1" max="1" width="18.69921875" customWidth="1"/>
    <col min="2" max="3" width="22.8984375" customWidth="1"/>
    <col min="4" max="4" width="29.09765625" customWidth="1"/>
    <col min="5" max="5" width="29.09765625" hidden="1" customWidth="1"/>
    <col min="6" max="6" width="21" customWidth="1"/>
    <col min="7" max="7" width="21" hidden="1" customWidth="1"/>
    <col min="8" max="8" width="18.69921875" customWidth="1"/>
    <col min="9" max="9" width="25.69921875" style="47" customWidth="1"/>
    <col min="10" max="10" width="26.5" customWidth="1"/>
    <col min="11" max="11" width="25.09765625" customWidth="1"/>
    <col min="12" max="12" width="29.19921875" customWidth="1"/>
    <col min="13" max="13" width="14.8984375" style="24" customWidth="1"/>
    <col min="14" max="14" width="24.3984375" style="24" bestFit="1" customWidth="1"/>
    <col min="15" max="18" width="17.09765625" style="434" customWidth="1"/>
    <col min="19" max="19" width="9" style="441"/>
  </cols>
  <sheetData>
    <row r="2" spans="1:19" ht="25.8" thickBot="1">
      <c r="F2" s="507"/>
      <c r="G2" s="507"/>
      <c r="I2" s="24"/>
      <c r="J2" s="434"/>
      <c r="K2" s="434"/>
      <c r="L2" s="434"/>
      <c r="M2" s="434"/>
      <c r="N2"/>
      <c r="O2"/>
      <c r="P2"/>
      <c r="Q2"/>
      <c r="R2"/>
      <c r="S2"/>
    </row>
    <row r="3" spans="1:19" ht="21.75" customHeight="1" thickTop="1">
      <c r="F3" s="507"/>
      <c r="N3" s="2058" t="s">
        <v>2041</v>
      </c>
      <c r="O3" s="2082" t="s">
        <v>2034</v>
      </c>
      <c r="P3" s="2084" t="s">
        <v>2034</v>
      </c>
      <c r="Q3" s="2084" t="s">
        <v>2035</v>
      </c>
      <c r="R3" s="2086" t="s">
        <v>2036</v>
      </c>
    </row>
    <row r="4" spans="1:19" ht="19.5" customHeight="1">
      <c r="N4" s="2080"/>
      <c r="O4" s="2083"/>
      <c r="P4" s="2085"/>
      <c r="Q4" s="2085"/>
      <c r="R4" s="2087"/>
    </row>
    <row r="5" spans="1:19" ht="19.5" customHeight="1">
      <c r="A5" s="2020" t="s">
        <v>2685</v>
      </c>
      <c r="B5" s="2020"/>
      <c r="C5" s="2020"/>
      <c r="D5" s="2020"/>
      <c r="E5" s="2020"/>
      <c r="F5" s="2020"/>
      <c r="G5" s="2020"/>
      <c r="H5" s="2020"/>
      <c r="I5" s="2020"/>
      <c r="J5" s="1"/>
      <c r="K5" s="1"/>
      <c r="L5" s="1"/>
      <c r="N5" s="2080"/>
      <c r="O5" s="2091"/>
      <c r="P5" s="2088"/>
      <c r="Q5" s="2088"/>
      <c r="R5" s="2077"/>
    </row>
    <row r="6" spans="1:19" ht="19.5" customHeight="1">
      <c r="A6" s="2020"/>
      <c r="B6" s="2020"/>
      <c r="C6" s="2020"/>
      <c r="D6" s="2020"/>
      <c r="E6" s="2020"/>
      <c r="F6" s="2020"/>
      <c r="G6" s="2020"/>
      <c r="H6" s="2020"/>
      <c r="I6" s="2020"/>
      <c r="J6" s="1"/>
      <c r="K6" s="1"/>
      <c r="L6" s="1"/>
      <c r="N6" s="2080"/>
      <c r="O6" s="2092"/>
      <c r="P6" s="2089"/>
      <c r="Q6" s="2089"/>
      <c r="R6" s="2078"/>
    </row>
    <row r="7" spans="1:19" ht="19.5" customHeight="1">
      <c r="A7" s="2020"/>
      <c r="B7" s="2020"/>
      <c r="C7" s="2020"/>
      <c r="D7" s="2020"/>
      <c r="E7" s="2020"/>
      <c r="F7" s="2020"/>
      <c r="G7" s="2020"/>
      <c r="H7" s="2020"/>
      <c r="I7" s="2020"/>
      <c r="J7" s="1"/>
      <c r="K7" s="1"/>
      <c r="L7" s="1"/>
      <c r="N7" s="2080"/>
      <c r="O7" s="2092"/>
      <c r="P7" s="2089"/>
      <c r="Q7" s="2089"/>
      <c r="R7" s="2078"/>
    </row>
    <row r="8" spans="1:19" ht="19.5" customHeight="1">
      <c r="A8" s="2020"/>
      <c r="B8" s="2020"/>
      <c r="C8" s="2020"/>
      <c r="D8" s="2020"/>
      <c r="E8" s="2020"/>
      <c r="F8" s="2020"/>
      <c r="G8" s="2020"/>
      <c r="H8" s="2020"/>
      <c r="I8" s="2020"/>
      <c r="J8" s="2"/>
      <c r="K8" s="2"/>
      <c r="L8" s="2"/>
      <c r="N8" s="2080"/>
      <c r="O8" s="2092"/>
      <c r="P8" s="2089"/>
      <c r="Q8" s="2089"/>
      <c r="R8" s="2078"/>
    </row>
    <row r="9" spans="1:19" ht="19.5" customHeight="1" thickBot="1">
      <c r="A9" s="2052"/>
      <c r="B9" s="2052"/>
      <c r="C9" s="2052"/>
      <c r="D9" s="2052"/>
      <c r="E9" s="2052"/>
      <c r="F9" s="2052"/>
      <c r="G9" s="2052"/>
      <c r="H9" s="2052"/>
      <c r="I9" s="2052"/>
      <c r="J9" s="2"/>
      <c r="K9" s="2"/>
      <c r="L9" s="2"/>
      <c r="N9" s="2081"/>
      <c r="O9" s="2093"/>
      <c r="P9" s="2090"/>
      <c r="Q9" s="2090"/>
      <c r="R9" s="2079"/>
    </row>
    <row r="10" spans="1:19" ht="23.25" customHeight="1">
      <c r="A10" s="2021" t="s">
        <v>0</v>
      </c>
      <c r="B10" s="2023" t="s">
        <v>1</v>
      </c>
      <c r="C10" s="2107" t="s">
        <v>2655</v>
      </c>
      <c r="D10" s="2024" t="s">
        <v>2</v>
      </c>
      <c r="E10" s="2024" t="s">
        <v>1222</v>
      </c>
      <c r="F10" s="2024" t="s">
        <v>3</v>
      </c>
      <c r="G10" s="523"/>
      <c r="H10" s="2025" t="s">
        <v>4</v>
      </c>
      <c r="I10" s="2104" t="s">
        <v>2352</v>
      </c>
      <c r="J10" s="2105"/>
      <c r="K10" s="2105"/>
      <c r="L10" s="2106"/>
    </row>
    <row r="11" spans="1:19" ht="23.25" customHeight="1">
      <c r="A11" s="2022"/>
      <c r="B11" s="2003"/>
      <c r="C11" s="2108"/>
      <c r="D11" s="2004"/>
      <c r="E11" s="2004"/>
      <c r="F11" s="2004"/>
      <c r="G11" s="522" t="s">
        <v>2499</v>
      </c>
      <c r="H11" s="2005"/>
      <c r="I11" s="82" t="s">
        <v>6</v>
      </c>
      <c r="J11" s="3" t="s">
        <v>7</v>
      </c>
      <c r="K11" s="476" t="s">
        <v>2479</v>
      </c>
      <c r="L11" s="271" t="s">
        <v>2336</v>
      </c>
      <c r="M11" s="24" t="s">
        <v>2528</v>
      </c>
      <c r="N11" s="434" t="s">
        <v>33</v>
      </c>
      <c r="O11" s="434" t="s">
        <v>2522</v>
      </c>
      <c r="P11" s="434" t="s">
        <v>2358</v>
      </c>
      <c r="Q11" s="434" t="s">
        <v>44</v>
      </c>
    </row>
    <row r="12" spans="1:19" ht="23.25" customHeight="1">
      <c r="A12" s="2053" t="s">
        <v>9</v>
      </c>
      <c r="B12" s="155" t="s">
        <v>2521</v>
      </c>
      <c r="C12" s="567" t="s">
        <v>2799</v>
      </c>
      <c r="D12" s="568" t="s">
        <v>2660</v>
      </c>
      <c r="E12" s="568"/>
      <c r="F12" s="569">
        <v>45784</v>
      </c>
      <c r="G12" s="569" t="s">
        <v>2475</v>
      </c>
      <c r="H12" s="570">
        <f>VLOOKUP(F12,환율!A:B,2,0)</f>
        <v>1426.6</v>
      </c>
      <c r="I12" s="571">
        <v>402396.47</v>
      </c>
      <c r="J12" s="572">
        <f t="shared" ref="J12" si="0">ROUNDDOWN(I12*H12,0)</f>
        <v>574058804</v>
      </c>
      <c r="K12" s="572">
        <f>J12</f>
        <v>574058804</v>
      </c>
      <c r="L12" s="566"/>
      <c r="M12" s="24" t="s">
        <v>2675</v>
      </c>
      <c r="N12" s="434" t="s">
        <v>2675</v>
      </c>
      <c r="O12" s="434" t="s">
        <v>2675</v>
      </c>
      <c r="P12" s="434" t="s">
        <v>2675</v>
      </c>
      <c r="Q12" s="434" t="s">
        <v>2675</v>
      </c>
    </row>
    <row r="13" spans="1:19" s="97" customFormat="1" ht="27" customHeight="1">
      <c r="A13" s="2053"/>
      <c r="B13" s="155" t="s">
        <v>2658</v>
      </c>
      <c r="C13" s="155" t="s">
        <v>2475</v>
      </c>
      <c r="D13" s="89" t="s">
        <v>2659</v>
      </c>
      <c r="E13" s="89"/>
      <c r="F13" s="90">
        <v>45800</v>
      </c>
      <c r="G13" s="90"/>
      <c r="H13" s="91">
        <f>VLOOKUP(F13,환율!A:B,2,0)</f>
        <v>1378.4</v>
      </c>
      <c r="I13" s="92">
        <v>387445.77</v>
      </c>
      <c r="J13" s="93">
        <f t="shared" ref="J13" si="1">ROUNDDOWN(I13*H13,0)</f>
        <v>534055249</v>
      </c>
      <c r="K13" s="93">
        <f>J13</f>
        <v>534055249</v>
      </c>
      <c r="L13" s="254"/>
      <c r="M13" s="364" t="s">
        <v>2675</v>
      </c>
      <c r="N13" s="434" t="s">
        <v>2675</v>
      </c>
      <c r="O13" s="434" t="s">
        <v>2675</v>
      </c>
      <c r="P13" s="434" t="s">
        <v>2675</v>
      </c>
      <c r="Q13" s="434" t="s">
        <v>2675</v>
      </c>
      <c r="R13" s="434"/>
      <c r="S13" s="441"/>
    </row>
    <row r="14" spans="1:19" s="97" customFormat="1" ht="27" customHeight="1">
      <c r="A14" s="2053"/>
      <c r="B14" s="155" t="s">
        <v>2661</v>
      </c>
      <c r="C14" s="155" t="s">
        <v>2799</v>
      </c>
      <c r="D14" s="89" t="s">
        <v>2767</v>
      </c>
      <c r="E14" s="89"/>
      <c r="F14" s="90">
        <v>45808</v>
      </c>
      <c r="G14" s="90"/>
      <c r="H14" s="91">
        <f>VLOOKUP(F14,환율!A:B,2,0)</f>
        <v>1381.4</v>
      </c>
      <c r="I14" s="92">
        <v>385143.58</v>
      </c>
      <c r="J14" s="93">
        <f t="shared" ref="J14:J15" si="2">ROUNDDOWN(I14*H14,0)</f>
        <v>532037341</v>
      </c>
      <c r="K14" s="93">
        <f>J14</f>
        <v>532037341</v>
      </c>
      <c r="L14" s="254"/>
      <c r="M14" s="401" t="s">
        <v>2768</v>
      </c>
      <c r="N14" s="434" t="s">
        <v>2768</v>
      </c>
      <c r="O14" s="434" t="s">
        <v>2768</v>
      </c>
      <c r="P14" s="434" t="s">
        <v>2768</v>
      </c>
      <c r="Q14" s="434" t="s">
        <v>2768</v>
      </c>
      <c r="R14" s="434"/>
      <c r="S14" s="441"/>
    </row>
    <row r="15" spans="1:19" s="97" customFormat="1" ht="27" customHeight="1">
      <c r="A15" s="2053"/>
      <c r="B15" s="546" t="s">
        <v>2662</v>
      </c>
      <c r="C15" s="546"/>
      <c r="D15" s="547" t="s">
        <v>2770</v>
      </c>
      <c r="E15" s="547"/>
      <c r="F15" s="527">
        <v>45812</v>
      </c>
      <c r="G15" s="527"/>
      <c r="H15" s="528">
        <f>VLOOKUP(F15,환율!A:B,2,0)</f>
        <v>1376.9</v>
      </c>
      <c r="I15" s="529">
        <v>386018.82</v>
      </c>
      <c r="J15" s="530">
        <f t="shared" si="2"/>
        <v>531509313</v>
      </c>
      <c r="K15" s="530"/>
      <c r="L15" s="548">
        <f>J15</f>
        <v>531509313</v>
      </c>
      <c r="M15" s="401"/>
      <c r="N15" s="434"/>
      <c r="O15" s="434"/>
      <c r="P15" s="434"/>
      <c r="Q15" s="434"/>
      <c r="R15" s="434"/>
      <c r="S15" s="441"/>
    </row>
    <row r="16" spans="1:19" s="97" customFormat="1" ht="27" customHeight="1">
      <c r="A16" s="2035" t="s">
        <v>10</v>
      </c>
      <c r="B16" s="2036"/>
      <c r="C16" s="2036"/>
      <c r="D16" s="2036"/>
      <c r="E16" s="2036"/>
      <c r="F16" s="2036"/>
      <c r="G16" s="2036"/>
      <c r="H16" s="2037"/>
      <c r="I16" s="449">
        <f>SUM(I12:I15)</f>
        <v>1561004.6400000001</v>
      </c>
      <c r="J16" s="116">
        <f>SUM(J12:J15)</f>
        <v>2171660707</v>
      </c>
      <c r="K16" s="116">
        <f>SUM(K12:K15)</f>
        <v>1640151394</v>
      </c>
      <c r="L16" s="260">
        <f>SUM(L12:L15)</f>
        <v>531509313</v>
      </c>
      <c r="M16" s="364"/>
      <c r="N16" s="434"/>
      <c r="O16" s="434"/>
      <c r="P16" s="434"/>
      <c r="Q16" s="434"/>
      <c r="R16" s="434"/>
      <c r="S16" s="441"/>
    </row>
    <row r="17" spans="1:19" s="97" customFormat="1" ht="27" customHeight="1">
      <c r="A17" s="2010" t="s">
        <v>2022</v>
      </c>
      <c r="B17" s="155" t="s">
        <v>2663</v>
      </c>
      <c r="C17" s="567" t="s">
        <v>2800</v>
      </c>
      <c r="D17" s="568" t="s">
        <v>2664</v>
      </c>
      <c r="E17" s="573"/>
      <c r="F17" s="569">
        <v>45787</v>
      </c>
      <c r="G17" s="569"/>
      <c r="H17" s="570">
        <f>VLOOKUP(F17,환율!A:B,2,0)</f>
        <v>1396</v>
      </c>
      <c r="I17" s="574">
        <v>3064.32</v>
      </c>
      <c r="J17" s="572">
        <f>ROUNDDOWN(I17*H17,0)</f>
        <v>4277790</v>
      </c>
      <c r="K17" s="572">
        <f t="shared" ref="K17:K27" si="3">J17</f>
        <v>4277790</v>
      </c>
      <c r="L17" s="566"/>
      <c r="M17" s="364" t="s">
        <v>2675</v>
      </c>
      <c r="N17" s="434" t="s">
        <v>2675</v>
      </c>
      <c r="O17" s="434" t="s">
        <v>2675</v>
      </c>
      <c r="P17" s="434" t="s">
        <v>2675</v>
      </c>
      <c r="Q17" s="434" t="s">
        <v>2675</v>
      </c>
      <c r="R17" s="434"/>
      <c r="S17" s="441"/>
    </row>
    <row r="18" spans="1:19" s="120" customFormat="1" ht="27" customHeight="1">
      <c r="A18" s="2011"/>
      <c r="B18" s="155" t="s">
        <v>2665</v>
      </c>
      <c r="C18" s="155" t="s">
        <v>2800</v>
      </c>
      <c r="D18" s="89" t="s">
        <v>2676</v>
      </c>
      <c r="E18" s="319"/>
      <c r="F18" s="90">
        <v>45787</v>
      </c>
      <c r="G18" s="90"/>
      <c r="H18" s="163">
        <f>VLOOKUP(F18,환율!A:B,2,0)</f>
        <v>1396</v>
      </c>
      <c r="I18" s="131">
        <v>96724.800000000003</v>
      </c>
      <c r="J18" s="164">
        <f t="shared" ref="J18:J26" si="4">ROUNDDOWN(I18*H18,0)</f>
        <v>135027820</v>
      </c>
      <c r="K18" s="164">
        <f t="shared" si="3"/>
        <v>135027820</v>
      </c>
      <c r="L18" s="396"/>
      <c r="M18" s="365" t="s">
        <v>2675</v>
      </c>
      <c r="N18" s="434" t="s">
        <v>2675</v>
      </c>
      <c r="O18" s="434" t="s">
        <v>2675</v>
      </c>
      <c r="P18" s="434" t="s">
        <v>2675</v>
      </c>
      <c r="Q18" s="434" t="s">
        <v>2675</v>
      </c>
      <c r="R18" s="435"/>
      <c r="S18" s="442"/>
    </row>
    <row r="19" spans="1:19" s="120" customFormat="1" ht="27" customHeight="1">
      <c r="A19" s="2011"/>
      <c r="B19" s="155" t="s">
        <v>2666</v>
      </c>
      <c r="C19" s="155" t="s">
        <v>2800</v>
      </c>
      <c r="D19" s="89" t="s">
        <v>2677</v>
      </c>
      <c r="E19" s="319"/>
      <c r="F19" s="136">
        <v>45800</v>
      </c>
      <c r="G19" s="136"/>
      <c r="H19" s="163">
        <f>VLOOKUP(F19,환율!A:B,2,0)</f>
        <v>1378.4</v>
      </c>
      <c r="I19" s="131">
        <v>3728.16</v>
      </c>
      <c r="J19" s="164">
        <f t="shared" si="4"/>
        <v>5138895</v>
      </c>
      <c r="K19" s="164">
        <f t="shared" si="3"/>
        <v>5138895</v>
      </c>
      <c r="L19" s="396"/>
      <c r="M19" s="365" t="s">
        <v>2675</v>
      </c>
      <c r="N19" s="434" t="s">
        <v>2675</v>
      </c>
      <c r="O19" s="434" t="s">
        <v>2675</v>
      </c>
      <c r="P19" s="434" t="s">
        <v>2675</v>
      </c>
      <c r="Q19" s="434" t="s">
        <v>2675</v>
      </c>
      <c r="R19" s="435"/>
      <c r="S19" s="442"/>
    </row>
    <row r="20" spans="1:19" s="120" customFormat="1" ht="27" customHeight="1">
      <c r="A20" s="2011"/>
      <c r="B20" s="155" t="s">
        <v>2667</v>
      </c>
      <c r="C20" s="155" t="s">
        <v>2800</v>
      </c>
      <c r="D20" s="89" t="s">
        <v>2678</v>
      </c>
      <c r="E20" s="319"/>
      <c r="F20" s="136">
        <v>45801</v>
      </c>
      <c r="G20" s="136"/>
      <c r="H20" s="163">
        <f>VLOOKUP(F20,환율!A:B,2,0)</f>
        <v>1378.4</v>
      </c>
      <c r="I20" s="131">
        <v>21522.799999999999</v>
      </c>
      <c r="J20" s="164">
        <f t="shared" si="4"/>
        <v>29667027</v>
      </c>
      <c r="K20" s="164">
        <f t="shared" si="3"/>
        <v>29667027</v>
      </c>
      <c r="L20" s="396"/>
      <c r="M20" s="365" t="s">
        <v>2675</v>
      </c>
      <c r="N20" s="434" t="s">
        <v>2675</v>
      </c>
      <c r="O20" s="434" t="s">
        <v>2675</v>
      </c>
      <c r="P20" s="434" t="s">
        <v>2675</v>
      </c>
      <c r="Q20" s="434" t="s">
        <v>2675</v>
      </c>
      <c r="R20" s="435"/>
      <c r="S20" s="442"/>
    </row>
    <row r="21" spans="1:19" s="120" customFormat="1" ht="27" customHeight="1">
      <c r="A21" s="2011"/>
      <c r="B21" s="155" t="s">
        <v>2668</v>
      </c>
      <c r="C21" s="155" t="s">
        <v>2800</v>
      </c>
      <c r="D21" s="89" t="s">
        <v>2679</v>
      </c>
      <c r="E21" s="319"/>
      <c r="F21" s="136">
        <v>45799</v>
      </c>
      <c r="G21" s="136"/>
      <c r="H21" s="163">
        <f>VLOOKUP(F21,환율!A:B,2,0)</f>
        <v>1387.1</v>
      </c>
      <c r="I21" s="131">
        <v>52699.68</v>
      </c>
      <c r="J21" s="164">
        <f t="shared" si="4"/>
        <v>73099726</v>
      </c>
      <c r="K21" s="164">
        <f t="shared" si="3"/>
        <v>73099726</v>
      </c>
      <c r="L21" s="396"/>
      <c r="M21" s="365" t="s">
        <v>2675</v>
      </c>
      <c r="N21" s="120" t="s">
        <v>2675</v>
      </c>
      <c r="O21" s="120" t="s">
        <v>2675</v>
      </c>
      <c r="P21" s="120" t="s">
        <v>2675</v>
      </c>
      <c r="Q21" s="120" t="s">
        <v>2675</v>
      </c>
      <c r="R21" s="435"/>
      <c r="S21" s="442"/>
    </row>
    <row r="22" spans="1:19" s="120" customFormat="1" ht="27" customHeight="1">
      <c r="A22" s="2011"/>
      <c r="B22" s="155" t="s">
        <v>2670</v>
      </c>
      <c r="C22" s="155" t="s">
        <v>2800</v>
      </c>
      <c r="D22" s="89" t="s">
        <v>2684</v>
      </c>
      <c r="E22" s="319"/>
      <c r="F22" s="136">
        <v>45787</v>
      </c>
      <c r="G22" s="136"/>
      <c r="H22" s="163">
        <f>VLOOKUP(F22,환율!A:B,2,0)</f>
        <v>1396</v>
      </c>
      <c r="I22" s="131">
        <v>137.5</v>
      </c>
      <c r="J22" s="164">
        <f t="shared" si="4"/>
        <v>191950</v>
      </c>
      <c r="K22" s="164">
        <f t="shared" si="3"/>
        <v>191950</v>
      </c>
      <c r="L22" s="396"/>
      <c r="M22" s="365" t="s">
        <v>2675</v>
      </c>
      <c r="N22" s="120" t="s">
        <v>2675</v>
      </c>
      <c r="O22" s="120" t="s">
        <v>2675</v>
      </c>
      <c r="P22" s="120" t="s">
        <v>2675</v>
      </c>
      <c r="Q22" s="120" t="s">
        <v>2675</v>
      </c>
      <c r="R22" s="435"/>
      <c r="S22" s="442"/>
    </row>
    <row r="23" spans="1:19" s="120" customFormat="1" ht="27" customHeight="1">
      <c r="A23" s="2011"/>
      <c r="B23" s="155" t="s">
        <v>2671</v>
      </c>
      <c r="C23" s="155" t="s">
        <v>2800</v>
      </c>
      <c r="D23" s="89" t="s">
        <v>2686</v>
      </c>
      <c r="E23" s="392"/>
      <c r="F23" s="130">
        <v>45789</v>
      </c>
      <c r="G23" s="130"/>
      <c r="H23" s="163">
        <f>VLOOKUP(F23,환율!A:B,2,0)</f>
        <v>1405.6</v>
      </c>
      <c r="I23" s="131">
        <v>8198.4</v>
      </c>
      <c r="J23" s="164">
        <f t="shared" si="4"/>
        <v>11523671</v>
      </c>
      <c r="K23" s="164">
        <f t="shared" si="3"/>
        <v>11523671</v>
      </c>
      <c r="L23" s="396"/>
      <c r="M23" s="365" t="s">
        <v>2675</v>
      </c>
      <c r="N23" s="120" t="s">
        <v>2675</v>
      </c>
      <c r="O23" s="120" t="s">
        <v>2675</v>
      </c>
      <c r="P23" s="120" t="s">
        <v>2675</v>
      </c>
      <c r="Q23" s="120" t="s">
        <v>2675</v>
      </c>
      <c r="R23" s="435"/>
      <c r="S23" s="442"/>
    </row>
    <row r="24" spans="1:19" s="120" customFormat="1" ht="27" customHeight="1">
      <c r="A24" s="2011"/>
      <c r="B24" s="155" t="s">
        <v>2672</v>
      </c>
      <c r="C24" s="155" t="s">
        <v>2800</v>
      </c>
      <c r="D24" s="144" t="s">
        <v>2687</v>
      </c>
      <c r="E24" s="392"/>
      <c r="F24" s="130">
        <v>45804</v>
      </c>
      <c r="G24" s="130"/>
      <c r="H24" s="163">
        <f>VLOOKUP(F24,환율!A:B,2,0)</f>
        <v>1365</v>
      </c>
      <c r="I24" s="131">
        <v>44737.919999999998</v>
      </c>
      <c r="J24" s="164">
        <f t="shared" si="4"/>
        <v>61067260</v>
      </c>
      <c r="K24" s="164">
        <f t="shared" si="3"/>
        <v>61067260</v>
      </c>
      <c r="L24" s="396"/>
      <c r="M24" s="365" t="s">
        <v>2675</v>
      </c>
      <c r="N24" s="120" t="s">
        <v>2675</v>
      </c>
      <c r="O24" s="120" t="s">
        <v>2675</v>
      </c>
      <c r="P24" s="120" t="s">
        <v>2675</v>
      </c>
      <c r="Q24" s="120" t="s">
        <v>730</v>
      </c>
      <c r="R24" s="435"/>
      <c r="S24" s="442"/>
    </row>
    <row r="25" spans="1:19" s="120" customFormat="1" ht="27" customHeight="1">
      <c r="A25" s="2011"/>
      <c r="B25" s="155" t="s">
        <v>2673</v>
      </c>
      <c r="C25" s="155" t="s">
        <v>2800</v>
      </c>
      <c r="D25" s="144" t="s">
        <v>2688</v>
      </c>
      <c r="E25" s="392"/>
      <c r="F25" s="130">
        <v>45804</v>
      </c>
      <c r="G25" s="130"/>
      <c r="H25" s="163">
        <f>VLOOKUP(F25,환율!A:B,2,0)</f>
        <v>1365</v>
      </c>
      <c r="I25" s="131">
        <v>284.25</v>
      </c>
      <c r="J25" s="164">
        <f t="shared" si="4"/>
        <v>388001</v>
      </c>
      <c r="K25" s="164">
        <f t="shared" si="3"/>
        <v>388001</v>
      </c>
      <c r="L25" s="396"/>
      <c r="M25" s="365" t="s">
        <v>2675</v>
      </c>
      <c r="N25" s="120" t="s">
        <v>2675</v>
      </c>
      <c r="O25" s="120" t="s">
        <v>2675</v>
      </c>
      <c r="P25" s="120" t="s">
        <v>2675</v>
      </c>
      <c r="Q25" s="120" t="s">
        <v>730</v>
      </c>
      <c r="R25" s="435"/>
      <c r="S25" s="442"/>
    </row>
    <row r="26" spans="1:19" s="120" customFormat="1" ht="27" customHeight="1">
      <c r="A26" s="2011"/>
      <c r="B26" s="155" t="s">
        <v>2674</v>
      </c>
      <c r="C26" s="155" t="s">
        <v>2800</v>
      </c>
      <c r="D26" s="89" t="s">
        <v>2689</v>
      </c>
      <c r="E26" s="319"/>
      <c r="F26" s="136">
        <v>45804</v>
      </c>
      <c r="G26" s="136"/>
      <c r="H26" s="163">
        <f>VLOOKUP(F26,환율!A:B,2,0)</f>
        <v>1365</v>
      </c>
      <c r="I26" s="131">
        <v>394.25</v>
      </c>
      <c r="J26" s="164">
        <f t="shared" si="4"/>
        <v>538151</v>
      </c>
      <c r="K26" s="164">
        <f t="shared" si="3"/>
        <v>538151</v>
      </c>
      <c r="L26" s="254"/>
      <c r="M26" s="365" t="s">
        <v>2675</v>
      </c>
      <c r="N26" s="434" t="s">
        <v>2675</v>
      </c>
      <c r="O26" s="434" t="s">
        <v>2675</v>
      </c>
      <c r="P26" s="434" t="s">
        <v>2675</v>
      </c>
      <c r="Q26" s="434" t="s">
        <v>730</v>
      </c>
      <c r="R26" s="435"/>
      <c r="S26" s="442"/>
    </row>
    <row r="27" spans="1:19" s="120" customFormat="1" ht="27" customHeight="1">
      <c r="A27" s="2011"/>
      <c r="B27" s="155" t="s">
        <v>2690</v>
      </c>
      <c r="C27" s="155" t="s">
        <v>2800</v>
      </c>
      <c r="D27" s="89" t="s">
        <v>2691</v>
      </c>
      <c r="E27" s="319"/>
      <c r="F27" s="136">
        <v>45804</v>
      </c>
      <c r="G27" s="136"/>
      <c r="H27" s="163">
        <f>VLOOKUP(F27,환율!A:B,2,0)</f>
        <v>1365</v>
      </c>
      <c r="I27" s="131">
        <v>495</v>
      </c>
      <c r="J27" s="164">
        <f t="shared" ref="J27:J29" si="5">ROUNDDOWN(I27*H27,0)</f>
        <v>675675</v>
      </c>
      <c r="K27" s="164">
        <f t="shared" si="3"/>
        <v>675675</v>
      </c>
      <c r="L27" s="254"/>
      <c r="M27" s="365" t="s">
        <v>2675</v>
      </c>
      <c r="N27" s="434" t="s">
        <v>2675</v>
      </c>
      <c r="O27" s="434" t="s">
        <v>2675</v>
      </c>
      <c r="P27" s="434" t="s">
        <v>2675</v>
      </c>
      <c r="Q27" s="434" t="s">
        <v>730</v>
      </c>
      <c r="R27" s="435"/>
      <c r="S27" s="442"/>
    </row>
    <row r="28" spans="1:19" s="120" customFormat="1" ht="27" customHeight="1">
      <c r="A28" s="2011"/>
      <c r="B28" s="546" t="s">
        <v>2680</v>
      </c>
      <c r="C28" s="546"/>
      <c r="D28" s="547" t="s">
        <v>2681</v>
      </c>
      <c r="E28" s="549"/>
      <c r="F28" s="550">
        <v>45812</v>
      </c>
      <c r="G28" s="550"/>
      <c r="H28" s="528">
        <f>VLOOKUP(F28,환율!A:B,2,0)</f>
        <v>1376.9</v>
      </c>
      <c r="I28" s="551">
        <v>27946.799999999999</v>
      </c>
      <c r="J28" s="530">
        <f>ROUNDDOWN(I28*H28,0)</f>
        <v>38479948</v>
      </c>
      <c r="K28" s="530"/>
      <c r="L28" s="548">
        <f>J28</f>
        <v>38479948</v>
      </c>
      <c r="M28" s="365" t="s">
        <v>730</v>
      </c>
      <c r="N28" s="434" t="s">
        <v>730</v>
      </c>
      <c r="O28" s="434" t="s">
        <v>730</v>
      </c>
      <c r="P28" s="434" t="s">
        <v>2755</v>
      </c>
      <c r="Q28" s="434" t="s">
        <v>2756</v>
      </c>
      <c r="R28" s="435"/>
      <c r="S28" s="442"/>
    </row>
    <row r="29" spans="1:19" s="120" customFormat="1" ht="27" customHeight="1">
      <c r="A29" s="2011"/>
      <c r="B29" s="546" t="s">
        <v>2669</v>
      </c>
      <c r="C29" s="546"/>
      <c r="D29" s="547" t="s">
        <v>2683</v>
      </c>
      <c r="E29" s="549"/>
      <c r="F29" s="550">
        <v>45812</v>
      </c>
      <c r="G29" s="550"/>
      <c r="H29" s="528">
        <f>VLOOKUP(F29,환율!A:B,2,0)</f>
        <v>1376.9</v>
      </c>
      <c r="I29" s="551">
        <v>10987.2</v>
      </c>
      <c r="J29" s="530">
        <f t="shared" si="5"/>
        <v>15128275</v>
      </c>
      <c r="K29" s="530"/>
      <c r="L29" s="548">
        <f>J29</f>
        <v>15128275</v>
      </c>
      <c r="M29" s="365" t="s">
        <v>730</v>
      </c>
      <c r="N29" s="120" t="s">
        <v>730</v>
      </c>
      <c r="O29" s="120" t="s">
        <v>730</v>
      </c>
      <c r="P29" s="120" t="s">
        <v>730</v>
      </c>
      <c r="Q29" s="120" t="s">
        <v>730</v>
      </c>
      <c r="R29" s="435"/>
      <c r="S29" s="442"/>
    </row>
    <row r="30" spans="1:19" s="97" customFormat="1" ht="27" customHeight="1">
      <c r="A30" s="2035" t="s">
        <v>10</v>
      </c>
      <c r="B30" s="2036"/>
      <c r="C30" s="2036"/>
      <c r="D30" s="2036"/>
      <c r="E30" s="2036"/>
      <c r="F30" s="2036"/>
      <c r="G30" s="2036"/>
      <c r="H30" s="2037"/>
      <c r="I30" s="127">
        <f>SUM(I17:I29)</f>
        <v>270921.08</v>
      </c>
      <c r="J30" s="116">
        <f>SUM(J17:J29)</f>
        <v>375204189</v>
      </c>
      <c r="K30" s="116">
        <f>SUM(K17:K29)</f>
        <v>321595966</v>
      </c>
      <c r="L30" s="260">
        <f>SUM(L17:L29)</f>
        <v>53608223</v>
      </c>
      <c r="M30" s="364"/>
      <c r="N30" s="434"/>
      <c r="O30" s="434"/>
      <c r="P30" s="434"/>
      <c r="Q30" s="434"/>
      <c r="R30" s="434"/>
      <c r="S30" s="441"/>
    </row>
    <row r="31" spans="1:19" s="97" customFormat="1" ht="27" customHeight="1">
      <c r="A31" s="2012" t="s">
        <v>114</v>
      </c>
      <c r="B31" s="602" t="s">
        <v>2601</v>
      </c>
      <c r="C31" s="575" t="s">
        <v>2801</v>
      </c>
      <c r="D31" s="576" t="s">
        <v>2692</v>
      </c>
      <c r="E31" s="576"/>
      <c r="F31" s="569">
        <v>45787</v>
      </c>
      <c r="G31" s="569"/>
      <c r="H31" s="570">
        <f>VLOOKUP(F31,환율!A:B,2,0)</f>
        <v>1396</v>
      </c>
      <c r="I31" s="577">
        <v>57843.38</v>
      </c>
      <c r="J31" s="572">
        <f t="shared" ref="J31:J41" si="6">ROUNDDOWN(I31*H31,0)</f>
        <v>80749358</v>
      </c>
      <c r="K31" s="572">
        <f>J31</f>
        <v>80749358</v>
      </c>
      <c r="L31" s="566"/>
      <c r="M31" s="364" t="s">
        <v>2675</v>
      </c>
      <c r="N31" s="434" t="s">
        <v>2675</v>
      </c>
      <c r="O31" s="434" t="s">
        <v>2675</v>
      </c>
      <c r="P31" s="434" t="s">
        <v>2675</v>
      </c>
      <c r="Q31" s="434" t="s">
        <v>2675</v>
      </c>
      <c r="R31" s="434"/>
      <c r="S31" s="441"/>
    </row>
    <row r="32" spans="1:19" s="97" customFormat="1" ht="27" customHeight="1">
      <c r="A32" s="2053"/>
      <c r="B32" s="602" t="s">
        <v>2602</v>
      </c>
      <c r="C32" s="575" t="s">
        <v>2801</v>
      </c>
      <c r="D32" s="576" t="s">
        <v>2693</v>
      </c>
      <c r="E32" s="576"/>
      <c r="F32" s="569">
        <v>45787</v>
      </c>
      <c r="G32" s="569"/>
      <c r="H32" s="570">
        <f>VLOOKUP(F32,환율!A:B,2,0)</f>
        <v>1396</v>
      </c>
      <c r="I32" s="578">
        <v>115250.72</v>
      </c>
      <c r="J32" s="572">
        <f t="shared" si="6"/>
        <v>160890005</v>
      </c>
      <c r="K32" s="572">
        <f t="shared" ref="K32:K51" si="7">J32</f>
        <v>160890005</v>
      </c>
      <c r="L32" s="566"/>
      <c r="M32" s="364" t="s">
        <v>2675</v>
      </c>
      <c r="N32" s="434" t="s">
        <v>2675</v>
      </c>
      <c r="O32" s="434" t="s">
        <v>2675</v>
      </c>
      <c r="P32" s="434" t="s">
        <v>2675</v>
      </c>
      <c r="Q32" s="434" t="s">
        <v>2675</v>
      </c>
      <c r="R32" s="434"/>
      <c r="S32" s="441"/>
    </row>
    <row r="33" spans="1:19" s="97" customFormat="1" ht="27" customHeight="1">
      <c r="A33" s="2053"/>
      <c r="B33" s="602" t="s">
        <v>2603</v>
      </c>
      <c r="C33" s="575" t="s">
        <v>2801</v>
      </c>
      <c r="D33" s="576" t="s">
        <v>2694</v>
      </c>
      <c r="E33" s="576"/>
      <c r="F33" s="569">
        <v>45789</v>
      </c>
      <c r="G33" s="569"/>
      <c r="H33" s="570">
        <f>VLOOKUP(F33,환율!A:B,2,0)</f>
        <v>1405.6</v>
      </c>
      <c r="I33" s="578">
        <v>3744</v>
      </c>
      <c r="J33" s="572">
        <f t="shared" si="6"/>
        <v>5262566</v>
      </c>
      <c r="K33" s="572">
        <f t="shared" si="7"/>
        <v>5262566</v>
      </c>
      <c r="L33" s="566"/>
      <c r="M33" s="364" t="s">
        <v>2675</v>
      </c>
      <c r="N33" s="434" t="s">
        <v>2675</v>
      </c>
      <c r="O33" s="434" t="s">
        <v>2675</v>
      </c>
      <c r="P33" s="434" t="s">
        <v>2675</v>
      </c>
      <c r="Q33" s="434" t="s">
        <v>2675</v>
      </c>
      <c r="R33" s="434"/>
      <c r="S33" s="441"/>
    </row>
    <row r="34" spans="1:19" s="97" customFormat="1" ht="27" customHeight="1">
      <c r="A34" s="2053"/>
      <c r="B34" s="602" t="s">
        <v>2604</v>
      </c>
      <c r="C34" s="575" t="s">
        <v>2801</v>
      </c>
      <c r="D34" s="576" t="s">
        <v>2695</v>
      </c>
      <c r="E34" s="576"/>
      <c r="F34" s="569">
        <v>45787</v>
      </c>
      <c r="G34" s="569"/>
      <c r="H34" s="570">
        <f>VLOOKUP(F34,환율!A:B,2,0)</f>
        <v>1396</v>
      </c>
      <c r="I34" s="577">
        <v>6816.25</v>
      </c>
      <c r="J34" s="572">
        <f t="shared" si="6"/>
        <v>9515485</v>
      </c>
      <c r="K34" s="572">
        <f t="shared" si="7"/>
        <v>9515485</v>
      </c>
      <c r="L34" s="566"/>
      <c r="M34" s="364" t="s">
        <v>2675</v>
      </c>
      <c r="N34" s="434" t="s">
        <v>2675</v>
      </c>
      <c r="O34" s="434" t="s">
        <v>2675</v>
      </c>
      <c r="P34" s="434" t="s">
        <v>2675</v>
      </c>
      <c r="Q34" s="434" t="s">
        <v>2675</v>
      </c>
      <c r="R34" s="434"/>
      <c r="S34" s="441"/>
    </row>
    <row r="35" spans="1:19" s="126" customFormat="1" ht="27" customHeight="1">
      <c r="A35" s="2053"/>
      <c r="B35" s="513" t="s">
        <v>2696</v>
      </c>
      <c r="C35" s="562" t="s">
        <v>2801</v>
      </c>
      <c r="D35" s="129" t="s">
        <v>2708</v>
      </c>
      <c r="E35" s="129"/>
      <c r="F35" s="90">
        <v>45797</v>
      </c>
      <c r="G35" s="90"/>
      <c r="H35" s="91">
        <f>VLOOKUP(F35,환율!A:B,2,0)</f>
        <v>1398</v>
      </c>
      <c r="I35" s="134">
        <v>37552.14</v>
      </c>
      <c r="J35" s="93">
        <f t="shared" si="6"/>
        <v>52497891</v>
      </c>
      <c r="K35" s="164">
        <f t="shared" si="7"/>
        <v>52497891</v>
      </c>
      <c r="L35" s="254"/>
      <c r="M35" s="401" t="s">
        <v>2675</v>
      </c>
      <c r="N35" s="434" t="s">
        <v>2675</v>
      </c>
      <c r="O35" s="434" t="s">
        <v>2675</v>
      </c>
      <c r="P35" s="434" t="s">
        <v>2675</v>
      </c>
      <c r="Q35" s="434" t="s">
        <v>2675</v>
      </c>
      <c r="R35" s="436"/>
      <c r="S35" s="443"/>
    </row>
    <row r="36" spans="1:19" s="126" customFormat="1" ht="27" customHeight="1">
      <c r="A36" s="2053"/>
      <c r="B36" s="513" t="s">
        <v>2697</v>
      </c>
      <c r="C36" s="562" t="s">
        <v>2801</v>
      </c>
      <c r="D36" s="129" t="s">
        <v>2709</v>
      </c>
      <c r="E36" s="129"/>
      <c r="F36" s="90">
        <v>45792</v>
      </c>
      <c r="G36" s="90"/>
      <c r="H36" s="91">
        <f>VLOOKUP(F36,환율!A:B,2,0)</f>
        <v>1415.8</v>
      </c>
      <c r="I36" s="134">
        <v>108092.32</v>
      </c>
      <c r="J36" s="93">
        <f t="shared" si="6"/>
        <v>153037106</v>
      </c>
      <c r="K36" s="164">
        <f t="shared" si="7"/>
        <v>153037106</v>
      </c>
      <c r="L36" s="254"/>
      <c r="M36" s="401" t="s">
        <v>2675</v>
      </c>
      <c r="N36" s="434" t="s">
        <v>2675</v>
      </c>
      <c r="O36" s="434" t="s">
        <v>2675</v>
      </c>
      <c r="P36" s="434" t="s">
        <v>2675</v>
      </c>
      <c r="Q36" s="434" t="s">
        <v>2675</v>
      </c>
      <c r="R36" s="436"/>
      <c r="S36" s="443"/>
    </row>
    <row r="37" spans="1:19" s="126" customFormat="1" ht="27" customHeight="1">
      <c r="A37" s="2053"/>
      <c r="B37" s="513" t="s">
        <v>2698</v>
      </c>
      <c r="C37" s="562" t="s">
        <v>2801</v>
      </c>
      <c r="D37" s="129" t="s">
        <v>2710</v>
      </c>
      <c r="E37" s="129"/>
      <c r="F37" s="90">
        <v>45804</v>
      </c>
      <c r="G37" s="90"/>
      <c r="H37" s="91">
        <f>VLOOKUP(F37,환율!A:B,2,0)</f>
        <v>1365</v>
      </c>
      <c r="I37" s="134">
        <v>15074.72</v>
      </c>
      <c r="J37" s="93">
        <f t="shared" si="6"/>
        <v>20576992</v>
      </c>
      <c r="K37" s="164">
        <f t="shared" si="7"/>
        <v>20576992</v>
      </c>
      <c r="L37" s="254"/>
      <c r="M37" s="401" t="s">
        <v>2675</v>
      </c>
      <c r="N37" s="434" t="s">
        <v>2675</v>
      </c>
      <c r="O37" s="434" t="s">
        <v>2675</v>
      </c>
      <c r="P37" s="434" t="s">
        <v>2675</v>
      </c>
      <c r="Q37" s="434" t="s">
        <v>2675</v>
      </c>
      <c r="R37" s="436"/>
      <c r="S37" s="443"/>
    </row>
    <row r="38" spans="1:19" s="126" customFormat="1" ht="27" customHeight="1">
      <c r="A38" s="2053"/>
      <c r="B38" s="513" t="s">
        <v>2699</v>
      </c>
      <c r="C38" s="562" t="s">
        <v>2801</v>
      </c>
      <c r="D38" s="129" t="s">
        <v>2711</v>
      </c>
      <c r="E38" s="129"/>
      <c r="F38" s="90">
        <v>45804</v>
      </c>
      <c r="G38" s="90"/>
      <c r="H38" s="91">
        <f>VLOOKUP(F38,환율!A:B,2,0)</f>
        <v>1365</v>
      </c>
      <c r="I38" s="134">
        <v>140494.56</v>
      </c>
      <c r="J38" s="93">
        <f t="shared" si="6"/>
        <v>191775074</v>
      </c>
      <c r="K38" s="164">
        <f t="shared" si="7"/>
        <v>191775074</v>
      </c>
      <c r="L38" s="254"/>
      <c r="M38" s="401" t="s">
        <v>2675</v>
      </c>
      <c r="N38" s="434" t="s">
        <v>2675</v>
      </c>
      <c r="O38" s="434" t="s">
        <v>2675</v>
      </c>
      <c r="P38" s="434" t="s">
        <v>2675</v>
      </c>
      <c r="Q38" s="434" t="s">
        <v>2675</v>
      </c>
      <c r="R38" s="436"/>
      <c r="S38" s="443"/>
    </row>
    <row r="39" spans="1:19" s="126" customFormat="1" ht="27" customHeight="1">
      <c r="A39" s="2053"/>
      <c r="B39" s="513" t="s">
        <v>2701</v>
      </c>
      <c r="C39" s="562" t="s">
        <v>2801</v>
      </c>
      <c r="D39" s="129" t="s">
        <v>2713</v>
      </c>
      <c r="E39" s="129"/>
      <c r="F39" s="90">
        <v>45787</v>
      </c>
      <c r="G39" s="90"/>
      <c r="H39" s="91">
        <f>VLOOKUP(F39,환율!A:B,2,0)</f>
        <v>1396</v>
      </c>
      <c r="I39" s="134">
        <v>13895</v>
      </c>
      <c r="J39" s="93">
        <f t="shared" si="6"/>
        <v>19397420</v>
      </c>
      <c r="K39" s="164">
        <f t="shared" si="7"/>
        <v>19397420</v>
      </c>
      <c r="L39" s="254"/>
      <c r="M39" s="364" t="s">
        <v>2675</v>
      </c>
      <c r="N39" s="434" t="s">
        <v>2675</v>
      </c>
      <c r="O39" s="434" t="s">
        <v>2675</v>
      </c>
      <c r="P39" s="434" t="s">
        <v>2675</v>
      </c>
      <c r="Q39" s="434" t="s">
        <v>2675</v>
      </c>
      <c r="R39" s="436"/>
      <c r="S39" s="443"/>
    </row>
    <row r="40" spans="1:19" s="126" customFormat="1" ht="27" customHeight="1">
      <c r="A40" s="2053"/>
      <c r="B40" s="513" t="s">
        <v>2702</v>
      </c>
      <c r="C40" s="562" t="s">
        <v>2801</v>
      </c>
      <c r="D40" s="129" t="s">
        <v>2714</v>
      </c>
      <c r="E40" s="129"/>
      <c r="F40" s="90">
        <v>45806</v>
      </c>
      <c r="G40" s="90"/>
      <c r="H40" s="91">
        <f>VLOOKUP(F40,환율!A:B,2,0)</f>
        <v>1374.6</v>
      </c>
      <c r="I40" s="134">
        <v>7488</v>
      </c>
      <c r="J40" s="93">
        <f t="shared" si="6"/>
        <v>10293004</v>
      </c>
      <c r="K40" s="93">
        <f t="shared" si="7"/>
        <v>10293004</v>
      </c>
      <c r="L40" s="254"/>
      <c r="M40" s="364" t="s">
        <v>2675</v>
      </c>
      <c r="N40" s="434" t="s">
        <v>2675</v>
      </c>
      <c r="O40" s="434" t="s">
        <v>2675</v>
      </c>
      <c r="P40" s="434" t="s">
        <v>2675</v>
      </c>
      <c r="Q40" s="434" t="s">
        <v>730</v>
      </c>
      <c r="R40" s="436"/>
      <c r="S40" s="443"/>
    </row>
    <row r="41" spans="1:19" s="126" customFormat="1" ht="27" customHeight="1">
      <c r="A41" s="2053"/>
      <c r="B41" s="513" t="s">
        <v>2706</v>
      </c>
      <c r="C41" s="562" t="s">
        <v>2801</v>
      </c>
      <c r="D41" s="129" t="s">
        <v>2718</v>
      </c>
      <c r="E41" s="129"/>
      <c r="F41" s="90">
        <v>45801</v>
      </c>
      <c r="G41" s="90"/>
      <c r="H41" s="91">
        <f>VLOOKUP(F41,환율!A:B,2,0)</f>
        <v>1378.4</v>
      </c>
      <c r="I41" s="134">
        <v>6947.5</v>
      </c>
      <c r="J41" s="93">
        <f t="shared" si="6"/>
        <v>9576434</v>
      </c>
      <c r="K41" s="93">
        <f t="shared" si="7"/>
        <v>9576434</v>
      </c>
      <c r="L41" s="254"/>
      <c r="M41" s="364" t="s">
        <v>2675</v>
      </c>
      <c r="N41" s="434" t="s">
        <v>2675</v>
      </c>
      <c r="O41" s="434" t="s">
        <v>2675</v>
      </c>
      <c r="P41" s="434" t="s">
        <v>2675</v>
      </c>
      <c r="Q41" s="434" t="s">
        <v>2675</v>
      </c>
      <c r="R41" s="436"/>
      <c r="S41" s="443"/>
    </row>
    <row r="42" spans="1:19" s="126" customFormat="1" ht="27" customHeight="1">
      <c r="A42" s="2053"/>
      <c r="B42" s="513" t="s">
        <v>2719</v>
      </c>
      <c r="C42" s="563" t="s">
        <v>2801</v>
      </c>
      <c r="D42" s="129" t="s">
        <v>2722</v>
      </c>
      <c r="E42" s="129"/>
      <c r="F42" s="90">
        <v>45806</v>
      </c>
      <c r="G42" s="90"/>
      <c r="H42" s="91">
        <f>VLOOKUP(F42,환율!A:B,2,0)</f>
        <v>1374.6</v>
      </c>
      <c r="I42" s="134">
        <v>65979.350000000006</v>
      </c>
      <c r="J42" s="93">
        <f t="shared" ref="J42:J49" si="8">ROUNDDOWN(I42*H42,0)</f>
        <v>90695214</v>
      </c>
      <c r="K42" s="93">
        <f t="shared" si="7"/>
        <v>90695214</v>
      </c>
      <c r="L42" s="254"/>
      <c r="M42" s="364" t="s">
        <v>2675</v>
      </c>
      <c r="N42" s="434" t="s">
        <v>2675</v>
      </c>
      <c r="O42" s="434" t="s">
        <v>2675</v>
      </c>
      <c r="P42" s="434" t="s">
        <v>2675</v>
      </c>
      <c r="Q42" s="434" t="s">
        <v>730</v>
      </c>
      <c r="R42" s="436"/>
      <c r="S42" s="443"/>
    </row>
    <row r="43" spans="1:19" s="126" customFormat="1" ht="27" customHeight="1">
      <c r="A43" s="2053"/>
      <c r="B43" s="556" t="s">
        <v>2700</v>
      </c>
      <c r="C43" s="564" t="s">
        <v>2801</v>
      </c>
      <c r="D43" s="557" t="s">
        <v>2712</v>
      </c>
      <c r="E43" s="557"/>
      <c r="F43" s="550">
        <v>45812</v>
      </c>
      <c r="G43" s="550"/>
      <c r="H43" s="528">
        <f>VLOOKUP(F43,환율!A:B,2,0)</f>
        <v>1376.9</v>
      </c>
      <c r="I43" s="551">
        <v>1308</v>
      </c>
      <c r="J43" s="530">
        <f t="shared" ref="J43" si="9">ROUNDDOWN(I43*H43,0)</f>
        <v>1800985</v>
      </c>
      <c r="K43" s="530"/>
      <c r="L43" s="548">
        <f>J43</f>
        <v>1800985</v>
      </c>
      <c r="M43" s="364" t="s">
        <v>730</v>
      </c>
      <c r="N43" s="434" t="s">
        <v>730</v>
      </c>
      <c r="O43" s="434" t="s">
        <v>730</v>
      </c>
      <c r="P43" s="434" t="s">
        <v>730</v>
      </c>
      <c r="Q43" s="434" t="s">
        <v>730</v>
      </c>
      <c r="R43" s="436"/>
      <c r="S43" s="443"/>
    </row>
    <row r="44" spans="1:19" s="126" customFormat="1" ht="27" customHeight="1">
      <c r="A44" s="2053"/>
      <c r="B44" s="556" t="s">
        <v>2703</v>
      </c>
      <c r="C44" s="564" t="s">
        <v>2801</v>
      </c>
      <c r="D44" s="557" t="s">
        <v>2715</v>
      </c>
      <c r="E44" s="557"/>
      <c r="F44" s="527">
        <v>45809</v>
      </c>
      <c r="G44" s="527"/>
      <c r="H44" s="528">
        <f>VLOOKUP(F44,환율!A:B,2,0)</f>
        <v>1381.4</v>
      </c>
      <c r="I44" s="551">
        <v>2192.4</v>
      </c>
      <c r="J44" s="530">
        <f t="shared" si="8"/>
        <v>3028581</v>
      </c>
      <c r="K44" s="530"/>
      <c r="L44" s="548">
        <f t="shared" ref="L44:L49" si="10">J44</f>
        <v>3028581</v>
      </c>
      <c r="M44" s="364" t="s">
        <v>730</v>
      </c>
      <c r="N44" s="434" t="s">
        <v>730</v>
      </c>
      <c r="O44" s="434" t="s">
        <v>730</v>
      </c>
      <c r="P44" s="434" t="s">
        <v>730</v>
      </c>
      <c r="Q44" s="434" t="s">
        <v>730</v>
      </c>
      <c r="R44" s="436"/>
      <c r="S44" s="443"/>
    </row>
    <row r="45" spans="1:19" s="126" customFormat="1" ht="27" customHeight="1">
      <c r="A45" s="2053"/>
      <c r="B45" s="556" t="s">
        <v>2704</v>
      </c>
      <c r="C45" s="564" t="s">
        <v>2801</v>
      </c>
      <c r="D45" s="557" t="s">
        <v>2757</v>
      </c>
      <c r="E45" s="557"/>
      <c r="F45" s="527">
        <v>45812</v>
      </c>
      <c r="G45" s="527"/>
      <c r="H45" s="528">
        <f>VLOOKUP(F45,환율!A:B,2,0)</f>
        <v>1376.9</v>
      </c>
      <c r="I45" s="551">
        <v>108571.2</v>
      </c>
      <c r="J45" s="530">
        <f t="shared" si="8"/>
        <v>149491685</v>
      </c>
      <c r="K45" s="530"/>
      <c r="L45" s="548">
        <f t="shared" si="10"/>
        <v>149491685</v>
      </c>
      <c r="M45" s="364" t="s">
        <v>730</v>
      </c>
      <c r="N45" s="434" t="s">
        <v>730</v>
      </c>
      <c r="O45" s="434" t="s">
        <v>730</v>
      </c>
      <c r="P45" s="434" t="s">
        <v>730</v>
      </c>
      <c r="Q45" s="434" t="s">
        <v>730</v>
      </c>
      <c r="R45" s="436"/>
      <c r="S45" s="443"/>
    </row>
    <row r="46" spans="1:19" s="126" customFormat="1" ht="27" customHeight="1">
      <c r="A46" s="2053"/>
      <c r="B46" s="556" t="s">
        <v>2705</v>
      </c>
      <c r="C46" s="564" t="s">
        <v>2801</v>
      </c>
      <c r="D46" s="557" t="s">
        <v>2717</v>
      </c>
      <c r="E46" s="557"/>
      <c r="F46" s="527">
        <v>45809</v>
      </c>
      <c r="G46" s="527"/>
      <c r="H46" s="528">
        <f>VLOOKUP(F46,환율!A:B,2,0)</f>
        <v>1381.4</v>
      </c>
      <c r="I46" s="551">
        <v>66017</v>
      </c>
      <c r="J46" s="530">
        <f t="shared" si="8"/>
        <v>91195883</v>
      </c>
      <c r="K46" s="530"/>
      <c r="L46" s="548">
        <f t="shared" si="10"/>
        <v>91195883</v>
      </c>
      <c r="M46" s="364" t="s">
        <v>730</v>
      </c>
      <c r="N46" s="434" t="s">
        <v>730</v>
      </c>
      <c r="O46" s="434" t="s">
        <v>730</v>
      </c>
      <c r="P46" s="434" t="s">
        <v>730</v>
      </c>
      <c r="Q46" s="434" t="s">
        <v>730</v>
      </c>
      <c r="R46" s="436"/>
      <c r="S46" s="443"/>
    </row>
    <row r="47" spans="1:19" s="126" customFormat="1" ht="27" customHeight="1">
      <c r="A47" s="2053"/>
      <c r="B47" s="556" t="s">
        <v>2707</v>
      </c>
      <c r="C47" s="608" t="s">
        <v>2801</v>
      </c>
      <c r="D47" s="557" t="s">
        <v>2758</v>
      </c>
      <c r="E47" s="557"/>
      <c r="F47" s="527">
        <v>45810</v>
      </c>
      <c r="G47" s="527"/>
      <c r="H47" s="528">
        <f>VLOOKUP(F47,환율!A:B,2,0)</f>
        <v>1375.7</v>
      </c>
      <c r="I47" s="551">
        <v>86741.6</v>
      </c>
      <c r="J47" s="530">
        <f t="shared" si="8"/>
        <v>119330419</v>
      </c>
      <c r="K47" s="530"/>
      <c r="L47" s="548">
        <f t="shared" si="10"/>
        <v>119330419</v>
      </c>
      <c r="M47" s="364" t="s">
        <v>2716</v>
      </c>
      <c r="N47" s="434" t="s">
        <v>2682</v>
      </c>
      <c r="O47" s="434" t="s">
        <v>2675</v>
      </c>
      <c r="P47" s="434" t="s">
        <v>2675</v>
      </c>
      <c r="Q47" s="434" t="s">
        <v>2682</v>
      </c>
      <c r="R47" s="436"/>
      <c r="S47" s="443"/>
    </row>
    <row r="48" spans="1:19" s="126" customFormat="1" ht="27" customHeight="1">
      <c r="A48" s="2053"/>
      <c r="B48" s="556" t="s">
        <v>2720</v>
      </c>
      <c r="C48" s="564" t="s">
        <v>2801</v>
      </c>
      <c r="D48" s="557" t="s">
        <v>2758</v>
      </c>
      <c r="E48" s="557"/>
      <c r="F48" s="550">
        <v>45810</v>
      </c>
      <c r="G48" s="550"/>
      <c r="H48" s="528">
        <f>VLOOKUP(F48,환율!A:B,2,0)</f>
        <v>1375.7</v>
      </c>
      <c r="I48" s="551">
        <v>6816.25</v>
      </c>
      <c r="J48" s="530">
        <f t="shared" si="8"/>
        <v>9377115</v>
      </c>
      <c r="K48" s="530"/>
      <c r="L48" s="548">
        <f t="shared" si="10"/>
        <v>9377115</v>
      </c>
      <c r="M48" s="364" t="s">
        <v>2716</v>
      </c>
      <c r="N48" s="434" t="s">
        <v>2682</v>
      </c>
      <c r="O48" s="434" t="s">
        <v>2675</v>
      </c>
      <c r="P48" s="434" t="s">
        <v>2675</v>
      </c>
      <c r="Q48" s="434" t="s">
        <v>2682</v>
      </c>
      <c r="R48" s="436"/>
      <c r="S48" s="443"/>
    </row>
    <row r="49" spans="1:19" s="126" customFormat="1" ht="27" customHeight="1">
      <c r="A49" s="2053"/>
      <c r="B49" s="556" t="s">
        <v>2721</v>
      </c>
      <c r="C49" s="564" t="s">
        <v>2801</v>
      </c>
      <c r="D49" s="557" t="s">
        <v>2759</v>
      </c>
      <c r="E49" s="557"/>
      <c r="F49" s="550">
        <v>45810</v>
      </c>
      <c r="G49" s="550"/>
      <c r="H49" s="528">
        <f>VLOOKUP(F49,환율!A:B,2,0)</f>
        <v>1375.7</v>
      </c>
      <c r="I49" s="551">
        <v>61163.62</v>
      </c>
      <c r="J49" s="530">
        <f t="shared" si="8"/>
        <v>84142792</v>
      </c>
      <c r="K49" s="530"/>
      <c r="L49" s="548">
        <f t="shared" si="10"/>
        <v>84142792</v>
      </c>
      <c r="M49" s="364" t="s">
        <v>2716</v>
      </c>
      <c r="N49" s="434" t="s">
        <v>2682</v>
      </c>
      <c r="O49" s="434" t="s">
        <v>2675</v>
      </c>
      <c r="P49" s="434" t="s">
        <v>2675</v>
      </c>
      <c r="Q49" s="434" t="s">
        <v>2682</v>
      </c>
      <c r="R49" s="436"/>
      <c r="S49" s="443"/>
    </row>
    <row r="50" spans="1:19" s="97" customFormat="1" ht="27" customHeight="1">
      <c r="A50" s="2035" t="s">
        <v>10</v>
      </c>
      <c r="B50" s="2036"/>
      <c r="C50" s="2036"/>
      <c r="D50" s="2036"/>
      <c r="E50" s="2036"/>
      <c r="F50" s="2036"/>
      <c r="G50" s="2036"/>
      <c r="H50" s="2037"/>
      <c r="I50" s="127">
        <f>SUM(I31:I49)</f>
        <v>911988.00999999989</v>
      </c>
      <c r="J50" s="116">
        <f>SUM(J31:J49)</f>
        <v>1262634009</v>
      </c>
      <c r="K50" s="116">
        <f>SUM(K31:K49)</f>
        <v>804266549</v>
      </c>
      <c r="L50" s="260">
        <f>SUM(L31:L49)</f>
        <v>458367460</v>
      </c>
      <c r="M50" s="364"/>
      <c r="N50" s="434"/>
      <c r="O50" s="434"/>
      <c r="P50" s="434"/>
      <c r="Q50" s="434"/>
      <c r="R50" s="434"/>
      <c r="S50" s="441"/>
    </row>
    <row r="51" spans="1:19" s="97" customFormat="1" ht="27" customHeight="1">
      <c r="A51" s="2012" t="s">
        <v>1892</v>
      </c>
      <c r="B51" s="513" t="s">
        <v>2723</v>
      </c>
      <c r="C51" s="313" t="s">
        <v>2800</v>
      </c>
      <c r="D51" s="313" t="s">
        <v>2724</v>
      </c>
      <c r="E51" s="90"/>
      <c r="F51" s="90">
        <v>45795</v>
      </c>
      <c r="G51" s="90"/>
      <c r="H51" s="91">
        <f>VLOOKUP(F51,환율!A:B,2,0)</f>
        <v>1399.6</v>
      </c>
      <c r="I51" s="92">
        <v>90514.98</v>
      </c>
      <c r="J51" s="93">
        <f t="shared" ref="J51" si="11">ROUNDDOWN(I51*H51,0)</f>
        <v>126684766</v>
      </c>
      <c r="K51" s="93">
        <f t="shared" si="7"/>
        <v>126684766</v>
      </c>
      <c r="L51" s="321"/>
      <c r="M51" s="364" t="s">
        <v>2675</v>
      </c>
      <c r="N51" s="97" t="s">
        <v>2675</v>
      </c>
      <c r="O51" s="97" t="s">
        <v>2675</v>
      </c>
      <c r="P51" s="97" t="s">
        <v>2675</v>
      </c>
      <c r="Q51" s="97" t="s">
        <v>730</v>
      </c>
      <c r="R51" s="434"/>
      <c r="S51" s="441"/>
    </row>
    <row r="52" spans="1:19" s="97" customFormat="1" ht="27" customHeight="1">
      <c r="A52" s="2013"/>
      <c r="B52" s="556" t="s">
        <v>2754</v>
      </c>
      <c r="C52" s="589" t="s">
        <v>2801</v>
      </c>
      <c r="D52" s="589" t="s">
        <v>2769</v>
      </c>
      <c r="E52" s="527"/>
      <c r="F52" s="527">
        <v>45809</v>
      </c>
      <c r="G52" s="527"/>
      <c r="H52" s="528">
        <f>VLOOKUP(F52,환율!A:B,2,0)</f>
        <v>1381.4</v>
      </c>
      <c r="I52" s="529"/>
      <c r="J52" s="530">
        <f t="shared" ref="J52" si="12">ROUNDDOWN(I52*H52,0)</f>
        <v>0</v>
      </c>
      <c r="K52" s="530"/>
      <c r="L52" s="530">
        <f>J52</f>
        <v>0</v>
      </c>
      <c r="M52" s="364" t="s">
        <v>2682</v>
      </c>
      <c r="N52" s="97" t="s">
        <v>2682</v>
      </c>
      <c r="O52" s="97" t="s">
        <v>2682</v>
      </c>
      <c r="P52" s="97" t="s">
        <v>2682</v>
      </c>
      <c r="Q52" s="97" t="s">
        <v>2682</v>
      </c>
      <c r="R52" s="434"/>
      <c r="S52" s="441"/>
    </row>
    <row r="53" spans="1:19" s="97" customFormat="1" ht="27" customHeight="1">
      <c r="A53" s="2035" t="s">
        <v>10</v>
      </c>
      <c r="B53" s="2036"/>
      <c r="C53" s="2036"/>
      <c r="D53" s="2036"/>
      <c r="E53" s="2036"/>
      <c r="F53" s="2036"/>
      <c r="G53" s="2036"/>
      <c r="H53" s="2037"/>
      <c r="I53" s="127">
        <f>SUM(I51:I51)</f>
        <v>90514.98</v>
      </c>
      <c r="J53" s="116">
        <f>SUM(J51:J52)</f>
        <v>126684766</v>
      </c>
      <c r="K53" s="116">
        <f t="shared" ref="K53:L53" si="13">SUM(K51:K52)</f>
        <v>126684766</v>
      </c>
      <c r="L53" s="116">
        <f t="shared" si="13"/>
        <v>0</v>
      </c>
      <c r="M53" s="364"/>
      <c r="N53" s="434"/>
      <c r="O53" s="434"/>
      <c r="P53" s="434"/>
      <c r="Q53" s="434"/>
      <c r="R53" s="434"/>
      <c r="S53" s="441"/>
    </row>
    <row r="54" spans="1:19" s="97" customFormat="1" ht="27" customHeight="1">
      <c r="A54" s="2012" t="s">
        <v>35</v>
      </c>
      <c r="B54" s="579" t="s">
        <v>2725</v>
      </c>
      <c r="C54" s="580" t="s">
        <v>2800</v>
      </c>
      <c r="D54" s="580" t="s">
        <v>2726</v>
      </c>
      <c r="E54" s="581"/>
      <c r="F54" s="569">
        <v>45793</v>
      </c>
      <c r="G54" s="569"/>
      <c r="H54" s="570">
        <f>VLOOKUP(F54,환율!A:B,2,0)</f>
        <v>1399.6</v>
      </c>
      <c r="I54" s="571"/>
      <c r="J54" s="572">
        <v>25013687</v>
      </c>
      <c r="K54" s="572">
        <f>J54</f>
        <v>25013687</v>
      </c>
      <c r="L54" s="582"/>
      <c r="M54" s="401" t="s">
        <v>2675</v>
      </c>
      <c r="N54" s="434" t="s">
        <v>2675</v>
      </c>
      <c r="O54" s="434" t="s">
        <v>2675</v>
      </c>
      <c r="P54" s="434" t="s">
        <v>2675</v>
      </c>
      <c r="Q54" s="434" t="s">
        <v>2675</v>
      </c>
      <c r="R54" s="434"/>
      <c r="S54" s="441"/>
    </row>
    <row r="55" spans="1:19" s="97" customFormat="1" ht="27" customHeight="1">
      <c r="A55" s="2053"/>
      <c r="B55" s="579" t="s">
        <v>2643</v>
      </c>
      <c r="C55" s="580" t="s">
        <v>2800</v>
      </c>
      <c r="D55" s="580" t="s">
        <v>2761</v>
      </c>
      <c r="E55" s="581"/>
      <c r="F55" s="569">
        <v>45804</v>
      </c>
      <c r="G55" s="569"/>
      <c r="H55" s="570">
        <f>VLOOKUP(F55,환율!A:B,2,0)</f>
        <v>1365</v>
      </c>
      <c r="I55" s="571"/>
      <c r="J55" s="572">
        <v>46733040</v>
      </c>
      <c r="K55" s="572">
        <f>J55</f>
        <v>46733040</v>
      </c>
      <c r="L55" s="566"/>
      <c r="M55" s="401" t="s">
        <v>730</v>
      </c>
      <c r="N55" s="434" t="s">
        <v>730</v>
      </c>
      <c r="O55" s="434" t="s">
        <v>2762</v>
      </c>
      <c r="P55" s="434" t="s">
        <v>2762</v>
      </c>
      <c r="Q55" s="434" t="s">
        <v>730</v>
      </c>
      <c r="R55" s="434"/>
      <c r="S55" s="441"/>
    </row>
    <row r="56" spans="1:19" s="97" customFormat="1" ht="27" customHeight="1">
      <c r="A56" s="2053"/>
      <c r="B56" s="174" t="s">
        <v>2752</v>
      </c>
      <c r="C56" s="515" t="s">
        <v>2800</v>
      </c>
      <c r="D56" s="515" t="s">
        <v>2763</v>
      </c>
      <c r="E56" s="583"/>
      <c r="F56" s="144">
        <v>45800</v>
      </c>
      <c r="G56" s="144"/>
      <c r="H56" s="163">
        <f>VLOOKUP(F56,환율!A:B,2,0)</f>
        <v>1378.4</v>
      </c>
      <c r="I56" s="143"/>
      <c r="J56" s="164">
        <v>19707502</v>
      </c>
      <c r="K56" s="164">
        <f t="shared" ref="K56:K57" si="14">J56</f>
        <v>19707502</v>
      </c>
      <c r="L56" s="164"/>
      <c r="M56" s="401" t="s">
        <v>730</v>
      </c>
      <c r="N56" s="97" t="s">
        <v>730</v>
      </c>
      <c r="O56" s="97" t="s">
        <v>730</v>
      </c>
      <c r="P56" s="97" t="s">
        <v>730</v>
      </c>
      <c r="Q56" s="97" t="s">
        <v>730</v>
      </c>
      <c r="R56" s="434"/>
      <c r="S56" s="441"/>
    </row>
    <row r="57" spans="1:19" s="97" customFormat="1" ht="27" customHeight="1">
      <c r="A57" s="2053"/>
      <c r="B57" s="174" t="s">
        <v>2753</v>
      </c>
      <c r="C57" s="515" t="s">
        <v>2800</v>
      </c>
      <c r="D57" s="515" t="s">
        <v>2764</v>
      </c>
      <c r="E57" s="583"/>
      <c r="F57" s="144">
        <v>45800</v>
      </c>
      <c r="G57" s="144"/>
      <c r="H57" s="163">
        <f>VLOOKUP(F57,환율!A:B,2,0)</f>
        <v>1378.4</v>
      </c>
      <c r="I57" s="143"/>
      <c r="J57" s="164">
        <v>11778300</v>
      </c>
      <c r="K57" s="164">
        <f t="shared" si="14"/>
        <v>11778300</v>
      </c>
      <c r="L57" s="164"/>
      <c r="M57" s="401" t="s">
        <v>730</v>
      </c>
      <c r="N57" s="97" t="s">
        <v>730</v>
      </c>
      <c r="O57" s="97" t="s">
        <v>730</v>
      </c>
      <c r="P57" s="97" t="s">
        <v>730</v>
      </c>
      <c r="Q57" s="97" t="s">
        <v>730</v>
      </c>
      <c r="R57" s="434"/>
      <c r="S57" s="441"/>
    </row>
    <row r="58" spans="1:19" s="97" customFormat="1" ht="27" customHeight="1">
      <c r="A58" s="2013"/>
      <c r="B58" s="524" t="s">
        <v>2760</v>
      </c>
      <c r="C58" s="524" t="s">
        <v>2801</v>
      </c>
      <c r="D58" s="524" t="s">
        <v>2769</v>
      </c>
      <c r="E58" s="552"/>
      <c r="F58" s="547">
        <v>45809</v>
      </c>
      <c r="G58" s="547"/>
      <c r="H58" s="528">
        <f>VLOOKUP(F58,환율!A:B,2,0)</f>
        <v>1381.4</v>
      </c>
      <c r="I58" s="529"/>
      <c r="J58" s="530">
        <v>20691359</v>
      </c>
      <c r="K58" s="530"/>
      <c r="L58" s="530">
        <f>J58</f>
        <v>20691359</v>
      </c>
      <c r="M58" s="401" t="s">
        <v>2682</v>
      </c>
      <c r="N58" s="97" t="s">
        <v>2682</v>
      </c>
      <c r="O58" s="97" t="s">
        <v>2682</v>
      </c>
      <c r="P58" s="97" t="s">
        <v>2682</v>
      </c>
      <c r="Q58" s="97" t="s">
        <v>2682</v>
      </c>
      <c r="R58" s="434"/>
      <c r="S58" s="441"/>
    </row>
    <row r="59" spans="1:19" s="97" customFormat="1" ht="27" customHeight="1">
      <c r="A59" s="2035" t="s">
        <v>10</v>
      </c>
      <c r="B59" s="2036"/>
      <c r="C59" s="2036"/>
      <c r="D59" s="2036"/>
      <c r="E59" s="2036"/>
      <c r="F59" s="2036"/>
      <c r="G59" s="2036"/>
      <c r="H59" s="2037"/>
      <c r="I59" s="127">
        <f>SUM(I54:I54)</f>
        <v>0</v>
      </c>
      <c r="J59" s="116">
        <f>SUM(J54:J58)</f>
        <v>123923888</v>
      </c>
      <c r="K59" s="116">
        <f>SUM(K54:K58)</f>
        <v>103232529</v>
      </c>
      <c r="L59" s="116">
        <f>SUM(L54:L58)</f>
        <v>20691359</v>
      </c>
      <c r="M59" s="364"/>
      <c r="N59" s="434"/>
      <c r="O59" s="434"/>
      <c r="P59" s="434"/>
      <c r="Q59" s="434"/>
      <c r="R59" s="434"/>
      <c r="S59" s="441"/>
    </row>
    <row r="60" spans="1:19" s="97" customFormat="1">
      <c r="A60" s="2012" t="s">
        <v>47</v>
      </c>
      <c r="B60" s="584" t="s">
        <v>2727</v>
      </c>
      <c r="C60" s="584" t="s">
        <v>2800</v>
      </c>
      <c r="D60" s="579" t="s">
        <v>2728</v>
      </c>
      <c r="E60" s="581"/>
      <c r="F60" s="569">
        <v>45786</v>
      </c>
      <c r="G60" s="585"/>
      <c r="H60" s="570">
        <f>VLOOKUP(F60,환율!A:B,2,0)</f>
        <v>1396</v>
      </c>
      <c r="I60" s="574">
        <v>39476</v>
      </c>
      <c r="J60" s="572">
        <f t="shared" ref="J60" si="15">ROUNDDOWN(I60*H60,0)</f>
        <v>55108496</v>
      </c>
      <c r="K60" s="572">
        <f>J60</f>
        <v>55108496</v>
      </c>
      <c r="L60" s="586"/>
      <c r="M60" s="364" t="s">
        <v>2675</v>
      </c>
      <c r="N60" s="434" t="s">
        <v>2675</v>
      </c>
      <c r="O60" s="434" t="s">
        <v>2675</v>
      </c>
      <c r="P60" s="434" t="s">
        <v>2675</v>
      </c>
      <c r="Q60" s="434" t="s">
        <v>2675</v>
      </c>
      <c r="R60" s="434"/>
      <c r="S60" s="441"/>
    </row>
    <row r="61" spans="1:19" s="97" customFormat="1">
      <c r="A61" s="2013"/>
      <c r="B61" s="590" t="s">
        <v>2751</v>
      </c>
      <c r="C61" s="590" t="s">
        <v>2504</v>
      </c>
      <c r="D61" s="557" t="s">
        <v>2759</v>
      </c>
      <c r="E61" s="552"/>
      <c r="F61" s="547">
        <v>45809</v>
      </c>
      <c r="G61" s="591"/>
      <c r="H61" s="528">
        <f>VLOOKUP(F61,환율!A:B,2,0)</f>
        <v>1381.4</v>
      </c>
      <c r="I61" s="554"/>
      <c r="J61" s="530">
        <f t="shared" ref="J61" si="16">ROUNDDOWN(I61*H61,0)</f>
        <v>0</v>
      </c>
      <c r="K61" s="530"/>
      <c r="L61" s="592">
        <f>J61</f>
        <v>0</v>
      </c>
      <c r="M61" s="364" t="s">
        <v>2682</v>
      </c>
      <c r="N61" s="434" t="s">
        <v>2682</v>
      </c>
      <c r="O61" s="434" t="s">
        <v>2682</v>
      </c>
      <c r="P61" s="434" t="s">
        <v>2682</v>
      </c>
      <c r="Q61" s="434" t="s">
        <v>2682</v>
      </c>
      <c r="R61" s="434"/>
      <c r="S61" s="441"/>
    </row>
    <row r="62" spans="1:19" s="97" customFormat="1" ht="27" customHeight="1">
      <c r="A62" s="2035" t="s">
        <v>10</v>
      </c>
      <c r="B62" s="2036"/>
      <c r="C62" s="2036"/>
      <c r="D62" s="2036"/>
      <c r="E62" s="2036"/>
      <c r="F62" s="2036"/>
      <c r="G62" s="2036"/>
      <c r="H62" s="2037"/>
      <c r="I62" s="127">
        <f>SUM(I60:I61)</f>
        <v>39476</v>
      </c>
      <c r="J62" s="116">
        <f>SUM(J60:J61)</f>
        <v>55108496</v>
      </c>
      <c r="K62" s="116">
        <f>SUM(K60:K61)</f>
        <v>55108496</v>
      </c>
      <c r="L62" s="471">
        <f>SUM(L60:L61)</f>
        <v>0</v>
      </c>
      <c r="M62" s="364"/>
      <c r="N62" s="434"/>
      <c r="O62" s="434"/>
      <c r="P62" s="434"/>
      <c r="Q62" s="434"/>
      <c r="R62" s="434"/>
      <c r="S62" s="441"/>
    </row>
    <row r="63" spans="1:19" s="97" customFormat="1" ht="27" customHeight="1">
      <c r="A63" s="261" t="s">
        <v>34</v>
      </c>
      <c r="B63" s="174" t="s">
        <v>2729</v>
      </c>
      <c r="C63" s="515" t="s">
        <v>2800</v>
      </c>
      <c r="D63" s="515" t="s">
        <v>2730</v>
      </c>
      <c r="E63" s="485"/>
      <c r="F63" s="130">
        <v>45791</v>
      </c>
      <c r="G63" s="486"/>
      <c r="H63" s="91">
        <f>VLOOKUP(F63,환율!A:B,2,0)</f>
        <v>1413.7</v>
      </c>
      <c r="I63" s="118">
        <v>5815</v>
      </c>
      <c r="J63" s="93">
        <f t="shared" ref="J63" si="17">ROUNDDOWN(I63*H63,0)</f>
        <v>8220665</v>
      </c>
      <c r="K63" s="93">
        <f t="shared" ref="K63" si="18">J63</f>
        <v>8220665</v>
      </c>
      <c r="L63" s="263"/>
      <c r="M63" s="401" t="s">
        <v>2675</v>
      </c>
      <c r="N63" s="434" t="s">
        <v>2675</v>
      </c>
      <c r="O63" s="434" t="s">
        <v>2675</v>
      </c>
      <c r="P63" s="434" t="s">
        <v>2675</v>
      </c>
      <c r="Q63" s="434" t="s">
        <v>2675</v>
      </c>
      <c r="R63" s="434"/>
      <c r="S63" s="441"/>
    </row>
    <row r="64" spans="1:19" s="97" customFormat="1" ht="27" customHeight="1">
      <c r="A64" s="2035" t="s">
        <v>10</v>
      </c>
      <c r="B64" s="2036"/>
      <c r="C64" s="2036"/>
      <c r="D64" s="2036"/>
      <c r="E64" s="2036"/>
      <c r="F64" s="2036"/>
      <c r="G64" s="2036"/>
      <c r="H64" s="2037"/>
      <c r="I64" s="159">
        <f>SUM(I63:I63)</f>
        <v>5815</v>
      </c>
      <c r="J64" s="160">
        <f>SUM(J63:J63)</f>
        <v>8220665</v>
      </c>
      <c r="K64" s="116">
        <f>SUM(K63:K63)</f>
        <v>8220665</v>
      </c>
      <c r="L64" s="264">
        <v>0</v>
      </c>
      <c r="M64" s="364"/>
      <c r="N64" s="434"/>
      <c r="O64" s="434"/>
      <c r="P64" s="434"/>
      <c r="Q64" s="434"/>
      <c r="R64" s="434"/>
      <c r="S64" s="441"/>
    </row>
    <row r="65" spans="1:19" s="97" customFormat="1" ht="27" customHeight="1">
      <c r="A65" s="2017" t="s">
        <v>14</v>
      </c>
      <c r="B65" s="174" t="s">
        <v>2731</v>
      </c>
      <c r="C65" s="173" t="s">
        <v>2801</v>
      </c>
      <c r="D65" s="173" t="s">
        <v>2737</v>
      </c>
      <c r="E65" s="288"/>
      <c r="F65" s="136">
        <v>45779</v>
      </c>
      <c r="G65" s="222"/>
      <c r="H65" s="91">
        <f>VLOOKUP(F65,환율!A:B,2,0)</f>
        <v>1426.9</v>
      </c>
      <c r="I65" s="92">
        <v>1049.92</v>
      </c>
      <c r="J65" s="93">
        <f t="shared" ref="J65:J70" si="19">ROUNDDOWN(I65*H65,0)</f>
        <v>1498130</v>
      </c>
      <c r="K65" s="93">
        <f t="shared" ref="K65:K70" si="20">J65</f>
        <v>1498130</v>
      </c>
      <c r="L65" s="254"/>
      <c r="M65" s="364" t="s">
        <v>2675</v>
      </c>
      <c r="N65" s="434" t="s">
        <v>2675</v>
      </c>
      <c r="O65" s="434" t="s">
        <v>2675</v>
      </c>
      <c r="P65" s="434" t="s">
        <v>2675</v>
      </c>
      <c r="Q65" s="434" t="s">
        <v>2675</v>
      </c>
      <c r="R65" s="434"/>
      <c r="S65" s="441"/>
    </row>
    <row r="66" spans="1:19" s="97" customFormat="1" ht="27" customHeight="1">
      <c r="A66" s="2017"/>
      <c r="B66" s="174" t="s">
        <v>2732</v>
      </c>
      <c r="C66" s="173" t="s">
        <v>2801</v>
      </c>
      <c r="D66" s="173" t="s">
        <v>2738</v>
      </c>
      <c r="E66" s="288"/>
      <c r="F66" s="136">
        <v>45779</v>
      </c>
      <c r="G66" s="222"/>
      <c r="H66" s="91">
        <f>VLOOKUP(F66,환율!A:B,2,0)</f>
        <v>1426.9</v>
      </c>
      <c r="I66" s="92">
        <v>1075.32</v>
      </c>
      <c r="J66" s="93">
        <f t="shared" si="19"/>
        <v>1534374</v>
      </c>
      <c r="K66" s="93">
        <f t="shared" si="20"/>
        <v>1534374</v>
      </c>
      <c r="L66" s="254"/>
      <c r="M66" s="364" t="s">
        <v>2675</v>
      </c>
      <c r="N66" s="434" t="s">
        <v>2675</v>
      </c>
      <c r="O66" s="434" t="s">
        <v>2675</v>
      </c>
      <c r="P66" s="434" t="s">
        <v>2675</v>
      </c>
      <c r="Q66" s="434" t="s">
        <v>2675</v>
      </c>
      <c r="R66" s="434"/>
      <c r="S66" s="441"/>
    </row>
    <row r="67" spans="1:19" s="97" customFormat="1" ht="27" customHeight="1">
      <c r="A67" s="2017"/>
      <c r="B67" s="174" t="s">
        <v>2733</v>
      </c>
      <c r="C67" s="173" t="s">
        <v>2801</v>
      </c>
      <c r="D67" s="173" t="s">
        <v>2739</v>
      </c>
      <c r="E67" s="288"/>
      <c r="F67" s="136">
        <v>45787</v>
      </c>
      <c r="G67" s="222"/>
      <c r="H67" s="91">
        <f>VLOOKUP(F67,환율!A:B,2,0)</f>
        <v>1396</v>
      </c>
      <c r="I67" s="118">
        <v>1664.04</v>
      </c>
      <c r="J67" s="93">
        <f t="shared" si="19"/>
        <v>2322999</v>
      </c>
      <c r="K67" s="93">
        <f t="shared" si="20"/>
        <v>2322999</v>
      </c>
      <c r="L67" s="255"/>
      <c r="M67" s="403" t="s">
        <v>2675</v>
      </c>
      <c r="N67" s="434" t="s">
        <v>2675</v>
      </c>
      <c r="O67" s="434" t="s">
        <v>2675</v>
      </c>
      <c r="P67" s="434" t="s">
        <v>2675</v>
      </c>
      <c r="Q67" s="434" t="s">
        <v>2675</v>
      </c>
      <c r="R67" s="434"/>
      <c r="S67" s="441"/>
    </row>
    <row r="68" spans="1:19" s="97" customFormat="1" ht="27" customHeight="1">
      <c r="A68" s="2017"/>
      <c r="B68" s="174" t="s">
        <v>2734</v>
      </c>
      <c r="C68" s="173" t="s">
        <v>2801</v>
      </c>
      <c r="D68" s="173" t="s">
        <v>2740</v>
      </c>
      <c r="E68" s="288"/>
      <c r="F68" s="136">
        <v>45792</v>
      </c>
      <c r="G68" s="222"/>
      <c r="H68" s="91">
        <f>VLOOKUP(F68,환율!A:B,2,0)</f>
        <v>1415.8</v>
      </c>
      <c r="I68" s="92">
        <v>3220.68</v>
      </c>
      <c r="J68" s="93">
        <f t="shared" si="19"/>
        <v>4559838</v>
      </c>
      <c r="K68" s="93">
        <f t="shared" si="20"/>
        <v>4559838</v>
      </c>
      <c r="L68" s="256"/>
      <c r="M68" s="364" t="s">
        <v>2675</v>
      </c>
      <c r="N68" s="434" t="s">
        <v>2675</v>
      </c>
      <c r="O68" s="434" t="s">
        <v>2675</v>
      </c>
      <c r="P68" s="434" t="s">
        <v>2675</v>
      </c>
      <c r="Q68" s="434" t="s">
        <v>2675</v>
      </c>
      <c r="R68" s="434"/>
      <c r="S68" s="441"/>
    </row>
    <row r="69" spans="1:19" s="97" customFormat="1" ht="27" customHeight="1">
      <c r="A69" s="2017"/>
      <c r="B69" s="174" t="s">
        <v>2735</v>
      </c>
      <c r="C69" s="173" t="s">
        <v>2801</v>
      </c>
      <c r="D69" s="173" t="s">
        <v>2741</v>
      </c>
      <c r="E69" s="288"/>
      <c r="F69" s="136">
        <v>45800</v>
      </c>
      <c r="G69" s="222"/>
      <c r="H69" s="91">
        <f>VLOOKUP(F69,환율!A:B,2,0)</f>
        <v>1378.4</v>
      </c>
      <c r="I69" s="92">
        <v>16923</v>
      </c>
      <c r="J69" s="93">
        <f t="shared" si="19"/>
        <v>23326663</v>
      </c>
      <c r="K69" s="93">
        <f t="shared" si="20"/>
        <v>23326663</v>
      </c>
      <c r="L69" s="256"/>
      <c r="M69" s="364" t="s">
        <v>2675</v>
      </c>
      <c r="N69" s="434" t="s">
        <v>2675</v>
      </c>
      <c r="O69" s="434" t="s">
        <v>2675</v>
      </c>
      <c r="P69" s="434" t="s">
        <v>2675</v>
      </c>
      <c r="Q69" s="434" t="s">
        <v>2675</v>
      </c>
      <c r="R69" s="434"/>
      <c r="S69" s="441"/>
    </row>
    <row r="70" spans="1:19" s="97" customFormat="1" ht="27" customHeight="1">
      <c r="A70" s="2017"/>
      <c r="B70" s="174" t="s">
        <v>2736</v>
      </c>
      <c r="C70" s="173" t="s">
        <v>2801</v>
      </c>
      <c r="D70" s="173" t="s">
        <v>2742</v>
      </c>
      <c r="E70" s="288"/>
      <c r="F70" s="136">
        <v>45803</v>
      </c>
      <c r="G70" s="222"/>
      <c r="H70" s="91">
        <f>VLOOKUP(F70,환율!A:B,2,0)</f>
        <v>1376.9</v>
      </c>
      <c r="I70" s="92">
        <v>634.70000000000005</v>
      </c>
      <c r="J70" s="93">
        <f t="shared" si="19"/>
        <v>873918</v>
      </c>
      <c r="K70" s="93">
        <f t="shared" si="20"/>
        <v>873918</v>
      </c>
      <c r="L70" s="256"/>
      <c r="M70" s="364" t="s">
        <v>2675</v>
      </c>
      <c r="N70" s="434" t="s">
        <v>2675</v>
      </c>
      <c r="O70" s="434" t="s">
        <v>2675</v>
      </c>
      <c r="P70" s="434" t="s">
        <v>2675</v>
      </c>
      <c r="Q70" s="434" t="s">
        <v>2675</v>
      </c>
      <c r="R70" s="434"/>
      <c r="S70" s="441"/>
    </row>
    <row r="71" spans="1:19" s="97" customFormat="1" ht="27" customHeight="1">
      <c r="A71" s="2035" t="s">
        <v>10</v>
      </c>
      <c r="B71" s="2036"/>
      <c r="C71" s="2036"/>
      <c r="D71" s="2036"/>
      <c r="E71" s="2036"/>
      <c r="F71" s="2036"/>
      <c r="G71" s="2036"/>
      <c r="H71" s="2037"/>
      <c r="I71" s="127">
        <f>SUM(I65:I70)</f>
        <v>24567.66</v>
      </c>
      <c r="J71" s="160">
        <f>SUM(J65:J70)</f>
        <v>34115922</v>
      </c>
      <c r="K71" s="116">
        <f>SUM(K65:K70)</f>
        <v>34115922</v>
      </c>
      <c r="L71" s="260">
        <f>SUM(L65:L70)</f>
        <v>0</v>
      </c>
      <c r="M71" s="364"/>
      <c r="N71" s="434"/>
      <c r="O71" s="434"/>
      <c r="P71" s="434"/>
      <c r="Q71" s="434"/>
      <c r="R71" s="434"/>
      <c r="S71" s="441"/>
    </row>
    <row r="72" spans="1:19" s="97" customFormat="1" ht="27" customHeight="1">
      <c r="A72" s="2012" t="s">
        <v>15</v>
      </c>
      <c r="B72" s="514" t="s">
        <v>2743</v>
      </c>
      <c r="C72" s="487" t="s">
        <v>2800</v>
      </c>
      <c r="D72" s="487" t="s">
        <v>2773</v>
      </c>
      <c r="E72" s="482"/>
      <c r="F72" s="465">
        <v>45791</v>
      </c>
      <c r="G72" s="465"/>
      <c r="H72" s="456">
        <f>VLOOKUP(F72,환율!A:B,2,0)</f>
        <v>1413.7</v>
      </c>
      <c r="I72" s="457">
        <v>33494.339999999997</v>
      </c>
      <c r="J72" s="458">
        <f>ROUNDDOWN(I72*H72,0)</f>
        <v>47350948</v>
      </c>
      <c r="K72" s="458">
        <f>J72</f>
        <v>47350948</v>
      </c>
      <c r="L72" s="464"/>
      <c r="M72" s="401" t="s">
        <v>2716</v>
      </c>
      <c r="N72" s="434" t="s">
        <v>2682</v>
      </c>
      <c r="O72" s="434" t="s">
        <v>2675</v>
      </c>
      <c r="P72" s="434" t="s">
        <v>2675</v>
      </c>
      <c r="Q72" s="434" t="s">
        <v>2682</v>
      </c>
      <c r="R72" s="434"/>
      <c r="S72" s="441"/>
    </row>
    <row r="73" spans="1:19" s="97" customFormat="1" ht="27" customHeight="1">
      <c r="A73" s="2053"/>
      <c r="B73" s="174" t="s">
        <v>2744</v>
      </c>
      <c r="C73" s="587" t="s">
        <v>2800</v>
      </c>
      <c r="D73" s="587" t="s">
        <v>2748</v>
      </c>
      <c r="E73" s="485"/>
      <c r="F73" s="130">
        <v>45791</v>
      </c>
      <c r="G73" s="130"/>
      <c r="H73" s="163">
        <f>VLOOKUP(F73,환율!A:B,2,0)</f>
        <v>1413.7</v>
      </c>
      <c r="I73" s="143">
        <v>12084.06</v>
      </c>
      <c r="J73" s="164">
        <f t="shared" ref="J73:J76" si="21">ROUNDDOWN(I73*H73,0)</f>
        <v>17083235</v>
      </c>
      <c r="K73" s="164">
        <f t="shared" ref="K73:K75" si="22">J73</f>
        <v>17083235</v>
      </c>
      <c r="L73" s="396"/>
      <c r="M73" s="401" t="s">
        <v>2682</v>
      </c>
      <c r="N73" s="434" t="s">
        <v>2675</v>
      </c>
      <c r="O73" s="434" t="s">
        <v>2675</v>
      </c>
      <c r="P73" s="434" t="s">
        <v>2675</v>
      </c>
      <c r="Q73" s="434" t="s">
        <v>2675</v>
      </c>
      <c r="R73" s="434"/>
      <c r="S73" s="441"/>
    </row>
    <row r="74" spans="1:19" s="97" customFormat="1" ht="27" customHeight="1">
      <c r="A74" s="2053"/>
      <c r="B74" s="174" t="s">
        <v>2745</v>
      </c>
      <c r="C74" s="587" t="s">
        <v>2800</v>
      </c>
      <c r="D74" s="587" t="s">
        <v>2771</v>
      </c>
      <c r="E74" s="485"/>
      <c r="F74" s="130">
        <v>45795</v>
      </c>
      <c r="G74" s="130"/>
      <c r="H74" s="163">
        <f>VLOOKUP(F74,환율!A:B,2,0)</f>
        <v>1399.6</v>
      </c>
      <c r="I74" s="143">
        <v>19510.59</v>
      </c>
      <c r="J74" s="164">
        <f t="shared" si="21"/>
        <v>27307021</v>
      </c>
      <c r="K74" s="164">
        <f t="shared" si="22"/>
        <v>27307021</v>
      </c>
      <c r="L74" s="588"/>
      <c r="M74" s="401" t="s">
        <v>2716</v>
      </c>
      <c r="N74" s="434" t="s">
        <v>2682</v>
      </c>
      <c r="O74" s="434" t="s">
        <v>2675</v>
      </c>
      <c r="P74" s="434" t="s">
        <v>2675</v>
      </c>
      <c r="Q74" s="434" t="s">
        <v>2682</v>
      </c>
      <c r="R74" s="434"/>
      <c r="S74" s="441"/>
    </row>
    <row r="75" spans="1:19" s="97" customFormat="1" ht="27" customHeight="1">
      <c r="A75" s="2053"/>
      <c r="B75" s="174" t="s">
        <v>2746</v>
      </c>
      <c r="C75" s="587" t="s">
        <v>2800</v>
      </c>
      <c r="D75" s="587" t="s">
        <v>2772</v>
      </c>
      <c r="E75" s="485"/>
      <c r="F75" s="130">
        <v>45802</v>
      </c>
      <c r="G75" s="130"/>
      <c r="H75" s="163">
        <f>VLOOKUP(F75,환율!A:B,2,0)</f>
        <v>1378.4</v>
      </c>
      <c r="I75" s="143">
        <v>8868.4500000000007</v>
      </c>
      <c r="J75" s="164">
        <f t="shared" si="21"/>
        <v>12224271</v>
      </c>
      <c r="K75" s="164">
        <f t="shared" si="22"/>
        <v>12224271</v>
      </c>
      <c r="L75" s="588"/>
      <c r="M75" s="401" t="s">
        <v>2716</v>
      </c>
      <c r="N75" s="434" t="s">
        <v>2682</v>
      </c>
      <c r="O75" s="434" t="s">
        <v>2675</v>
      </c>
      <c r="P75" s="434" t="s">
        <v>2675</v>
      </c>
      <c r="Q75" s="434" t="s">
        <v>2675</v>
      </c>
      <c r="R75" s="434"/>
      <c r="S75" s="441"/>
    </row>
    <row r="76" spans="1:19" s="97" customFormat="1" ht="27" customHeight="1">
      <c r="A76" s="2053"/>
      <c r="B76" s="524" t="s">
        <v>2747</v>
      </c>
      <c r="C76" s="603" t="s">
        <v>2801</v>
      </c>
      <c r="D76" s="603"/>
      <c r="E76" s="526"/>
      <c r="F76" s="550">
        <v>45809</v>
      </c>
      <c r="G76" s="550"/>
      <c r="H76" s="528">
        <f>VLOOKUP(F76,환율!A:B,2,0)</f>
        <v>1381.4</v>
      </c>
      <c r="I76" s="529">
        <v>12869.88</v>
      </c>
      <c r="J76" s="530">
        <f t="shared" si="21"/>
        <v>17778452</v>
      </c>
      <c r="K76" s="530"/>
      <c r="L76" s="604">
        <f>J76</f>
        <v>17778452</v>
      </c>
      <c r="M76" s="401" t="s">
        <v>2716</v>
      </c>
      <c r="N76" s="434" t="s">
        <v>2682</v>
      </c>
      <c r="O76" s="434" t="s">
        <v>2682</v>
      </c>
      <c r="P76" s="434" t="s">
        <v>2682</v>
      </c>
      <c r="Q76" s="434" t="s">
        <v>2682</v>
      </c>
      <c r="R76" s="434"/>
      <c r="S76" s="441"/>
    </row>
    <row r="77" spans="1:19" s="97" customFormat="1" ht="27" customHeight="1">
      <c r="A77" s="2035" t="s">
        <v>10</v>
      </c>
      <c r="B77" s="2036"/>
      <c r="C77" s="2036"/>
      <c r="D77" s="2036"/>
      <c r="E77" s="2036"/>
      <c r="F77" s="2036"/>
      <c r="G77" s="2036"/>
      <c r="H77" s="2037"/>
      <c r="I77" s="127">
        <f>SUM(I72:I76)</f>
        <v>86827.319999999992</v>
      </c>
      <c r="J77" s="116">
        <f>SUM(J72:J76)</f>
        <v>121743927</v>
      </c>
      <c r="K77" s="116">
        <f t="shared" ref="K77:L77" si="23">SUM(K72:K76)</f>
        <v>103965475</v>
      </c>
      <c r="L77" s="116">
        <f t="shared" si="23"/>
        <v>17778452</v>
      </c>
      <c r="M77" s="366"/>
      <c r="N77" s="434"/>
      <c r="O77" s="434"/>
      <c r="P77" s="434"/>
      <c r="Q77" s="434"/>
      <c r="R77" s="434"/>
      <c r="S77" s="441"/>
    </row>
    <row r="78" spans="1:19" s="97" customFormat="1" ht="27" customHeight="1">
      <c r="A78" s="2012" t="s">
        <v>726</v>
      </c>
      <c r="B78" s="466" t="s">
        <v>2749</v>
      </c>
      <c r="C78" s="466" t="s">
        <v>2800</v>
      </c>
      <c r="D78" s="466" t="s">
        <v>2750</v>
      </c>
      <c r="E78" s="465"/>
      <c r="F78" s="455">
        <v>45780</v>
      </c>
      <c r="G78" s="455"/>
      <c r="H78" s="467">
        <v>9.8088999999999995</v>
      </c>
      <c r="I78" s="468">
        <v>14811000</v>
      </c>
      <c r="J78" s="458">
        <f t="shared" ref="J78" si="24">ROUNDDOWN(I78*H78,0)</f>
        <v>145279617</v>
      </c>
      <c r="K78" s="458">
        <f>J78</f>
        <v>145279617</v>
      </c>
      <c r="L78" s="470"/>
      <c r="M78" s="366"/>
      <c r="N78" s="434"/>
      <c r="O78" s="434"/>
      <c r="P78" s="434"/>
      <c r="Q78" s="434"/>
      <c r="R78" s="434"/>
      <c r="S78" s="441"/>
    </row>
    <row r="79" spans="1:19" s="97" customFormat="1" ht="27" customHeight="1">
      <c r="A79" s="2053"/>
      <c r="B79" s="146" t="s">
        <v>2774</v>
      </c>
      <c r="C79" s="146" t="s">
        <v>2800</v>
      </c>
      <c r="D79" s="146" t="s">
        <v>2777</v>
      </c>
      <c r="E79" s="136"/>
      <c r="F79" s="90">
        <v>45788</v>
      </c>
      <c r="G79" s="90"/>
      <c r="H79" s="397">
        <v>9.5669000000000004</v>
      </c>
      <c r="I79" s="177">
        <v>17270411</v>
      </c>
      <c r="J79" s="93">
        <f t="shared" ref="J79:J89" si="25">ROUNDDOWN(I79*H79,0)</f>
        <v>165224294</v>
      </c>
      <c r="K79" s="93">
        <f>J79</f>
        <v>165224294</v>
      </c>
      <c r="L79" s="263"/>
      <c r="M79" s="364"/>
      <c r="R79" s="434"/>
      <c r="S79" s="441"/>
    </row>
    <row r="80" spans="1:19" s="97" customFormat="1" ht="27" customHeight="1">
      <c r="A80" s="2053"/>
      <c r="B80" s="146" t="s">
        <v>2775</v>
      </c>
      <c r="C80" s="146" t="s">
        <v>2800</v>
      </c>
      <c r="D80" s="146" t="s">
        <v>2778</v>
      </c>
      <c r="E80" s="136"/>
      <c r="F80" s="90">
        <v>45795</v>
      </c>
      <c r="G80" s="90"/>
      <c r="H80" s="176">
        <v>9.6196000000000002</v>
      </c>
      <c r="I80" s="177">
        <v>15630980</v>
      </c>
      <c r="J80" s="93">
        <f t="shared" si="25"/>
        <v>150363775</v>
      </c>
      <c r="K80" s="93">
        <f t="shared" ref="K80:K91" si="26">J80</f>
        <v>150363775</v>
      </c>
      <c r="L80" s="263"/>
      <c r="M80" s="402"/>
      <c r="R80" s="434"/>
      <c r="S80" s="441"/>
    </row>
    <row r="81" spans="1:19" s="97" customFormat="1" ht="27" customHeight="1">
      <c r="A81" s="2053"/>
      <c r="B81" s="146" t="s">
        <v>2776</v>
      </c>
      <c r="C81" s="146" t="s">
        <v>2800</v>
      </c>
      <c r="D81" s="146" t="s">
        <v>2779</v>
      </c>
      <c r="E81" s="136"/>
      <c r="F81" s="136">
        <v>45802</v>
      </c>
      <c r="G81" s="136"/>
      <c r="H81" s="176">
        <v>9.5859000000000005</v>
      </c>
      <c r="I81" s="177">
        <v>14316540</v>
      </c>
      <c r="J81" s="93">
        <f t="shared" si="25"/>
        <v>137236920</v>
      </c>
      <c r="K81" s="93">
        <f t="shared" si="26"/>
        <v>137236920</v>
      </c>
      <c r="L81" s="263"/>
      <c r="R81" s="434"/>
      <c r="S81" s="441"/>
    </row>
    <row r="82" spans="1:19" s="97" customFormat="1" ht="27" customHeight="1">
      <c r="A82" s="2053"/>
      <c r="B82" s="178" t="s">
        <v>2780</v>
      </c>
      <c r="C82" s="178" t="s">
        <v>2801</v>
      </c>
      <c r="D82" s="178"/>
      <c r="E82" s="179"/>
      <c r="F82" s="179">
        <v>45807</v>
      </c>
      <c r="G82" s="179"/>
      <c r="H82" s="180">
        <v>9.5927000000000007</v>
      </c>
      <c r="I82" s="181">
        <v>546000</v>
      </c>
      <c r="J82" s="111">
        <f t="shared" si="25"/>
        <v>5237614</v>
      </c>
      <c r="K82" s="111">
        <f t="shared" si="26"/>
        <v>5237614</v>
      </c>
      <c r="L82" s="283"/>
      <c r="R82" s="434"/>
      <c r="S82" s="441"/>
    </row>
    <row r="83" spans="1:19" s="97" customFormat="1" ht="27" customHeight="1">
      <c r="A83" s="2053"/>
      <c r="B83" s="178" t="s">
        <v>2781</v>
      </c>
      <c r="C83" s="178" t="s">
        <v>2801</v>
      </c>
      <c r="D83" s="178"/>
      <c r="E83" s="179"/>
      <c r="F83" s="179">
        <v>45807</v>
      </c>
      <c r="G83" s="179"/>
      <c r="H83" s="180">
        <v>9.5927000000000007</v>
      </c>
      <c r="I83" s="181">
        <v>475000</v>
      </c>
      <c r="J83" s="111">
        <f t="shared" si="25"/>
        <v>4556532</v>
      </c>
      <c r="K83" s="111">
        <f t="shared" si="26"/>
        <v>4556532</v>
      </c>
      <c r="L83" s="283"/>
      <c r="R83" s="434"/>
      <c r="S83" s="441"/>
    </row>
    <row r="84" spans="1:19" s="97" customFormat="1" ht="27" customHeight="1">
      <c r="A84" s="2053"/>
      <c r="B84" s="178" t="s">
        <v>2782</v>
      </c>
      <c r="C84" s="178" t="s">
        <v>2801</v>
      </c>
      <c r="D84" s="178"/>
      <c r="E84" s="179"/>
      <c r="F84" s="179">
        <v>45807</v>
      </c>
      <c r="G84" s="179"/>
      <c r="H84" s="180">
        <v>9.5927000000000007</v>
      </c>
      <c r="I84" s="181">
        <v>474000</v>
      </c>
      <c r="J84" s="111">
        <f t="shared" si="25"/>
        <v>4546939</v>
      </c>
      <c r="K84" s="111">
        <f t="shared" si="26"/>
        <v>4546939</v>
      </c>
      <c r="L84" s="283"/>
      <c r="R84" s="434"/>
      <c r="S84" s="441"/>
    </row>
    <row r="85" spans="1:19" s="97" customFormat="1" ht="27" customHeight="1">
      <c r="A85" s="2053"/>
      <c r="B85" s="178" t="s">
        <v>2783</v>
      </c>
      <c r="C85" s="178" t="s">
        <v>2801</v>
      </c>
      <c r="D85" s="178"/>
      <c r="E85" s="179"/>
      <c r="F85" s="179">
        <v>45807</v>
      </c>
      <c r="G85" s="179"/>
      <c r="H85" s="180">
        <v>9.5927000000000007</v>
      </c>
      <c r="I85" s="181">
        <v>168000</v>
      </c>
      <c r="J85" s="111">
        <f t="shared" si="25"/>
        <v>1611573</v>
      </c>
      <c r="K85" s="111">
        <f t="shared" si="26"/>
        <v>1611573</v>
      </c>
      <c r="L85" s="283"/>
      <c r="R85" s="434"/>
      <c r="S85" s="441"/>
    </row>
    <row r="86" spans="1:19" s="97" customFormat="1" ht="27" customHeight="1">
      <c r="A86" s="2053"/>
      <c r="B86" s="178" t="s">
        <v>2784</v>
      </c>
      <c r="C86" s="178" t="s">
        <v>2801</v>
      </c>
      <c r="D86" s="178"/>
      <c r="E86" s="179"/>
      <c r="F86" s="179">
        <v>45807</v>
      </c>
      <c r="G86" s="179"/>
      <c r="H86" s="180">
        <v>9.5927000000000007</v>
      </c>
      <c r="I86" s="181">
        <v>171000</v>
      </c>
      <c r="J86" s="111">
        <f t="shared" si="25"/>
        <v>1640351</v>
      </c>
      <c r="K86" s="111">
        <f t="shared" si="26"/>
        <v>1640351</v>
      </c>
      <c r="L86" s="283"/>
      <c r="R86" s="434"/>
      <c r="S86" s="441"/>
    </row>
    <row r="87" spans="1:19" s="97" customFormat="1" ht="27" customHeight="1">
      <c r="A87" s="2053"/>
      <c r="B87" s="178" t="s">
        <v>2785</v>
      </c>
      <c r="C87" s="178" t="s">
        <v>2801</v>
      </c>
      <c r="D87" s="178"/>
      <c r="E87" s="179"/>
      <c r="F87" s="179">
        <v>45807</v>
      </c>
      <c r="G87" s="179"/>
      <c r="H87" s="180">
        <v>9.5927000000000007</v>
      </c>
      <c r="I87" s="181">
        <v>548000</v>
      </c>
      <c r="J87" s="111">
        <f t="shared" si="25"/>
        <v>5256799</v>
      </c>
      <c r="K87" s="111">
        <f t="shared" si="26"/>
        <v>5256799</v>
      </c>
      <c r="L87" s="283"/>
      <c r="R87" s="434"/>
      <c r="S87" s="441"/>
    </row>
    <row r="88" spans="1:19" s="97" customFormat="1" ht="27" customHeight="1">
      <c r="A88" s="2053"/>
      <c r="B88" s="178" t="s">
        <v>2786</v>
      </c>
      <c r="C88" s="178" t="s">
        <v>2801</v>
      </c>
      <c r="D88" s="178"/>
      <c r="E88" s="179"/>
      <c r="F88" s="179">
        <v>45807</v>
      </c>
      <c r="G88" s="179"/>
      <c r="H88" s="180">
        <v>9.5927000000000007</v>
      </c>
      <c r="I88" s="181">
        <v>523000</v>
      </c>
      <c r="J88" s="111">
        <f t="shared" si="25"/>
        <v>5016982</v>
      </c>
      <c r="K88" s="111">
        <f t="shared" si="26"/>
        <v>5016982</v>
      </c>
      <c r="L88" s="283"/>
      <c r="R88" s="434"/>
      <c r="S88" s="441"/>
    </row>
    <row r="89" spans="1:19" s="97" customFormat="1" ht="27" customHeight="1">
      <c r="A89" s="2013"/>
      <c r="B89" s="552" t="s">
        <v>2802</v>
      </c>
      <c r="C89" s="552" t="s">
        <v>2801</v>
      </c>
      <c r="D89" s="552" t="s">
        <v>2803</v>
      </c>
      <c r="E89" s="552"/>
      <c r="F89" s="552">
        <v>45809</v>
      </c>
      <c r="G89" s="552"/>
      <c r="H89" s="558">
        <v>9.5927000000000007</v>
      </c>
      <c r="I89" s="559">
        <v>18419810</v>
      </c>
      <c r="J89" s="530">
        <f t="shared" si="25"/>
        <v>176695711</v>
      </c>
      <c r="K89" s="530"/>
      <c r="L89" s="548">
        <f>J89</f>
        <v>176695711</v>
      </c>
      <c r="R89" s="434"/>
      <c r="S89" s="441"/>
    </row>
    <row r="90" spans="1:19" s="97" customFormat="1" ht="27" customHeight="1">
      <c r="A90" s="361" t="s">
        <v>10</v>
      </c>
      <c r="B90" s="113"/>
      <c r="C90" s="113"/>
      <c r="D90" s="113"/>
      <c r="E90" s="113"/>
      <c r="F90" s="113"/>
      <c r="G90" s="113"/>
      <c r="H90" s="114"/>
      <c r="I90" s="398">
        <f>SUM(I78:I89)</f>
        <v>83353741</v>
      </c>
      <c r="J90" s="116">
        <f>SUM(J78:J89)</f>
        <v>802667107</v>
      </c>
      <c r="K90" s="116">
        <f>SUM(K78:K88)</f>
        <v>625971396</v>
      </c>
      <c r="L90" s="260">
        <f>L89</f>
        <v>176695711</v>
      </c>
      <c r="R90" s="434"/>
      <c r="S90" s="441"/>
    </row>
    <row r="91" spans="1:19" s="97" customFormat="1" ht="27" customHeight="1">
      <c r="A91" s="606" t="s">
        <v>2787</v>
      </c>
      <c r="B91" s="174" t="s">
        <v>2788</v>
      </c>
      <c r="C91" s="174" t="s">
        <v>2801</v>
      </c>
      <c r="D91" s="174" t="s">
        <v>2789</v>
      </c>
      <c r="E91" s="146"/>
      <c r="F91" s="146">
        <v>45806</v>
      </c>
      <c r="G91" s="607"/>
      <c r="H91" s="176">
        <v>9.4656000000000002</v>
      </c>
      <c r="I91" s="177">
        <v>493322</v>
      </c>
      <c r="J91" s="93">
        <f t="shared" ref="J91" si="27">ROUNDDOWN(I91*H91,0)</f>
        <v>4669588</v>
      </c>
      <c r="K91" s="93">
        <f t="shared" si="26"/>
        <v>4669588</v>
      </c>
      <c r="L91" s="167"/>
      <c r="R91" s="434"/>
      <c r="S91" s="441"/>
    </row>
    <row r="92" spans="1:19" s="97" customFormat="1" ht="27" customHeight="1">
      <c r="A92" s="600"/>
      <c r="B92" s="113"/>
      <c r="C92" s="148"/>
      <c r="D92" s="148"/>
      <c r="E92" s="148"/>
      <c r="F92" s="148"/>
      <c r="G92" s="148"/>
      <c r="H92" s="114"/>
      <c r="I92" s="605">
        <f>SUM(I91:I91)</f>
        <v>493322</v>
      </c>
      <c r="J92" s="151">
        <f>SUM(J91:J91)</f>
        <v>4669588</v>
      </c>
      <c r="K92" s="151">
        <f>SUM(K91:K91)</f>
        <v>4669588</v>
      </c>
      <c r="L92" s="151">
        <f>SUM(L91:L91)</f>
        <v>0</v>
      </c>
      <c r="R92" s="434"/>
      <c r="S92" s="441"/>
    </row>
    <row r="93" spans="1:19" s="97" customFormat="1" ht="27" customHeight="1">
      <c r="A93" s="541" t="s">
        <v>992</v>
      </c>
      <c r="B93" s="524" t="s">
        <v>2766</v>
      </c>
      <c r="C93" s="593" t="s">
        <v>2801</v>
      </c>
      <c r="D93" s="550" t="s">
        <v>2765</v>
      </c>
      <c r="E93" s="550"/>
      <c r="F93" s="550">
        <v>45812</v>
      </c>
      <c r="G93" s="550"/>
      <c r="H93" s="594">
        <f>VLOOKUP(F93,환율!A:B,2,0)</f>
        <v>1376.9</v>
      </c>
      <c r="I93" s="595">
        <v>19453.68</v>
      </c>
      <c r="J93" s="596">
        <f t="shared" ref="J93" si="28">ROUNDDOWN(I93*H93,0)</f>
        <v>26785771</v>
      </c>
      <c r="K93" s="596"/>
      <c r="L93" s="548">
        <f>J93</f>
        <v>26785771</v>
      </c>
      <c r="M93" s="97" t="s">
        <v>2475</v>
      </c>
      <c r="N93" s="97" t="s">
        <v>2475</v>
      </c>
      <c r="O93" s="97" t="s">
        <v>2475</v>
      </c>
      <c r="P93" s="97" t="s">
        <v>2475</v>
      </c>
      <c r="Q93" s="97" t="s">
        <v>717</v>
      </c>
      <c r="R93" s="434"/>
      <c r="S93" s="441"/>
    </row>
    <row r="94" spans="1:19" s="97" customFormat="1" ht="27" customHeight="1">
      <c r="A94" s="361" t="s">
        <v>10</v>
      </c>
      <c r="B94" s="113"/>
      <c r="C94" s="113"/>
      <c r="D94" s="113"/>
      <c r="E94" s="113"/>
      <c r="F94" s="113"/>
      <c r="G94" s="113"/>
      <c r="H94" s="114"/>
      <c r="I94" s="127">
        <f>SUM(I93)</f>
        <v>19453.68</v>
      </c>
      <c r="J94" s="116">
        <f>SUM(J93)</f>
        <v>26785771</v>
      </c>
      <c r="K94" s="116">
        <f>SUM(K93)</f>
        <v>0</v>
      </c>
      <c r="L94" s="260">
        <f>SUM(L93)</f>
        <v>26785771</v>
      </c>
      <c r="R94" s="434"/>
      <c r="S94" s="441"/>
    </row>
    <row r="95" spans="1:19" s="97" customFormat="1" ht="27" customHeight="1">
      <c r="A95" s="543" t="s">
        <v>2481</v>
      </c>
      <c r="B95" s="301" t="s">
        <v>2796</v>
      </c>
      <c r="C95" s="332" t="s">
        <v>2801</v>
      </c>
      <c r="D95" s="303"/>
      <c r="E95" s="303"/>
      <c r="F95" s="303">
        <v>45798</v>
      </c>
      <c r="G95" s="303"/>
      <c r="H95" s="304">
        <f>VLOOKUP(F95,환율!A:B,2,0)</f>
        <v>1392.6</v>
      </c>
      <c r="I95" s="334"/>
      <c r="J95" s="335">
        <v>21526400</v>
      </c>
      <c r="K95" s="335">
        <f>J95</f>
        <v>21526400</v>
      </c>
      <c r="L95" s="337"/>
      <c r="R95" s="434"/>
      <c r="S95" s="441"/>
    </row>
    <row r="96" spans="1:19" s="97" customFormat="1" ht="27" customHeight="1">
      <c r="A96" s="543" t="s">
        <v>2481</v>
      </c>
      <c r="B96" s="301" t="s">
        <v>2797</v>
      </c>
      <c r="C96" s="332" t="s">
        <v>2801</v>
      </c>
      <c r="D96" s="303"/>
      <c r="E96" s="303"/>
      <c r="F96" s="303">
        <v>45807</v>
      </c>
      <c r="G96" s="303"/>
      <c r="H96" s="304">
        <f>VLOOKUP(F96,환율!A:B,2,0)</f>
        <v>1381.4</v>
      </c>
      <c r="I96" s="334"/>
      <c r="J96" s="335">
        <v>21526400</v>
      </c>
      <c r="K96" s="335">
        <f t="shared" ref="K96:K102" si="29">J96</f>
        <v>21526400</v>
      </c>
      <c r="L96" s="337"/>
      <c r="R96" s="434"/>
      <c r="S96" s="441"/>
    </row>
    <row r="97" spans="1:19" s="97" customFormat="1" ht="27" customHeight="1">
      <c r="A97" s="543" t="s">
        <v>2481</v>
      </c>
      <c r="B97" s="301" t="s">
        <v>2790</v>
      </c>
      <c r="C97" s="332" t="s">
        <v>2801</v>
      </c>
      <c r="D97" s="303"/>
      <c r="E97" s="303"/>
      <c r="F97" s="303">
        <v>45791</v>
      </c>
      <c r="G97" s="303"/>
      <c r="H97" s="304">
        <f>VLOOKUP(F97,환율!A:B,2,0)</f>
        <v>1413.7</v>
      </c>
      <c r="I97" s="334"/>
      <c r="J97" s="335">
        <v>1874333</v>
      </c>
      <c r="K97" s="335">
        <f t="shared" si="29"/>
        <v>1874333</v>
      </c>
      <c r="L97" s="337"/>
      <c r="R97" s="434"/>
      <c r="S97" s="441"/>
    </row>
    <row r="98" spans="1:19" s="97" customFormat="1" ht="27" customHeight="1">
      <c r="A98" s="543" t="s">
        <v>992</v>
      </c>
      <c r="B98" s="301" t="s">
        <v>2791</v>
      </c>
      <c r="C98" s="332" t="s">
        <v>2801</v>
      </c>
      <c r="D98" s="303"/>
      <c r="E98" s="303"/>
      <c r="F98" s="303">
        <v>45791</v>
      </c>
      <c r="G98" s="303"/>
      <c r="H98" s="304">
        <f>VLOOKUP(F98,환율!A:B,2,0)</f>
        <v>1413.7</v>
      </c>
      <c r="I98" s="334"/>
      <c r="J98" s="335">
        <v>1260000</v>
      </c>
      <c r="K98" s="335">
        <f t="shared" si="29"/>
        <v>1260000</v>
      </c>
      <c r="L98" s="337"/>
      <c r="M98" s="403"/>
      <c r="R98" s="434"/>
      <c r="S98" s="441"/>
    </row>
    <row r="99" spans="1:19" s="97" customFormat="1" ht="27" customHeight="1">
      <c r="A99" s="543" t="s">
        <v>992</v>
      </c>
      <c r="B99" s="301" t="s">
        <v>2792</v>
      </c>
      <c r="C99" s="332" t="s">
        <v>2801</v>
      </c>
      <c r="D99" s="303"/>
      <c r="E99" s="303"/>
      <c r="F99" s="303">
        <v>45791</v>
      </c>
      <c r="G99" s="303"/>
      <c r="H99" s="304">
        <f>VLOOKUP(F99,환율!A:B,2,0)</f>
        <v>1413.7</v>
      </c>
      <c r="I99" s="334"/>
      <c r="J99" s="335">
        <v>825200</v>
      </c>
      <c r="K99" s="335">
        <f t="shared" si="29"/>
        <v>825200</v>
      </c>
      <c r="L99" s="337"/>
      <c r="M99" s="364"/>
      <c r="N99" s="434"/>
      <c r="O99" s="434"/>
      <c r="P99" s="434"/>
      <c r="Q99" s="434"/>
      <c r="R99" s="434"/>
      <c r="S99" s="441"/>
    </row>
    <row r="100" spans="1:19" s="496" customFormat="1" ht="27" customHeight="1">
      <c r="A100" s="543" t="s">
        <v>992</v>
      </c>
      <c r="B100" s="301" t="s">
        <v>2793</v>
      </c>
      <c r="C100" s="332" t="s">
        <v>2801</v>
      </c>
      <c r="D100" s="303"/>
      <c r="E100" s="303"/>
      <c r="F100" s="303">
        <v>45791</v>
      </c>
      <c r="G100" s="303"/>
      <c r="H100" s="304">
        <f>VLOOKUP(F100,환율!A:B,2,0)</f>
        <v>1413.7</v>
      </c>
      <c r="I100" s="334"/>
      <c r="J100" s="335">
        <v>825200</v>
      </c>
      <c r="K100" s="335">
        <f t="shared" si="29"/>
        <v>825200</v>
      </c>
      <c r="L100" s="337"/>
      <c r="M100" s="493"/>
      <c r="N100" s="434"/>
      <c r="O100" s="434"/>
      <c r="P100" s="434"/>
      <c r="Q100" s="434"/>
      <c r="R100" s="494"/>
      <c r="S100" s="495"/>
    </row>
    <row r="101" spans="1:19" s="97" customFormat="1" ht="27" customHeight="1">
      <c r="A101" s="543" t="s">
        <v>992</v>
      </c>
      <c r="B101" s="301" t="s">
        <v>2794</v>
      </c>
      <c r="C101" s="332" t="s">
        <v>2801</v>
      </c>
      <c r="D101" s="303"/>
      <c r="E101" s="303"/>
      <c r="F101" s="303">
        <v>45791</v>
      </c>
      <c r="G101" s="303"/>
      <c r="H101" s="304">
        <f>VLOOKUP(F101,환율!A:B,2,0)</f>
        <v>1413.7</v>
      </c>
      <c r="I101" s="334"/>
      <c r="J101" s="335">
        <v>1035245</v>
      </c>
      <c r="K101" s="335">
        <f t="shared" si="29"/>
        <v>1035245</v>
      </c>
      <c r="L101" s="337"/>
      <c r="M101" s="364"/>
      <c r="N101" s="434"/>
      <c r="O101" s="434"/>
      <c r="P101" s="434"/>
      <c r="Q101" s="434"/>
      <c r="R101" s="434"/>
      <c r="S101" s="441"/>
    </row>
    <row r="102" spans="1:19" s="496" customFormat="1" ht="27" customHeight="1">
      <c r="A102" s="543" t="s">
        <v>992</v>
      </c>
      <c r="B102" s="301" t="s">
        <v>2795</v>
      </c>
      <c r="C102" s="332" t="s">
        <v>2801</v>
      </c>
      <c r="D102" s="303"/>
      <c r="E102" s="303"/>
      <c r="F102" s="303">
        <v>45791</v>
      </c>
      <c r="G102" s="303"/>
      <c r="H102" s="304">
        <f>VLOOKUP(F102,환율!A:B,2,0)</f>
        <v>1413.7</v>
      </c>
      <c r="I102" s="334"/>
      <c r="J102" s="335">
        <v>1035251</v>
      </c>
      <c r="K102" s="335">
        <f t="shared" si="29"/>
        <v>1035251</v>
      </c>
      <c r="L102" s="337"/>
      <c r="M102" s="493"/>
      <c r="N102" s="434"/>
      <c r="O102" s="434"/>
      <c r="P102" s="434"/>
      <c r="Q102" s="434"/>
      <c r="R102" s="494"/>
      <c r="S102" s="495"/>
    </row>
    <row r="103" spans="1:19" s="496" customFormat="1" ht="27" customHeight="1" thickBot="1">
      <c r="A103" s="599" t="s">
        <v>10</v>
      </c>
      <c r="B103" s="266"/>
      <c r="C103" s="266"/>
      <c r="D103" s="266"/>
      <c r="E103" s="266"/>
      <c r="F103" s="266"/>
      <c r="G103" s="266"/>
      <c r="H103" s="267"/>
      <c r="I103" s="268"/>
      <c r="J103" s="269">
        <f>SUM(J95:J102)</f>
        <v>49908029</v>
      </c>
      <c r="K103" s="269">
        <f>SUM(K95:K102)</f>
        <v>49908029</v>
      </c>
      <c r="L103" s="506">
        <f>SUM(L97:L102)</f>
        <v>0</v>
      </c>
      <c r="M103" s="493"/>
      <c r="N103" s="434"/>
      <c r="O103" s="434"/>
      <c r="P103" s="434"/>
      <c r="Q103" s="434"/>
      <c r="R103" s="494"/>
      <c r="S103" s="495"/>
    </row>
    <row r="104" spans="1:19" s="496" customFormat="1" ht="27" customHeight="1" thickBot="1">
      <c r="A104" s="601" t="s">
        <v>1176</v>
      </c>
      <c r="B104" s="597"/>
      <c r="C104" s="597"/>
      <c r="D104" s="597"/>
      <c r="E104" s="597"/>
      <c r="F104" s="598"/>
      <c r="G104" s="532"/>
      <c r="H104" s="2095" t="s">
        <v>2334</v>
      </c>
      <c r="I104" s="193" t="s">
        <v>17</v>
      </c>
      <c r="J104" s="194">
        <f>+J106-J105</f>
        <v>3871035546</v>
      </c>
      <c r="K104" s="473">
        <f>K106-K105</f>
        <v>3871035546</v>
      </c>
      <c r="L104" s="474">
        <f>L106-L105</f>
        <v>1285436289</v>
      </c>
      <c r="M104" s="493"/>
      <c r="N104" s="434"/>
      <c r="O104" s="434"/>
      <c r="P104" s="434"/>
      <c r="Q104" s="434"/>
      <c r="R104" s="494"/>
      <c r="S104" s="495"/>
    </row>
    <row r="105" spans="1:19" s="496" customFormat="1" ht="27" customHeight="1">
      <c r="A105" s="239" t="s">
        <v>20</v>
      </c>
      <c r="B105" s="195" t="s">
        <v>21</v>
      </c>
      <c r="C105" s="196"/>
      <c r="D105" s="196" t="s">
        <v>20</v>
      </c>
      <c r="E105" s="314"/>
      <c r="F105" s="197" t="s">
        <v>21</v>
      </c>
      <c r="G105" s="533"/>
      <c r="H105" s="2096"/>
      <c r="I105" s="198" t="s">
        <v>18</v>
      </c>
      <c r="J105" s="210">
        <f>SUM(J97:J102,)</f>
        <v>6855229</v>
      </c>
      <c r="K105" s="210">
        <f>J105</f>
        <v>6855229</v>
      </c>
      <c r="L105" s="219">
        <v>0</v>
      </c>
      <c r="M105" s="493"/>
      <c r="N105" s="434"/>
      <c r="O105" s="434"/>
      <c r="P105" s="434"/>
      <c r="Q105" s="434"/>
      <c r="R105" s="494"/>
      <c r="S105" s="495"/>
    </row>
    <row r="106" spans="1:19" s="496" customFormat="1" ht="27" customHeight="1" thickBot="1">
      <c r="A106" s="240" t="s">
        <v>9</v>
      </c>
      <c r="B106" s="199">
        <f>J15</f>
        <v>531509313</v>
      </c>
      <c r="C106" s="199"/>
      <c r="D106" s="200" t="s">
        <v>721</v>
      </c>
      <c r="E106" s="315"/>
      <c r="F106" s="201">
        <v>0</v>
      </c>
      <c r="G106" s="534"/>
      <c r="H106" s="2097"/>
      <c r="I106" s="202" t="s">
        <v>19</v>
      </c>
      <c r="J106" s="203">
        <f>SUM(J103,J94,,J90,J77,J71,J64,J62,J59,J53,J50,J30,J16,J92)-F113</f>
        <v>3877890775</v>
      </c>
      <c r="K106" s="203">
        <f>I113+J113</f>
        <v>3877890775</v>
      </c>
      <c r="L106" s="475">
        <f>SUM(L16,L30,L50,L53,L59,L62,L64,L71,L77,L90,L103)+L94</f>
        <v>1285436289</v>
      </c>
      <c r="M106" s="493"/>
      <c r="N106" s="434"/>
      <c r="O106" s="434"/>
      <c r="P106" s="434"/>
      <c r="Q106" s="434"/>
      <c r="R106" s="494"/>
      <c r="S106" s="495"/>
    </row>
    <row r="107" spans="1:19" s="496" customFormat="1" ht="27" customHeight="1">
      <c r="A107" s="240" t="s">
        <v>11</v>
      </c>
      <c r="B107" s="199">
        <f>L30</f>
        <v>53608223</v>
      </c>
      <c r="C107" s="199"/>
      <c r="D107" s="200" t="s">
        <v>722</v>
      </c>
      <c r="E107" s="315"/>
      <c r="F107" s="201">
        <v>0</v>
      </c>
      <c r="G107" s="535"/>
      <c r="H107" s="296" t="s">
        <v>20</v>
      </c>
      <c r="I107" s="297" t="s">
        <v>2798</v>
      </c>
      <c r="J107" s="298" t="s">
        <v>141</v>
      </c>
      <c r="K107" s="298" t="s">
        <v>142</v>
      </c>
      <c r="L107" s="234" t="s">
        <v>32</v>
      </c>
      <c r="M107" s="493"/>
      <c r="N107" s="434"/>
      <c r="O107" s="434"/>
      <c r="P107" s="434"/>
      <c r="Q107" s="434"/>
      <c r="R107" s="494"/>
      <c r="S107" s="495"/>
    </row>
    <row r="108" spans="1:19" s="496" customFormat="1" ht="27" customHeight="1">
      <c r="A108" s="241" t="s">
        <v>114</v>
      </c>
      <c r="B108" s="199">
        <f>L50</f>
        <v>458367460</v>
      </c>
      <c r="C108" s="199"/>
      <c r="D108" s="293" t="s">
        <v>14</v>
      </c>
      <c r="E108" s="316"/>
      <c r="F108" s="294">
        <f>L71</f>
        <v>0</v>
      </c>
      <c r="G108" s="536"/>
      <c r="H108" s="211" t="s">
        <v>22</v>
      </c>
      <c r="I108" s="199">
        <f>J78</f>
        <v>145279617</v>
      </c>
      <c r="J108" s="199">
        <f>J79+J80+J81+J91+SUM(J82:J88)</f>
        <v>485361367</v>
      </c>
      <c r="K108" s="199">
        <f>L90</f>
        <v>176695711</v>
      </c>
      <c r="L108" s="201">
        <f>SUM(I108:J108)</f>
        <v>630640984</v>
      </c>
      <c r="M108" s="493"/>
      <c r="N108" s="434"/>
      <c r="O108" s="434"/>
      <c r="P108" s="434"/>
      <c r="Q108" s="434"/>
      <c r="R108" s="494"/>
      <c r="S108" s="495"/>
    </row>
    <row r="109" spans="1:19" s="97" customFormat="1" ht="27" customHeight="1">
      <c r="A109" s="241" t="s">
        <v>153</v>
      </c>
      <c r="B109" s="199">
        <v>0</v>
      </c>
      <c r="C109" s="199"/>
      <c r="D109" s="293" t="s">
        <v>15</v>
      </c>
      <c r="E109" s="317"/>
      <c r="F109" s="295">
        <f>L77</f>
        <v>17778452</v>
      </c>
      <c r="G109" s="537"/>
      <c r="H109" s="211" t="s">
        <v>23</v>
      </c>
      <c r="I109" s="199">
        <f>K17+SUM(K31:K34)+SUM(K54:K55)</f>
        <v>332441931</v>
      </c>
      <c r="J109" s="199">
        <f>SUM(J18:J27,J35:J42,J51,J63,J56:J57)</f>
        <v>1031558544</v>
      </c>
      <c r="K109" s="199">
        <f>SUM(L28,L29,L43,L44,L45,L46,L47,L48,L49,L58,)</f>
        <v>532667042</v>
      </c>
      <c r="L109" s="201">
        <f>SUM(I109:J109)</f>
        <v>1364000475</v>
      </c>
      <c r="M109" s="402"/>
      <c r="N109" s="438">
        <f>SUM(I109:K109)</f>
        <v>1896667517</v>
      </c>
      <c r="O109" s="434"/>
      <c r="P109" s="434"/>
      <c r="Q109" s="434"/>
    </row>
    <row r="110" spans="1:19" s="97" customFormat="1" ht="27" customHeight="1">
      <c r="A110" s="241" t="s">
        <v>719</v>
      </c>
      <c r="B110" s="199">
        <v>0</v>
      </c>
      <c r="C110" s="199"/>
      <c r="D110" s="293" t="s">
        <v>53</v>
      </c>
      <c r="E110" s="316"/>
      <c r="F110" s="294">
        <v>0</v>
      </c>
      <c r="G110" s="536"/>
      <c r="H110" s="211" t="s">
        <v>24</v>
      </c>
      <c r="I110" s="199">
        <f>J12</f>
        <v>574058804</v>
      </c>
      <c r="J110" s="199">
        <f>J13+J14</f>
        <v>1066092590</v>
      </c>
      <c r="K110" s="199">
        <f>L15</f>
        <v>531509313</v>
      </c>
      <c r="L110" s="201">
        <f>SUM(I110:J110)</f>
        <v>1640151394</v>
      </c>
      <c r="M110" s="401"/>
      <c r="N110" s="441"/>
    </row>
    <row r="111" spans="1:19" s="97" customFormat="1" ht="27" customHeight="1">
      <c r="A111" s="241" t="s">
        <v>35</v>
      </c>
      <c r="B111" s="199">
        <f>L59</f>
        <v>20691359</v>
      </c>
      <c r="C111" s="199"/>
      <c r="D111" s="200" t="s">
        <v>252</v>
      </c>
      <c r="E111" s="216"/>
      <c r="F111" s="294">
        <f>L90</f>
        <v>176695711</v>
      </c>
      <c r="G111" s="538"/>
      <c r="H111" s="211" t="s">
        <v>723</v>
      </c>
      <c r="I111" s="199">
        <f>SUM(J60,J72,)</f>
        <v>102459444</v>
      </c>
      <c r="J111" s="199">
        <f>SUM(J73:J75,J65:J70)</f>
        <v>90730449</v>
      </c>
      <c r="K111" s="199">
        <f>SUM(J76,L94)</f>
        <v>44564223</v>
      </c>
      <c r="L111" s="201">
        <f>SUM(I111:J111)</f>
        <v>193189893</v>
      </c>
      <c r="M111" s="401"/>
      <c r="N111" s="441"/>
    </row>
    <row r="112" spans="1:19" s="97" customFormat="1" ht="27" customHeight="1" thickBot="1">
      <c r="A112" s="215" t="s">
        <v>2646</v>
      </c>
      <c r="B112" s="213">
        <f>L94</f>
        <v>26785771</v>
      </c>
      <c r="C112" s="213"/>
      <c r="D112" s="214"/>
      <c r="E112" s="318"/>
      <c r="F112" s="242"/>
      <c r="G112" s="539"/>
      <c r="H112" s="299" t="s">
        <v>1177</v>
      </c>
      <c r="I112" s="311">
        <v>0</v>
      </c>
      <c r="J112" s="311">
        <f>J103</f>
        <v>49908029</v>
      </c>
      <c r="K112" s="311">
        <v>0</v>
      </c>
      <c r="L112" s="312">
        <f>SUM(I112:J112)</f>
        <v>49908029</v>
      </c>
      <c r="M112" s="364" t="b">
        <f>K113=F113</f>
        <v>1</v>
      </c>
      <c r="N112" s="441"/>
      <c r="O112" s="403"/>
      <c r="P112" s="403"/>
      <c r="Q112" s="403"/>
    </row>
    <row r="113" spans="1:19" s="97" customFormat="1" ht="27" customHeight="1" thickTop="1" thickBot="1">
      <c r="A113" s="243"/>
      <c r="B113" s="244" t="s">
        <v>49</v>
      </c>
      <c r="C113" s="244"/>
      <c r="D113" s="245"/>
      <c r="E113" s="244"/>
      <c r="F113" s="246">
        <f>SUM(B106:B112,F106:F112)</f>
        <v>1285436289</v>
      </c>
      <c r="G113" s="540"/>
      <c r="H113" s="236" t="s">
        <v>16</v>
      </c>
      <c r="I113" s="237">
        <f>SUM(I108:I112)</f>
        <v>1154239796</v>
      </c>
      <c r="J113" s="237">
        <f>SUM(J108:J112)</f>
        <v>2723650979</v>
      </c>
      <c r="K113" s="237">
        <f>SUM(K108:K112)</f>
        <v>1285436289</v>
      </c>
      <c r="L113" s="238">
        <f>+I113+J113</f>
        <v>3877890775</v>
      </c>
      <c r="M113" s="364" t="b">
        <f>J106=J113+I113</f>
        <v>1</v>
      </c>
      <c r="N113" s="441"/>
      <c r="O113" s="403"/>
      <c r="P113" s="403"/>
    </row>
    <row r="114" spans="1:19" s="97" customFormat="1" ht="27" customHeight="1" thickBot="1">
      <c r="A114"/>
      <c r="B114"/>
      <c r="C114"/>
      <c r="D114"/>
      <c r="E114"/>
      <c r="F114"/>
      <c r="G114"/>
      <c r="H114" s="2047" t="s">
        <v>1685</v>
      </c>
      <c r="I114" s="2048"/>
      <c r="J114" s="2048"/>
      <c r="K114" s="2049"/>
      <c r="L114" s="404">
        <f>L113-L112</f>
        <v>3827982746</v>
      </c>
      <c r="M114" s="366"/>
      <c r="N114" s="441"/>
      <c r="O114" s="403"/>
      <c r="P114" s="403"/>
    </row>
    <row r="115" spans="1:19" s="97" customFormat="1" ht="27" customHeight="1">
      <c r="A115"/>
      <c r="B115" s="291"/>
      <c r="C115" s="291"/>
      <c r="D115" s="290"/>
      <c r="E115" s="290"/>
      <c r="F115" s="26"/>
      <c r="G115" s="26"/>
      <c r="H115" s="292"/>
      <c r="I115" s="47"/>
      <c r="J115" s="412"/>
      <c r="K115" s="412"/>
      <c r="L115" s="13">
        <v>3699929100</v>
      </c>
      <c r="M115" s="175"/>
      <c r="N115" s="441">
        <f>3827982746-3827711442</f>
        <v>271304</v>
      </c>
      <c r="O115" s="403"/>
      <c r="P115" s="403"/>
    </row>
    <row r="116" spans="1:19" s="126" customFormat="1" ht="27" customHeight="1">
      <c r="A116"/>
      <c r="B116"/>
      <c r="C116"/>
      <c r="D116" s="290"/>
      <c r="E116" s="290"/>
      <c r="F116" s="26"/>
      <c r="G116" s="26"/>
      <c r="H116" s="292"/>
      <c r="I116" s="47"/>
      <c r="J116" s="412">
        <f>J113+I113-J106</f>
        <v>0</v>
      </c>
      <c r="K116"/>
      <c r="L116" s="412">
        <f>L114-L115</f>
        <v>128053646</v>
      </c>
      <c r="M116" s="175"/>
      <c r="N116" s="443"/>
      <c r="O116" s="403"/>
      <c r="P116" s="403"/>
      <c r="Q116" s="97"/>
    </row>
    <row r="117" spans="1:19" s="126" customFormat="1" ht="27" customHeight="1">
      <c r="A117"/>
      <c r="B117"/>
      <c r="C117"/>
      <c r="D117" s="290"/>
      <c r="E117" s="290"/>
      <c r="F117" s="26"/>
      <c r="G117" s="26"/>
      <c r="H117" s="292"/>
      <c r="I117" s="47"/>
      <c r="J117" s="26"/>
      <c r="K117"/>
      <c r="L117" s="26"/>
      <c r="M117" s="366"/>
      <c r="N117" s="443"/>
      <c r="O117" s="403"/>
      <c r="P117" s="403"/>
      <c r="Q117" s="97"/>
    </row>
    <row r="118" spans="1:19" s="126" customFormat="1" ht="27" customHeight="1">
      <c r="A118"/>
      <c r="B118"/>
      <c r="C118"/>
      <c r="D118" s="290"/>
      <c r="E118" s="290"/>
      <c r="F118" s="26"/>
      <c r="G118" s="26"/>
      <c r="H118" s="292"/>
      <c r="I118" s="47"/>
      <c r="J118" s="26"/>
      <c r="K118"/>
      <c r="L118"/>
      <c r="M118" s="364" t="b">
        <f>K113=F113</f>
        <v>1</v>
      </c>
      <c r="N118" s="443"/>
      <c r="P118" s="205"/>
    </row>
    <row r="119" spans="1:19" s="126" customFormat="1" ht="27" customHeight="1">
      <c r="A119"/>
      <c r="B119"/>
      <c r="C119"/>
      <c r="D119" s="290"/>
      <c r="E119" s="290"/>
      <c r="F119"/>
      <c r="G119"/>
      <c r="H119" s="13"/>
      <c r="I119" s="47"/>
      <c r="J119" s="26"/>
      <c r="K119"/>
      <c r="L119" s="26">
        <f>J109+I109</f>
        <v>1364000475</v>
      </c>
      <c r="M119" s="364" t="b">
        <f>J106=J113+I113</f>
        <v>1</v>
      </c>
      <c r="N119" s="443"/>
    </row>
    <row r="120" spans="1:19" s="19" customFormat="1" ht="27" customHeight="1">
      <c r="A120"/>
      <c r="B120"/>
      <c r="C120"/>
      <c r="D120"/>
      <c r="E120"/>
      <c r="F120"/>
      <c r="G120"/>
      <c r="H120" s="13"/>
      <c r="I120" s="47">
        <f>I110+J110</f>
        <v>1640151394</v>
      </c>
      <c r="J120"/>
      <c r="K120"/>
      <c r="L120">
        <v>1565554497</v>
      </c>
      <c r="M120" s="410"/>
      <c r="N120" s="443"/>
      <c r="O120" s="15"/>
    </row>
    <row r="121" spans="1:19">
      <c r="I121" s="47">
        <f>2250634710</f>
        <v>2250634710</v>
      </c>
      <c r="J121" s="47">
        <f>I120-I121</f>
        <v>-610483316</v>
      </c>
      <c r="L121" s="26">
        <f>L119-L120</f>
        <v>-201554022</v>
      </c>
      <c r="N121" s="441"/>
      <c r="O121" s="26"/>
      <c r="P121"/>
      <c r="Q121"/>
      <c r="R121"/>
      <c r="S121"/>
    </row>
    <row r="122" spans="1:19" s="24" customFormat="1">
      <c r="A122"/>
      <c r="B122"/>
      <c r="C122"/>
      <c r="D122"/>
      <c r="E122"/>
      <c r="F122"/>
      <c r="G122"/>
      <c r="H122"/>
      <c r="I122" s="47"/>
      <c r="J122"/>
      <c r="K122"/>
      <c r="L122"/>
      <c r="N122" s="445"/>
    </row>
    <row r="123" spans="1:19" s="24" customFormat="1">
      <c r="A123"/>
      <c r="B123"/>
      <c r="C123"/>
      <c r="D123"/>
      <c r="E123"/>
      <c r="F123"/>
      <c r="G123"/>
      <c r="H123"/>
      <c r="I123" s="47"/>
      <c r="J123"/>
      <c r="K123"/>
      <c r="L123" s="26">
        <f>J111+I111</f>
        <v>193189893</v>
      </c>
      <c r="N123" s="445"/>
    </row>
    <row r="124" spans="1:19" s="24" customFormat="1">
      <c r="A124"/>
      <c r="B124"/>
      <c r="C124"/>
      <c r="D124"/>
      <c r="E124"/>
      <c r="F124"/>
      <c r="G124"/>
      <c r="H124"/>
      <c r="I124" s="47"/>
      <c r="J124" s="26">
        <f>J122-J123</f>
        <v>0</v>
      </c>
      <c r="K124"/>
      <c r="L124">
        <v>199348025</v>
      </c>
      <c r="O124" s="434"/>
      <c r="P124" s="440"/>
      <c r="Q124" s="440"/>
      <c r="R124" s="440"/>
      <c r="S124" s="445"/>
    </row>
    <row r="125" spans="1:19" s="24" customFormat="1">
      <c r="A125"/>
      <c r="B125"/>
      <c r="C125"/>
      <c r="D125"/>
      <c r="E125"/>
      <c r="F125"/>
      <c r="G125"/>
      <c r="H125"/>
      <c r="I125" s="47"/>
      <c r="J125"/>
      <c r="K125"/>
      <c r="L125" s="26">
        <f>L123-L124</f>
        <v>-6158132</v>
      </c>
      <c r="O125" s="434"/>
      <c r="P125" s="440"/>
      <c r="Q125" s="440"/>
      <c r="R125" s="440"/>
      <c r="S125" s="445"/>
    </row>
    <row r="126" spans="1:19" s="24" customFormat="1">
      <c r="A126"/>
      <c r="B126"/>
      <c r="C126"/>
      <c r="D126"/>
      <c r="E126"/>
      <c r="F126"/>
      <c r="G126"/>
      <c r="H126"/>
      <c r="I126" s="47"/>
      <c r="J126"/>
      <c r="K126"/>
      <c r="L126"/>
      <c r="O126" s="434"/>
      <c r="P126" s="440"/>
      <c r="Q126" s="440"/>
      <c r="R126" s="440"/>
      <c r="S126" s="445"/>
    </row>
  </sheetData>
  <autoFilter ref="A10:H117" xr:uid="{00000000-0009-0000-0000-000056000000}"/>
  <mergeCells count="38">
    <mergeCell ref="Q5:Q9"/>
    <mergeCell ref="R5:R9"/>
    <mergeCell ref="N3:N9"/>
    <mergeCell ref="O3:O4"/>
    <mergeCell ref="P3:P4"/>
    <mergeCell ref="Q3:Q4"/>
    <mergeCell ref="R3:R4"/>
    <mergeCell ref="F10:F11"/>
    <mergeCell ref="H10:H11"/>
    <mergeCell ref="A5:I9"/>
    <mergeCell ref="O5:O9"/>
    <mergeCell ref="P5:P9"/>
    <mergeCell ref="A10:A11"/>
    <mergeCell ref="B10:B11"/>
    <mergeCell ref="C10:C11"/>
    <mergeCell ref="D10:D11"/>
    <mergeCell ref="E10:E11"/>
    <mergeCell ref="I10:L10"/>
    <mergeCell ref="A12:A15"/>
    <mergeCell ref="A16:H16"/>
    <mergeCell ref="A17:A29"/>
    <mergeCell ref="A71:H71"/>
    <mergeCell ref="A31:A49"/>
    <mergeCell ref="A50:H50"/>
    <mergeCell ref="A51:A52"/>
    <mergeCell ref="A53:H53"/>
    <mergeCell ref="A59:H59"/>
    <mergeCell ref="A60:A61"/>
    <mergeCell ref="A54:A58"/>
    <mergeCell ref="A62:H62"/>
    <mergeCell ref="A64:H64"/>
    <mergeCell ref="A65:A70"/>
    <mergeCell ref="A30:H30"/>
    <mergeCell ref="H104:H106"/>
    <mergeCell ref="H114:K114"/>
    <mergeCell ref="A72:A76"/>
    <mergeCell ref="A77:H77"/>
    <mergeCell ref="A78:A89"/>
  </mergeCells>
  <phoneticPr fontId="2" type="noConversion"/>
  <conditionalFormatting sqref="A12 B12:L15 B17:L29 B31:L49 I53:I59 B91:L91">
    <cfRule type="expression" dxfId="923" priority="77">
      <formula>#REF!="*01월*"</formula>
    </cfRule>
  </conditionalFormatting>
  <conditionalFormatting sqref="A16">
    <cfRule type="expression" dxfId="922" priority="78">
      <formula>#REF!="*01월*"</formula>
    </cfRule>
  </conditionalFormatting>
  <conditionalFormatting sqref="A30 D55:E58 D68:E69 B69:C70 F69:G70">
    <cfRule type="expression" dxfId="921" priority="846">
      <formula>#REF!="*01월*"</formula>
    </cfRule>
  </conditionalFormatting>
  <conditionalFormatting sqref="A50:A51 A53:A54">
    <cfRule type="expression" dxfId="920" priority="67">
      <formula>#REF!="*01월*"</formula>
    </cfRule>
  </conditionalFormatting>
  <conditionalFormatting sqref="A59 J59:L59 C76:E76">
    <cfRule type="expression" dxfId="919" priority="66">
      <formula>$F62="*01월*"</formula>
    </cfRule>
  </conditionalFormatting>
  <conditionalFormatting sqref="A60 A62 K63:K64 A65 D65:E67 D91:E91 B105:L113 H114:H118">
    <cfRule type="expression" dxfId="918" priority="47">
      <formula>$F62="*01월*"</formula>
    </cfRule>
  </conditionalFormatting>
  <conditionalFormatting sqref="A63:A64">
    <cfRule type="expression" dxfId="917" priority="76">
      <formula>#REF!="*01월*"</formula>
    </cfRule>
  </conditionalFormatting>
  <conditionalFormatting sqref="A71">
    <cfRule type="expression" dxfId="916" priority="71">
      <formula>#REF!="*01월*"</formula>
    </cfRule>
  </conditionalFormatting>
  <conditionalFormatting sqref="A72 J72:J74 L72:L74 A98:A102 D98:E102 G98:G102 J98:J102 L98:L102">
    <cfRule type="expression" dxfId="915" priority="862">
      <formula>$F79="*01월*"</formula>
    </cfRule>
  </conditionalFormatting>
  <conditionalFormatting sqref="A77:A78">
    <cfRule type="expression" dxfId="914" priority="70">
      <formula>#REF!="*01월*"</formula>
    </cfRule>
  </conditionalFormatting>
  <conditionalFormatting sqref="A103:A113">
    <cfRule type="expression" dxfId="913" priority="877">
      <formula>$F105="*01월*"</formula>
    </cfRule>
  </conditionalFormatting>
  <conditionalFormatting sqref="A10:L10 A11:B11 D11:L11 I63:J63 L63 K78:L78">
    <cfRule type="expression" dxfId="912" priority="73">
      <formula>$F13="*01월*"</formula>
    </cfRule>
  </conditionalFormatting>
  <conditionalFormatting sqref="B93:C93">
    <cfRule type="expression" dxfId="911" priority="40">
      <formula>#REF!="*01월*"</formula>
    </cfRule>
  </conditionalFormatting>
  <conditionalFormatting sqref="B95:C102">
    <cfRule type="expression" dxfId="910" priority="8">
      <formula>#REF!="*01월*"</formula>
    </cfRule>
  </conditionalFormatting>
  <conditionalFormatting sqref="B63:D63 F63:G63 B65:C69 D70:E70">
    <cfRule type="expression" dxfId="909" priority="26">
      <formula>$F64="*01월*"</formula>
    </cfRule>
  </conditionalFormatting>
  <conditionalFormatting sqref="B78:G79 H79:L79">
    <cfRule type="expression" dxfId="908" priority="60">
      <formula>#REF!="*01월*"</formula>
    </cfRule>
  </conditionalFormatting>
  <conditionalFormatting sqref="B54:H58">
    <cfRule type="expression" dxfId="907" priority="61">
      <formula>#REF!="*01월*"</formula>
    </cfRule>
  </conditionalFormatting>
  <conditionalFormatting sqref="B60:H61">
    <cfRule type="expression" dxfId="906" priority="15">
      <formula>#REF!="*01월*"</formula>
    </cfRule>
  </conditionalFormatting>
  <conditionalFormatting sqref="B63:H63">
    <cfRule type="expression" dxfId="905" priority="45">
      <formula>#REF!="*01월*"</formula>
    </cfRule>
  </conditionalFormatting>
  <conditionalFormatting sqref="B51:L52">
    <cfRule type="expression" dxfId="904" priority="48">
      <formula>#REF!="*01월*"</formula>
    </cfRule>
  </conditionalFormatting>
  <conditionalFormatting sqref="B65:L70">
    <cfRule type="expression" dxfId="903" priority="44">
      <formula>#REF!="*01월*"</formula>
    </cfRule>
  </conditionalFormatting>
  <conditionalFormatting sqref="B80:L89">
    <cfRule type="expression" dxfId="902" priority="1">
      <formula>#REF!="*01월*"</formula>
    </cfRule>
  </conditionalFormatting>
  <conditionalFormatting sqref="D54:E54 I54 B72:E73 C74:E75 B74:B76 J76 L76 I94">
    <cfRule type="expression" dxfId="901" priority="56">
      <formula>$F59="*01월*"</formula>
    </cfRule>
  </conditionalFormatting>
  <conditionalFormatting sqref="D60:E60 E61">
    <cfRule type="expression" dxfId="900" priority="25">
      <formula>$F62="*01월*"</formula>
    </cfRule>
  </conditionalFormatting>
  <conditionalFormatting sqref="D63:E63">
    <cfRule type="expression" dxfId="899" priority="46">
      <formula>$F65="*01월*"</formula>
    </cfRule>
  </conditionalFormatting>
  <conditionalFormatting sqref="D115:E119">
    <cfRule type="expression" dxfId="898" priority="72">
      <formula>$F117="*01월*"</formula>
    </cfRule>
  </conditionalFormatting>
  <conditionalFormatting sqref="F98:F102">
    <cfRule type="expression" dxfId="897" priority="3">
      <formula>$F106="*01월*"</formula>
    </cfRule>
  </conditionalFormatting>
  <conditionalFormatting sqref="F19:G19 D93:G93 J93:K93 A93:A94 J94:L94">
    <cfRule type="expression" dxfId="896" priority="31">
      <formula>$F30="*01월*"</formula>
    </cfRule>
  </conditionalFormatting>
  <conditionalFormatting sqref="F20:G22">
    <cfRule type="expression" dxfId="895" priority="85">
      <formula>$F35="*01월*"</formula>
    </cfRule>
  </conditionalFormatting>
  <conditionalFormatting sqref="F21:G22">
    <cfRule type="expression" dxfId="894" priority="79">
      <formula>$F37="*01월*"</formula>
    </cfRule>
  </conditionalFormatting>
  <conditionalFormatting sqref="F23:G24 A90 I90:K90">
    <cfRule type="expression" dxfId="893" priority="88">
      <formula>$F36="*01월*"</formula>
    </cfRule>
  </conditionalFormatting>
  <conditionalFormatting sqref="F25:G25 A92 I92:L92">
    <cfRule type="expression" dxfId="892" priority="80">
      <formula>$F37="*01월*"</formula>
    </cfRule>
  </conditionalFormatting>
  <conditionalFormatting sqref="F26:G26 A91">
    <cfRule type="expression" dxfId="891" priority="866">
      <formula>$F40="*01월*"</formula>
    </cfRule>
  </conditionalFormatting>
  <conditionalFormatting sqref="F26:G27">
    <cfRule type="expression" dxfId="890" priority="867">
      <formula>$F37="*01월*"</formula>
    </cfRule>
    <cfRule type="expression" dxfId="889" priority="43">
      <formula>$F36="*01월*"</formula>
    </cfRule>
    <cfRule type="expression" dxfId="888" priority="865">
      <formula>$F39="*01월*"</formula>
    </cfRule>
  </conditionalFormatting>
  <conditionalFormatting sqref="F27:G27">
    <cfRule type="expression" dxfId="887" priority="876">
      <formula>#REF!="*01월*"</formula>
    </cfRule>
  </conditionalFormatting>
  <conditionalFormatting sqref="F28:G28">
    <cfRule type="expression" dxfId="886" priority="16">
      <formula>$F37="*01월*"</formula>
    </cfRule>
  </conditionalFormatting>
  <conditionalFormatting sqref="F29:G29">
    <cfRule type="expression" dxfId="885" priority="870">
      <formula>#REF!="*01월*"</formula>
    </cfRule>
    <cfRule type="expression" dxfId="884" priority="871">
      <formula>$F41="*01월*"</formula>
    </cfRule>
  </conditionalFormatting>
  <conditionalFormatting sqref="F65:G68">
    <cfRule type="expression" dxfId="883" priority="75">
      <formula>$F66="*01월*"</formula>
    </cfRule>
  </conditionalFormatting>
  <conditionalFormatting sqref="F72:H76">
    <cfRule type="expression" dxfId="882" priority="58">
      <formula>#REF!="*01월*"</formula>
    </cfRule>
  </conditionalFormatting>
  <conditionalFormatting sqref="H93:I93">
    <cfRule type="expression" dxfId="881" priority="57">
      <formula>#REF!="*01월*"</formula>
    </cfRule>
  </conditionalFormatting>
  <conditionalFormatting sqref="H95:I102">
    <cfRule type="expression" dxfId="880" priority="9">
      <formula>#REF!="*01월*"</formula>
    </cfRule>
  </conditionalFormatting>
  <conditionalFormatting sqref="H78:J78">
    <cfRule type="expression" dxfId="879" priority="51">
      <formula>#REF!="*01월*"</formula>
    </cfRule>
  </conditionalFormatting>
  <conditionalFormatting sqref="H104:L104">
    <cfRule type="expression" dxfId="878" priority="59">
      <formula>$F106="*01월*"</formula>
    </cfRule>
  </conditionalFormatting>
  <conditionalFormatting sqref="I71 K71:L71 K72:K75 L103">
    <cfRule type="expression" dxfId="877" priority="69">
      <formula>$F77="*01월*"</formula>
    </cfRule>
  </conditionalFormatting>
  <conditionalFormatting sqref="I72:I73">
    <cfRule type="expression" dxfId="876" priority="41">
      <formula>$F80="*01월*"</formula>
    </cfRule>
  </conditionalFormatting>
  <conditionalFormatting sqref="I74:I76 J75 L75 L93">
    <cfRule type="expression" dxfId="875" priority="881">
      <formula>#REF!="*01월*"</formula>
    </cfRule>
  </conditionalFormatting>
  <conditionalFormatting sqref="I64:J64 L64">
    <cfRule type="expression" dxfId="874" priority="52">
      <formula>#REF!="*01월*"</formula>
    </cfRule>
  </conditionalFormatting>
  <conditionalFormatting sqref="I103:K103">
    <cfRule type="expression" dxfId="873" priority="74">
      <formula>$F105="*01월*"</formula>
    </cfRule>
  </conditionalFormatting>
  <conditionalFormatting sqref="I16:L16">
    <cfRule type="expression" dxfId="872" priority="64">
      <formula>#REF!="*01월*"</formula>
    </cfRule>
  </conditionalFormatting>
  <conditionalFormatting sqref="I30:L30">
    <cfRule type="expression" dxfId="871" priority="62">
      <formula>#REF!="*01월*"</formula>
    </cfRule>
  </conditionalFormatting>
  <conditionalFormatting sqref="I50:L50">
    <cfRule type="expression" dxfId="870" priority="49">
      <formula>#REF!="*01월*"</formula>
    </cfRule>
  </conditionalFormatting>
  <conditionalFormatting sqref="I60:L62">
    <cfRule type="expression" dxfId="869" priority="27">
      <formula>$F62="*01월*"</formula>
    </cfRule>
  </conditionalFormatting>
  <conditionalFormatting sqref="I65:L65">
    <cfRule type="expression" dxfId="868" priority="55">
      <formula>$F59="*01월*"</formula>
    </cfRule>
  </conditionalFormatting>
  <conditionalFormatting sqref="I77:L77">
    <cfRule type="expression" dxfId="867" priority="65">
      <formula>$F80="*01월*"</formula>
    </cfRule>
  </conditionalFormatting>
  <conditionalFormatting sqref="J71">
    <cfRule type="expression" dxfId="866" priority="50">
      <formula>#REF!="*01월*"</formula>
    </cfRule>
  </conditionalFormatting>
  <conditionalFormatting sqref="J65:K65">
    <cfRule type="expression" dxfId="865" priority="53">
      <formula>$F68="*01월*"</formula>
    </cfRule>
  </conditionalFormatting>
  <conditionalFormatting sqref="J53:L58">
    <cfRule type="expression" dxfId="864" priority="22">
      <formula>#REF!="*01월*"</formula>
    </cfRule>
  </conditionalFormatting>
  <conditionalFormatting sqref="J95:L95 A95:A97 D95:G97 J96:J97 L96:L97 K96:K102">
    <cfRule type="expression" dxfId="863" priority="84">
      <formula>$F103="*01월*"</formula>
    </cfRule>
  </conditionalFormatting>
  <conditionalFormatting sqref="K76">
    <cfRule type="expression" dxfId="862" priority="854">
      <formula>$F80="*01월*"</formula>
    </cfRule>
  </conditionalFormatting>
  <conditionalFormatting sqref="L90">
    <cfRule type="expression" dxfId="861" priority="2">
      <formula>$F101="*01월*"</formula>
    </cfRule>
  </conditionalFormatting>
  <conditionalFormatting sqref="L114">
    <cfRule type="expression" dxfId="860" priority="68">
      <formula>$F116="*01월*"</formula>
    </cfRule>
  </conditionalFormatting>
  <printOptions horizontalCentered="1"/>
  <pageMargins left="0" right="0" top="0.70866141732283472" bottom="0.23622047244094491" header="0" footer="0"/>
  <pageSetup paperSize="9" scale="40" fitToHeight="0" orientation="portrait" r:id="rId1"/>
  <rowBreaks count="1" manualBreakCount="1">
    <brk id="64" max="11" man="1"/>
  </rowBreaks>
  <colBreaks count="1" manualBreakCount="1">
    <brk id="11" max="1048575" man="1"/>
  </colBreaks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pageSetUpPr fitToPage="1"/>
  </sheetPr>
  <dimension ref="A2:T121"/>
  <sheetViews>
    <sheetView view="pageBreakPreview" zoomScale="70" zoomScaleNormal="70" zoomScaleSheetLayoutView="70" workbookViewId="0">
      <pane xSplit="1" ySplit="11" topLeftCell="B60" activePane="bottomRight" state="frozen"/>
      <selection pane="topRight" activeCell="B1" sqref="B1"/>
      <selection pane="bottomLeft" activeCell="A12" sqref="A12"/>
      <selection pane="bottomRight" activeCell="J100" sqref="J100"/>
    </sheetView>
  </sheetViews>
  <sheetFormatPr defaultRowHeight="25.2"/>
  <cols>
    <col min="1" max="1" width="18.69921875" customWidth="1"/>
    <col min="2" max="3" width="22.8984375" customWidth="1"/>
    <col min="4" max="4" width="29.09765625" customWidth="1"/>
    <col min="5" max="5" width="29.09765625" hidden="1" customWidth="1"/>
    <col min="6" max="6" width="21" customWidth="1"/>
    <col min="7" max="7" width="21" hidden="1" customWidth="1"/>
    <col min="8" max="8" width="18.69921875" customWidth="1"/>
    <col min="9" max="9" width="25.69921875" style="47" customWidth="1"/>
    <col min="10" max="10" width="26.5" customWidth="1"/>
    <col min="11" max="11" width="25.09765625" customWidth="1"/>
    <col min="12" max="12" width="29.19921875" customWidth="1"/>
    <col min="13" max="13" width="14.8984375" style="24" customWidth="1"/>
    <col min="14" max="14" width="24.3984375" style="24" bestFit="1" customWidth="1"/>
    <col min="15" max="19" width="17.09765625" style="434" customWidth="1"/>
    <col min="20" max="20" width="9" style="441"/>
  </cols>
  <sheetData>
    <row r="2" spans="1:20" ht="25.8" thickBot="1">
      <c r="F2" s="507"/>
      <c r="G2" s="507"/>
      <c r="I2" s="24"/>
      <c r="J2" s="434"/>
      <c r="K2" s="434"/>
      <c r="L2" s="434"/>
      <c r="M2" s="434"/>
      <c r="N2"/>
      <c r="O2"/>
      <c r="P2"/>
      <c r="Q2"/>
      <c r="R2"/>
      <c r="S2"/>
      <c r="T2"/>
    </row>
    <row r="3" spans="1:20" ht="21.75" customHeight="1" thickTop="1">
      <c r="F3" s="507"/>
      <c r="N3" s="2058" t="s">
        <v>2041</v>
      </c>
      <c r="O3" s="2082" t="s">
        <v>2034</v>
      </c>
      <c r="P3" s="2084" t="s">
        <v>2034</v>
      </c>
      <c r="Q3" s="609"/>
      <c r="R3" s="2084" t="s">
        <v>2035</v>
      </c>
      <c r="S3" s="2086" t="s">
        <v>2036</v>
      </c>
    </row>
    <row r="4" spans="1:20" ht="19.5" customHeight="1">
      <c r="N4" s="2080"/>
      <c r="O4" s="2083"/>
      <c r="P4" s="2085"/>
      <c r="Q4" s="610"/>
      <c r="R4" s="2085"/>
      <c r="S4" s="2087"/>
    </row>
    <row r="5" spans="1:20" ht="19.5" customHeight="1">
      <c r="A5" s="2020" t="s">
        <v>2822</v>
      </c>
      <c r="B5" s="2020"/>
      <c r="C5" s="2020"/>
      <c r="D5" s="2020"/>
      <c r="E5" s="2020"/>
      <c r="F5" s="2020"/>
      <c r="G5" s="2020"/>
      <c r="H5" s="2020"/>
      <c r="I5" s="2020"/>
      <c r="J5" s="1"/>
      <c r="K5" s="1"/>
      <c r="L5" s="1"/>
      <c r="N5" s="2080"/>
      <c r="O5" s="2091"/>
      <c r="P5" s="2088"/>
      <c r="Q5" s="611"/>
      <c r="R5" s="2088"/>
      <c r="S5" s="2077"/>
    </row>
    <row r="6" spans="1:20" ht="19.5" customHeight="1">
      <c r="A6" s="2020"/>
      <c r="B6" s="2020"/>
      <c r="C6" s="2020"/>
      <c r="D6" s="2020"/>
      <c r="E6" s="2020"/>
      <c r="F6" s="2020"/>
      <c r="G6" s="2020"/>
      <c r="H6" s="2020"/>
      <c r="I6" s="2020"/>
      <c r="J6" s="1"/>
      <c r="K6" s="1"/>
      <c r="L6" s="1"/>
      <c r="N6" s="2080"/>
      <c r="O6" s="2092"/>
      <c r="P6" s="2089"/>
      <c r="Q6" s="612"/>
      <c r="R6" s="2089"/>
      <c r="S6" s="2078"/>
    </row>
    <row r="7" spans="1:20" ht="19.5" customHeight="1">
      <c r="A7" s="2020"/>
      <c r="B7" s="2020"/>
      <c r="C7" s="2020"/>
      <c r="D7" s="2020"/>
      <c r="E7" s="2020"/>
      <c r="F7" s="2020"/>
      <c r="G7" s="2020"/>
      <c r="H7" s="2020"/>
      <c r="I7" s="2020"/>
      <c r="J7" s="1"/>
      <c r="K7" s="1"/>
      <c r="L7" s="1"/>
      <c r="N7" s="2080"/>
      <c r="O7" s="2092"/>
      <c r="P7" s="2089"/>
      <c r="Q7" s="612"/>
      <c r="R7" s="2089"/>
      <c r="S7" s="2078"/>
    </row>
    <row r="8" spans="1:20" ht="19.5" customHeight="1">
      <c r="A8" s="2020"/>
      <c r="B8" s="2020"/>
      <c r="C8" s="2020"/>
      <c r="D8" s="2020"/>
      <c r="E8" s="2020"/>
      <c r="F8" s="2020"/>
      <c r="G8" s="2020"/>
      <c r="H8" s="2020"/>
      <c r="I8" s="2020"/>
      <c r="J8" s="2"/>
      <c r="K8" s="2"/>
      <c r="L8" s="2"/>
      <c r="N8" s="2080"/>
      <c r="O8" s="2092"/>
      <c r="P8" s="2089"/>
      <c r="Q8" s="612"/>
      <c r="R8" s="2089"/>
      <c r="S8" s="2078"/>
    </row>
    <row r="9" spans="1:20" ht="19.5" customHeight="1" thickBot="1">
      <c r="A9" s="2052"/>
      <c r="B9" s="2052"/>
      <c r="C9" s="2052"/>
      <c r="D9" s="2052"/>
      <c r="E9" s="2052"/>
      <c r="F9" s="2052"/>
      <c r="G9" s="2052"/>
      <c r="H9" s="2052"/>
      <c r="I9" s="2052"/>
      <c r="J9" s="2"/>
      <c r="K9" s="2"/>
      <c r="L9" s="2"/>
      <c r="N9" s="2081"/>
      <c r="O9" s="2093"/>
      <c r="P9" s="2090"/>
      <c r="Q9" s="613"/>
      <c r="R9" s="2090"/>
      <c r="S9" s="2079"/>
    </row>
    <row r="10" spans="1:20" ht="23.25" customHeight="1">
      <c r="A10" s="2021" t="s">
        <v>0</v>
      </c>
      <c r="B10" s="2023" t="s">
        <v>1</v>
      </c>
      <c r="C10" s="2107" t="s">
        <v>2655</v>
      </c>
      <c r="D10" s="2024" t="s">
        <v>2</v>
      </c>
      <c r="E10" s="2024" t="s">
        <v>1222</v>
      </c>
      <c r="F10" s="2024" t="s">
        <v>3</v>
      </c>
      <c r="G10" s="523"/>
      <c r="H10" s="2025" t="s">
        <v>4</v>
      </c>
      <c r="I10" s="2104" t="s">
        <v>2352</v>
      </c>
      <c r="J10" s="2105"/>
      <c r="K10" s="2105"/>
      <c r="L10" s="2106"/>
    </row>
    <row r="11" spans="1:20" ht="23.25" customHeight="1">
      <c r="A11" s="2022"/>
      <c r="B11" s="2003"/>
      <c r="C11" s="2108"/>
      <c r="D11" s="2004"/>
      <c r="E11" s="2004"/>
      <c r="F11" s="2004"/>
      <c r="G11" s="522" t="s">
        <v>2499</v>
      </c>
      <c r="H11" s="2005"/>
      <c r="I11" s="82" t="s">
        <v>6</v>
      </c>
      <c r="J11" s="3" t="s">
        <v>7</v>
      </c>
      <c r="K11" s="476" t="s">
        <v>2479</v>
      </c>
      <c r="L11" s="271" t="s">
        <v>2336</v>
      </c>
      <c r="M11" s="24" t="s">
        <v>2528</v>
      </c>
      <c r="N11" s="434" t="s">
        <v>33</v>
      </c>
      <c r="O11" s="434" t="s">
        <v>2522</v>
      </c>
      <c r="P11" s="434" t="s">
        <v>2358</v>
      </c>
      <c r="Q11" s="434" t="s">
        <v>2815</v>
      </c>
      <c r="R11" s="434" t="s">
        <v>44</v>
      </c>
    </row>
    <row r="12" spans="1:20" ht="27" customHeight="1">
      <c r="A12" s="2053" t="s">
        <v>9</v>
      </c>
      <c r="B12" s="509" t="s">
        <v>2804</v>
      </c>
      <c r="C12" s="509" t="s">
        <v>2943</v>
      </c>
      <c r="D12" s="454" t="s">
        <v>2805</v>
      </c>
      <c r="E12" s="454"/>
      <c r="F12" s="455">
        <v>45815</v>
      </c>
      <c r="G12" s="455"/>
      <c r="H12" s="456">
        <f>VLOOKUP(F12,환율!A:B,2,0)</f>
        <v>1373.8</v>
      </c>
      <c r="I12" s="457">
        <v>386018.82</v>
      </c>
      <c r="J12" s="458">
        <f t="shared" ref="J12" si="0">ROUNDDOWN(I12*H12,0)</f>
        <v>530312654</v>
      </c>
      <c r="K12" s="458">
        <f>J12</f>
        <v>530312654</v>
      </c>
      <c r="L12" s="464"/>
      <c r="M12" s="24" t="s">
        <v>730</v>
      </c>
      <c r="N12" s="434" t="s">
        <v>730</v>
      </c>
      <c r="O12" s="434" t="s">
        <v>730</v>
      </c>
      <c r="P12" s="434" t="s">
        <v>730</v>
      </c>
      <c r="Q12" s="434" t="s">
        <v>730</v>
      </c>
      <c r="R12" s="434" t="s">
        <v>730</v>
      </c>
    </row>
    <row r="13" spans="1:20" s="97" customFormat="1" ht="27" customHeight="1">
      <c r="A13" s="2053"/>
      <c r="B13" s="155" t="s">
        <v>2816</v>
      </c>
      <c r="C13" s="155" t="s">
        <v>2943</v>
      </c>
      <c r="D13" s="89" t="s">
        <v>2817</v>
      </c>
      <c r="E13" s="89"/>
      <c r="F13" s="90">
        <v>45829</v>
      </c>
      <c r="G13" s="90"/>
      <c r="H13" s="91">
        <f>VLOOKUP(F13,환율!A:B,2,0)</f>
        <v>1379.6</v>
      </c>
      <c r="I13" s="92">
        <v>377516.5</v>
      </c>
      <c r="J13" s="93">
        <f t="shared" ref="J13:J15" si="1">ROUNDDOWN(I13*H13,0)</f>
        <v>520821763</v>
      </c>
      <c r="K13" s="93">
        <f>J13</f>
        <v>520821763</v>
      </c>
      <c r="L13" s="254"/>
      <c r="M13" s="364" t="s">
        <v>730</v>
      </c>
      <c r="N13" s="434" t="s">
        <v>730</v>
      </c>
      <c r="O13" s="434" t="s">
        <v>730</v>
      </c>
      <c r="P13" s="434" t="s">
        <v>730</v>
      </c>
      <c r="Q13" s="434" t="s">
        <v>730</v>
      </c>
      <c r="R13" s="434" t="s">
        <v>730</v>
      </c>
      <c r="S13" s="434"/>
      <c r="T13" s="441"/>
    </row>
    <row r="14" spans="1:20" s="97" customFormat="1" ht="27" customHeight="1">
      <c r="A14" s="2053"/>
      <c r="B14" s="155" t="s">
        <v>2818</v>
      </c>
      <c r="C14" s="155" t="s">
        <v>2943</v>
      </c>
      <c r="D14" s="89" t="s">
        <v>2819</v>
      </c>
      <c r="E14" s="89"/>
      <c r="F14" s="90">
        <v>45836</v>
      </c>
      <c r="G14" s="90"/>
      <c r="H14" s="91">
        <f>VLOOKUP(F14,환율!A:B,2,0)</f>
        <v>1357.6</v>
      </c>
      <c r="I14" s="92">
        <v>372922.98</v>
      </c>
      <c r="J14" s="93">
        <f t="shared" si="1"/>
        <v>506280237</v>
      </c>
      <c r="K14" s="93">
        <f>J14</f>
        <v>506280237</v>
      </c>
      <c r="L14" s="254"/>
      <c r="M14" s="401" t="s">
        <v>730</v>
      </c>
      <c r="N14" s="434" t="s">
        <v>730</v>
      </c>
      <c r="O14" s="434" t="s">
        <v>730</v>
      </c>
      <c r="P14" s="434" t="s">
        <v>730</v>
      </c>
      <c r="Q14" s="434" t="s">
        <v>730</v>
      </c>
      <c r="R14" s="434" t="s">
        <v>730</v>
      </c>
      <c r="S14" s="434"/>
      <c r="T14" s="441"/>
    </row>
    <row r="15" spans="1:20" s="97" customFormat="1" ht="27" customHeight="1">
      <c r="A15" s="2053"/>
      <c r="B15" s="546" t="s">
        <v>2820</v>
      </c>
      <c r="C15" s="546" t="s">
        <v>2942</v>
      </c>
      <c r="D15" s="547" t="s">
        <v>2821</v>
      </c>
      <c r="E15" s="547"/>
      <c r="F15" s="527">
        <v>45842</v>
      </c>
      <c r="G15" s="527"/>
      <c r="H15" s="528">
        <f>VLOOKUP(F15,환율!A:B,2,0)</f>
        <v>1358.1</v>
      </c>
      <c r="I15" s="529">
        <v>279926.38</v>
      </c>
      <c r="J15" s="530">
        <f t="shared" si="1"/>
        <v>380168016</v>
      </c>
      <c r="K15" s="530"/>
      <c r="L15" s="548">
        <f>J15</f>
        <v>380168016</v>
      </c>
      <c r="M15" s="401" t="s">
        <v>730</v>
      </c>
      <c r="N15" s="434" t="s">
        <v>730</v>
      </c>
      <c r="O15" s="434" t="s">
        <v>730</v>
      </c>
      <c r="P15" s="434" t="s">
        <v>730</v>
      </c>
      <c r="Q15" s="434" t="s">
        <v>730</v>
      </c>
      <c r="R15" s="434" t="s">
        <v>730</v>
      </c>
      <c r="S15" s="434"/>
      <c r="T15" s="441"/>
    </row>
    <row r="16" spans="1:20" s="97" customFormat="1" ht="27" customHeight="1">
      <c r="A16" s="2035" t="s">
        <v>10</v>
      </c>
      <c r="B16" s="2036"/>
      <c r="C16" s="2036"/>
      <c r="D16" s="2036"/>
      <c r="E16" s="2036"/>
      <c r="F16" s="2036"/>
      <c r="G16" s="2036"/>
      <c r="H16" s="2037"/>
      <c r="I16" s="449">
        <f>SUM(I12:I15)</f>
        <v>1416384.6800000002</v>
      </c>
      <c r="J16" s="116">
        <f>SUM(J12:J15)</f>
        <v>1937582670</v>
      </c>
      <c r="K16" s="116">
        <f>SUM(K12:K15)</f>
        <v>1557414654</v>
      </c>
      <c r="L16" s="260">
        <f>SUM(L12:L15)</f>
        <v>380168016</v>
      </c>
      <c r="M16" s="364"/>
      <c r="N16" s="434"/>
      <c r="O16" s="434"/>
      <c r="P16" s="434"/>
      <c r="Q16" s="434"/>
      <c r="R16" s="434"/>
      <c r="S16" s="434"/>
      <c r="T16" s="441"/>
    </row>
    <row r="17" spans="1:20" s="97" customFormat="1" ht="27" customHeight="1">
      <c r="A17" s="2010" t="s">
        <v>2022</v>
      </c>
      <c r="B17" s="509" t="s">
        <v>2806</v>
      </c>
      <c r="C17" s="509" t="s">
        <v>2943</v>
      </c>
      <c r="D17" s="454" t="s">
        <v>2807</v>
      </c>
      <c r="E17" s="477"/>
      <c r="F17" s="465">
        <v>45814</v>
      </c>
      <c r="G17" s="465"/>
      <c r="H17" s="456">
        <f>VLOOKUP(F17,환율!A:B,2,0)</f>
        <v>1373.8</v>
      </c>
      <c r="I17" s="462">
        <v>27946.799999999999</v>
      </c>
      <c r="J17" s="458">
        <f>ROUNDDOWN(I17*H17,0)</f>
        <v>38393313</v>
      </c>
      <c r="K17" s="458">
        <f>J17</f>
        <v>38393313</v>
      </c>
      <c r="L17" s="464"/>
      <c r="M17" s="364" t="s">
        <v>730</v>
      </c>
      <c r="N17" s="434" t="s">
        <v>730</v>
      </c>
      <c r="O17" s="434" t="s">
        <v>730</v>
      </c>
      <c r="P17" s="434" t="s">
        <v>730</v>
      </c>
      <c r="Q17" s="434" t="s">
        <v>730</v>
      </c>
      <c r="R17" s="434" t="s">
        <v>730</v>
      </c>
      <c r="S17" s="434"/>
      <c r="T17" s="441"/>
    </row>
    <row r="18" spans="1:20" s="120" customFormat="1" ht="27" customHeight="1">
      <c r="A18" s="2011"/>
      <c r="B18" s="509" t="s">
        <v>2669</v>
      </c>
      <c r="C18" s="509" t="s">
        <v>2943</v>
      </c>
      <c r="D18" s="454" t="s">
        <v>2808</v>
      </c>
      <c r="E18" s="477"/>
      <c r="F18" s="465">
        <v>45811</v>
      </c>
      <c r="G18" s="465"/>
      <c r="H18" s="456">
        <f>VLOOKUP(F18,환율!A:B,2,0)</f>
        <v>1375.7</v>
      </c>
      <c r="I18" s="462">
        <v>10987.2</v>
      </c>
      <c r="J18" s="458">
        <f t="shared" ref="J18" si="2">ROUNDDOWN(I18*H18,0)</f>
        <v>15115091</v>
      </c>
      <c r="K18" s="458">
        <f>J18</f>
        <v>15115091</v>
      </c>
      <c r="L18" s="464"/>
      <c r="M18" s="365" t="s">
        <v>730</v>
      </c>
      <c r="N18" s="434" t="s">
        <v>730</v>
      </c>
      <c r="O18" s="434" t="s">
        <v>730</v>
      </c>
      <c r="P18" s="434" t="s">
        <v>730</v>
      </c>
      <c r="Q18" s="434" t="s">
        <v>730</v>
      </c>
      <c r="R18" s="434" t="s">
        <v>730</v>
      </c>
      <c r="S18" s="435"/>
      <c r="T18" s="442"/>
    </row>
    <row r="19" spans="1:20" s="120" customFormat="1" ht="27" customHeight="1">
      <c r="A19" s="2011"/>
      <c r="B19" s="155" t="s">
        <v>2823</v>
      </c>
      <c r="C19" s="155" t="s">
        <v>2943</v>
      </c>
      <c r="D19" s="89" t="s">
        <v>2834</v>
      </c>
      <c r="E19" s="319"/>
      <c r="F19" s="136">
        <v>45818</v>
      </c>
      <c r="G19" s="136"/>
      <c r="H19" s="163">
        <f>VLOOKUP(F19,환율!A:B,2,0)</f>
        <v>1358.9</v>
      </c>
      <c r="I19" s="131">
        <v>97119.360000000001</v>
      </c>
      <c r="J19" s="164">
        <f t="shared" ref="J19:J29" si="3">ROUNDDOWN(I19*H19,0)</f>
        <v>131975498</v>
      </c>
      <c r="K19" s="164">
        <f t="shared" ref="K19:K27" si="4">J19</f>
        <v>131975498</v>
      </c>
      <c r="L19" s="396"/>
      <c r="M19" s="365" t="s">
        <v>730</v>
      </c>
      <c r="N19" s="120" t="s">
        <v>730</v>
      </c>
      <c r="O19" s="120" t="s">
        <v>730</v>
      </c>
      <c r="P19" s="120" t="s">
        <v>730</v>
      </c>
      <c r="Q19" s="120" t="s">
        <v>730</v>
      </c>
      <c r="R19" s="120" t="s">
        <v>730</v>
      </c>
      <c r="S19" s="435"/>
      <c r="T19" s="442"/>
    </row>
    <row r="20" spans="1:20" s="120" customFormat="1" ht="27" customHeight="1">
      <c r="A20" s="2011"/>
      <c r="B20" s="155" t="s">
        <v>2824</v>
      </c>
      <c r="C20" s="155" t="s">
        <v>2943</v>
      </c>
      <c r="D20" s="89" t="s">
        <v>2835</v>
      </c>
      <c r="E20" s="319"/>
      <c r="F20" s="136">
        <v>45818</v>
      </c>
      <c r="G20" s="136"/>
      <c r="H20" s="163">
        <f>VLOOKUP(F20,환율!A:B,2,0)</f>
        <v>1358.9</v>
      </c>
      <c r="I20" s="131">
        <v>676.25</v>
      </c>
      <c r="J20" s="164">
        <f t="shared" si="3"/>
        <v>918956</v>
      </c>
      <c r="K20" s="164">
        <f t="shared" si="4"/>
        <v>918956</v>
      </c>
      <c r="L20" s="396"/>
      <c r="M20" s="365" t="s">
        <v>730</v>
      </c>
      <c r="N20" s="120" t="s">
        <v>730</v>
      </c>
      <c r="O20" s="120" t="s">
        <v>730</v>
      </c>
      <c r="P20" s="120" t="s">
        <v>730</v>
      </c>
      <c r="Q20" s="120" t="s">
        <v>730</v>
      </c>
      <c r="R20" s="120" t="s">
        <v>730</v>
      </c>
      <c r="S20" s="435"/>
      <c r="T20" s="442"/>
    </row>
    <row r="21" spans="1:20" s="120" customFormat="1" ht="27" customHeight="1">
      <c r="A21" s="2011"/>
      <c r="B21" s="155" t="s">
        <v>2825</v>
      </c>
      <c r="C21" s="155" t="s">
        <v>2943</v>
      </c>
      <c r="D21" s="89" t="s">
        <v>2836</v>
      </c>
      <c r="E21" s="319"/>
      <c r="F21" s="136">
        <v>45818</v>
      </c>
      <c r="G21" s="136"/>
      <c r="H21" s="163">
        <f>VLOOKUP(F21,환율!A:B,2,0)</f>
        <v>1358.9</v>
      </c>
      <c r="I21" s="131">
        <v>1425</v>
      </c>
      <c r="J21" s="164">
        <f t="shared" si="3"/>
        <v>1936432</v>
      </c>
      <c r="K21" s="164">
        <f t="shared" si="4"/>
        <v>1936432</v>
      </c>
      <c r="L21" s="396"/>
      <c r="M21" s="365" t="s">
        <v>2839</v>
      </c>
      <c r="N21" s="120" t="s">
        <v>2839</v>
      </c>
      <c r="O21" s="120" t="s">
        <v>2839</v>
      </c>
      <c r="P21" s="120" t="s">
        <v>2839</v>
      </c>
      <c r="Q21" s="120" t="s">
        <v>2839</v>
      </c>
      <c r="R21" s="120" t="s">
        <v>2839</v>
      </c>
      <c r="S21" s="435"/>
      <c r="T21" s="442"/>
    </row>
    <row r="22" spans="1:20" s="120" customFormat="1" ht="27" customHeight="1">
      <c r="A22" s="2011"/>
      <c r="B22" s="155" t="s">
        <v>2826</v>
      </c>
      <c r="C22" s="155" t="s">
        <v>2943</v>
      </c>
      <c r="D22" s="89" t="s">
        <v>2837</v>
      </c>
      <c r="E22" s="319"/>
      <c r="F22" s="136">
        <v>45831</v>
      </c>
      <c r="G22" s="136"/>
      <c r="H22" s="163">
        <f>VLOOKUP(F22,환율!A:B,2,0)</f>
        <v>1369.4</v>
      </c>
      <c r="I22" s="131">
        <v>20324</v>
      </c>
      <c r="J22" s="164">
        <f t="shared" si="3"/>
        <v>27831685</v>
      </c>
      <c r="K22" s="164">
        <f t="shared" si="4"/>
        <v>27831685</v>
      </c>
      <c r="L22" s="396"/>
      <c r="M22" s="365" t="s">
        <v>2839</v>
      </c>
      <c r="N22" s="120" t="s">
        <v>2839</v>
      </c>
      <c r="O22" s="120" t="s">
        <v>2839</v>
      </c>
      <c r="P22" s="120" t="s">
        <v>2839</v>
      </c>
      <c r="Q22" s="120" t="s">
        <v>2839</v>
      </c>
      <c r="R22" s="120" t="s">
        <v>2839</v>
      </c>
      <c r="S22" s="435"/>
      <c r="T22" s="442"/>
    </row>
    <row r="23" spans="1:20" s="120" customFormat="1" ht="27" customHeight="1">
      <c r="A23" s="2011"/>
      <c r="B23" s="155" t="s">
        <v>2827</v>
      </c>
      <c r="C23" s="155" t="s">
        <v>2943</v>
      </c>
      <c r="D23" s="89" t="s">
        <v>2838</v>
      </c>
      <c r="E23" s="392"/>
      <c r="F23" s="130">
        <v>45835</v>
      </c>
      <c r="G23" s="130"/>
      <c r="H23" s="163">
        <f>VLOOKUP(F23,환율!A:B,2,0)</f>
        <v>1357.6</v>
      </c>
      <c r="I23" s="131">
        <v>10789.92</v>
      </c>
      <c r="J23" s="164">
        <f t="shared" si="3"/>
        <v>14648395</v>
      </c>
      <c r="K23" s="164">
        <f t="shared" si="4"/>
        <v>14648395</v>
      </c>
      <c r="L23" s="396"/>
      <c r="M23" s="365" t="s">
        <v>2839</v>
      </c>
      <c r="N23" s="120" t="s">
        <v>2839</v>
      </c>
      <c r="O23" s="120" t="s">
        <v>2839</v>
      </c>
      <c r="P23" s="120" t="s">
        <v>2839</v>
      </c>
      <c r="Q23" s="120" t="s">
        <v>2839</v>
      </c>
      <c r="R23" s="120" t="s">
        <v>2839</v>
      </c>
      <c r="S23" s="435"/>
      <c r="T23" s="442"/>
    </row>
    <row r="24" spans="1:20" s="120" customFormat="1" ht="27" customHeight="1">
      <c r="A24" s="2011"/>
      <c r="B24" s="155" t="s">
        <v>2828</v>
      </c>
      <c r="C24" s="155" t="s">
        <v>2943</v>
      </c>
      <c r="D24" s="144" t="s">
        <v>2840</v>
      </c>
      <c r="E24" s="392"/>
      <c r="F24" s="130">
        <v>45832</v>
      </c>
      <c r="G24" s="130"/>
      <c r="H24" s="163">
        <f>VLOOKUP(F24,환율!A:B,2,0)</f>
        <v>1381.9</v>
      </c>
      <c r="I24" s="131">
        <v>69844.320000000007</v>
      </c>
      <c r="J24" s="164">
        <f t="shared" si="3"/>
        <v>96517865</v>
      </c>
      <c r="K24" s="164">
        <f t="shared" si="4"/>
        <v>96517865</v>
      </c>
      <c r="L24" s="396"/>
      <c r="M24" s="365" t="s">
        <v>2839</v>
      </c>
      <c r="N24" s="120" t="s">
        <v>2839</v>
      </c>
      <c r="O24" s="120" t="s">
        <v>2839</v>
      </c>
      <c r="P24" s="120" t="s">
        <v>2839</v>
      </c>
      <c r="Q24" s="120" t="s">
        <v>2839</v>
      </c>
      <c r="R24" s="120" t="s">
        <v>2839</v>
      </c>
      <c r="S24" s="435"/>
      <c r="T24" s="442"/>
    </row>
    <row r="25" spans="1:20" s="120" customFormat="1" ht="27" customHeight="1">
      <c r="A25" s="2011"/>
      <c r="B25" s="155" t="s">
        <v>2829</v>
      </c>
      <c r="C25" s="155" t="s">
        <v>2943</v>
      </c>
      <c r="D25" s="144" t="s">
        <v>2841</v>
      </c>
      <c r="E25" s="392"/>
      <c r="F25" s="130">
        <v>45838</v>
      </c>
      <c r="G25" s="130"/>
      <c r="H25" s="163">
        <f>VLOOKUP(F25,환율!A:B,2,0)</f>
        <v>1356.4</v>
      </c>
      <c r="I25" s="131">
        <v>12752.64</v>
      </c>
      <c r="J25" s="164">
        <f t="shared" si="3"/>
        <v>17297680</v>
      </c>
      <c r="K25" s="164">
        <f t="shared" si="4"/>
        <v>17297680</v>
      </c>
      <c r="L25" s="396"/>
      <c r="M25" s="365" t="s">
        <v>2839</v>
      </c>
      <c r="N25" s="120" t="s">
        <v>2839</v>
      </c>
      <c r="O25" s="120" t="s">
        <v>2839</v>
      </c>
      <c r="P25" s="120" t="s">
        <v>2839</v>
      </c>
      <c r="Q25" s="120" t="s">
        <v>2839</v>
      </c>
      <c r="R25" s="120" t="s">
        <v>2839</v>
      </c>
      <c r="S25" s="435"/>
      <c r="T25" s="442"/>
    </row>
    <row r="26" spans="1:20" s="120" customFormat="1" ht="27" customHeight="1">
      <c r="A26" s="2011"/>
      <c r="B26" s="155" t="s">
        <v>2830</v>
      </c>
      <c r="C26" s="155" t="s">
        <v>2943</v>
      </c>
      <c r="D26" s="89" t="s">
        <v>2842</v>
      </c>
      <c r="E26" s="319"/>
      <c r="F26" s="136">
        <v>45832</v>
      </c>
      <c r="G26" s="136"/>
      <c r="H26" s="163">
        <f>VLOOKUP(F26,환율!A:B,2,0)</f>
        <v>1381.9</v>
      </c>
      <c r="I26" s="131">
        <v>1382.55</v>
      </c>
      <c r="J26" s="164">
        <f t="shared" si="3"/>
        <v>1910545</v>
      </c>
      <c r="K26" s="164">
        <f t="shared" si="4"/>
        <v>1910545</v>
      </c>
      <c r="L26" s="254"/>
      <c r="M26" s="365" t="s">
        <v>2839</v>
      </c>
      <c r="N26" s="120" t="s">
        <v>2839</v>
      </c>
      <c r="O26" s="120" t="s">
        <v>2839</v>
      </c>
      <c r="P26" s="120" t="s">
        <v>2839</v>
      </c>
      <c r="Q26" s="120" t="s">
        <v>2839</v>
      </c>
      <c r="R26" s="120" t="s">
        <v>2839</v>
      </c>
      <c r="S26" s="435"/>
      <c r="T26" s="442"/>
    </row>
    <row r="27" spans="1:20" s="120" customFormat="1" ht="27" customHeight="1">
      <c r="A27" s="2011"/>
      <c r="B27" s="155" t="s">
        <v>2831</v>
      </c>
      <c r="C27" s="155" t="s">
        <v>2943</v>
      </c>
      <c r="D27" s="89" t="s">
        <v>2843</v>
      </c>
      <c r="E27" s="319"/>
      <c r="F27" s="136">
        <v>45831</v>
      </c>
      <c r="G27" s="136"/>
      <c r="H27" s="163">
        <f>VLOOKUP(F27,환율!A:B,2,0)</f>
        <v>1369.4</v>
      </c>
      <c r="I27" s="131">
        <v>17698.8</v>
      </c>
      <c r="J27" s="164">
        <f t="shared" si="3"/>
        <v>24236736</v>
      </c>
      <c r="K27" s="164">
        <f t="shared" si="4"/>
        <v>24236736</v>
      </c>
      <c r="L27" s="254"/>
      <c r="M27" s="365" t="s">
        <v>2839</v>
      </c>
      <c r="N27" s="120" t="s">
        <v>2839</v>
      </c>
      <c r="O27" s="120" t="s">
        <v>2839</v>
      </c>
      <c r="P27" s="120" t="s">
        <v>2839</v>
      </c>
      <c r="Q27" s="120" t="s">
        <v>2839</v>
      </c>
      <c r="R27" s="120" t="s">
        <v>2839</v>
      </c>
      <c r="S27" s="435"/>
      <c r="T27" s="442"/>
    </row>
    <row r="28" spans="1:20" s="120" customFormat="1" ht="27" customHeight="1">
      <c r="A28" s="2011"/>
      <c r="B28" s="546" t="s">
        <v>2832</v>
      </c>
      <c r="C28" s="546" t="s">
        <v>2942</v>
      </c>
      <c r="D28" s="547" t="s">
        <v>2844</v>
      </c>
      <c r="E28" s="549"/>
      <c r="F28" s="550">
        <v>45839</v>
      </c>
      <c r="G28" s="550"/>
      <c r="H28" s="528">
        <f>VLOOKUP(F28,환율!A:B,2,0)</f>
        <v>1353.6</v>
      </c>
      <c r="I28" s="551">
        <v>29036.16</v>
      </c>
      <c r="J28" s="530">
        <f>ROUNDDOWN(I28*H28,0)</f>
        <v>39303346</v>
      </c>
      <c r="K28" s="530"/>
      <c r="L28" s="548">
        <f>J28</f>
        <v>39303346</v>
      </c>
      <c r="M28" s="365" t="s">
        <v>2839</v>
      </c>
      <c r="N28" s="120" t="s">
        <v>2839</v>
      </c>
      <c r="O28" s="120" t="s">
        <v>2839</v>
      </c>
      <c r="P28" s="120" t="s">
        <v>2839</v>
      </c>
      <c r="Q28" s="120" t="s">
        <v>2839</v>
      </c>
      <c r="R28" s="120" t="s">
        <v>2839</v>
      </c>
      <c r="S28" s="435"/>
      <c r="T28" s="442"/>
    </row>
    <row r="29" spans="1:20" s="120" customFormat="1" ht="27" customHeight="1">
      <c r="A29" s="2011"/>
      <c r="B29" s="546" t="s">
        <v>2833</v>
      </c>
      <c r="C29" s="546" t="s">
        <v>2942</v>
      </c>
      <c r="D29" s="547" t="s">
        <v>2845</v>
      </c>
      <c r="E29" s="549"/>
      <c r="F29" s="550">
        <v>45841</v>
      </c>
      <c r="G29" s="550"/>
      <c r="H29" s="528">
        <f>VLOOKUP(F29,환율!A:B,2,0)</f>
        <v>1359.4</v>
      </c>
      <c r="I29" s="551">
        <v>11550</v>
      </c>
      <c r="J29" s="530">
        <f t="shared" si="3"/>
        <v>15701070</v>
      </c>
      <c r="K29" s="530"/>
      <c r="L29" s="548">
        <f>J29</f>
        <v>15701070</v>
      </c>
      <c r="M29" s="365" t="s">
        <v>2839</v>
      </c>
      <c r="N29" s="120" t="s">
        <v>2839</v>
      </c>
      <c r="O29" s="120" t="s">
        <v>2839</v>
      </c>
      <c r="P29" s="120" t="s">
        <v>2839</v>
      </c>
      <c r="Q29" s="120" t="s">
        <v>2839</v>
      </c>
      <c r="R29" s="120" t="s">
        <v>2839</v>
      </c>
      <c r="S29" s="435"/>
      <c r="T29" s="442"/>
    </row>
    <row r="30" spans="1:20" s="97" customFormat="1" ht="27" customHeight="1">
      <c r="A30" s="2035" t="s">
        <v>10</v>
      </c>
      <c r="B30" s="2036"/>
      <c r="C30" s="2036"/>
      <c r="D30" s="2036"/>
      <c r="E30" s="2036"/>
      <c r="F30" s="2036"/>
      <c r="G30" s="2036"/>
      <c r="H30" s="2037"/>
      <c r="I30" s="127">
        <f>SUM(I17:I29)</f>
        <v>311532.99999999994</v>
      </c>
      <c r="J30" s="116">
        <f>SUM(J17:J29)</f>
        <v>425786612</v>
      </c>
      <c r="K30" s="116">
        <f>SUM(K17:K29)</f>
        <v>370782196</v>
      </c>
      <c r="L30" s="260">
        <f>SUM(L17:L29)</f>
        <v>55004416</v>
      </c>
      <c r="M30" s="364"/>
      <c r="N30" s="434"/>
      <c r="O30" s="434"/>
      <c r="P30" s="434"/>
      <c r="Q30" s="434"/>
      <c r="R30" s="434"/>
      <c r="S30" s="434"/>
      <c r="T30" s="441"/>
    </row>
    <row r="31" spans="1:20" s="97" customFormat="1" ht="27" customHeight="1">
      <c r="A31" s="2012" t="s">
        <v>114</v>
      </c>
      <c r="B31" s="510" t="s">
        <v>2700</v>
      </c>
      <c r="C31" s="561" t="s">
        <v>2942</v>
      </c>
      <c r="D31" s="460" t="s">
        <v>2809</v>
      </c>
      <c r="E31" s="460"/>
      <c r="F31" s="465">
        <v>45812</v>
      </c>
      <c r="G31" s="465"/>
      <c r="H31" s="456">
        <f>VLOOKUP(F31,환율!A:B,2,0)</f>
        <v>1376.9</v>
      </c>
      <c r="I31" s="462">
        <v>1308</v>
      </c>
      <c r="J31" s="458">
        <f t="shared" ref="J31:J37" si="5">ROUNDDOWN(I31*H31,0)</f>
        <v>1800985</v>
      </c>
      <c r="K31" s="458">
        <f>J31</f>
        <v>1800985</v>
      </c>
      <c r="L31" s="464"/>
      <c r="M31" s="364" t="s">
        <v>2839</v>
      </c>
      <c r="N31" s="97" t="s">
        <v>2839</v>
      </c>
      <c r="O31" s="97" t="s">
        <v>2839</v>
      </c>
      <c r="P31" s="97" t="s">
        <v>2839</v>
      </c>
      <c r="Q31" s="97" t="s">
        <v>2861</v>
      </c>
      <c r="R31" s="97" t="s">
        <v>2839</v>
      </c>
      <c r="S31" s="434"/>
      <c r="T31" s="441"/>
    </row>
    <row r="32" spans="1:20" s="97" customFormat="1" ht="27" customHeight="1">
      <c r="A32" s="2053"/>
      <c r="B32" s="510" t="s">
        <v>2703</v>
      </c>
      <c r="C32" s="561" t="s">
        <v>2942</v>
      </c>
      <c r="D32" s="460" t="s">
        <v>2810</v>
      </c>
      <c r="E32" s="460"/>
      <c r="F32" s="455">
        <v>45809</v>
      </c>
      <c r="G32" s="455"/>
      <c r="H32" s="456">
        <f>VLOOKUP(F32,환율!A:B,2,0)</f>
        <v>1381.4</v>
      </c>
      <c r="I32" s="462">
        <v>2192.4</v>
      </c>
      <c r="J32" s="458">
        <f t="shared" si="5"/>
        <v>3028581</v>
      </c>
      <c r="K32" s="458">
        <f t="shared" ref="K32:K36" si="6">J32</f>
        <v>3028581</v>
      </c>
      <c r="L32" s="464"/>
      <c r="M32" s="364" t="s">
        <v>2839</v>
      </c>
      <c r="N32" s="97" t="s">
        <v>2839</v>
      </c>
      <c r="O32" s="97" t="s">
        <v>2839</v>
      </c>
      <c r="P32" s="97" t="s">
        <v>2839</v>
      </c>
      <c r="Q32" s="97" t="s">
        <v>2861</v>
      </c>
      <c r="R32" s="97" t="s">
        <v>2839</v>
      </c>
      <c r="S32" s="434"/>
      <c r="T32" s="441"/>
    </row>
    <row r="33" spans="1:20" s="97" customFormat="1" ht="27" customHeight="1">
      <c r="A33" s="2053"/>
      <c r="B33" s="510" t="s">
        <v>2704</v>
      </c>
      <c r="C33" s="561" t="s">
        <v>2942</v>
      </c>
      <c r="D33" s="460" t="s">
        <v>2811</v>
      </c>
      <c r="E33" s="460"/>
      <c r="F33" s="455">
        <v>45812</v>
      </c>
      <c r="G33" s="455"/>
      <c r="H33" s="456">
        <f>VLOOKUP(F33,환율!A:B,2,0)</f>
        <v>1376.9</v>
      </c>
      <c r="I33" s="462">
        <v>108571.2</v>
      </c>
      <c r="J33" s="458">
        <f t="shared" si="5"/>
        <v>149491685</v>
      </c>
      <c r="K33" s="458">
        <f t="shared" si="6"/>
        <v>149491685</v>
      </c>
      <c r="L33" s="464"/>
      <c r="M33" s="364" t="s">
        <v>2839</v>
      </c>
      <c r="N33" s="97" t="s">
        <v>2839</v>
      </c>
      <c r="O33" s="97" t="s">
        <v>2839</v>
      </c>
      <c r="P33" s="97" t="s">
        <v>2839</v>
      </c>
      <c r="Q33" s="97" t="s">
        <v>2861</v>
      </c>
      <c r="R33" s="97" t="s">
        <v>2839</v>
      </c>
      <c r="S33" s="434"/>
      <c r="T33" s="441"/>
    </row>
    <row r="34" spans="1:20" s="97" customFormat="1" ht="27" customHeight="1">
      <c r="A34" s="2053"/>
      <c r="B34" s="510" t="s">
        <v>2705</v>
      </c>
      <c r="C34" s="561" t="s">
        <v>2942</v>
      </c>
      <c r="D34" s="460" t="s">
        <v>2812</v>
      </c>
      <c r="E34" s="460"/>
      <c r="F34" s="455">
        <v>45809</v>
      </c>
      <c r="G34" s="455"/>
      <c r="H34" s="456">
        <f>VLOOKUP(F34,환율!A:B,2,0)</f>
        <v>1381.4</v>
      </c>
      <c r="I34" s="462">
        <v>66017</v>
      </c>
      <c r="J34" s="458">
        <f t="shared" si="5"/>
        <v>91195883</v>
      </c>
      <c r="K34" s="458">
        <f t="shared" si="6"/>
        <v>91195883</v>
      </c>
      <c r="L34" s="464"/>
      <c r="M34" s="364" t="s">
        <v>2839</v>
      </c>
      <c r="N34" s="97" t="s">
        <v>2839</v>
      </c>
      <c r="O34" s="97" t="s">
        <v>2839</v>
      </c>
      <c r="P34" s="97" t="s">
        <v>2839</v>
      </c>
      <c r="Q34" s="97" t="s">
        <v>2861</v>
      </c>
      <c r="R34" s="97" t="s">
        <v>2839</v>
      </c>
      <c r="S34" s="434"/>
      <c r="T34" s="441"/>
    </row>
    <row r="35" spans="1:20" s="126" customFormat="1" ht="27" customHeight="1">
      <c r="A35" s="2053"/>
      <c r="B35" s="510" t="s">
        <v>2707</v>
      </c>
      <c r="C35" s="619" t="s">
        <v>2942</v>
      </c>
      <c r="D35" s="460" t="s">
        <v>2846</v>
      </c>
      <c r="E35" s="460"/>
      <c r="F35" s="455">
        <v>45823</v>
      </c>
      <c r="G35" s="455"/>
      <c r="H35" s="456">
        <f>VLOOKUP(F35,환율!A:B,2,0)</f>
        <v>1362.9</v>
      </c>
      <c r="I35" s="462">
        <v>86741.6</v>
      </c>
      <c r="J35" s="458">
        <f t="shared" si="5"/>
        <v>118220126</v>
      </c>
      <c r="K35" s="458">
        <f t="shared" si="6"/>
        <v>118220126</v>
      </c>
      <c r="L35" s="464"/>
      <c r="M35" s="401" t="s">
        <v>2839</v>
      </c>
      <c r="N35" s="97" t="s">
        <v>2839</v>
      </c>
      <c r="O35" s="97" t="s">
        <v>2839</v>
      </c>
      <c r="P35" s="97" t="s">
        <v>2839</v>
      </c>
      <c r="Q35" s="97" t="s">
        <v>2861</v>
      </c>
      <c r="R35" s="97" t="s">
        <v>2839</v>
      </c>
      <c r="S35" s="436"/>
      <c r="T35" s="443"/>
    </row>
    <row r="36" spans="1:20" s="126" customFormat="1" ht="27" customHeight="1">
      <c r="A36" s="2053"/>
      <c r="B36" s="510" t="s">
        <v>2720</v>
      </c>
      <c r="C36" s="561" t="s">
        <v>2942</v>
      </c>
      <c r="D36" s="460" t="s">
        <v>2847</v>
      </c>
      <c r="E36" s="460"/>
      <c r="F36" s="465">
        <v>45823</v>
      </c>
      <c r="G36" s="465"/>
      <c r="H36" s="456">
        <f>VLOOKUP(F36,환율!A:B,2,0)</f>
        <v>1362.9</v>
      </c>
      <c r="I36" s="462">
        <v>6816.25</v>
      </c>
      <c r="J36" s="458">
        <f t="shared" si="5"/>
        <v>9289867</v>
      </c>
      <c r="K36" s="458">
        <f t="shared" si="6"/>
        <v>9289867</v>
      </c>
      <c r="L36" s="464"/>
      <c r="M36" s="401" t="s">
        <v>2839</v>
      </c>
      <c r="N36" s="97" t="s">
        <v>2839</v>
      </c>
      <c r="O36" s="97" t="s">
        <v>2839</v>
      </c>
      <c r="P36" s="97" t="s">
        <v>2839</v>
      </c>
      <c r="Q36" s="97" t="s">
        <v>2861</v>
      </c>
      <c r="R36" s="97" t="s">
        <v>2839</v>
      </c>
      <c r="S36" s="436"/>
      <c r="T36" s="443"/>
    </row>
    <row r="37" spans="1:20" s="126" customFormat="1" ht="27" customHeight="1">
      <c r="A37" s="2053"/>
      <c r="B37" s="513" t="s">
        <v>2848</v>
      </c>
      <c r="C37" s="563" t="s">
        <v>2942</v>
      </c>
      <c r="D37" s="129" t="s">
        <v>2862</v>
      </c>
      <c r="E37" s="129"/>
      <c r="F37" s="136">
        <v>45827</v>
      </c>
      <c r="G37" s="136"/>
      <c r="H37" s="91">
        <f>VLOOKUP(F37,환율!A:B,2,0)</f>
        <v>1373.2</v>
      </c>
      <c r="I37" s="134">
        <v>53593.120000000003</v>
      </c>
      <c r="J37" s="93">
        <f t="shared" si="5"/>
        <v>73594072</v>
      </c>
      <c r="K37" s="93">
        <f t="shared" ref="K37" si="7">J37</f>
        <v>73594072</v>
      </c>
      <c r="L37" s="254"/>
      <c r="M37" s="401" t="s">
        <v>2839</v>
      </c>
      <c r="N37" s="97" t="s">
        <v>2839</v>
      </c>
      <c r="O37" s="97" t="s">
        <v>2839</v>
      </c>
      <c r="P37" s="97" t="s">
        <v>2839</v>
      </c>
      <c r="Q37" s="97" t="s">
        <v>2861</v>
      </c>
      <c r="R37" s="97" t="s">
        <v>2839</v>
      </c>
      <c r="S37" s="436"/>
      <c r="T37" s="443"/>
    </row>
    <row r="38" spans="1:20" s="126" customFormat="1" ht="27" customHeight="1">
      <c r="A38" s="2053"/>
      <c r="B38" s="513" t="s">
        <v>2849</v>
      </c>
      <c r="C38" s="562" t="s">
        <v>2942</v>
      </c>
      <c r="D38" s="129" t="s">
        <v>2871</v>
      </c>
      <c r="E38" s="129"/>
      <c r="F38" s="90">
        <v>45823</v>
      </c>
      <c r="G38" s="90"/>
      <c r="H38" s="91">
        <f>VLOOKUP(F38,환율!A:B,2,0)</f>
        <v>1362.9</v>
      </c>
      <c r="I38" s="134">
        <v>13441.92</v>
      </c>
      <c r="J38" s="93">
        <f t="shared" ref="J38:J42" si="8">ROUNDDOWN(I38*H38,0)</f>
        <v>18319992</v>
      </c>
      <c r="K38" s="164">
        <f t="shared" ref="K38:K42" si="9">J38</f>
        <v>18319992</v>
      </c>
      <c r="L38" s="254"/>
      <c r="M38" s="401" t="s">
        <v>2839</v>
      </c>
      <c r="N38" s="97" t="s">
        <v>2839</v>
      </c>
      <c r="O38" s="97" t="s">
        <v>2839</v>
      </c>
      <c r="P38" s="97" t="s">
        <v>2839</v>
      </c>
      <c r="Q38" s="97" t="s">
        <v>2861</v>
      </c>
      <c r="R38" s="97" t="s">
        <v>2839</v>
      </c>
      <c r="S38" s="436"/>
      <c r="T38" s="443"/>
    </row>
    <row r="39" spans="1:20" s="126" customFormat="1" ht="27" customHeight="1">
      <c r="A39" s="2053"/>
      <c r="B39" s="513" t="s">
        <v>2850</v>
      </c>
      <c r="C39" s="562" t="s">
        <v>2942</v>
      </c>
      <c r="D39" s="129" t="s">
        <v>2872</v>
      </c>
      <c r="E39" s="129"/>
      <c r="F39" s="90">
        <v>45823</v>
      </c>
      <c r="G39" s="90"/>
      <c r="H39" s="91">
        <f>VLOOKUP(F39,환율!A:B,2,0)</f>
        <v>1362.9</v>
      </c>
      <c r="I39" s="134">
        <v>34718.92</v>
      </c>
      <c r="J39" s="93">
        <f t="shared" si="8"/>
        <v>47318416</v>
      </c>
      <c r="K39" s="164">
        <f t="shared" si="9"/>
        <v>47318416</v>
      </c>
      <c r="L39" s="254"/>
      <c r="M39" s="364" t="s">
        <v>2839</v>
      </c>
      <c r="N39" s="97" t="s">
        <v>2839</v>
      </c>
      <c r="O39" s="97" t="s">
        <v>2839</v>
      </c>
      <c r="P39" s="97" t="s">
        <v>2839</v>
      </c>
      <c r="Q39" s="97" t="s">
        <v>2861</v>
      </c>
      <c r="R39" s="97" t="s">
        <v>2839</v>
      </c>
      <c r="S39" s="436"/>
      <c r="T39" s="443"/>
    </row>
    <row r="40" spans="1:20" s="126" customFormat="1" ht="27" customHeight="1">
      <c r="A40" s="2053"/>
      <c r="B40" s="513" t="s">
        <v>2851</v>
      </c>
      <c r="C40" s="562" t="s">
        <v>2942</v>
      </c>
      <c r="D40" s="129" t="s">
        <v>2873</v>
      </c>
      <c r="E40" s="129"/>
      <c r="F40" s="90">
        <v>45827</v>
      </c>
      <c r="G40" s="90"/>
      <c r="H40" s="91">
        <f>VLOOKUP(F40,환율!A:B,2,0)</f>
        <v>1373.2</v>
      </c>
      <c r="I40" s="134">
        <v>115111.2</v>
      </c>
      <c r="J40" s="93">
        <f t="shared" si="8"/>
        <v>158070699</v>
      </c>
      <c r="K40" s="93">
        <f t="shared" si="9"/>
        <v>158070699</v>
      </c>
      <c r="L40" s="254"/>
      <c r="M40" s="364" t="s">
        <v>2839</v>
      </c>
      <c r="N40" s="97" t="s">
        <v>2839</v>
      </c>
      <c r="O40" s="97" t="s">
        <v>2839</v>
      </c>
      <c r="P40" s="97" t="s">
        <v>2839</v>
      </c>
      <c r="Q40" s="97" t="s">
        <v>2861</v>
      </c>
      <c r="R40" s="97" t="s">
        <v>2839</v>
      </c>
      <c r="S40" s="436"/>
      <c r="T40" s="443"/>
    </row>
    <row r="41" spans="1:20" s="126" customFormat="1" ht="27" customHeight="1">
      <c r="A41" s="2053"/>
      <c r="B41" s="513" t="s">
        <v>2852</v>
      </c>
      <c r="C41" s="562" t="s">
        <v>2942</v>
      </c>
      <c r="D41" s="129" t="s">
        <v>2874</v>
      </c>
      <c r="E41" s="129"/>
      <c r="F41" s="90">
        <v>45827</v>
      </c>
      <c r="G41" s="90"/>
      <c r="H41" s="91">
        <f>VLOOKUP(F41,환율!A:B,2,0)</f>
        <v>1373.2</v>
      </c>
      <c r="I41" s="134">
        <v>35911.4</v>
      </c>
      <c r="J41" s="93">
        <f t="shared" si="8"/>
        <v>49313534</v>
      </c>
      <c r="K41" s="93">
        <f t="shared" si="9"/>
        <v>49313534</v>
      </c>
      <c r="L41" s="254"/>
      <c r="M41" s="364" t="s">
        <v>2839</v>
      </c>
      <c r="N41" s="97" t="s">
        <v>2839</v>
      </c>
      <c r="O41" s="97" t="s">
        <v>2839</v>
      </c>
      <c r="P41" s="97" t="s">
        <v>2839</v>
      </c>
      <c r="Q41" s="97" t="s">
        <v>2861</v>
      </c>
      <c r="R41" s="97" t="s">
        <v>2839</v>
      </c>
      <c r="S41" s="436"/>
      <c r="T41" s="443"/>
    </row>
    <row r="42" spans="1:20" s="126" customFormat="1" ht="27" customHeight="1">
      <c r="A42" s="2053"/>
      <c r="B42" s="513" t="s">
        <v>2853</v>
      </c>
      <c r="C42" s="563" t="s">
        <v>2942</v>
      </c>
      <c r="D42" s="129" t="s">
        <v>2875</v>
      </c>
      <c r="E42" s="129"/>
      <c r="F42" s="90">
        <v>45831</v>
      </c>
      <c r="G42" s="90"/>
      <c r="H42" s="91">
        <f>VLOOKUP(F42,환율!A:B,2,0)</f>
        <v>1369.4</v>
      </c>
      <c r="I42" s="134">
        <v>10679.04</v>
      </c>
      <c r="J42" s="93">
        <f t="shared" si="8"/>
        <v>14623877</v>
      </c>
      <c r="K42" s="93">
        <f t="shared" si="9"/>
        <v>14623877</v>
      </c>
      <c r="L42" s="254"/>
      <c r="M42" s="364" t="s">
        <v>2839</v>
      </c>
      <c r="N42" s="97" t="s">
        <v>2839</v>
      </c>
      <c r="O42" s="97" t="s">
        <v>2839</v>
      </c>
      <c r="P42" s="97" t="s">
        <v>2839</v>
      </c>
      <c r="Q42" s="97" t="s">
        <v>2861</v>
      </c>
      <c r="R42" s="97" t="s">
        <v>2839</v>
      </c>
      <c r="S42" s="436"/>
      <c r="T42" s="443"/>
    </row>
    <row r="43" spans="1:20" s="126" customFormat="1" ht="27" customHeight="1">
      <c r="A43" s="2053"/>
      <c r="B43" s="513" t="s">
        <v>2854</v>
      </c>
      <c r="C43" s="563" t="s">
        <v>2942</v>
      </c>
      <c r="D43" s="129" t="s">
        <v>2876</v>
      </c>
      <c r="E43" s="129"/>
      <c r="F43" s="136">
        <v>45830</v>
      </c>
      <c r="G43" s="136"/>
      <c r="H43" s="91">
        <f>VLOOKUP(F43,환율!A:B,2,0)</f>
        <v>1379.6</v>
      </c>
      <c r="I43" s="134">
        <v>30561.5</v>
      </c>
      <c r="J43" s="93">
        <f t="shared" ref="J43:J47" si="10">ROUNDDOWN(I43*H43,0)</f>
        <v>42162645</v>
      </c>
      <c r="K43" s="93">
        <f t="shared" ref="K43:K47" si="11">J43</f>
        <v>42162645</v>
      </c>
      <c r="L43" s="254"/>
      <c r="M43" s="364" t="s">
        <v>2839</v>
      </c>
      <c r="N43" s="97" t="s">
        <v>2839</v>
      </c>
      <c r="O43" s="97" t="s">
        <v>2839</v>
      </c>
      <c r="P43" s="97" t="s">
        <v>2839</v>
      </c>
      <c r="Q43" s="97" t="s">
        <v>2861</v>
      </c>
      <c r="R43" s="97" t="s">
        <v>2839</v>
      </c>
      <c r="S43" s="436"/>
      <c r="T43" s="443"/>
    </row>
    <row r="44" spans="1:20" s="126" customFormat="1" ht="27" customHeight="1">
      <c r="A44" s="2053"/>
      <c r="B44" s="513" t="s">
        <v>2855</v>
      </c>
      <c r="C44" s="563" t="s">
        <v>2942</v>
      </c>
      <c r="D44" s="129" t="s">
        <v>2877</v>
      </c>
      <c r="E44" s="129"/>
      <c r="F44" s="90">
        <v>45830</v>
      </c>
      <c r="G44" s="90"/>
      <c r="H44" s="91">
        <f>VLOOKUP(F44,환율!A:B,2,0)</f>
        <v>1379.6</v>
      </c>
      <c r="I44" s="134">
        <v>65795.12</v>
      </c>
      <c r="J44" s="93">
        <f t="shared" si="10"/>
        <v>90770947</v>
      </c>
      <c r="K44" s="93">
        <f t="shared" si="11"/>
        <v>90770947</v>
      </c>
      <c r="L44" s="254"/>
      <c r="M44" s="364" t="s">
        <v>2839</v>
      </c>
      <c r="N44" s="97" t="s">
        <v>2839</v>
      </c>
      <c r="O44" s="97" t="s">
        <v>2839</v>
      </c>
      <c r="P44" s="97" t="s">
        <v>2839</v>
      </c>
      <c r="Q44" s="97" t="s">
        <v>2861</v>
      </c>
      <c r="R44" s="97" t="s">
        <v>2839</v>
      </c>
      <c r="S44" s="436"/>
      <c r="T44" s="443"/>
    </row>
    <row r="45" spans="1:20" s="126" customFormat="1" ht="27" customHeight="1">
      <c r="A45" s="2053"/>
      <c r="B45" s="513" t="s">
        <v>2856</v>
      </c>
      <c r="C45" s="563" t="s">
        <v>2942</v>
      </c>
      <c r="D45" s="129" t="s">
        <v>2878</v>
      </c>
      <c r="E45" s="129"/>
      <c r="F45" s="90">
        <v>45817</v>
      </c>
      <c r="G45" s="90"/>
      <c r="H45" s="91">
        <f>VLOOKUP(F45,환율!A:B,2,0)</f>
        <v>1359</v>
      </c>
      <c r="I45" s="134">
        <v>1653.12</v>
      </c>
      <c r="J45" s="93">
        <f t="shared" si="10"/>
        <v>2246590</v>
      </c>
      <c r="K45" s="93">
        <f t="shared" si="11"/>
        <v>2246590</v>
      </c>
      <c r="L45" s="254"/>
      <c r="M45" s="364" t="s">
        <v>2839</v>
      </c>
      <c r="N45" s="97" t="s">
        <v>2839</v>
      </c>
      <c r="O45" s="97" t="s">
        <v>2839</v>
      </c>
      <c r="P45" s="97" t="s">
        <v>2839</v>
      </c>
      <c r="Q45" s="97" t="s">
        <v>2861</v>
      </c>
      <c r="R45" s="97" t="s">
        <v>2839</v>
      </c>
      <c r="S45" s="436"/>
      <c r="T45" s="443"/>
    </row>
    <row r="46" spans="1:20" s="126" customFormat="1" ht="27" customHeight="1">
      <c r="A46" s="2053"/>
      <c r="B46" s="513" t="s">
        <v>2857</v>
      </c>
      <c r="C46" s="563" t="s">
        <v>2942</v>
      </c>
      <c r="D46" s="129" t="s">
        <v>2879</v>
      </c>
      <c r="E46" s="129"/>
      <c r="F46" s="90">
        <v>45820</v>
      </c>
      <c r="G46" s="90"/>
      <c r="H46" s="91">
        <f>VLOOKUP(F46,환율!A:B,2,0)</f>
        <v>1368.8</v>
      </c>
      <c r="I46" s="134">
        <v>7305.1</v>
      </c>
      <c r="J46" s="93">
        <f t="shared" si="10"/>
        <v>9999220</v>
      </c>
      <c r="K46" s="93">
        <f t="shared" si="11"/>
        <v>9999220</v>
      </c>
      <c r="L46" s="254"/>
      <c r="M46" s="364" t="s">
        <v>2839</v>
      </c>
      <c r="N46" s="97" t="s">
        <v>2839</v>
      </c>
      <c r="O46" s="97" t="s">
        <v>2839</v>
      </c>
      <c r="P46" s="97" t="s">
        <v>2839</v>
      </c>
      <c r="Q46" s="97" t="s">
        <v>2861</v>
      </c>
      <c r="R46" s="97" t="s">
        <v>2839</v>
      </c>
      <c r="S46" s="436"/>
      <c r="T46" s="443"/>
    </row>
    <row r="47" spans="1:20" s="126" customFormat="1" ht="27" customHeight="1">
      <c r="A47" s="2053"/>
      <c r="B47" s="513" t="s">
        <v>2858</v>
      </c>
      <c r="C47" s="620" t="s">
        <v>2942</v>
      </c>
      <c r="D47" s="129" t="s">
        <v>2880</v>
      </c>
      <c r="E47" s="129"/>
      <c r="F47" s="90">
        <v>45836</v>
      </c>
      <c r="G47" s="90"/>
      <c r="H47" s="91">
        <f>VLOOKUP(F47,환율!A:B,2,0)</f>
        <v>1357.6</v>
      </c>
      <c r="I47" s="134">
        <v>1557.27</v>
      </c>
      <c r="J47" s="93">
        <f t="shared" si="10"/>
        <v>2114149</v>
      </c>
      <c r="K47" s="93">
        <f t="shared" si="11"/>
        <v>2114149</v>
      </c>
      <c r="L47" s="254"/>
      <c r="M47" s="364" t="s">
        <v>2839</v>
      </c>
      <c r="N47" s="97" t="s">
        <v>2839</v>
      </c>
      <c r="O47" s="97" t="s">
        <v>2839</v>
      </c>
      <c r="P47" s="97" t="s">
        <v>2839</v>
      </c>
      <c r="Q47" s="97" t="s">
        <v>2861</v>
      </c>
      <c r="R47" s="97" t="s">
        <v>2839</v>
      </c>
      <c r="S47" s="436"/>
      <c r="T47" s="443"/>
    </row>
    <row r="48" spans="1:20" s="126" customFormat="1" ht="27" customHeight="1">
      <c r="A48" s="2053"/>
      <c r="B48" s="513" t="s">
        <v>2860</v>
      </c>
      <c r="C48" s="563" t="s">
        <v>2942</v>
      </c>
      <c r="D48" s="129" t="s">
        <v>2882</v>
      </c>
      <c r="E48" s="129"/>
      <c r="F48" s="136">
        <v>45836</v>
      </c>
      <c r="G48" s="136"/>
      <c r="H48" s="91">
        <f>VLOOKUP(F48,환율!A:B,2,0)</f>
        <v>1357.6</v>
      </c>
      <c r="I48" s="134">
        <v>13251.64</v>
      </c>
      <c r="J48" s="93">
        <f t="shared" ref="J48:J58" si="12">ROUNDDOWN(I48*H48,0)</f>
        <v>17990426</v>
      </c>
      <c r="K48" s="93">
        <f t="shared" ref="K48:K52" si="13">J48</f>
        <v>17990426</v>
      </c>
      <c r="L48" s="254"/>
      <c r="M48" s="364" t="s">
        <v>2839</v>
      </c>
      <c r="N48" s="97" t="s">
        <v>2839</v>
      </c>
      <c r="O48" s="97" t="s">
        <v>2839</v>
      </c>
      <c r="P48" s="97" t="s">
        <v>2839</v>
      </c>
      <c r="Q48" s="97" t="s">
        <v>2861</v>
      </c>
      <c r="R48" s="97" t="s">
        <v>2839</v>
      </c>
      <c r="S48" s="436"/>
      <c r="T48" s="443"/>
    </row>
    <row r="49" spans="1:20" s="126" customFormat="1" ht="27" customHeight="1">
      <c r="A49" s="2053"/>
      <c r="B49" s="513" t="s">
        <v>2863</v>
      </c>
      <c r="C49" s="563" t="s">
        <v>2942</v>
      </c>
      <c r="D49" s="129" t="s">
        <v>2883</v>
      </c>
      <c r="E49" s="129"/>
      <c r="F49" s="136">
        <v>45831</v>
      </c>
      <c r="G49" s="136"/>
      <c r="H49" s="91">
        <f>VLOOKUP(F49,환율!A:B,2,0)</f>
        <v>1369.4</v>
      </c>
      <c r="I49" s="134">
        <v>28563.8</v>
      </c>
      <c r="J49" s="93">
        <f t="shared" si="12"/>
        <v>39115267</v>
      </c>
      <c r="K49" s="93">
        <f t="shared" si="13"/>
        <v>39115267</v>
      </c>
      <c r="L49" s="254"/>
      <c r="M49" s="364" t="s">
        <v>2839</v>
      </c>
      <c r="N49" s="434" t="s">
        <v>730</v>
      </c>
      <c r="O49" s="434" t="s">
        <v>2839</v>
      </c>
      <c r="P49" s="434" t="s">
        <v>2839</v>
      </c>
      <c r="Q49" s="434" t="s">
        <v>2861</v>
      </c>
      <c r="R49" s="434" t="s">
        <v>2839</v>
      </c>
      <c r="S49" s="436"/>
      <c r="T49" s="443"/>
    </row>
    <row r="50" spans="1:20" s="126" customFormat="1" ht="27" customHeight="1">
      <c r="A50" s="2053"/>
      <c r="B50" s="513" t="s">
        <v>2864</v>
      </c>
      <c r="C50" s="563" t="s">
        <v>2942</v>
      </c>
      <c r="D50" s="129" t="s">
        <v>2884</v>
      </c>
      <c r="E50" s="129"/>
      <c r="F50" s="136">
        <v>45836</v>
      </c>
      <c r="G50" s="136"/>
      <c r="H50" s="91">
        <f>VLOOKUP(F50,환율!A:B,2,0)</f>
        <v>1357.6</v>
      </c>
      <c r="I50" s="134">
        <v>42112.800000000003</v>
      </c>
      <c r="J50" s="93">
        <f t="shared" si="12"/>
        <v>57172337</v>
      </c>
      <c r="K50" s="93">
        <f t="shared" si="13"/>
        <v>57172337</v>
      </c>
      <c r="L50" s="254"/>
      <c r="M50" s="364" t="s">
        <v>2839</v>
      </c>
      <c r="N50" s="97" t="s">
        <v>2839</v>
      </c>
      <c r="O50" s="97" t="s">
        <v>2839</v>
      </c>
      <c r="P50" s="97" t="s">
        <v>2839</v>
      </c>
      <c r="Q50" s="97" t="s">
        <v>2861</v>
      </c>
      <c r="R50" s="97" t="s">
        <v>2839</v>
      </c>
      <c r="S50" s="436"/>
      <c r="T50" s="443"/>
    </row>
    <row r="51" spans="1:20" s="126" customFormat="1" ht="27" customHeight="1">
      <c r="A51" s="2053"/>
      <c r="B51" s="513" t="s">
        <v>2865</v>
      </c>
      <c r="C51" s="563" t="s">
        <v>2942</v>
      </c>
      <c r="D51" s="129" t="s">
        <v>2885</v>
      </c>
      <c r="E51" s="129"/>
      <c r="F51" s="136">
        <v>45836</v>
      </c>
      <c r="G51" s="136"/>
      <c r="H51" s="91">
        <f>VLOOKUP(F51,환율!A:B,2,0)</f>
        <v>1357.6</v>
      </c>
      <c r="I51" s="134">
        <v>81377.84</v>
      </c>
      <c r="J51" s="93">
        <f t="shared" si="12"/>
        <v>110478555</v>
      </c>
      <c r="K51" s="93">
        <f t="shared" si="13"/>
        <v>110478555</v>
      </c>
      <c r="L51" s="254"/>
      <c r="M51" s="364" t="s">
        <v>2839</v>
      </c>
      <c r="N51" s="97" t="s">
        <v>2839</v>
      </c>
      <c r="O51" s="97" t="s">
        <v>2839</v>
      </c>
      <c r="P51" s="97" t="s">
        <v>2839</v>
      </c>
      <c r="Q51" s="97" t="s">
        <v>2861</v>
      </c>
      <c r="R51" s="97" t="s">
        <v>2839</v>
      </c>
      <c r="S51" s="436"/>
      <c r="T51" s="443"/>
    </row>
    <row r="52" spans="1:20" s="126" customFormat="1" ht="27" customHeight="1">
      <c r="A52" s="2053"/>
      <c r="B52" s="513" t="s">
        <v>2866</v>
      </c>
      <c r="C52" s="563" t="s">
        <v>2942</v>
      </c>
      <c r="D52" s="129" t="s">
        <v>2886</v>
      </c>
      <c r="E52" s="129"/>
      <c r="F52" s="136">
        <v>45836</v>
      </c>
      <c r="G52" s="136"/>
      <c r="H52" s="91">
        <f>VLOOKUP(F52,환율!A:B,2,0)</f>
        <v>1357.6</v>
      </c>
      <c r="I52" s="134">
        <v>51109.3</v>
      </c>
      <c r="J52" s="93">
        <f t="shared" si="12"/>
        <v>69385985</v>
      </c>
      <c r="K52" s="93">
        <f t="shared" si="13"/>
        <v>69385985</v>
      </c>
      <c r="L52" s="254"/>
      <c r="M52" s="364" t="s">
        <v>2839</v>
      </c>
      <c r="N52" s="97" t="s">
        <v>2839</v>
      </c>
      <c r="O52" s="97" t="s">
        <v>2839</v>
      </c>
      <c r="P52" s="97" t="s">
        <v>2839</v>
      </c>
      <c r="Q52" s="97" t="s">
        <v>2861</v>
      </c>
      <c r="R52" s="97" t="s">
        <v>2839</v>
      </c>
      <c r="S52" s="436"/>
      <c r="T52" s="443"/>
    </row>
    <row r="53" spans="1:20" s="126" customFormat="1" ht="27" customHeight="1">
      <c r="A53" s="2053"/>
      <c r="B53" s="513" t="s">
        <v>115</v>
      </c>
      <c r="C53" s="563" t="s">
        <v>2942</v>
      </c>
      <c r="D53" s="129" t="s">
        <v>2939</v>
      </c>
      <c r="E53" s="129"/>
      <c r="F53" s="136" t="s">
        <v>2940</v>
      </c>
      <c r="G53" s="136"/>
      <c r="H53" s="91" t="s">
        <v>2941</v>
      </c>
      <c r="I53" s="134">
        <v>-7907.87</v>
      </c>
      <c r="J53" s="93">
        <v>-12349380</v>
      </c>
      <c r="K53" s="93">
        <f>J53</f>
        <v>-12349380</v>
      </c>
      <c r="L53" s="254"/>
      <c r="M53" s="364"/>
      <c r="N53" s="97"/>
      <c r="O53" s="97"/>
      <c r="P53" s="97"/>
      <c r="Q53" s="97"/>
      <c r="R53" s="97"/>
      <c r="S53" s="436"/>
      <c r="T53" s="443"/>
    </row>
    <row r="54" spans="1:20" s="126" customFormat="1" ht="27" customHeight="1">
      <c r="A54" s="2053"/>
      <c r="B54" s="556" t="s">
        <v>2859</v>
      </c>
      <c r="C54" s="564" t="s">
        <v>2942</v>
      </c>
      <c r="D54" s="557" t="s">
        <v>2881</v>
      </c>
      <c r="E54" s="557"/>
      <c r="F54" s="550">
        <v>45839</v>
      </c>
      <c r="G54" s="550"/>
      <c r="H54" s="528">
        <f>VLOOKUP(F54,환율!A:B,2,0)</f>
        <v>1353.6</v>
      </c>
      <c r="I54" s="551">
        <v>9696</v>
      </c>
      <c r="J54" s="530">
        <f t="shared" si="12"/>
        <v>13124505</v>
      </c>
      <c r="K54" s="530"/>
      <c r="L54" s="548">
        <f>J54</f>
        <v>13124505</v>
      </c>
      <c r="M54" s="364" t="s">
        <v>2839</v>
      </c>
      <c r="N54" s="97" t="s">
        <v>2839</v>
      </c>
      <c r="O54" s="97" t="s">
        <v>2839</v>
      </c>
      <c r="P54" s="97" t="s">
        <v>2839</v>
      </c>
      <c r="Q54" s="97" t="s">
        <v>2861</v>
      </c>
      <c r="R54" s="97" t="s">
        <v>2839</v>
      </c>
      <c r="S54" s="436"/>
      <c r="T54" s="443"/>
    </row>
    <row r="55" spans="1:20" s="126" customFormat="1" ht="27" customHeight="1">
      <c r="A55" s="2053"/>
      <c r="B55" s="556" t="s">
        <v>2867</v>
      </c>
      <c r="C55" s="564" t="s">
        <v>2942</v>
      </c>
      <c r="D55" s="557" t="s">
        <v>2887</v>
      </c>
      <c r="E55" s="557"/>
      <c r="F55" s="550">
        <v>45839</v>
      </c>
      <c r="G55" s="550"/>
      <c r="H55" s="528">
        <f>VLOOKUP(F55,환율!A:B,2,0)</f>
        <v>1353.6</v>
      </c>
      <c r="I55" s="551">
        <v>78183.360000000001</v>
      </c>
      <c r="J55" s="530">
        <f t="shared" si="12"/>
        <v>105828996</v>
      </c>
      <c r="K55" s="530"/>
      <c r="L55" s="548">
        <f t="shared" ref="L55:L58" si="14">J55</f>
        <v>105828996</v>
      </c>
      <c r="M55" s="364" t="s">
        <v>2839</v>
      </c>
      <c r="N55" s="97" t="s">
        <v>2839</v>
      </c>
      <c r="O55" s="97" t="s">
        <v>2839</v>
      </c>
      <c r="P55" s="97" t="s">
        <v>2839</v>
      </c>
      <c r="Q55" s="97" t="s">
        <v>2861</v>
      </c>
      <c r="R55" s="97" t="s">
        <v>2839</v>
      </c>
      <c r="S55" s="436"/>
      <c r="T55" s="443"/>
    </row>
    <row r="56" spans="1:20" s="126" customFormat="1" ht="27" customHeight="1">
      <c r="A56" s="2053"/>
      <c r="B56" s="556" t="s">
        <v>2868</v>
      </c>
      <c r="C56" s="564" t="s">
        <v>2942</v>
      </c>
      <c r="D56" s="557" t="s">
        <v>2888</v>
      </c>
      <c r="E56" s="557"/>
      <c r="F56" s="550">
        <v>45843</v>
      </c>
      <c r="G56" s="550"/>
      <c r="H56" s="528">
        <f>VLOOKUP(F56,환율!A:B,2,0)</f>
        <v>1358.1</v>
      </c>
      <c r="I56" s="551">
        <v>5567.04</v>
      </c>
      <c r="J56" s="530">
        <f t="shared" si="12"/>
        <v>7560597</v>
      </c>
      <c r="K56" s="530"/>
      <c r="L56" s="548">
        <f t="shared" si="14"/>
        <v>7560597</v>
      </c>
      <c r="M56" s="364" t="s">
        <v>2839</v>
      </c>
      <c r="N56" s="97" t="s">
        <v>2839</v>
      </c>
      <c r="O56" s="97" t="s">
        <v>2839</v>
      </c>
      <c r="P56" s="97" t="s">
        <v>2839</v>
      </c>
      <c r="Q56" s="97" t="s">
        <v>2861</v>
      </c>
      <c r="R56" s="97" t="s">
        <v>2839</v>
      </c>
      <c r="S56" s="436"/>
      <c r="T56" s="443"/>
    </row>
    <row r="57" spans="1:20" s="126" customFormat="1" ht="27" customHeight="1">
      <c r="A57" s="2053"/>
      <c r="B57" s="556" t="s">
        <v>2869</v>
      </c>
      <c r="C57" s="564" t="s">
        <v>2942</v>
      </c>
      <c r="D57" s="557" t="s">
        <v>2889</v>
      </c>
      <c r="E57" s="557"/>
      <c r="F57" s="550">
        <v>45844</v>
      </c>
      <c r="G57" s="550"/>
      <c r="H57" s="528">
        <f>VLOOKUP(F57,환율!A:B,2,0)</f>
        <v>1358.1</v>
      </c>
      <c r="I57" s="551">
        <v>50685.2</v>
      </c>
      <c r="J57" s="530">
        <f t="shared" si="12"/>
        <v>68835570</v>
      </c>
      <c r="K57" s="530"/>
      <c r="L57" s="548">
        <f t="shared" si="14"/>
        <v>68835570</v>
      </c>
      <c r="M57" s="364" t="s">
        <v>2839</v>
      </c>
      <c r="N57" s="97" t="s">
        <v>2839</v>
      </c>
      <c r="O57" s="97" t="s">
        <v>2839</v>
      </c>
      <c r="P57" s="97" t="s">
        <v>2839</v>
      </c>
      <c r="Q57" s="97" t="s">
        <v>2861</v>
      </c>
      <c r="R57" s="97" t="s">
        <v>2839</v>
      </c>
      <c r="S57" s="436"/>
      <c r="T57" s="443"/>
    </row>
    <row r="58" spans="1:20" s="126" customFormat="1" ht="27" customHeight="1">
      <c r="A58" s="2053"/>
      <c r="B58" s="556" t="s">
        <v>2870</v>
      </c>
      <c r="C58" s="564" t="s">
        <v>2942</v>
      </c>
      <c r="D58" s="557" t="s">
        <v>2890</v>
      </c>
      <c r="E58" s="557"/>
      <c r="F58" s="550">
        <v>45843</v>
      </c>
      <c r="G58" s="550"/>
      <c r="H58" s="528">
        <f>VLOOKUP(F58,환율!A:B,2,0)</f>
        <v>1358.1</v>
      </c>
      <c r="I58" s="551">
        <v>50926</v>
      </c>
      <c r="J58" s="530">
        <f t="shared" si="12"/>
        <v>69162600</v>
      </c>
      <c r="K58" s="530"/>
      <c r="L58" s="548">
        <f t="shared" si="14"/>
        <v>69162600</v>
      </c>
      <c r="M58" s="364" t="s">
        <v>2839</v>
      </c>
      <c r="N58" s="97" t="s">
        <v>2839</v>
      </c>
      <c r="O58" s="97" t="s">
        <v>2839</v>
      </c>
      <c r="P58" s="97" t="s">
        <v>2839</v>
      </c>
      <c r="Q58" s="97" t="s">
        <v>2861</v>
      </c>
      <c r="R58" s="97" t="s">
        <v>2839</v>
      </c>
      <c r="S58" s="436"/>
      <c r="T58" s="443"/>
    </row>
    <row r="59" spans="1:20" s="97" customFormat="1" ht="27" customHeight="1">
      <c r="A59" s="2035" t="s">
        <v>10</v>
      </c>
      <c r="B59" s="2036"/>
      <c r="C59" s="2036"/>
      <c r="D59" s="2036"/>
      <c r="E59" s="2036"/>
      <c r="F59" s="2036"/>
      <c r="G59" s="2036"/>
      <c r="H59" s="2037"/>
      <c r="I59" s="127">
        <f>SUM(I31:I58)</f>
        <v>1045539.27</v>
      </c>
      <c r="J59" s="116">
        <f>SUM(J31:J58)</f>
        <v>1427866726</v>
      </c>
      <c r="K59" s="116">
        <f>SUM(K31:K58)</f>
        <v>1163354458</v>
      </c>
      <c r="L59" s="260">
        <f>SUM(L31:L58)</f>
        <v>264512268</v>
      </c>
      <c r="M59" s="364"/>
      <c r="N59" s="434"/>
      <c r="O59" s="434"/>
      <c r="P59" s="434"/>
      <c r="Q59" s="434"/>
      <c r="R59" s="434"/>
      <c r="S59" s="434"/>
      <c r="T59" s="441"/>
    </row>
    <row r="60" spans="1:20" s="97" customFormat="1" ht="27" customHeight="1">
      <c r="A60" s="2012" t="s">
        <v>1892</v>
      </c>
      <c r="B60" s="513" t="s">
        <v>2891</v>
      </c>
      <c r="C60" s="513" t="s">
        <v>2943</v>
      </c>
      <c r="D60" s="513" t="s">
        <v>2892</v>
      </c>
      <c r="E60" s="89"/>
      <c r="F60" s="89">
        <v>45815</v>
      </c>
      <c r="G60" s="89"/>
      <c r="H60" s="91">
        <f>VLOOKUP(F60,환율!A:B,2,0)</f>
        <v>1373.8</v>
      </c>
      <c r="I60" s="92">
        <v>71405.279999999999</v>
      </c>
      <c r="J60" s="93">
        <f t="shared" ref="J60" si="15">ROUNDDOWN(I60*H60,0)</f>
        <v>98096573</v>
      </c>
      <c r="K60" s="93">
        <f>J60</f>
        <v>98096573</v>
      </c>
      <c r="L60" s="93"/>
      <c r="M60" s="364" t="s">
        <v>2839</v>
      </c>
      <c r="N60" s="97" t="s">
        <v>2839</v>
      </c>
      <c r="O60" s="97" t="s">
        <v>2839</v>
      </c>
      <c r="P60" s="97" t="s">
        <v>2839</v>
      </c>
      <c r="Q60" s="97" t="s">
        <v>2839</v>
      </c>
      <c r="R60" s="97" t="s">
        <v>2839</v>
      </c>
      <c r="S60" s="434"/>
      <c r="T60" s="441"/>
    </row>
    <row r="61" spans="1:20" s="97" customFormat="1" ht="27" customHeight="1">
      <c r="A61" s="2053"/>
      <c r="B61" s="513" t="s">
        <v>2893</v>
      </c>
      <c r="C61" s="513" t="s">
        <v>2943</v>
      </c>
      <c r="D61" s="513" t="s">
        <v>2894</v>
      </c>
      <c r="E61" s="89"/>
      <c r="F61" s="89">
        <v>45820</v>
      </c>
      <c r="G61" s="89"/>
      <c r="H61" s="91">
        <f>VLOOKUP(F61,환율!A:B,2,0)</f>
        <v>1368.8</v>
      </c>
      <c r="I61" s="92">
        <v>68993.279999999999</v>
      </c>
      <c r="J61" s="93">
        <f t="shared" ref="J61" si="16">ROUNDDOWN(I61*H61,0)</f>
        <v>94438001</v>
      </c>
      <c r="K61" s="93">
        <f>J61</f>
        <v>94438001</v>
      </c>
      <c r="L61" s="93"/>
      <c r="M61" s="364" t="s">
        <v>2839</v>
      </c>
      <c r="N61" s="97" t="s">
        <v>2839</v>
      </c>
      <c r="O61" s="97" t="s">
        <v>2839</v>
      </c>
      <c r="P61" s="97" t="s">
        <v>2839</v>
      </c>
      <c r="Q61" s="97" t="s">
        <v>2839</v>
      </c>
      <c r="R61" s="97" t="s">
        <v>2839</v>
      </c>
      <c r="S61" s="434"/>
      <c r="T61" s="441"/>
    </row>
    <row r="62" spans="1:20" s="97" customFormat="1" ht="27" customHeight="1">
      <c r="A62" s="2013"/>
      <c r="B62" s="513" t="s">
        <v>2895</v>
      </c>
      <c r="C62" s="513" t="s">
        <v>2943</v>
      </c>
      <c r="D62" s="513" t="s">
        <v>2937</v>
      </c>
      <c r="E62" s="89"/>
      <c r="F62" s="89">
        <v>45837</v>
      </c>
      <c r="G62" s="89"/>
      <c r="H62" s="91">
        <f>VLOOKUP(F62,환율!A:B,2,0)</f>
        <v>1357.6</v>
      </c>
      <c r="I62" s="92">
        <v>106900.56</v>
      </c>
      <c r="J62" s="93">
        <f t="shared" ref="J62" si="17">ROUNDDOWN(I62*H62,0)</f>
        <v>145128200</v>
      </c>
      <c r="K62" s="93">
        <f>J62</f>
        <v>145128200</v>
      </c>
      <c r="L62" s="93"/>
      <c r="M62" s="364" t="s">
        <v>2896</v>
      </c>
      <c r="N62" s="97" t="s">
        <v>2861</v>
      </c>
      <c r="O62" s="97" t="s">
        <v>2839</v>
      </c>
      <c r="P62" s="97" t="s">
        <v>2839</v>
      </c>
      <c r="Q62" s="97" t="s">
        <v>2839</v>
      </c>
      <c r="R62" s="97" t="s">
        <v>2839</v>
      </c>
      <c r="S62" s="434"/>
      <c r="T62" s="441"/>
    </row>
    <row r="63" spans="1:20" s="97" customFormat="1" ht="27" customHeight="1">
      <c r="A63" s="2035" t="s">
        <v>10</v>
      </c>
      <c r="B63" s="2036"/>
      <c r="C63" s="2036"/>
      <c r="D63" s="2036"/>
      <c r="E63" s="2036"/>
      <c r="F63" s="2036"/>
      <c r="G63" s="2036"/>
      <c r="H63" s="2037"/>
      <c r="I63" s="127">
        <f>SUM(I60:I62)</f>
        <v>247299.12</v>
      </c>
      <c r="J63" s="116">
        <f>SUM(J60:J62)</f>
        <v>337662774</v>
      </c>
      <c r="K63" s="116">
        <f>SUM(K60:K62)</f>
        <v>337662774</v>
      </c>
      <c r="L63" s="116">
        <f t="shared" ref="L63" si="18">SUM(L60:L61)</f>
        <v>0</v>
      </c>
      <c r="M63" s="364"/>
      <c r="N63" s="434"/>
      <c r="O63" s="434"/>
      <c r="P63" s="434"/>
      <c r="Q63" s="434"/>
      <c r="R63" s="434"/>
      <c r="S63" s="434"/>
      <c r="T63" s="441"/>
    </row>
    <row r="64" spans="1:20" s="97" customFormat="1" ht="27" customHeight="1">
      <c r="A64" s="2012" t="s">
        <v>35</v>
      </c>
      <c r="B64" s="174" t="s">
        <v>2898</v>
      </c>
      <c r="C64" s="174" t="s">
        <v>2943</v>
      </c>
      <c r="D64" s="174" t="s">
        <v>2899</v>
      </c>
      <c r="E64" s="146"/>
      <c r="F64" s="89">
        <v>45815</v>
      </c>
      <c r="G64" s="89"/>
      <c r="H64" s="91">
        <f>VLOOKUP(F64,환율!A:B,2,0)</f>
        <v>1373.8</v>
      </c>
      <c r="I64" s="92"/>
      <c r="J64" s="93">
        <v>20691359</v>
      </c>
      <c r="K64" s="93">
        <f>J64</f>
        <v>20691359</v>
      </c>
      <c r="L64" s="93"/>
      <c r="M64" s="401" t="s">
        <v>2839</v>
      </c>
      <c r="N64" s="97" t="s">
        <v>2839</v>
      </c>
      <c r="O64" s="97" t="s">
        <v>2839</v>
      </c>
      <c r="P64" s="97" t="s">
        <v>2839</v>
      </c>
      <c r="Q64" s="97" t="s">
        <v>2839</v>
      </c>
      <c r="R64" s="97" t="s">
        <v>2839</v>
      </c>
      <c r="S64" s="434"/>
      <c r="T64" s="441"/>
    </row>
    <row r="65" spans="1:20" s="97" customFormat="1" ht="27" customHeight="1">
      <c r="A65" s="2053"/>
      <c r="B65" s="524" t="s">
        <v>2900</v>
      </c>
      <c r="C65" s="524" t="s">
        <v>2942</v>
      </c>
      <c r="D65" s="524" t="s">
        <v>2901</v>
      </c>
      <c r="E65" s="552"/>
      <c r="F65" s="547">
        <v>45846</v>
      </c>
      <c r="G65" s="547"/>
      <c r="H65" s="528">
        <f>VLOOKUP(F65,환율!A:B,2,0)</f>
        <v>1366.6</v>
      </c>
      <c r="I65" s="529"/>
      <c r="J65" s="530">
        <v>57778967</v>
      </c>
      <c r="K65" s="530"/>
      <c r="L65" s="530">
        <f>J65</f>
        <v>57778967</v>
      </c>
      <c r="M65" s="401" t="s">
        <v>2839</v>
      </c>
      <c r="N65" s="97" t="s">
        <v>2839</v>
      </c>
      <c r="O65" s="97" t="s">
        <v>2839</v>
      </c>
      <c r="P65" s="97" t="s">
        <v>2839</v>
      </c>
      <c r="Q65" s="97" t="s">
        <v>2839</v>
      </c>
      <c r="R65" s="97" t="s">
        <v>2839</v>
      </c>
      <c r="S65" s="434"/>
      <c r="T65" s="441"/>
    </row>
    <row r="66" spans="1:20" s="97" customFormat="1" ht="27" customHeight="1">
      <c r="A66" s="2053"/>
      <c r="B66" s="524" t="s">
        <v>2902</v>
      </c>
      <c r="C66" s="524" t="s">
        <v>2942</v>
      </c>
      <c r="D66" s="524" t="s">
        <v>2903</v>
      </c>
      <c r="E66" s="552"/>
      <c r="F66" s="547">
        <v>45847</v>
      </c>
      <c r="G66" s="547"/>
      <c r="H66" s="528">
        <f>VLOOKUP(F66,환율!A:B,2,0)</f>
        <v>1368</v>
      </c>
      <c r="I66" s="529"/>
      <c r="J66" s="530">
        <v>29861321</v>
      </c>
      <c r="K66" s="530"/>
      <c r="L66" s="530">
        <f>J66</f>
        <v>29861321</v>
      </c>
      <c r="M66" s="401" t="s">
        <v>2839</v>
      </c>
      <c r="N66" s="97" t="s">
        <v>2839</v>
      </c>
      <c r="O66" s="97" t="s">
        <v>2839</v>
      </c>
      <c r="P66" s="97" t="s">
        <v>2839</v>
      </c>
      <c r="Q66" s="97" t="s">
        <v>2839</v>
      </c>
      <c r="R66" s="97" t="s">
        <v>2861</v>
      </c>
      <c r="S66" s="434"/>
      <c r="T66" s="441"/>
    </row>
    <row r="67" spans="1:20" s="97" customFormat="1" ht="27" customHeight="1">
      <c r="A67" s="2035" t="s">
        <v>10</v>
      </c>
      <c r="B67" s="2036"/>
      <c r="C67" s="2036"/>
      <c r="D67" s="2036"/>
      <c r="E67" s="2036"/>
      <c r="F67" s="2036"/>
      <c r="G67" s="2036"/>
      <c r="H67" s="2037"/>
      <c r="I67" s="127">
        <f>SUM(I64:I64)</f>
        <v>0</v>
      </c>
      <c r="J67" s="116">
        <f>SUM(J64:J66)</f>
        <v>108331647</v>
      </c>
      <c r="K67" s="116">
        <f>SUM(K64:K66)</f>
        <v>20691359</v>
      </c>
      <c r="L67" s="116">
        <f>SUM(L64:L66)</f>
        <v>87640288</v>
      </c>
      <c r="M67" s="364"/>
      <c r="N67" s="434"/>
      <c r="O67" s="434"/>
      <c r="P67" s="434"/>
      <c r="Q67" s="434"/>
      <c r="R67" s="434"/>
      <c r="S67" s="434"/>
      <c r="T67" s="441"/>
    </row>
    <row r="68" spans="1:20" s="97" customFormat="1">
      <c r="A68" s="362" t="s">
        <v>47</v>
      </c>
      <c r="B68" s="524" t="s">
        <v>2897</v>
      </c>
      <c r="C68" s="524" t="s">
        <v>2942</v>
      </c>
      <c r="D68" s="524"/>
      <c r="E68" s="552"/>
      <c r="F68" s="547">
        <v>45847</v>
      </c>
      <c r="G68" s="547"/>
      <c r="H68" s="528">
        <f>VLOOKUP(F68,환율!A:B,2,0)</f>
        <v>1368</v>
      </c>
      <c r="I68" s="529">
        <v>31580.799999999999</v>
      </c>
      <c r="J68" s="530">
        <f t="shared" ref="J68" si="19">ROUNDDOWN(I68*H68,0)</f>
        <v>43202534</v>
      </c>
      <c r="K68" s="530"/>
      <c r="L68" s="530">
        <f>J68</f>
        <v>43202534</v>
      </c>
      <c r="M68" s="364"/>
      <c r="N68" s="434"/>
      <c r="O68" s="434"/>
      <c r="P68" s="434"/>
      <c r="Q68" s="434"/>
      <c r="R68" s="434"/>
      <c r="S68" s="434"/>
      <c r="T68" s="441"/>
    </row>
    <row r="69" spans="1:20" s="97" customFormat="1" ht="27" customHeight="1">
      <c r="A69" s="2035" t="s">
        <v>10</v>
      </c>
      <c r="B69" s="2036"/>
      <c r="C69" s="2036"/>
      <c r="D69" s="2036"/>
      <c r="E69" s="2036"/>
      <c r="F69" s="2036"/>
      <c r="G69" s="2036"/>
      <c r="H69" s="2037"/>
      <c r="I69" s="127">
        <f>SUM(I68:I68)</f>
        <v>31580.799999999999</v>
      </c>
      <c r="J69" s="116">
        <f>SUM(J68:J68)</f>
        <v>43202534</v>
      </c>
      <c r="K69" s="116">
        <f>SUM(K68:K68)</f>
        <v>0</v>
      </c>
      <c r="L69" s="116">
        <f>SUM(L68:L68)</f>
        <v>43202534</v>
      </c>
      <c r="M69" s="364"/>
      <c r="N69" s="434"/>
      <c r="O69" s="434"/>
      <c r="P69" s="434"/>
      <c r="Q69" s="434"/>
      <c r="R69" s="434"/>
      <c r="S69" s="434"/>
      <c r="T69" s="441"/>
    </row>
    <row r="70" spans="1:20" s="97" customFormat="1" ht="27" customHeight="1">
      <c r="A70" s="2012" t="s">
        <v>34</v>
      </c>
      <c r="B70" s="174" t="s">
        <v>2904</v>
      </c>
      <c r="C70" s="515" t="s">
        <v>2943</v>
      </c>
      <c r="D70" s="515" t="s">
        <v>2905</v>
      </c>
      <c r="E70" s="485"/>
      <c r="F70" s="130">
        <v>45825</v>
      </c>
      <c r="G70" s="486"/>
      <c r="H70" s="91">
        <f>VLOOKUP(F70,환율!A:B,2,0)</f>
        <v>1363.6</v>
      </c>
      <c r="I70" s="118">
        <v>11026.5</v>
      </c>
      <c r="J70" s="93">
        <f t="shared" ref="J70" si="20">ROUNDDOWN(I70*H70,0)</f>
        <v>15035735</v>
      </c>
      <c r="K70" s="93">
        <f t="shared" ref="K70" si="21">J70</f>
        <v>15035735</v>
      </c>
      <c r="L70" s="263"/>
      <c r="M70" s="401" t="s">
        <v>2839</v>
      </c>
      <c r="N70" s="97" t="s">
        <v>2839</v>
      </c>
      <c r="O70" s="97" t="s">
        <v>2839</v>
      </c>
      <c r="P70" s="97" t="s">
        <v>2839</v>
      </c>
      <c r="Q70" s="97" t="s">
        <v>2839</v>
      </c>
      <c r="R70" s="97" t="s">
        <v>2839</v>
      </c>
      <c r="S70" s="434"/>
      <c r="T70" s="441"/>
    </row>
    <row r="71" spans="1:20" s="97" customFormat="1" ht="27" customHeight="1">
      <c r="A71" s="2013"/>
      <c r="B71" s="524" t="s">
        <v>2906</v>
      </c>
      <c r="C71" s="524" t="s">
        <v>2942</v>
      </c>
      <c r="D71" s="524" t="s">
        <v>2907</v>
      </c>
      <c r="E71" s="552"/>
      <c r="F71" s="552">
        <v>45840</v>
      </c>
      <c r="G71" s="591"/>
      <c r="H71" s="528">
        <f>VLOOKUP(F71,환율!A:B,2,0)</f>
        <v>1352.6</v>
      </c>
      <c r="I71" s="554">
        <v>11630</v>
      </c>
      <c r="J71" s="530">
        <f t="shared" ref="J71" si="22">ROUNDDOWN(I71*H71,0)</f>
        <v>15730738</v>
      </c>
      <c r="K71" s="530"/>
      <c r="L71" s="530">
        <f>J71</f>
        <v>15730738</v>
      </c>
      <c r="M71" s="401" t="s">
        <v>2839</v>
      </c>
      <c r="N71" s="97" t="s">
        <v>2839</v>
      </c>
      <c r="O71" s="97" t="s">
        <v>2839</v>
      </c>
      <c r="P71" s="97" t="s">
        <v>2839</v>
      </c>
      <c r="Q71" s="97" t="s">
        <v>2839</v>
      </c>
      <c r="R71" s="97" t="s">
        <v>2839</v>
      </c>
      <c r="S71" s="434"/>
      <c r="T71" s="441"/>
    </row>
    <row r="72" spans="1:20" s="97" customFormat="1" ht="27" customHeight="1">
      <c r="A72" s="2035" t="s">
        <v>10</v>
      </c>
      <c r="B72" s="2036"/>
      <c r="C72" s="2036"/>
      <c r="D72" s="2036"/>
      <c r="E72" s="2036"/>
      <c r="F72" s="2036"/>
      <c r="G72" s="2036"/>
      <c r="H72" s="2037"/>
      <c r="I72" s="159">
        <f>SUM(I70:I70)</f>
        <v>11026.5</v>
      </c>
      <c r="J72" s="160">
        <f>SUM(J70:J71)</f>
        <v>30766473</v>
      </c>
      <c r="K72" s="116">
        <f>SUM(K70:K71)</f>
        <v>15035735</v>
      </c>
      <c r="L72" s="116">
        <f>SUM(L70:L71)</f>
        <v>15730738</v>
      </c>
      <c r="M72" s="364"/>
      <c r="N72" s="434"/>
      <c r="O72" s="434"/>
      <c r="P72" s="434"/>
      <c r="Q72" s="434"/>
      <c r="R72" s="434"/>
      <c r="S72" s="434"/>
      <c r="T72" s="441"/>
    </row>
    <row r="73" spans="1:20" s="97" customFormat="1" ht="27" customHeight="1">
      <c r="A73" s="2017" t="s">
        <v>14</v>
      </c>
      <c r="B73" s="174" t="s">
        <v>2908</v>
      </c>
      <c r="C73" s="173" t="s">
        <v>2942</v>
      </c>
      <c r="D73" s="173" t="s">
        <v>2913</v>
      </c>
      <c r="E73" s="288"/>
      <c r="F73" s="136">
        <v>45821</v>
      </c>
      <c r="G73" s="222"/>
      <c r="H73" s="91">
        <f>VLOOKUP(F73,환율!A:B,2,0)</f>
        <v>1362.9</v>
      </c>
      <c r="I73" s="92">
        <v>572.66</v>
      </c>
      <c r="J73" s="93">
        <f t="shared" ref="J73:J77" si="23">ROUNDDOWN(I73*H73,0)</f>
        <v>780478</v>
      </c>
      <c r="K73" s="93">
        <f t="shared" ref="K73:K77" si="24">J73</f>
        <v>780478</v>
      </c>
      <c r="L73" s="254"/>
      <c r="M73" s="364" t="s">
        <v>2839</v>
      </c>
      <c r="N73" s="97" t="s">
        <v>2839</v>
      </c>
      <c r="O73" s="97" t="s">
        <v>2839</v>
      </c>
      <c r="P73" s="97" t="s">
        <v>2839</v>
      </c>
      <c r="Q73" s="97" t="s">
        <v>2839</v>
      </c>
      <c r="R73" s="97" t="s">
        <v>2839</v>
      </c>
      <c r="S73" s="434"/>
      <c r="T73" s="441"/>
    </row>
    <row r="74" spans="1:20" s="97" customFormat="1" ht="27" customHeight="1">
      <c r="A74" s="2017"/>
      <c r="B74" s="174" t="s">
        <v>2909</v>
      </c>
      <c r="C74" s="173" t="s">
        <v>2942</v>
      </c>
      <c r="D74" s="173" t="s">
        <v>2914</v>
      </c>
      <c r="E74" s="288"/>
      <c r="F74" s="136">
        <v>45829</v>
      </c>
      <c r="G74" s="222"/>
      <c r="H74" s="91">
        <f>VLOOKUP(F74,환율!A:B,2,0)</f>
        <v>1379.6</v>
      </c>
      <c r="I74" s="92">
        <v>1032.04</v>
      </c>
      <c r="J74" s="93">
        <f t="shared" si="23"/>
        <v>1423802</v>
      </c>
      <c r="K74" s="93">
        <f t="shared" si="24"/>
        <v>1423802</v>
      </c>
      <c r="L74" s="254"/>
      <c r="M74" s="364" t="s">
        <v>2839</v>
      </c>
      <c r="N74" s="97" t="s">
        <v>2839</v>
      </c>
      <c r="O74" s="97" t="s">
        <v>2839</v>
      </c>
      <c r="P74" s="97" t="s">
        <v>2839</v>
      </c>
      <c r="Q74" s="97" t="s">
        <v>2839</v>
      </c>
      <c r="R74" s="97" t="s">
        <v>2839</v>
      </c>
      <c r="S74" s="434"/>
      <c r="T74" s="441"/>
    </row>
    <row r="75" spans="1:20" s="97" customFormat="1" ht="27" customHeight="1">
      <c r="A75" s="2017"/>
      <c r="B75" s="174" t="s">
        <v>2910</v>
      </c>
      <c r="C75" s="173" t="s">
        <v>2942</v>
      </c>
      <c r="D75" s="173" t="s">
        <v>2915</v>
      </c>
      <c r="E75" s="288"/>
      <c r="F75" s="136">
        <v>45826</v>
      </c>
      <c r="G75" s="222"/>
      <c r="H75" s="91">
        <f>VLOOKUP(F75,환율!A:B,2,0)</f>
        <v>1361.7</v>
      </c>
      <c r="I75" s="118">
        <v>1514.28</v>
      </c>
      <c r="J75" s="93">
        <f t="shared" si="23"/>
        <v>2061995</v>
      </c>
      <c r="K75" s="93">
        <f t="shared" si="24"/>
        <v>2061995</v>
      </c>
      <c r="L75" s="255"/>
      <c r="M75" s="403" t="s">
        <v>2839</v>
      </c>
      <c r="N75" s="97" t="s">
        <v>2839</v>
      </c>
      <c r="O75" s="97" t="s">
        <v>2839</v>
      </c>
      <c r="P75" s="97" t="s">
        <v>2839</v>
      </c>
      <c r="Q75" s="97" t="s">
        <v>2839</v>
      </c>
      <c r="R75" s="97" t="s">
        <v>2839</v>
      </c>
      <c r="S75" s="434"/>
      <c r="T75" s="441"/>
    </row>
    <row r="76" spans="1:20" s="97" customFormat="1" ht="27" customHeight="1">
      <c r="A76" s="2017"/>
      <c r="B76" s="174" t="s">
        <v>2911</v>
      </c>
      <c r="C76" s="173" t="s">
        <v>2942</v>
      </c>
      <c r="D76" s="173" t="s">
        <v>2916</v>
      </c>
      <c r="E76" s="288"/>
      <c r="F76" s="136">
        <v>45835</v>
      </c>
      <c r="G76" s="222"/>
      <c r="H76" s="91">
        <f>VLOOKUP(F76,환율!A:B,2,0)</f>
        <v>1357.6</v>
      </c>
      <c r="I76" s="92">
        <v>28546</v>
      </c>
      <c r="J76" s="93">
        <f t="shared" si="23"/>
        <v>38754049</v>
      </c>
      <c r="K76" s="93">
        <f t="shared" si="24"/>
        <v>38754049</v>
      </c>
      <c r="L76" s="256"/>
      <c r="M76" s="364" t="s">
        <v>2839</v>
      </c>
      <c r="N76" s="97" t="s">
        <v>2839</v>
      </c>
      <c r="O76" s="97" t="s">
        <v>2839</v>
      </c>
      <c r="P76" s="97" t="s">
        <v>2839</v>
      </c>
      <c r="Q76" s="97" t="s">
        <v>2839</v>
      </c>
      <c r="R76" s="97" t="s">
        <v>2839</v>
      </c>
      <c r="S76" s="434"/>
      <c r="T76" s="441"/>
    </row>
    <row r="77" spans="1:20" s="97" customFormat="1" ht="27" customHeight="1">
      <c r="A77" s="2017"/>
      <c r="B77" s="174" t="s">
        <v>2912</v>
      </c>
      <c r="C77" s="173" t="s">
        <v>2942</v>
      </c>
      <c r="D77" s="173" t="s">
        <v>2917</v>
      </c>
      <c r="E77" s="288"/>
      <c r="F77" s="136">
        <v>45824</v>
      </c>
      <c r="G77" s="222"/>
      <c r="H77" s="91">
        <f>VLOOKUP(F77,환율!A:B,2,0)</f>
        <v>1366.8</v>
      </c>
      <c r="I77" s="92">
        <v>334.69</v>
      </c>
      <c r="J77" s="93">
        <f t="shared" si="23"/>
        <v>457454</v>
      </c>
      <c r="K77" s="93">
        <f t="shared" si="24"/>
        <v>457454</v>
      </c>
      <c r="L77" s="256"/>
      <c r="M77" s="364" t="s">
        <v>2839</v>
      </c>
      <c r="N77" s="97" t="s">
        <v>2839</v>
      </c>
      <c r="O77" s="97" t="s">
        <v>2839</v>
      </c>
      <c r="P77" s="97" t="s">
        <v>2839</v>
      </c>
      <c r="Q77" s="97" t="s">
        <v>2839</v>
      </c>
      <c r="R77" s="97" t="s">
        <v>2839</v>
      </c>
      <c r="S77" s="434"/>
      <c r="T77" s="441"/>
    </row>
    <row r="78" spans="1:20" s="97" customFormat="1" ht="27" customHeight="1">
      <c r="A78" s="2035" t="s">
        <v>10</v>
      </c>
      <c r="B78" s="2036"/>
      <c r="C78" s="2036"/>
      <c r="D78" s="2036"/>
      <c r="E78" s="2036"/>
      <c r="F78" s="2036"/>
      <c r="G78" s="2036"/>
      <c r="H78" s="2037"/>
      <c r="I78" s="127">
        <f>SUM(I73:I77)</f>
        <v>31999.67</v>
      </c>
      <c r="J78" s="160">
        <f>SUM(J73:J77)</f>
        <v>43477778</v>
      </c>
      <c r="K78" s="116">
        <f>SUM(K73:K77)</f>
        <v>43477778</v>
      </c>
      <c r="L78" s="260">
        <f>SUM(L73:L77)</f>
        <v>0</v>
      </c>
      <c r="M78" s="364"/>
      <c r="N78" s="434"/>
      <c r="O78" s="434"/>
      <c r="P78" s="434"/>
      <c r="Q78" s="434"/>
      <c r="R78" s="434"/>
      <c r="S78" s="434"/>
      <c r="T78" s="441"/>
    </row>
    <row r="79" spans="1:20" s="97" customFormat="1" ht="27" customHeight="1">
      <c r="A79" s="2012" t="s">
        <v>15</v>
      </c>
      <c r="B79" s="514" t="s">
        <v>2747</v>
      </c>
      <c r="C79" s="487" t="s">
        <v>2943</v>
      </c>
      <c r="D79" s="487" t="s">
        <v>2922</v>
      </c>
      <c r="E79" s="482"/>
      <c r="F79" s="465">
        <v>45824</v>
      </c>
      <c r="G79" s="465"/>
      <c r="H79" s="456">
        <f>VLOOKUP(F79,환율!A:B,2,0)</f>
        <v>1366.8</v>
      </c>
      <c r="I79" s="457">
        <v>23057.97</v>
      </c>
      <c r="J79" s="458">
        <f t="shared" ref="J79" si="25">ROUNDDOWN(I79*H79,0)</f>
        <v>31515633</v>
      </c>
      <c r="K79" s="458">
        <f>J79</f>
        <v>31515633</v>
      </c>
      <c r="L79" s="618"/>
      <c r="M79" s="401" t="s">
        <v>2896</v>
      </c>
      <c r="N79" s="434" t="s">
        <v>730</v>
      </c>
      <c r="O79" s="434" t="s">
        <v>2839</v>
      </c>
      <c r="P79" s="434" t="s">
        <v>2839</v>
      </c>
      <c r="Q79" s="434" t="s">
        <v>2839</v>
      </c>
      <c r="R79" s="434" t="s">
        <v>2839</v>
      </c>
      <c r="S79" s="434"/>
      <c r="T79" s="441"/>
    </row>
    <row r="80" spans="1:20" s="97" customFormat="1" ht="27" customHeight="1">
      <c r="A80" s="2053"/>
      <c r="B80" s="174" t="s">
        <v>2918</v>
      </c>
      <c r="C80" s="587" t="s">
        <v>2943</v>
      </c>
      <c r="D80" s="587" t="s">
        <v>2919</v>
      </c>
      <c r="E80" s="485"/>
      <c r="F80" s="130">
        <v>45838</v>
      </c>
      <c r="G80" s="130"/>
      <c r="H80" s="163">
        <f>VLOOKUP(F80,환율!A:B,2,0)</f>
        <v>1356.4</v>
      </c>
      <c r="I80" s="143">
        <v>39021.18</v>
      </c>
      <c r="J80" s="164">
        <f t="shared" ref="J80:J81" si="26">ROUNDDOWN(I80*H80,0)</f>
        <v>52928328</v>
      </c>
      <c r="K80" s="164">
        <f t="shared" ref="K80:K81" si="27">J80</f>
        <v>52928328</v>
      </c>
      <c r="L80" s="396"/>
      <c r="M80" s="401" t="s">
        <v>2839</v>
      </c>
      <c r="N80" s="97" t="s">
        <v>2839</v>
      </c>
      <c r="O80" s="97" t="s">
        <v>2839</v>
      </c>
      <c r="P80" s="97" t="s">
        <v>2839</v>
      </c>
      <c r="Q80" s="97" t="s">
        <v>2839</v>
      </c>
      <c r="R80" s="97" t="s">
        <v>2839</v>
      </c>
      <c r="S80" s="434"/>
      <c r="T80" s="441"/>
    </row>
    <row r="81" spans="1:20" s="97" customFormat="1" ht="27" customHeight="1">
      <c r="A81" s="2053"/>
      <c r="B81" s="174" t="s">
        <v>2920</v>
      </c>
      <c r="C81" s="587" t="s">
        <v>2943</v>
      </c>
      <c r="D81" s="587" t="s">
        <v>2921</v>
      </c>
      <c r="E81" s="485"/>
      <c r="F81" s="130">
        <v>45833</v>
      </c>
      <c r="G81" s="130"/>
      <c r="H81" s="163">
        <f>VLOOKUP(F81,환율!A:B,2,0)</f>
        <v>1365</v>
      </c>
      <c r="I81" s="143">
        <v>16087.35</v>
      </c>
      <c r="J81" s="164">
        <f t="shared" si="26"/>
        <v>21959232</v>
      </c>
      <c r="K81" s="164">
        <f t="shared" si="27"/>
        <v>21959232</v>
      </c>
      <c r="L81" s="588"/>
      <c r="M81" s="401" t="s">
        <v>2839</v>
      </c>
      <c r="N81" s="97" t="s">
        <v>2839</v>
      </c>
      <c r="O81" s="97" t="s">
        <v>2839</v>
      </c>
      <c r="P81" s="97" t="s">
        <v>2839</v>
      </c>
      <c r="Q81" s="97" t="s">
        <v>2839</v>
      </c>
      <c r="R81" s="97" t="s">
        <v>2839</v>
      </c>
      <c r="S81" s="434"/>
      <c r="T81" s="441"/>
    </row>
    <row r="82" spans="1:20" s="97" customFormat="1" ht="27" customHeight="1">
      <c r="A82" s="2035" t="s">
        <v>10</v>
      </c>
      <c r="B82" s="2036"/>
      <c r="C82" s="2036"/>
      <c r="D82" s="2036"/>
      <c r="E82" s="2036"/>
      <c r="F82" s="2036"/>
      <c r="G82" s="2036"/>
      <c r="H82" s="2037"/>
      <c r="I82" s="127">
        <f>SUM(I79:I81)</f>
        <v>78166.5</v>
      </c>
      <c r="J82" s="116">
        <f>SUM(J79:J81)</f>
        <v>106403193</v>
      </c>
      <c r="K82" s="116">
        <f>SUM(K79:K81)</f>
        <v>106403193</v>
      </c>
      <c r="L82" s="116">
        <f>SUM(L79:L81)</f>
        <v>0</v>
      </c>
      <c r="M82" s="366"/>
      <c r="N82" s="434"/>
      <c r="O82" s="434"/>
      <c r="P82" s="434"/>
      <c r="Q82" s="434"/>
      <c r="R82" s="434"/>
      <c r="S82" s="434"/>
      <c r="T82" s="441"/>
    </row>
    <row r="83" spans="1:20" s="97" customFormat="1" ht="27" customHeight="1">
      <c r="A83" s="2012" t="s">
        <v>726</v>
      </c>
      <c r="B83" s="466" t="s">
        <v>2813</v>
      </c>
      <c r="C83" s="466" t="s">
        <v>2943</v>
      </c>
      <c r="D83" s="466" t="s">
        <v>2814</v>
      </c>
      <c r="E83" s="466"/>
      <c r="F83" s="466">
        <v>45809</v>
      </c>
      <c r="G83" s="466"/>
      <c r="H83" s="467">
        <v>9.5927000000000007</v>
      </c>
      <c r="I83" s="468">
        <v>18419810</v>
      </c>
      <c r="J83" s="458">
        <f t="shared" ref="J83" si="28">ROUNDDOWN(I83*H83,0)</f>
        <v>176695711</v>
      </c>
      <c r="K83" s="458">
        <f>J83</f>
        <v>176695711</v>
      </c>
      <c r="L83" s="464"/>
      <c r="M83" s="366"/>
      <c r="N83" s="434"/>
      <c r="O83" s="434"/>
      <c r="P83" s="434"/>
      <c r="Q83" s="434"/>
      <c r="R83" s="434"/>
      <c r="S83" s="434"/>
      <c r="T83" s="441"/>
    </row>
    <row r="84" spans="1:20" s="97" customFormat="1" ht="27" customHeight="1">
      <c r="A84" s="2053"/>
      <c r="B84" s="146" t="s">
        <v>2924</v>
      </c>
      <c r="C84" s="146" t="s">
        <v>2943</v>
      </c>
      <c r="D84" s="146" t="s">
        <v>2923</v>
      </c>
      <c r="E84" s="136"/>
      <c r="F84" s="90">
        <v>45824</v>
      </c>
      <c r="G84" s="90"/>
      <c r="H84" s="397">
        <v>9.4558999999999997</v>
      </c>
      <c r="I84" s="177">
        <v>19928700</v>
      </c>
      <c r="J84" s="93">
        <f t="shared" ref="J84:J86" si="29">ROUNDDOWN(I84*H84,0)</f>
        <v>188443794</v>
      </c>
      <c r="K84" s="93">
        <f>J84</f>
        <v>188443794</v>
      </c>
      <c r="L84" s="263"/>
      <c r="M84" s="364"/>
      <c r="S84" s="434"/>
      <c r="T84" s="441"/>
    </row>
    <row r="85" spans="1:20" s="97" customFormat="1" ht="27" customHeight="1">
      <c r="A85" s="2053"/>
      <c r="B85" s="146" t="s">
        <v>2925</v>
      </c>
      <c r="C85" s="146" t="s">
        <v>2943</v>
      </c>
      <c r="D85" s="146" t="s">
        <v>2927</v>
      </c>
      <c r="E85" s="136"/>
      <c r="F85" s="90">
        <v>45831</v>
      </c>
      <c r="G85" s="90"/>
      <c r="H85" s="176">
        <v>9.3553999999999995</v>
      </c>
      <c r="I85" s="177">
        <v>16169905</v>
      </c>
      <c r="J85" s="93">
        <f t="shared" si="29"/>
        <v>151275929</v>
      </c>
      <c r="K85" s="93">
        <f t="shared" ref="K85:K89" si="30">J85</f>
        <v>151275929</v>
      </c>
      <c r="L85" s="263"/>
      <c r="M85" s="402"/>
      <c r="S85" s="434"/>
      <c r="T85" s="441"/>
    </row>
    <row r="86" spans="1:20" s="97" customFormat="1" ht="27" customHeight="1">
      <c r="A86" s="2053"/>
      <c r="B86" s="146" t="s">
        <v>2926</v>
      </c>
      <c r="C86" s="146" t="s">
        <v>2943</v>
      </c>
      <c r="D86" s="146" t="s">
        <v>2928</v>
      </c>
      <c r="E86" s="136"/>
      <c r="F86" s="136">
        <v>45838</v>
      </c>
      <c r="G86" s="136"/>
      <c r="H86" s="176">
        <v>9.3897999999999993</v>
      </c>
      <c r="I86" s="177">
        <v>20354680</v>
      </c>
      <c r="J86" s="93">
        <f t="shared" si="29"/>
        <v>191126374</v>
      </c>
      <c r="K86" s="93">
        <f t="shared" si="30"/>
        <v>191126374</v>
      </c>
      <c r="L86" s="263"/>
      <c r="S86" s="434"/>
      <c r="T86" s="441"/>
    </row>
    <row r="87" spans="1:20" s="97" customFormat="1" ht="27" customHeight="1">
      <c r="A87" s="2013"/>
      <c r="B87" s="146" t="s">
        <v>2938</v>
      </c>
      <c r="C87" s="146" t="s">
        <v>2942</v>
      </c>
      <c r="D87" s="146"/>
      <c r="E87" s="136"/>
      <c r="F87" s="136">
        <v>45817</v>
      </c>
      <c r="G87" s="136"/>
      <c r="H87" s="176">
        <v>9.3948</v>
      </c>
      <c r="I87" s="177">
        <v>1697850</v>
      </c>
      <c r="J87" s="93">
        <f t="shared" ref="J87" si="31">ROUNDDOWN(I87*H87,0)</f>
        <v>15950961</v>
      </c>
      <c r="K87" s="93">
        <f t="shared" ref="K87" si="32">J87</f>
        <v>15950961</v>
      </c>
      <c r="L87" s="263"/>
      <c r="S87" s="434"/>
      <c r="T87" s="441"/>
    </row>
    <row r="88" spans="1:20" s="97" customFormat="1" ht="27" customHeight="1">
      <c r="A88" s="361" t="s">
        <v>10</v>
      </c>
      <c r="B88" s="113"/>
      <c r="C88" s="113"/>
      <c r="D88" s="113"/>
      <c r="E88" s="113"/>
      <c r="F88" s="113"/>
      <c r="G88" s="113"/>
      <c r="H88" s="114"/>
      <c r="I88" s="398">
        <f>SUM(I83:I86)</f>
        <v>74873095</v>
      </c>
      <c r="J88" s="116">
        <f>SUM(J83:J87)</f>
        <v>723492769</v>
      </c>
      <c r="K88" s="116">
        <f>SUM(K83:K87)</f>
        <v>723492769</v>
      </c>
      <c r="L88" s="260">
        <f>SUM(L83:L86)</f>
        <v>0</v>
      </c>
      <c r="S88" s="434"/>
      <c r="T88" s="441"/>
    </row>
    <row r="89" spans="1:20" s="97" customFormat="1" ht="27" customHeight="1">
      <c r="A89" s="2109" t="s">
        <v>2787</v>
      </c>
      <c r="B89" s="174" t="s">
        <v>2929</v>
      </c>
      <c r="C89" s="174" t="s">
        <v>2942</v>
      </c>
      <c r="D89" s="174" t="s">
        <v>2931</v>
      </c>
      <c r="E89" s="146"/>
      <c r="F89" s="146">
        <v>45818</v>
      </c>
      <c r="G89" s="607"/>
      <c r="H89" s="176">
        <v>9.3947000000000003</v>
      </c>
      <c r="I89" s="177">
        <v>246661</v>
      </c>
      <c r="J89" s="93">
        <f t="shared" ref="J89" si="33">ROUNDDOWN(I89*H89,0)</f>
        <v>2317306</v>
      </c>
      <c r="K89" s="93">
        <f t="shared" si="30"/>
        <v>2317306</v>
      </c>
      <c r="L89" s="167"/>
      <c r="S89" s="434"/>
      <c r="T89" s="441"/>
    </row>
    <row r="90" spans="1:20" s="97" customFormat="1" ht="27" customHeight="1">
      <c r="A90" s="2110"/>
      <c r="B90" s="174" t="s">
        <v>2930</v>
      </c>
      <c r="C90" s="174" t="s">
        <v>2942</v>
      </c>
      <c r="D90" s="174" t="s">
        <v>2932</v>
      </c>
      <c r="E90" s="146"/>
      <c r="F90" s="146">
        <v>45820</v>
      </c>
      <c r="G90" s="607"/>
      <c r="H90" s="176">
        <v>9.4893999999999998</v>
      </c>
      <c r="I90" s="177">
        <v>493322</v>
      </c>
      <c r="J90" s="93">
        <f t="shared" ref="J90" si="34">ROUNDDOWN(I90*H90,0)</f>
        <v>4681329</v>
      </c>
      <c r="K90" s="93">
        <f t="shared" ref="K90" si="35">J90</f>
        <v>4681329</v>
      </c>
      <c r="L90" s="167"/>
      <c r="S90" s="434"/>
      <c r="T90" s="441"/>
    </row>
    <row r="91" spans="1:20" s="97" customFormat="1" ht="27" customHeight="1">
      <c r="A91" s="600"/>
      <c r="B91" s="113"/>
      <c r="C91" s="148"/>
      <c r="D91" s="148"/>
      <c r="E91" s="148"/>
      <c r="F91" s="148"/>
      <c r="G91" s="148"/>
      <c r="H91" s="114"/>
      <c r="I91" s="605">
        <f>SUM(I89:I89)</f>
        <v>246661</v>
      </c>
      <c r="J91" s="151">
        <f>SUM(J89:J90)</f>
        <v>6998635</v>
      </c>
      <c r="K91" s="151">
        <f>SUM(K89:K90)</f>
        <v>6998635</v>
      </c>
      <c r="L91" s="151">
        <f>SUM(L89:L89)</f>
        <v>0</v>
      </c>
      <c r="S91" s="434"/>
      <c r="T91" s="441"/>
    </row>
    <row r="92" spans="1:20" s="97" customFormat="1" ht="27" customHeight="1">
      <c r="A92" s="541" t="s">
        <v>992</v>
      </c>
      <c r="B92" s="514" t="s">
        <v>2766</v>
      </c>
      <c r="C92" s="614" t="s">
        <v>2942</v>
      </c>
      <c r="D92" s="465" t="s">
        <v>2765</v>
      </c>
      <c r="E92" s="465"/>
      <c r="F92" s="465">
        <v>45812</v>
      </c>
      <c r="G92" s="465"/>
      <c r="H92" s="615">
        <f>VLOOKUP(F92,환율!A:B,2,0)</f>
        <v>1376.9</v>
      </c>
      <c r="I92" s="616">
        <v>19453.68</v>
      </c>
      <c r="J92" s="617">
        <f t="shared" ref="J92" si="36">ROUNDDOWN(I92*H92,0)</f>
        <v>26785771</v>
      </c>
      <c r="K92" s="617">
        <f>J92</f>
        <v>26785771</v>
      </c>
      <c r="L92" s="464"/>
      <c r="M92" s="97" t="s">
        <v>2839</v>
      </c>
      <c r="N92" s="97" t="s">
        <v>2839</v>
      </c>
      <c r="O92" s="97" t="s">
        <v>2839</v>
      </c>
      <c r="P92" s="97" t="s">
        <v>2839</v>
      </c>
      <c r="Q92" s="97" t="s">
        <v>2839</v>
      </c>
      <c r="R92" s="97" t="s">
        <v>730</v>
      </c>
      <c r="S92" s="434"/>
      <c r="T92" s="441"/>
    </row>
    <row r="93" spans="1:20" s="97" customFormat="1" ht="27" customHeight="1">
      <c r="A93" s="361" t="s">
        <v>10</v>
      </c>
      <c r="B93" s="113"/>
      <c r="C93" s="113"/>
      <c r="D93" s="113"/>
      <c r="E93" s="113"/>
      <c r="F93" s="113"/>
      <c r="G93" s="113"/>
      <c r="H93" s="114"/>
      <c r="I93" s="127">
        <f>SUM(I92)</f>
        <v>19453.68</v>
      </c>
      <c r="J93" s="116">
        <f>SUM(J92)</f>
        <v>26785771</v>
      </c>
      <c r="K93" s="116">
        <f>SUM(K92)</f>
        <v>26785771</v>
      </c>
      <c r="L93" s="260">
        <f>SUM(L92)</f>
        <v>0</v>
      </c>
      <c r="S93" s="434"/>
      <c r="T93" s="441"/>
    </row>
    <row r="94" spans="1:20" s="97" customFormat="1" ht="27" customHeight="1">
      <c r="A94" s="543" t="s">
        <v>2481</v>
      </c>
      <c r="B94" s="301" t="s">
        <v>2933</v>
      </c>
      <c r="C94" s="332" t="s">
        <v>2942</v>
      </c>
      <c r="D94" s="303"/>
      <c r="E94" s="303"/>
      <c r="F94" s="303">
        <v>45813</v>
      </c>
      <c r="G94" s="303"/>
      <c r="H94" s="304">
        <f>VLOOKUP(F94,환율!A:B,2,0)</f>
        <v>1373.8</v>
      </c>
      <c r="I94" s="334"/>
      <c r="J94" s="335">
        <v>21526400</v>
      </c>
      <c r="K94" s="335">
        <f>J94</f>
        <v>21526400</v>
      </c>
      <c r="L94" s="337"/>
      <c r="S94" s="434"/>
      <c r="T94" s="441"/>
    </row>
    <row r="95" spans="1:20" s="97" customFormat="1" ht="27" customHeight="1">
      <c r="A95" s="543" t="s">
        <v>2481</v>
      </c>
      <c r="B95" s="301" t="s">
        <v>2934</v>
      </c>
      <c r="C95" s="332" t="s">
        <v>2942</v>
      </c>
      <c r="D95" s="303"/>
      <c r="E95" s="303"/>
      <c r="F95" s="303">
        <v>45817</v>
      </c>
      <c r="G95" s="303"/>
      <c r="H95" s="304">
        <f>VLOOKUP(F95,환율!A:B,2,0)</f>
        <v>1359</v>
      </c>
      <c r="I95" s="334"/>
      <c r="J95" s="335">
        <f>38526300+17122800</f>
        <v>55649100</v>
      </c>
      <c r="K95" s="335">
        <f t="shared" ref="K95:K97" si="37">J95</f>
        <v>55649100</v>
      </c>
      <c r="L95" s="337"/>
      <c r="S95" s="434"/>
      <c r="T95" s="441"/>
    </row>
    <row r="96" spans="1:20" s="97" customFormat="1" ht="27" customHeight="1">
      <c r="A96" s="543" t="s">
        <v>2481</v>
      </c>
      <c r="B96" s="301" t="s">
        <v>2935</v>
      </c>
      <c r="C96" s="332" t="s">
        <v>2942</v>
      </c>
      <c r="D96" s="303"/>
      <c r="E96" s="303"/>
      <c r="F96" s="303">
        <v>45819</v>
      </c>
      <c r="G96" s="303"/>
      <c r="H96" s="304">
        <f>VLOOKUP(F96,환율!A:B,2,0)</f>
        <v>1359.9</v>
      </c>
      <c r="I96" s="334"/>
      <c r="J96" s="335">
        <f>21526400</f>
        <v>21526400</v>
      </c>
      <c r="K96" s="335">
        <f t="shared" si="37"/>
        <v>21526400</v>
      </c>
      <c r="L96" s="337"/>
      <c r="S96" s="434"/>
      <c r="T96" s="441"/>
    </row>
    <row r="97" spans="1:20" s="97" customFormat="1" ht="27" customHeight="1">
      <c r="A97" s="543" t="s">
        <v>992</v>
      </c>
      <c r="B97" s="301" t="s">
        <v>2936</v>
      </c>
      <c r="C97" s="332" t="s">
        <v>2942</v>
      </c>
      <c r="D97" s="303"/>
      <c r="E97" s="303"/>
      <c r="F97" s="303">
        <v>45833</v>
      </c>
      <c r="G97" s="303"/>
      <c r="H97" s="304">
        <f>VLOOKUP(F97,환율!A:B,2,0)</f>
        <v>1365</v>
      </c>
      <c r="I97" s="334"/>
      <c r="J97" s="335">
        <f>21526400</f>
        <v>21526400</v>
      </c>
      <c r="K97" s="335">
        <f t="shared" si="37"/>
        <v>21526400</v>
      </c>
      <c r="L97" s="337"/>
      <c r="M97" s="403"/>
      <c r="S97" s="434"/>
      <c r="T97" s="441"/>
    </row>
    <row r="98" spans="1:20" s="496" customFormat="1" ht="27" customHeight="1" thickBot="1">
      <c r="A98" s="599" t="s">
        <v>10</v>
      </c>
      <c r="B98" s="266"/>
      <c r="C98" s="266"/>
      <c r="D98" s="266"/>
      <c r="E98" s="266"/>
      <c r="F98" s="266"/>
      <c r="G98" s="266"/>
      <c r="H98" s="267"/>
      <c r="I98" s="268"/>
      <c r="J98" s="269">
        <f>SUM(J94:J97)</f>
        <v>120228300</v>
      </c>
      <c r="K98" s="269">
        <f>SUM(K94:K97)</f>
        <v>120228300</v>
      </c>
      <c r="L98" s="506">
        <f>SUM(L96:L97)</f>
        <v>0</v>
      </c>
      <c r="M98" s="493"/>
      <c r="N98" s="434"/>
      <c r="O98" s="434"/>
      <c r="P98" s="434"/>
      <c r="Q98" s="434"/>
      <c r="R98" s="434"/>
      <c r="S98" s="494"/>
      <c r="T98" s="495"/>
    </row>
    <row r="99" spans="1:20" s="496" customFormat="1" ht="27" customHeight="1" thickBot="1">
      <c r="A99" s="601" t="s">
        <v>1176</v>
      </c>
      <c r="B99" s="597"/>
      <c r="C99" s="597"/>
      <c r="D99" s="597"/>
      <c r="E99" s="597"/>
      <c r="F99" s="598"/>
      <c r="G99" s="532"/>
      <c r="H99" s="2095" t="s">
        <v>2334</v>
      </c>
      <c r="I99" s="193" t="s">
        <v>17</v>
      </c>
      <c r="J99" s="194">
        <f>+J101-J100</f>
        <v>5218357582</v>
      </c>
      <c r="K99" s="473">
        <f>K101-K100</f>
        <v>4372099322</v>
      </c>
      <c r="L99" s="474">
        <f>L101-L100</f>
        <v>846258260</v>
      </c>
      <c r="M99" s="493"/>
      <c r="N99" s="434"/>
      <c r="O99" s="434"/>
      <c r="P99" s="434"/>
      <c r="Q99" s="434"/>
      <c r="R99" s="434"/>
      <c r="S99" s="494"/>
      <c r="T99" s="495"/>
    </row>
    <row r="100" spans="1:20" s="496" customFormat="1" ht="27" customHeight="1">
      <c r="A100" s="239" t="s">
        <v>20</v>
      </c>
      <c r="B100" s="195" t="s">
        <v>21</v>
      </c>
      <c r="C100" s="196"/>
      <c r="D100" s="196" t="s">
        <v>20</v>
      </c>
      <c r="E100" s="314"/>
      <c r="F100" s="197" t="s">
        <v>21</v>
      </c>
      <c r="G100" s="533"/>
      <c r="H100" s="2096"/>
      <c r="I100" s="198" t="s">
        <v>18</v>
      </c>
      <c r="J100" s="210">
        <f>SUM(J94:J97)</f>
        <v>120228300</v>
      </c>
      <c r="K100" s="210">
        <f>J100</f>
        <v>120228300</v>
      </c>
      <c r="L100" s="219">
        <v>0</v>
      </c>
      <c r="M100" s="493"/>
      <c r="N100" s="434"/>
      <c r="O100" s="434"/>
      <c r="P100" s="434"/>
      <c r="Q100" s="434"/>
      <c r="R100" s="434"/>
      <c r="S100" s="494"/>
      <c r="T100" s="495"/>
    </row>
    <row r="101" spans="1:20" s="496" customFormat="1" ht="27" customHeight="1" thickBot="1">
      <c r="A101" s="240" t="s">
        <v>9</v>
      </c>
      <c r="B101" s="199">
        <f>L16</f>
        <v>380168016</v>
      </c>
      <c r="C101" s="199"/>
      <c r="D101" s="200" t="s">
        <v>721</v>
      </c>
      <c r="E101" s="315"/>
      <c r="F101" s="201">
        <v>0</v>
      </c>
      <c r="G101" s="534"/>
      <c r="H101" s="2097"/>
      <c r="I101" s="202" t="s">
        <v>19</v>
      </c>
      <c r="J101" s="203">
        <f>SUM(J98,J93,J88,J82,J78,J72,J69,J67,J63,J59,J30,J16,J91)</f>
        <v>5338585882</v>
      </c>
      <c r="K101" s="203">
        <f>I108+J108</f>
        <v>4492327622</v>
      </c>
      <c r="L101" s="475">
        <f>SUM(L16,L30,L59,L63,L67,L69,L72,L78,L82,L88,L98)+L93</f>
        <v>846258260</v>
      </c>
      <c r="M101" s="622" t="b">
        <f>J101-K101=L101</f>
        <v>1</v>
      </c>
      <c r="N101" s="434"/>
      <c r="O101" s="434"/>
      <c r="P101" s="434"/>
      <c r="Q101" s="434"/>
      <c r="R101" s="434"/>
      <c r="S101" s="494"/>
      <c r="T101" s="495"/>
    </row>
    <row r="102" spans="1:20" s="496" customFormat="1" ht="27" customHeight="1">
      <c r="A102" s="240" t="s">
        <v>11</v>
      </c>
      <c r="B102" s="199">
        <f>L30</f>
        <v>55004416</v>
      </c>
      <c r="C102" s="199"/>
      <c r="D102" s="200" t="s">
        <v>722</v>
      </c>
      <c r="E102" s="315"/>
      <c r="F102" s="201">
        <f>L72</f>
        <v>15730738</v>
      </c>
      <c r="G102" s="535"/>
      <c r="H102" s="296" t="s">
        <v>20</v>
      </c>
      <c r="I102" s="297" t="s">
        <v>3096</v>
      </c>
      <c r="J102" s="298" t="s">
        <v>148</v>
      </c>
      <c r="K102" s="298" t="s">
        <v>149</v>
      </c>
      <c r="L102" s="234" t="s">
        <v>32</v>
      </c>
      <c r="M102" s="493"/>
      <c r="N102" s="434"/>
      <c r="O102" s="434"/>
      <c r="P102" s="434"/>
      <c r="Q102" s="434"/>
      <c r="R102" s="434"/>
      <c r="S102" s="494"/>
      <c r="T102" s="495"/>
    </row>
    <row r="103" spans="1:20" s="496" customFormat="1" ht="27" customHeight="1">
      <c r="A103" s="241" t="s">
        <v>114</v>
      </c>
      <c r="B103" s="199">
        <f>L59</f>
        <v>264512268</v>
      </c>
      <c r="C103" s="199"/>
      <c r="D103" s="293" t="s">
        <v>14</v>
      </c>
      <c r="E103" s="316"/>
      <c r="F103" s="294">
        <f>L78</f>
        <v>0</v>
      </c>
      <c r="G103" s="536"/>
      <c r="H103" s="211" t="s">
        <v>22</v>
      </c>
      <c r="I103" s="199">
        <f>J83</f>
        <v>176695711</v>
      </c>
      <c r="J103" s="199">
        <f>SUM(J84:J87)+SUM(J89:J90)</f>
        <v>553795693</v>
      </c>
      <c r="K103" s="199">
        <f>L88</f>
        <v>0</v>
      </c>
      <c r="L103" s="201">
        <f>SUM(I103:J103)</f>
        <v>730491404</v>
      </c>
      <c r="M103" s="493"/>
      <c r="N103" s="434"/>
      <c r="O103" s="434"/>
      <c r="P103" s="434"/>
      <c r="Q103" s="434"/>
      <c r="R103" s="434"/>
      <c r="S103" s="494"/>
      <c r="T103" s="495"/>
    </row>
    <row r="104" spans="1:20" s="97" customFormat="1" ht="27" customHeight="1">
      <c r="A104" s="241" t="s">
        <v>153</v>
      </c>
      <c r="B104" s="199">
        <v>0</v>
      </c>
      <c r="C104" s="199"/>
      <c r="D104" s="293" t="s">
        <v>15</v>
      </c>
      <c r="E104" s="317"/>
      <c r="F104" s="295">
        <f>L82</f>
        <v>0</v>
      </c>
      <c r="G104" s="537"/>
      <c r="H104" s="211" t="s">
        <v>23</v>
      </c>
      <c r="I104" s="199">
        <f>SUM(K17:K18)+SUM(K31:K36)</f>
        <v>426535531</v>
      </c>
      <c r="J104" s="199">
        <f>SUM(J19:J27,J37:J53,J60:J62,J64,J70)</f>
        <v>1480990991</v>
      </c>
      <c r="K104" s="199">
        <f>SUM(L30,L59,L67,L72)</f>
        <v>422887710</v>
      </c>
      <c r="L104" s="201">
        <f>SUM(I104:J104)</f>
        <v>1907526522</v>
      </c>
      <c r="M104" s="402">
        <f>L104-1907526522</f>
        <v>0</v>
      </c>
      <c r="N104" s="438">
        <f>132778820+12349380</f>
        <v>145128200</v>
      </c>
      <c r="O104" s="434"/>
      <c r="P104" s="434"/>
      <c r="Q104" s="434"/>
      <c r="R104" s="434"/>
    </row>
    <row r="105" spans="1:20" s="97" customFormat="1" ht="27" customHeight="1">
      <c r="A105" s="241" t="s">
        <v>719</v>
      </c>
      <c r="B105" s="199">
        <v>0</v>
      </c>
      <c r="C105" s="199"/>
      <c r="D105" s="293" t="s">
        <v>53</v>
      </c>
      <c r="E105" s="316"/>
      <c r="F105" s="294">
        <f>L69</f>
        <v>43202534</v>
      </c>
      <c r="G105" s="536"/>
      <c r="H105" s="211" t="s">
        <v>24</v>
      </c>
      <c r="I105" s="199">
        <f>J12</f>
        <v>530312654</v>
      </c>
      <c r="J105" s="199">
        <f>J13+J14</f>
        <v>1027102000</v>
      </c>
      <c r="K105" s="199">
        <f>L15</f>
        <v>380168016</v>
      </c>
      <c r="L105" s="201">
        <f>SUM(I105:J105)</f>
        <v>1557414654</v>
      </c>
      <c r="M105" s="401"/>
      <c r="N105" s="441"/>
    </row>
    <row r="106" spans="1:20" s="97" customFormat="1" ht="27" customHeight="1">
      <c r="A106" s="241" t="s">
        <v>35</v>
      </c>
      <c r="B106" s="199">
        <f>L67</f>
        <v>87640288</v>
      </c>
      <c r="C106" s="199"/>
      <c r="D106" s="200" t="s">
        <v>252</v>
      </c>
      <c r="E106" s="216"/>
      <c r="F106" s="294">
        <f>L88</f>
        <v>0</v>
      </c>
      <c r="G106" s="538"/>
      <c r="H106" s="211" t="s">
        <v>723</v>
      </c>
      <c r="I106" s="199">
        <f>SUM(J79,J92)</f>
        <v>58301404</v>
      </c>
      <c r="J106" s="199">
        <f>SUM(J78,J80,J81)</f>
        <v>118365338</v>
      </c>
      <c r="K106" s="199">
        <f>SUM(L69)</f>
        <v>43202534</v>
      </c>
      <c r="L106" s="201">
        <f>SUM(I106:J106)</f>
        <v>176666742</v>
      </c>
      <c r="M106" s="401"/>
      <c r="N106" s="441"/>
    </row>
    <row r="107" spans="1:20" s="97" customFormat="1" ht="27" customHeight="1" thickBot="1">
      <c r="A107" s="215" t="s">
        <v>2646</v>
      </c>
      <c r="B107" s="213">
        <f>L93</f>
        <v>0</v>
      </c>
      <c r="C107" s="213"/>
      <c r="D107" s="214"/>
      <c r="E107" s="318"/>
      <c r="F107" s="242"/>
      <c r="G107" s="539"/>
      <c r="H107" s="299" t="s">
        <v>1177</v>
      </c>
      <c r="I107" s="311">
        <v>0</v>
      </c>
      <c r="J107" s="311">
        <f>J98</f>
        <v>120228300</v>
      </c>
      <c r="K107" s="311">
        <v>0</v>
      </c>
      <c r="L107" s="312">
        <f>SUM(I107:J107)</f>
        <v>120228300</v>
      </c>
      <c r="M107" s="364" t="b">
        <f>K108=F108</f>
        <v>1</v>
      </c>
      <c r="N107" s="441"/>
      <c r="O107" s="403"/>
      <c r="P107" s="403"/>
      <c r="Q107" s="403"/>
      <c r="R107" s="403"/>
    </row>
    <row r="108" spans="1:20" s="97" customFormat="1" ht="27" customHeight="1" thickTop="1" thickBot="1">
      <c r="A108" s="243"/>
      <c r="B108" s="244" t="s">
        <v>49</v>
      </c>
      <c r="C108" s="244"/>
      <c r="D108" s="245"/>
      <c r="E108" s="244"/>
      <c r="F108" s="246">
        <f>SUM(B101:B107,F101:F107)</f>
        <v>846258260</v>
      </c>
      <c r="G108" s="540"/>
      <c r="H108" s="236" t="s">
        <v>16</v>
      </c>
      <c r="I108" s="237">
        <f>SUM(I103:I107)</f>
        <v>1191845300</v>
      </c>
      <c r="J108" s="237">
        <f>SUM(J103:J107)</f>
        <v>3300482322</v>
      </c>
      <c r="K108" s="237">
        <f>SUM(K103:K107)</f>
        <v>846258260</v>
      </c>
      <c r="L108" s="238">
        <f>+I108+J108</f>
        <v>4492327622</v>
      </c>
      <c r="M108" s="364" t="b">
        <f>K101=J108+I108</f>
        <v>1</v>
      </c>
      <c r="N108" s="441"/>
      <c r="O108" s="403"/>
      <c r="P108" s="403"/>
      <c r="Q108" s="403"/>
    </row>
    <row r="109" spans="1:20" s="97" customFormat="1" ht="27" customHeight="1" thickBot="1">
      <c r="A109"/>
      <c r="B109"/>
      <c r="C109"/>
      <c r="D109"/>
      <c r="E109"/>
      <c r="F109"/>
      <c r="G109"/>
      <c r="H109" s="2047" t="s">
        <v>1685</v>
      </c>
      <c r="I109" s="2048"/>
      <c r="J109" s="2048"/>
      <c r="K109" s="2049"/>
      <c r="L109" s="404">
        <f>L108-L107</f>
        <v>4372099322</v>
      </c>
      <c r="M109" s="366"/>
      <c r="N109" s="441"/>
      <c r="O109" s="403"/>
      <c r="P109" s="403"/>
      <c r="Q109" s="403"/>
    </row>
    <row r="110" spans="1:20" s="97" customFormat="1" ht="27" customHeight="1">
      <c r="A110"/>
      <c r="B110" s="291"/>
      <c r="C110" s="291"/>
      <c r="D110" s="290"/>
      <c r="E110" s="290"/>
      <c r="F110" s="26"/>
      <c r="G110" s="26"/>
      <c r="H110" s="292"/>
      <c r="I110" s="47"/>
      <c r="J110" s="412"/>
      <c r="K110" s="412"/>
      <c r="L110" s="13">
        <v>3699929100</v>
      </c>
      <c r="M110" s="175"/>
      <c r="N110" s="441"/>
      <c r="O110" s="403"/>
      <c r="P110" s="403"/>
      <c r="Q110" s="403"/>
    </row>
    <row r="111" spans="1:20" s="126" customFormat="1" ht="27" customHeight="1">
      <c r="A111"/>
      <c r="B111"/>
      <c r="C111"/>
      <c r="D111" s="290"/>
      <c r="E111" s="290"/>
      <c r="F111" s="26"/>
      <c r="G111" s="26"/>
      <c r="H111" s="292"/>
      <c r="I111" s="47"/>
      <c r="J111" s="412">
        <f>J108+I108-J101</f>
        <v>-846258260</v>
      </c>
      <c r="K111"/>
      <c r="L111" s="412">
        <f>L109-L110</f>
        <v>672170222</v>
      </c>
      <c r="M111" s="175"/>
      <c r="N111" s="443"/>
      <c r="O111" s="403"/>
      <c r="P111" s="403"/>
      <c r="Q111" s="403"/>
      <c r="R111" s="97"/>
    </row>
    <row r="112" spans="1:20" s="126" customFormat="1" ht="27" customHeight="1">
      <c r="A112"/>
      <c r="B112"/>
      <c r="C112"/>
      <c r="D112" s="290"/>
      <c r="E112" s="290"/>
      <c r="F112" s="26"/>
      <c r="G112" s="26"/>
      <c r="H112" s="292"/>
      <c r="I112" s="47"/>
      <c r="J112" s="26"/>
      <c r="K112"/>
      <c r="L112" s="26"/>
      <c r="M112" s="366"/>
      <c r="N112" s="443"/>
      <c r="O112" s="403"/>
      <c r="P112" s="403"/>
      <c r="Q112" s="403"/>
      <c r="R112" s="97"/>
    </row>
    <row r="113" spans="1:20" s="126" customFormat="1" ht="27" customHeight="1">
      <c r="A113"/>
      <c r="B113"/>
      <c r="C113"/>
      <c r="D113" s="290"/>
      <c r="E113" s="290"/>
      <c r="F113" s="26"/>
      <c r="G113" s="26"/>
      <c r="H113" s="292"/>
      <c r="I113" s="47"/>
      <c r="J113" s="26"/>
      <c r="K113"/>
      <c r="L113"/>
      <c r="M113" s="364"/>
      <c r="N113" s="443"/>
      <c r="P113" s="205"/>
      <c r="Q113" s="205"/>
    </row>
    <row r="114" spans="1:20" s="126" customFormat="1" ht="27" customHeight="1">
      <c r="A114"/>
      <c r="B114"/>
      <c r="C114"/>
      <c r="D114" s="290"/>
      <c r="E114" s="290"/>
      <c r="F114"/>
      <c r="G114"/>
      <c r="H114" s="13"/>
      <c r="I114" s="47"/>
      <c r="J114" s="26"/>
      <c r="K114"/>
      <c r="L114" s="26"/>
      <c r="M114" s="364"/>
      <c r="N114" s="443"/>
    </row>
    <row r="115" spans="1:20" s="19" customFormat="1" ht="27" customHeight="1">
      <c r="A115"/>
      <c r="B115"/>
      <c r="C115"/>
      <c r="D115"/>
      <c r="E115"/>
      <c r="F115"/>
      <c r="G115"/>
      <c r="H115" s="13"/>
      <c r="I115" s="47"/>
      <c r="J115"/>
      <c r="K115"/>
      <c r="L115"/>
      <c r="M115" s="410"/>
      <c r="N115" s="443"/>
      <c r="O115" s="15"/>
    </row>
    <row r="116" spans="1:20">
      <c r="J116" s="47"/>
      <c r="L116" s="26"/>
      <c r="N116" s="441"/>
      <c r="O116" s="26"/>
      <c r="P116"/>
      <c r="Q116"/>
      <c r="R116"/>
      <c r="S116"/>
      <c r="T116"/>
    </row>
    <row r="117" spans="1:20" s="24" customFormat="1">
      <c r="A117"/>
      <c r="B117"/>
      <c r="C117"/>
      <c r="D117"/>
      <c r="E117"/>
      <c r="F117"/>
      <c r="G117"/>
      <c r="H117"/>
      <c r="I117" s="47"/>
      <c r="J117"/>
      <c r="K117"/>
      <c r="L117"/>
      <c r="N117" s="445"/>
    </row>
    <row r="118" spans="1:20" s="24" customFormat="1">
      <c r="A118"/>
      <c r="B118"/>
      <c r="C118"/>
      <c r="D118"/>
      <c r="E118"/>
      <c r="F118"/>
      <c r="G118"/>
      <c r="H118"/>
      <c r="I118" s="47"/>
      <c r="J118"/>
      <c r="K118"/>
      <c r="L118" s="26"/>
      <c r="N118" s="445"/>
    </row>
    <row r="119" spans="1:20" s="24" customFormat="1">
      <c r="A119"/>
      <c r="B119"/>
      <c r="C119"/>
      <c r="D119"/>
      <c r="E119"/>
      <c r="F119"/>
      <c r="G119"/>
      <c r="H119"/>
      <c r="I119" s="47"/>
      <c r="J119" s="26"/>
      <c r="K119"/>
      <c r="L119"/>
      <c r="O119" s="434"/>
      <c r="P119" s="440"/>
      <c r="Q119" s="440"/>
      <c r="R119" s="440"/>
      <c r="S119" s="440"/>
      <c r="T119" s="445"/>
    </row>
    <row r="120" spans="1:20" s="24" customFormat="1">
      <c r="A120"/>
      <c r="B120"/>
      <c r="C120"/>
      <c r="D120"/>
      <c r="E120"/>
      <c r="F120"/>
      <c r="G120"/>
      <c r="H120"/>
      <c r="I120" s="47"/>
      <c r="J120"/>
      <c r="K120"/>
      <c r="L120" s="26"/>
      <c r="O120" s="434"/>
      <c r="P120" s="440"/>
      <c r="Q120" s="440"/>
      <c r="R120" s="440"/>
      <c r="S120" s="440"/>
      <c r="T120" s="445"/>
    </row>
    <row r="121" spans="1:20" s="24" customFormat="1">
      <c r="A121"/>
      <c r="B121"/>
      <c r="C121"/>
      <c r="D121"/>
      <c r="E121"/>
      <c r="F121"/>
      <c r="G121"/>
      <c r="H121"/>
      <c r="I121" s="47"/>
      <c r="J121"/>
      <c r="K121"/>
      <c r="L121"/>
      <c r="O121" s="434"/>
      <c r="P121" s="440"/>
      <c r="Q121" s="440"/>
      <c r="R121" s="440"/>
      <c r="S121" s="440"/>
      <c r="T121" s="445"/>
    </row>
  </sheetData>
  <autoFilter ref="A10:H112" xr:uid="{00000000-0009-0000-0000-000057000000}"/>
  <mergeCells count="39">
    <mergeCell ref="R5:R9"/>
    <mergeCell ref="S5:S9"/>
    <mergeCell ref="N3:N9"/>
    <mergeCell ref="O3:O4"/>
    <mergeCell ref="P3:P4"/>
    <mergeCell ref="R3:R4"/>
    <mergeCell ref="S3:S4"/>
    <mergeCell ref="A31:A58"/>
    <mergeCell ref="A59:H59"/>
    <mergeCell ref="A5:I9"/>
    <mergeCell ref="O5:O9"/>
    <mergeCell ref="P5:P9"/>
    <mergeCell ref="A30:H30"/>
    <mergeCell ref="A10:A11"/>
    <mergeCell ref="B10:B11"/>
    <mergeCell ref="C10:C11"/>
    <mergeCell ref="D10:D11"/>
    <mergeCell ref="E10:E11"/>
    <mergeCell ref="F10:F11"/>
    <mergeCell ref="H10:H11"/>
    <mergeCell ref="I10:L10"/>
    <mergeCell ref="A12:A15"/>
    <mergeCell ref="A16:H16"/>
    <mergeCell ref="A17:A29"/>
    <mergeCell ref="A60:A62"/>
    <mergeCell ref="A64:A66"/>
    <mergeCell ref="A70:A71"/>
    <mergeCell ref="H109:K109"/>
    <mergeCell ref="A69:H69"/>
    <mergeCell ref="A72:H72"/>
    <mergeCell ref="A73:A77"/>
    <mergeCell ref="A78:H78"/>
    <mergeCell ref="A79:A81"/>
    <mergeCell ref="A63:H63"/>
    <mergeCell ref="A82:H82"/>
    <mergeCell ref="H99:H101"/>
    <mergeCell ref="A67:H67"/>
    <mergeCell ref="A89:A90"/>
    <mergeCell ref="A83:A87"/>
  </mergeCells>
  <phoneticPr fontId="2" type="noConversion"/>
  <conditionalFormatting sqref="A12 B12:L15 B17:L29 B31:L58 I63:I68 B89:L90">
    <cfRule type="expression" dxfId="859" priority="60">
      <formula>#REF!="*01월*"</formula>
    </cfRule>
  </conditionalFormatting>
  <conditionalFormatting sqref="A16">
    <cfRule type="expression" dxfId="858" priority="61">
      <formula>#REF!="*01월*"</formula>
    </cfRule>
  </conditionalFormatting>
  <conditionalFormatting sqref="A30 D76:E77 B77:C77 F77:G77">
    <cfRule type="expression" dxfId="857" priority="67">
      <formula>#REF!="*01월*"</formula>
    </cfRule>
  </conditionalFormatting>
  <conditionalFormatting sqref="A59:A60 A63:A64">
    <cfRule type="expression" dxfId="856" priority="50">
      <formula>#REF!="*01월*"</formula>
    </cfRule>
  </conditionalFormatting>
  <conditionalFormatting sqref="A67 J67:L67 B70:D71 F70:G71 K72:L72 A73 D73:E75 B100:L108 H109:H113">
    <cfRule type="expression" dxfId="855" priority="32">
      <formula>$F69="*01월*"</formula>
    </cfRule>
  </conditionalFormatting>
  <conditionalFormatting sqref="A68 B73:C76">
    <cfRule type="expression" dxfId="854" priority="23">
      <formula>$F69="*01월*"</formula>
    </cfRule>
  </conditionalFormatting>
  <conditionalFormatting sqref="A69 I69:K69 K70:K71 B79 J79 L79 B80:E81 D89:E90 D97:E97 G97 J97 L97">
    <cfRule type="expression" dxfId="853" priority="49">
      <formula>$F72="*01월*"</formula>
    </cfRule>
  </conditionalFormatting>
  <conditionalFormatting sqref="A70 A72">
    <cfRule type="expression" dxfId="852" priority="59">
      <formula>#REF!="*01월*"</formula>
    </cfRule>
  </conditionalFormatting>
  <conditionalFormatting sqref="A78">
    <cfRule type="expression" dxfId="851" priority="54">
      <formula>#REF!="*01월*"</formula>
    </cfRule>
  </conditionalFormatting>
  <conditionalFormatting sqref="A79 J80:J81 L80:L81">
    <cfRule type="expression" dxfId="850" priority="40">
      <formula>$F84="*01월*"</formula>
    </cfRule>
  </conditionalFormatting>
  <conditionalFormatting sqref="A82:A83">
    <cfRule type="expression" dxfId="849" priority="53">
      <formula>#REF!="*01월*"</formula>
    </cfRule>
  </conditionalFormatting>
  <conditionalFormatting sqref="A88 I88:K88">
    <cfRule type="expression" dxfId="848" priority="899">
      <formula>$F98="*01월*"</formula>
    </cfRule>
  </conditionalFormatting>
  <conditionalFormatting sqref="A91 I91:L91">
    <cfRule type="expression" dxfId="847" priority="897">
      <formula>$F99="*01월*"</formula>
    </cfRule>
  </conditionalFormatting>
  <conditionalFormatting sqref="A94:A96 D94:G96 J95:J96 L95:L96 K95:K97 F97">
    <cfRule type="expression" dxfId="846" priority="16">
      <formula>$F98="*01월*"</formula>
    </cfRule>
  </conditionalFormatting>
  <conditionalFormatting sqref="A97">
    <cfRule type="expression" dxfId="845" priority="69">
      <formula>$F100="*01월*"</formula>
    </cfRule>
  </conditionalFormatting>
  <conditionalFormatting sqref="A98:A108">
    <cfRule type="expression" dxfId="844" priority="76">
      <formula>$F100="*01월*"</formula>
    </cfRule>
  </conditionalFormatting>
  <conditionalFormatting sqref="A10:L10 A11:B11 D11:L11">
    <cfRule type="expression" dxfId="843" priority="56">
      <formula>$F13="*01월*"</formula>
    </cfRule>
  </conditionalFormatting>
  <conditionalFormatting sqref="B92:C92">
    <cfRule type="expression" dxfId="842" priority="26">
      <formula>#REF!="*01월*"</formula>
    </cfRule>
  </conditionalFormatting>
  <conditionalFormatting sqref="B94:C97">
    <cfRule type="expression" dxfId="841" priority="17">
      <formula>#REF!="*01월*"</formula>
    </cfRule>
  </conditionalFormatting>
  <conditionalFormatting sqref="B64:H66">
    <cfRule type="expression" dxfId="840" priority="10">
      <formula>#REF!="*01월*"</formula>
    </cfRule>
  </conditionalFormatting>
  <conditionalFormatting sqref="B68:H68">
    <cfRule type="expression" dxfId="839" priority="4">
      <formula>#REF!="*01월*"</formula>
    </cfRule>
  </conditionalFormatting>
  <conditionalFormatting sqref="B70:H71">
    <cfRule type="expression" dxfId="838" priority="30">
      <formula>#REF!="*01월*"</formula>
    </cfRule>
  </conditionalFormatting>
  <conditionalFormatting sqref="B60:L62">
    <cfRule type="expression" dxfId="837" priority="33">
      <formula>#REF!="*01월*"</formula>
    </cfRule>
  </conditionalFormatting>
  <conditionalFormatting sqref="B73:L77">
    <cfRule type="expression" dxfId="836" priority="29">
      <formula>#REF!="*01월*"</formula>
    </cfRule>
  </conditionalFormatting>
  <conditionalFormatting sqref="B83:L87">
    <cfRule type="expression" dxfId="835" priority="6">
      <formula>#REF!="*01월*"</formula>
    </cfRule>
  </conditionalFormatting>
  <conditionalFormatting sqref="C79:E79 K79">
    <cfRule type="expression" dxfId="834" priority="886">
      <formula>#REF!="*01월*"</formula>
    </cfRule>
  </conditionalFormatting>
  <conditionalFormatting sqref="D70:E71">
    <cfRule type="expression" dxfId="833" priority="31">
      <formula>$F73="*01월*"</formula>
    </cfRule>
  </conditionalFormatting>
  <conditionalFormatting sqref="D110:E114">
    <cfRule type="expression" dxfId="832" priority="55">
      <formula>$F112="*01월*"</formula>
    </cfRule>
  </conditionalFormatting>
  <conditionalFormatting sqref="D92:G92 J92:K92 A92:A93 J93:L93">
    <cfRule type="expression" dxfId="831" priority="892">
      <formula>$F99="*01월*"</formula>
    </cfRule>
  </conditionalFormatting>
  <conditionalFormatting sqref="F17:G17">
    <cfRule type="expression" dxfId="830" priority="11">
      <formula>$F26="*01월*"</formula>
    </cfRule>
  </conditionalFormatting>
  <conditionalFormatting sqref="F18:G18">
    <cfRule type="expression" dxfId="829" priority="12">
      <formula>#REF!="*01월*"</formula>
    </cfRule>
    <cfRule type="expression" dxfId="828" priority="13">
      <formula>$F30="*01월*"</formula>
    </cfRule>
  </conditionalFormatting>
  <conditionalFormatting sqref="F19:G19 A89">
    <cfRule type="expression" dxfId="827" priority="25">
      <formula>$F30="*01월*"</formula>
    </cfRule>
  </conditionalFormatting>
  <conditionalFormatting sqref="F20:G22">
    <cfRule type="expression" dxfId="826" priority="65">
      <formula>$F35="*01월*"</formula>
    </cfRule>
  </conditionalFormatting>
  <conditionalFormatting sqref="F21:G22">
    <cfRule type="expression" dxfId="825" priority="62">
      <formula>$F37="*01월*"</formula>
    </cfRule>
  </conditionalFormatting>
  <conditionalFormatting sqref="F23:G24">
    <cfRule type="expression" dxfId="824" priority="66">
      <formula>$F36="*01월*"</formula>
    </cfRule>
  </conditionalFormatting>
  <conditionalFormatting sqref="F25:G25">
    <cfRule type="expression" dxfId="823" priority="63">
      <formula>$F37="*01월*"</formula>
    </cfRule>
  </conditionalFormatting>
  <conditionalFormatting sqref="F26:G26">
    <cfRule type="expression" dxfId="822" priority="71">
      <formula>$F40="*01월*"</formula>
    </cfRule>
  </conditionalFormatting>
  <conditionalFormatting sqref="F26:G27">
    <cfRule type="expression" dxfId="821" priority="72">
      <formula>$F37="*01월*"</formula>
    </cfRule>
    <cfRule type="expression" dxfId="820" priority="70">
      <formula>$F39="*01월*"</formula>
    </cfRule>
    <cfRule type="expression" dxfId="819" priority="28">
      <formula>$F36="*01월*"</formula>
    </cfRule>
  </conditionalFormatting>
  <conditionalFormatting sqref="F27:G27">
    <cfRule type="expression" dxfId="818" priority="75">
      <formula>#REF!="*01월*"</formula>
    </cfRule>
  </conditionalFormatting>
  <conditionalFormatting sqref="F28:G28">
    <cfRule type="expression" dxfId="817" priority="20">
      <formula>$F37="*01월*"</formula>
    </cfRule>
  </conditionalFormatting>
  <conditionalFormatting sqref="F29:G29">
    <cfRule type="expression" dxfId="816" priority="73">
      <formula>#REF!="*01월*"</formula>
    </cfRule>
    <cfRule type="expression" dxfId="815" priority="74">
      <formula>$F41="*01월*"</formula>
    </cfRule>
  </conditionalFormatting>
  <conditionalFormatting sqref="F73:G76">
    <cfRule type="expression" dxfId="814" priority="58">
      <formula>$F74="*01월*"</formula>
    </cfRule>
  </conditionalFormatting>
  <conditionalFormatting sqref="F79:H81">
    <cfRule type="expression" dxfId="813" priority="42">
      <formula>#REF!="*01월*"</formula>
    </cfRule>
  </conditionalFormatting>
  <conditionalFormatting sqref="H92:I92">
    <cfRule type="expression" dxfId="812" priority="41">
      <formula>#REF!="*01월*"</formula>
    </cfRule>
  </conditionalFormatting>
  <conditionalFormatting sqref="H94:I97">
    <cfRule type="expression" dxfId="811" priority="18">
      <formula>#REF!="*01월*"</formula>
    </cfRule>
  </conditionalFormatting>
  <conditionalFormatting sqref="H99:L99">
    <cfRule type="expression" dxfId="810" priority="43">
      <formula>$F101="*01월*"</formula>
    </cfRule>
  </conditionalFormatting>
  <conditionalFormatting sqref="I79">
    <cfRule type="expression" dxfId="809" priority="9">
      <formula>#REF!="*01월*"</formula>
    </cfRule>
  </conditionalFormatting>
  <conditionalFormatting sqref="I80">
    <cfRule type="expression" dxfId="808" priority="27">
      <formula>$F86="*01월*"</formula>
    </cfRule>
  </conditionalFormatting>
  <conditionalFormatting sqref="I81 L92">
    <cfRule type="expression" dxfId="807" priority="77">
      <formula>#REF!="*01월*"</formula>
    </cfRule>
  </conditionalFormatting>
  <conditionalFormatting sqref="I72:J72">
    <cfRule type="expression" dxfId="806" priority="37">
      <formula>#REF!="*01월*"</formula>
    </cfRule>
  </conditionalFormatting>
  <conditionalFormatting sqref="I98:K98">
    <cfRule type="expression" dxfId="805" priority="57">
      <formula>$F100="*01월*"</formula>
    </cfRule>
  </conditionalFormatting>
  <conditionalFormatting sqref="I16:L16">
    <cfRule type="expression" dxfId="804" priority="47">
      <formula>#REF!="*01월*"</formula>
    </cfRule>
  </conditionalFormatting>
  <conditionalFormatting sqref="I30:L30">
    <cfRule type="expression" dxfId="803" priority="46">
      <formula>#REF!="*01월*"</formula>
    </cfRule>
  </conditionalFormatting>
  <conditionalFormatting sqref="I59:L59">
    <cfRule type="expression" dxfId="802" priority="34">
      <formula>#REF!="*01월*"</formula>
    </cfRule>
  </conditionalFormatting>
  <conditionalFormatting sqref="I73:L73">
    <cfRule type="expression" dxfId="801" priority="39">
      <formula>$F67="*01월*"</formula>
    </cfRule>
  </conditionalFormatting>
  <conditionalFormatting sqref="I82:L82">
    <cfRule type="expression" dxfId="800" priority="48">
      <formula>$F85="*01월*"</formula>
    </cfRule>
  </conditionalFormatting>
  <conditionalFormatting sqref="J78">
    <cfRule type="expression" dxfId="799" priority="35">
      <formula>#REF!="*01월*"</formula>
    </cfRule>
  </conditionalFormatting>
  <conditionalFormatting sqref="J73:K73">
    <cfRule type="expression" dxfId="798" priority="38">
      <formula>$F76="*01월*"</formula>
    </cfRule>
  </conditionalFormatting>
  <conditionalFormatting sqref="J63:L66">
    <cfRule type="expression" dxfId="797" priority="21">
      <formula>#REF!="*01월*"</formula>
    </cfRule>
  </conditionalFormatting>
  <conditionalFormatting sqref="J68:L68">
    <cfRule type="expression" dxfId="796" priority="2">
      <formula>#REF!="*01월*"</formula>
    </cfRule>
  </conditionalFormatting>
  <conditionalFormatting sqref="J94:L94">
    <cfRule type="expression" dxfId="795" priority="64">
      <formula>$F98="*01월*"</formula>
    </cfRule>
  </conditionalFormatting>
  <conditionalFormatting sqref="L69">
    <cfRule type="expression" dxfId="794" priority="3">
      <formula>$F71="*01월*"</formula>
    </cfRule>
  </conditionalFormatting>
  <conditionalFormatting sqref="L70 I70:J71 I78 K78:L78 K80:K81">
    <cfRule type="expression" dxfId="793" priority="8">
      <formula>$F74="*01월*"</formula>
    </cfRule>
  </conditionalFormatting>
  <conditionalFormatting sqref="L71">
    <cfRule type="expression" dxfId="792" priority="1">
      <formula>#REF!="*01월*"</formula>
    </cfRule>
  </conditionalFormatting>
  <conditionalFormatting sqref="L88 I93">
    <cfRule type="expression" dxfId="791" priority="887">
      <formula>#REF!="*01월*"</formula>
    </cfRule>
  </conditionalFormatting>
  <conditionalFormatting sqref="L98">
    <cfRule type="expression" dxfId="790" priority="52">
      <formula>$F104="*01월*"</formula>
    </cfRule>
  </conditionalFormatting>
  <conditionalFormatting sqref="L109">
    <cfRule type="expression" dxfId="789" priority="51">
      <formula>$F111="*01월*"</formula>
    </cfRule>
  </conditionalFormatting>
  <printOptions horizontalCentered="1"/>
  <pageMargins left="0" right="0" top="0.70866141732283472" bottom="0.23622047244094491" header="0" footer="0"/>
  <pageSetup paperSize="9" scale="40" fitToHeight="0" orientation="portrait" r:id="rId1"/>
  <rowBreaks count="1" manualBreakCount="1">
    <brk id="69" max="11" man="1"/>
  </rowBreaks>
  <colBreaks count="1" manualBreakCount="1">
    <brk id="11" max="1048575" man="1"/>
  </colBreaks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pageSetUpPr fitToPage="1"/>
  </sheetPr>
  <dimension ref="A2:T131"/>
  <sheetViews>
    <sheetView view="pageBreakPreview" zoomScale="70" zoomScaleNormal="70" zoomScaleSheetLayoutView="70" workbookViewId="0">
      <pane xSplit="1" ySplit="11" topLeftCell="B96" activePane="bottomRight" state="frozen"/>
      <selection pane="topRight" activeCell="B1" sqref="B1"/>
      <selection pane="bottomLeft" activeCell="A12" sqref="A12"/>
      <selection pane="bottomRight" activeCell="D108" sqref="D108"/>
    </sheetView>
  </sheetViews>
  <sheetFormatPr defaultRowHeight="25.2"/>
  <cols>
    <col min="1" max="1" width="18.69921875" customWidth="1"/>
    <col min="2" max="3" width="22.8984375" customWidth="1"/>
    <col min="4" max="4" width="29.09765625" customWidth="1"/>
    <col min="5" max="5" width="29.09765625" hidden="1" customWidth="1"/>
    <col min="6" max="6" width="21" customWidth="1"/>
    <col min="7" max="7" width="21" hidden="1" customWidth="1"/>
    <col min="8" max="8" width="18.69921875" customWidth="1"/>
    <col min="9" max="9" width="25.69921875" style="47" customWidth="1"/>
    <col min="10" max="10" width="26.5" customWidth="1"/>
    <col min="11" max="11" width="25.09765625" customWidth="1"/>
    <col min="12" max="12" width="29.19921875" customWidth="1"/>
    <col min="13" max="13" width="14.8984375" style="24" customWidth="1"/>
    <col min="14" max="14" width="24.3984375" style="24" bestFit="1" customWidth="1"/>
    <col min="15" max="19" width="17.09765625" style="434" customWidth="1"/>
    <col min="20" max="20" width="9" style="441"/>
  </cols>
  <sheetData>
    <row r="2" spans="1:20" ht="25.8" thickBot="1">
      <c r="F2" s="507"/>
      <c r="G2" s="507"/>
      <c r="I2" s="24"/>
      <c r="J2" s="434"/>
      <c r="K2" s="434"/>
      <c r="L2" s="434"/>
      <c r="M2" s="434"/>
      <c r="N2"/>
      <c r="O2"/>
      <c r="P2"/>
      <c r="Q2"/>
      <c r="R2"/>
      <c r="S2"/>
      <c r="T2"/>
    </row>
    <row r="3" spans="1:20" ht="21.75" customHeight="1" thickTop="1">
      <c r="F3" s="507"/>
      <c r="N3" s="2058" t="s">
        <v>2041</v>
      </c>
      <c r="O3" s="2082" t="s">
        <v>2034</v>
      </c>
      <c r="P3" s="2084" t="s">
        <v>2034</v>
      </c>
      <c r="Q3" s="609"/>
      <c r="R3" s="2084" t="s">
        <v>2035</v>
      </c>
      <c r="S3" s="2086" t="s">
        <v>2036</v>
      </c>
    </row>
    <row r="4" spans="1:20" ht="19.5" customHeight="1">
      <c r="N4" s="2080"/>
      <c r="O4" s="2083"/>
      <c r="P4" s="2085"/>
      <c r="Q4" s="610"/>
      <c r="R4" s="2085"/>
      <c r="S4" s="2087"/>
    </row>
    <row r="5" spans="1:20" ht="19.5" customHeight="1">
      <c r="A5" s="2020" t="s">
        <v>3117</v>
      </c>
      <c r="B5" s="2020"/>
      <c r="C5" s="2020"/>
      <c r="D5" s="2020"/>
      <c r="E5" s="2020"/>
      <c r="F5" s="2020"/>
      <c r="G5" s="2020"/>
      <c r="H5" s="2020"/>
      <c r="I5" s="2020"/>
      <c r="J5" s="1"/>
      <c r="K5" s="1"/>
      <c r="L5" s="1"/>
      <c r="N5" s="2080"/>
      <c r="O5" s="2091"/>
      <c r="P5" s="2088"/>
      <c r="Q5" s="611"/>
      <c r="R5" s="2088"/>
      <c r="S5" s="2077"/>
    </row>
    <row r="6" spans="1:20" ht="19.5" customHeight="1">
      <c r="A6" s="2020"/>
      <c r="B6" s="2020"/>
      <c r="C6" s="2020"/>
      <c r="D6" s="2020"/>
      <c r="E6" s="2020"/>
      <c r="F6" s="2020"/>
      <c r="G6" s="2020"/>
      <c r="H6" s="2020"/>
      <c r="I6" s="2020"/>
      <c r="J6" s="1"/>
      <c r="K6" s="1"/>
      <c r="L6" s="1"/>
      <c r="N6" s="2080"/>
      <c r="O6" s="2092"/>
      <c r="P6" s="2089"/>
      <c r="Q6" s="612"/>
      <c r="R6" s="2089"/>
      <c r="S6" s="2078"/>
    </row>
    <row r="7" spans="1:20" ht="19.5" customHeight="1">
      <c r="A7" s="2020"/>
      <c r="B7" s="2020"/>
      <c r="C7" s="2020"/>
      <c r="D7" s="2020"/>
      <c r="E7" s="2020"/>
      <c r="F7" s="2020"/>
      <c r="G7" s="2020"/>
      <c r="H7" s="2020"/>
      <c r="I7" s="2020"/>
      <c r="J7" s="1"/>
      <c r="K7" s="1"/>
      <c r="L7" s="1"/>
      <c r="N7" s="2080"/>
      <c r="O7" s="2092"/>
      <c r="P7" s="2089"/>
      <c r="Q7" s="612"/>
      <c r="R7" s="2089"/>
      <c r="S7" s="2078"/>
    </row>
    <row r="8" spans="1:20" ht="19.5" customHeight="1">
      <c r="A8" s="2020"/>
      <c r="B8" s="2020"/>
      <c r="C8" s="2020"/>
      <c r="D8" s="2020"/>
      <c r="E8" s="2020"/>
      <c r="F8" s="2020"/>
      <c r="G8" s="2020"/>
      <c r="H8" s="2020"/>
      <c r="I8" s="2020"/>
      <c r="J8" s="2"/>
      <c r="K8" s="2"/>
      <c r="L8" s="2"/>
      <c r="N8" s="2080"/>
      <c r="O8" s="2092"/>
      <c r="P8" s="2089"/>
      <c r="Q8" s="612"/>
      <c r="R8" s="2089"/>
      <c r="S8" s="2078"/>
    </row>
    <row r="9" spans="1:20" ht="19.5" customHeight="1" thickBot="1">
      <c r="A9" s="2052"/>
      <c r="B9" s="2052"/>
      <c r="C9" s="2052"/>
      <c r="D9" s="2052"/>
      <c r="E9" s="2052"/>
      <c r="F9" s="2052"/>
      <c r="G9" s="2052"/>
      <c r="H9" s="2052"/>
      <c r="I9" s="2052"/>
      <c r="J9" s="2"/>
      <c r="K9" s="2"/>
      <c r="L9" s="2"/>
      <c r="N9" s="2081"/>
      <c r="O9" s="2093"/>
      <c r="P9" s="2090"/>
      <c r="Q9" s="613"/>
      <c r="R9" s="2090"/>
      <c r="S9" s="2079"/>
    </row>
    <row r="10" spans="1:20" ht="23.25" customHeight="1">
      <c r="A10" s="2021" t="s">
        <v>0</v>
      </c>
      <c r="B10" s="2107" t="s">
        <v>1</v>
      </c>
      <c r="C10" s="2107" t="s">
        <v>2655</v>
      </c>
      <c r="D10" s="2114" t="s">
        <v>2</v>
      </c>
      <c r="E10" s="2114" t="s">
        <v>1222</v>
      </c>
      <c r="F10" s="2114" t="s">
        <v>3</v>
      </c>
      <c r="G10" s="523"/>
      <c r="H10" s="2116" t="s">
        <v>4</v>
      </c>
      <c r="I10" s="2104" t="s">
        <v>2352</v>
      </c>
      <c r="J10" s="2105"/>
      <c r="K10" s="2105"/>
      <c r="L10" s="2106"/>
    </row>
    <row r="11" spans="1:20" ht="23.25" customHeight="1">
      <c r="A11" s="2022"/>
      <c r="B11" s="2108"/>
      <c r="C11" s="2108"/>
      <c r="D11" s="2115"/>
      <c r="E11" s="2115"/>
      <c r="F11" s="2115"/>
      <c r="G11" s="522" t="s">
        <v>2499</v>
      </c>
      <c r="H11" s="2117"/>
      <c r="I11" s="82" t="s">
        <v>6</v>
      </c>
      <c r="J11" s="3" t="s">
        <v>7</v>
      </c>
      <c r="K11" s="476" t="s">
        <v>2479</v>
      </c>
      <c r="L11" s="271" t="s">
        <v>2336</v>
      </c>
      <c r="M11" s="24" t="s">
        <v>2528</v>
      </c>
      <c r="N11" s="434" t="s">
        <v>33</v>
      </c>
      <c r="O11" s="434" t="s">
        <v>2522</v>
      </c>
      <c r="P11" s="434" t="s">
        <v>2358</v>
      </c>
      <c r="Q11" s="434" t="s">
        <v>2815</v>
      </c>
      <c r="R11" s="434" t="s">
        <v>44</v>
      </c>
    </row>
    <row r="12" spans="1:20" ht="27" customHeight="1">
      <c r="A12" s="2011" t="s">
        <v>3098</v>
      </c>
      <c r="B12" s="509" t="s">
        <v>2944</v>
      </c>
      <c r="C12" s="509" t="s">
        <v>3114</v>
      </c>
      <c r="D12" s="454" t="s">
        <v>2945</v>
      </c>
      <c r="E12" s="454"/>
      <c r="F12" s="455">
        <v>45842</v>
      </c>
      <c r="G12" s="455"/>
      <c r="H12" s="456">
        <f>VLOOKUP(F12,환율!A:B,2,0)</f>
        <v>1358.1</v>
      </c>
      <c r="I12" s="457">
        <v>279926.38</v>
      </c>
      <c r="J12" s="458">
        <f t="shared" ref="J12:J14" si="0">ROUNDDOWN(I12*H12,0)</f>
        <v>380168016</v>
      </c>
      <c r="K12" s="458">
        <f>J12</f>
        <v>380168016</v>
      </c>
      <c r="L12" s="464"/>
      <c r="N12" s="434"/>
    </row>
    <row r="13" spans="1:20" s="97" customFormat="1" ht="27" customHeight="1">
      <c r="A13" s="2011"/>
      <c r="B13" s="155" t="s">
        <v>2946</v>
      </c>
      <c r="C13" s="155" t="s">
        <v>3114</v>
      </c>
      <c r="D13" s="89" t="s">
        <v>2948</v>
      </c>
      <c r="E13" s="89"/>
      <c r="F13" s="90">
        <v>45863</v>
      </c>
      <c r="G13" s="90"/>
      <c r="H13" s="91">
        <f>VLOOKUP(F13,환율!A:B,2,0)</f>
        <v>1368.7</v>
      </c>
      <c r="I13" s="92">
        <v>357102.38</v>
      </c>
      <c r="J13" s="93">
        <f t="shared" si="0"/>
        <v>488766027</v>
      </c>
      <c r="K13" s="93">
        <f>J13</f>
        <v>488766027</v>
      </c>
      <c r="L13" s="254"/>
      <c r="M13" s="364"/>
      <c r="N13" s="434"/>
      <c r="O13" s="434"/>
      <c r="P13" s="434"/>
      <c r="Q13" s="434"/>
      <c r="R13" s="434"/>
      <c r="S13" s="434"/>
      <c r="T13" s="441"/>
    </row>
    <row r="14" spans="1:20" s="97" customFormat="1" ht="27" customHeight="1">
      <c r="A14" s="2019"/>
      <c r="B14" s="546" t="s">
        <v>2947</v>
      </c>
      <c r="C14" s="546" t="s">
        <v>38</v>
      </c>
      <c r="D14" s="547" t="s">
        <v>2949</v>
      </c>
      <c r="E14" s="547"/>
      <c r="F14" s="527">
        <v>45870</v>
      </c>
      <c r="G14" s="527"/>
      <c r="H14" s="528">
        <f>VLOOKUP(F14,환율!A:B,2,0)</f>
        <v>1390.4</v>
      </c>
      <c r="I14" s="529">
        <v>414458.68</v>
      </c>
      <c r="J14" s="530">
        <f t="shared" si="0"/>
        <v>576263348</v>
      </c>
      <c r="K14" s="530"/>
      <c r="L14" s="548">
        <f>J14</f>
        <v>576263348</v>
      </c>
      <c r="M14" s="401"/>
      <c r="N14" s="434"/>
      <c r="O14" s="434"/>
      <c r="P14" s="434"/>
      <c r="Q14" s="434"/>
      <c r="R14" s="434"/>
      <c r="S14" s="434"/>
      <c r="T14" s="441"/>
    </row>
    <row r="15" spans="1:20" s="97" customFormat="1" ht="27" customHeight="1">
      <c r="A15" s="2035" t="s">
        <v>10</v>
      </c>
      <c r="B15" s="2036"/>
      <c r="C15" s="2036"/>
      <c r="D15" s="2036"/>
      <c r="E15" s="2036"/>
      <c r="F15" s="2036"/>
      <c r="G15" s="2036"/>
      <c r="H15" s="2037"/>
      <c r="I15" s="449">
        <f>SUM(I12:I14)</f>
        <v>1051487.44</v>
      </c>
      <c r="J15" s="116">
        <f>SUM(J12:J14)</f>
        <v>1445197391</v>
      </c>
      <c r="K15" s="116">
        <f>SUM(K12:K14)</f>
        <v>868934043</v>
      </c>
      <c r="L15" s="260">
        <f>SUM(L12:L14)</f>
        <v>576263348</v>
      </c>
      <c r="M15" s="364"/>
      <c r="N15" s="434"/>
      <c r="O15" s="434"/>
      <c r="P15" s="434"/>
      <c r="Q15" s="434"/>
      <c r="R15" s="434"/>
      <c r="S15" s="434"/>
      <c r="T15" s="441"/>
    </row>
    <row r="16" spans="1:20" s="97" customFormat="1" ht="27" customHeight="1">
      <c r="A16" s="2010" t="s">
        <v>3099</v>
      </c>
      <c r="B16" s="509" t="s">
        <v>2832</v>
      </c>
      <c r="C16" s="509" t="s">
        <v>3114</v>
      </c>
      <c r="D16" s="454" t="s">
        <v>2952</v>
      </c>
      <c r="E16" s="477"/>
      <c r="F16" s="465">
        <v>45842</v>
      </c>
      <c r="G16" s="465"/>
      <c r="H16" s="456">
        <f>VLOOKUP(F16,환율!A:B,2,0)</f>
        <v>1358.1</v>
      </c>
      <c r="I16" s="462">
        <v>29036.16</v>
      </c>
      <c r="J16" s="458">
        <f>ROUNDDOWN(I16*H16,0)</f>
        <v>39434008</v>
      </c>
      <c r="K16" s="458">
        <f>J16</f>
        <v>39434008</v>
      </c>
      <c r="L16" s="464"/>
      <c r="M16" s="364"/>
      <c r="N16" s="434"/>
      <c r="O16" s="434"/>
      <c r="P16" s="434"/>
      <c r="Q16" s="434"/>
      <c r="R16" s="434"/>
      <c r="S16" s="434"/>
      <c r="T16" s="441"/>
    </row>
    <row r="17" spans="1:20" s="120" customFormat="1" ht="27" customHeight="1">
      <c r="A17" s="2011"/>
      <c r="B17" s="509" t="s">
        <v>2833</v>
      </c>
      <c r="C17" s="509" t="s">
        <v>3115</v>
      </c>
      <c r="D17" s="454" t="s">
        <v>2953</v>
      </c>
      <c r="E17" s="477"/>
      <c r="F17" s="465">
        <v>45844</v>
      </c>
      <c r="G17" s="465"/>
      <c r="H17" s="456">
        <f>VLOOKUP(F17,환율!A:B,2,0)</f>
        <v>1358.1</v>
      </c>
      <c r="I17" s="462">
        <v>11550</v>
      </c>
      <c r="J17" s="458">
        <f t="shared" ref="J17:J23" si="1">ROUNDDOWN(I17*H17,0)</f>
        <v>15686055</v>
      </c>
      <c r="K17" s="458">
        <f>J17</f>
        <v>15686055</v>
      </c>
      <c r="L17" s="464"/>
      <c r="M17" s="365"/>
      <c r="N17" s="434"/>
      <c r="O17" s="434"/>
      <c r="P17" s="434"/>
      <c r="Q17" s="434"/>
      <c r="R17" s="434"/>
      <c r="S17" s="435"/>
      <c r="T17" s="442"/>
    </row>
    <row r="18" spans="1:20" s="120" customFormat="1" ht="27" customHeight="1">
      <c r="A18" s="2011"/>
      <c r="B18" s="155" t="s">
        <v>2954</v>
      </c>
      <c r="C18" s="155" t="s">
        <v>3115</v>
      </c>
      <c r="D18" s="89" t="s">
        <v>2967</v>
      </c>
      <c r="E18" s="319"/>
      <c r="F18" s="136">
        <v>45849</v>
      </c>
      <c r="G18" s="136"/>
      <c r="H18" s="163">
        <f>VLOOKUP(F18,환율!A:B,2,0)</f>
        <v>1373</v>
      </c>
      <c r="I18" s="131">
        <v>40029.120000000003</v>
      </c>
      <c r="J18" s="164">
        <f t="shared" si="1"/>
        <v>54959981</v>
      </c>
      <c r="K18" s="164">
        <f t="shared" ref="K18:K23" si="2">J18</f>
        <v>54959981</v>
      </c>
      <c r="L18" s="396"/>
      <c r="M18" s="365"/>
      <c r="S18" s="435"/>
      <c r="T18" s="442"/>
    </row>
    <row r="19" spans="1:20" s="120" customFormat="1" ht="27" customHeight="1">
      <c r="A19" s="2011"/>
      <c r="B19" s="155" t="s">
        <v>2955</v>
      </c>
      <c r="C19" s="155" t="s">
        <v>3115</v>
      </c>
      <c r="D19" s="89" t="s">
        <v>2968</v>
      </c>
      <c r="E19" s="319"/>
      <c r="F19" s="136">
        <v>45850</v>
      </c>
      <c r="G19" s="136"/>
      <c r="H19" s="163">
        <f>VLOOKUP(F19,환율!A:B,2,0)</f>
        <v>1373</v>
      </c>
      <c r="I19" s="131">
        <v>10246.32</v>
      </c>
      <c r="J19" s="164">
        <f t="shared" si="1"/>
        <v>14068197</v>
      </c>
      <c r="K19" s="164">
        <f t="shared" si="2"/>
        <v>14068197</v>
      </c>
      <c r="L19" s="396"/>
      <c r="M19" s="365"/>
      <c r="S19" s="435"/>
      <c r="T19" s="442"/>
    </row>
    <row r="20" spans="1:20" s="120" customFormat="1" ht="27" customHeight="1">
      <c r="A20" s="2011"/>
      <c r="B20" s="155" t="s">
        <v>2956</v>
      </c>
      <c r="C20" s="155" t="s">
        <v>3115</v>
      </c>
      <c r="D20" s="89" t="s">
        <v>2969</v>
      </c>
      <c r="E20" s="319"/>
      <c r="F20" s="136">
        <v>45860</v>
      </c>
      <c r="G20" s="136"/>
      <c r="H20" s="163">
        <f>VLOOKUP(F20,환율!A:B,2,0)</f>
        <v>1391.1</v>
      </c>
      <c r="I20" s="131">
        <v>29872.799999999999</v>
      </c>
      <c r="J20" s="164">
        <f t="shared" si="1"/>
        <v>41556052</v>
      </c>
      <c r="K20" s="164">
        <f t="shared" si="2"/>
        <v>41556052</v>
      </c>
      <c r="L20" s="396"/>
      <c r="M20" s="365"/>
      <c r="S20" s="435"/>
      <c r="T20" s="442"/>
    </row>
    <row r="21" spans="1:20" s="120" customFormat="1" ht="27" customHeight="1">
      <c r="A21" s="2011"/>
      <c r="B21" s="155" t="s">
        <v>2957</v>
      </c>
      <c r="C21" s="155" t="s">
        <v>3115</v>
      </c>
      <c r="D21" s="89" t="s">
        <v>2970</v>
      </c>
      <c r="E21" s="319"/>
      <c r="F21" s="136">
        <v>45863</v>
      </c>
      <c r="G21" s="136"/>
      <c r="H21" s="163">
        <f>VLOOKUP(F21,환율!A:B,2,0)</f>
        <v>1368.7</v>
      </c>
      <c r="I21" s="131">
        <v>17814.240000000002</v>
      </c>
      <c r="J21" s="164">
        <f t="shared" si="1"/>
        <v>24382350</v>
      </c>
      <c r="K21" s="164">
        <f t="shared" si="2"/>
        <v>24382350</v>
      </c>
      <c r="L21" s="396"/>
      <c r="M21" s="365"/>
      <c r="S21" s="435"/>
      <c r="T21" s="442"/>
    </row>
    <row r="22" spans="1:20" s="120" customFormat="1" ht="27" customHeight="1">
      <c r="A22" s="2011"/>
      <c r="B22" s="155" t="s">
        <v>2958</v>
      </c>
      <c r="C22" s="155" t="s">
        <v>3115</v>
      </c>
      <c r="D22" s="89" t="s">
        <v>2971</v>
      </c>
      <c r="E22" s="392"/>
      <c r="F22" s="130">
        <v>45860</v>
      </c>
      <c r="G22" s="130"/>
      <c r="H22" s="163">
        <f>VLOOKUP(F22,환율!A:B,2,0)</f>
        <v>1391.1</v>
      </c>
      <c r="I22" s="131">
        <v>42386.400000000001</v>
      </c>
      <c r="J22" s="164">
        <f t="shared" si="1"/>
        <v>58963721</v>
      </c>
      <c r="K22" s="164">
        <f t="shared" si="2"/>
        <v>58963721</v>
      </c>
      <c r="L22" s="396"/>
      <c r="M22" s="365"/>
      <c r="S22" s="435"/>
      <c r="T22" s="442"/>
    </row>
    <row r="23" spans="1:20" s="120" customFormat="1" ht="27" customHeight="1">
      <c r="A23" s="2011"/>
      <c r="B23" s="155" t="s">
        <v>2962</v>
      </c>
      <c r="C23" s="155" t="s">
        <v>3115</v>
      </c>
      <c r="D23" s="89" t="s">
        <v>2975</v>
      </c>
      <c r="E23" s="319"/>
      <c r="F23" s="136">
        <v>45860</v>
      </c>
      <c r="G23" s="136"/>
      <c r="H23" s="163">
        <f>VLOOKUP(F23,환율!A:B,2,0)</f>
        <v>1391.1</v>
      </c>
      <c r="I23" s="131">
        <v>179.25</v>
      </c>
      <c r="J23" s="164">
        <f t="shared" si="1"/>
        <v>249354</v>
      </c>
      <c r="K23" s="164">
        <f t="shared" si="2"/>
        <v>249354</v>
      </c>
      <c r="L23" s="254"/>
      <c r="M23" s="365"/>
      <c r="S23" s="435"/>
      <c r="T23" s="442"/>
    </row>
    <row r="24" spans="1:20" s="120" customFormat="1" ht="27" customHeight="1">
      <c r="A24" s="2011"/>
      <c r="B24" s="155" t="s">
        <v>2963</v>
      </c>
      <c r="C24" s="155" t="s">
        <v>3115</v>
      </c>
      <c r="D24" s="89" t="s">
        <v>2978</v>
      </c>
      <c r="E24" s="319"/>
      <c r="F24" s="136">
        <v>45854</v>
      </c>
      <c r="G24" s="136"/>
      <c r="H24" s="163">
        <f>VLOOKUP(F24,환율!A:B,2,0)</f>
        <v>1382.7</v>
      </c>
      <c r="I24" s="131">
        <v>21912.48</v>
      </c>
      <c r="J24" s="164">
        <f t="shared" ref="J24:J26" si="3">ROUNDDOWN(I24*H24,0)</f>
        <v>30298386</v>
      </c>
      <c r="K24" s="164">
        <f t="shared" ref="K24:K26" si="4">J24</f>
        <v>30298386</v>
      </c>
      <c r="L24" s="254"/>
      <c r="M24" s="365"/>
      <c r="S24" s="435"/>
      <c r="T24" s="442"/>
    </row>
    <row r="25" spans="1:20" s="120" customFormat="1" ht="27" customHeight="1">
      <c r="A25" s="2011"/>
      <c r="B25" s="155" t="s">
        <v>2964</v>
      </c>
      <c r="C25" s="155" t="s">
        <v>3115</v>
      </c>
      <c r="D25" s="89" t="s">
        <v>2979</v>
      </c>
      <c r="E25" s="319"/>
      <c r="F25" s="136">
        <v>45854</v>
      </c>
      <c r="G25" s="136"/>
      <c r="H25" s="163">
        <f>VLOOKUP(F25,환율!A:B,2,0)</f>
        <v>1382.7</v>
      </c>
      <c r="I25" s="131">
        <v>25511.040000000001</v>
      </c>
      <c r="J25" s="164">
        <f t="shared" si="3"/>
        <v>35274115</v>
      </c>
      <c r="K25" s="164">
        <f t="shared" si="4"/>
        <v>35274115</v>
      </c>
      <c r="L25" s="254"/>
      <c r="M25" s="365"/>
      <c r="S25" s="435"/>
      <c r="T25" s="442"/>
    </row>
    <row r="26" spans="1:20" s="120" customFormat="1" ht="27" customHeight="1">
      <c r="A26" s="2011"/>
      <c r="B26" s="155" t="s">
        <v>2965</v>
      </c>
      <c r="C26" s="155" t="s">
        <v>3115</v>
      </c>
      <c r="D26" s="89" t="s">
        <v>2980</v>
      </c>
      <c r="E26" s="319"/>
      <c r="F26" s="136">
        <v>45868</v>
      </c>
      <c r="G26" s="136"/>
      <c r="H26" s="163">
        <f>VLOOKUP(F26,환율!A:B,2,0)</f>
        <v>1391.4</v>
      </c>
      <c r="I26" s="131">
        <v>12820.32</v>
      </c>
      <c r="J26" s="164">
        <f t="shared" si="3"/>
        <v>17838193</v>
      </c>
      <c r="K26" s="164">
        <f t="shared" si="4"/>
        <v>17838193</v>
      </c>
      <c r="L26" s="254"/>
      <c r="M26" s="365"/>
      <c r="S26" s="435"/>
      <c r="T26" s="442"/>
    </row>
    <row r="27" spans="1:20" s="120" customFormat="1" ht="27" customHeight="1">
      <c r="A27" s="2011"/>
      <c r="B27" s="546" t="s">
        <v>2959</v>
      </c>
      <c r="C27" s="546" t="s">
        <v>3113</v>
      </c>
      <c r="D27" s="547" t="s">
        <v>2972</v>
      </c>
      <c r="E27" s="549"/>
      <c r="F27" s="550">
        <v>45872</v>
      </c>
      <c r="G27" s="550"/>
      <c r="H27" s="528">
        <f>VLOOKUP(F27,환율!A:B,2,0)</f>
        <v>1390.4</v>
      </c>
      <c r="I27" s="551">
        <v>11665.44</v>
      </c>
      <c r="J27" s="530">
        <f>ROUNDDOWN(I27*H27,0)</f>
        <v>16219627</v>
      </c>
      <c r="K27" s="530"/>
      <c r="L27" s="548">
        <f>J27</f>
        <v>16219627</v>
      </c>
      <c r="M27" s="365"/>
      <c r="S27" s="435"/>
      <c r="T27" s="442"/>
    </row>
    <row r="28" spans="1:20" s="120" customFormat="1" ht="27" customHeight="1">
      <c r="A28" s="2011"/>
      <c r="B28" s="546" t="s">
        <v>2960</v>
      </c>
      <c r="C28" s="546" t="s">
        <v>3113</v>
      </c>
      <c r="D28" s="547" t="s">
        <v>2973</v>
      </c>
      <c r="E28" s="549"/>
      <c r="F28" s="550">
        <v>45874</v>
      </c>
      <c r="G28" s="550"/>
      <c r="H28" s="528">
        <f>VLOOKUP(F28,환율!A:B,2,0)</f>
        <v>1384.9</v>
      </c>
      <c r="I28" s="551">
        <v>7456.32</v>
      </c>
      <c r="J28" s="530">
        <f t="shared" ref="J28" si="5">ROUNDDOWN(I28*H28,0)</f>
        <v>10326257</v>
      </c>
      <c r="K28" s="530"/>
      <c r="L28" s="548">
        <f>J28</f>
        <v>10326257</v>
      </c>
      <c r="M28" s="365"/>
      <c r="S28" s="435"/>
      <c r="T28" s="442"/>
    </row>
    <row r="29" spans="1:20" s="120" customFormat="1" ht="27" customHeight="1">
      <c r="A29" s="2011"/>
      <c r="B29" s="546" t="s">
        <v>2961</v>
      </c>
      <c r="C29" s="546" t="s">
        <v>3113</v>
      </c>
      <c r="D29" s="547" t="s">
        <v>2974</v>
      </c>
      <c r="E29" s="549"/>
      <c r="F29" s="550">
        <v>45876</v>
      </c>
      <c r="G29" s="550"/>
      <c r="H29" s="528">
        <f>VLOOKUP(F29,환율!A:B,2,0)</f>
        <v>1389.5</v>
      </c>
      <c r="I29" s="551">
        <v>15393.6</v>
      </c>
      <c r="J29" s="530">
        <f t="shared" ref="J29:J31" si="6">ROUNDDOWN(I29*H29,0)</f>
        <v>21389407</v>
      </c>
      <c r="K29" s="530"/>
      <c r="L29" s="548">
        <f t="shared" ref="L29:L31" si="7">J29</f>
        <v>21389407</v>
      </c>
      <c r="M29" s="365"/>
      <c r="S29" s="435"/>
      <c r="T29" s="442"/>
    </row>
    <row r="30" spans="1:20" s="120" customFormat="1" ht="27" customHeight="1">
      <c r="A30" s="2011"/>
      <c r="B30" s="546" t="s">
        <v>2976</v>
      </c>
      <c r="C30" s="546" t="s">
        <v>3113</v>
      </c>
      <c r="D30" s="547" t="s">
        <v>2977</v>
      </c>
      <c r="E30" s="549"/>
      <c r="F30" s="550">
        <v>45874</v>
      </c>
      <c r="G30" s="550"/>
      <c r="H30" s="528">
        <f>VLOOKUP(F30,환율!A:B,2,0)</f>
        <v>1384.9</v>
      </c>
      <c r="I30" s="551">
        <v>1953.72</v>
      </c>
      <c r="J30" s="530">
        <f t="shared" si="6"/>
        <v>2705706</v>
      </c>
      <c r="K30" s="530"/>
      <c r="L30" s="548">
        <f t="shared" si="7"/>
        <v>2705706</v>
      </c>
      <c r="M30" s="365"/>
      <c r="S30" s="435"/>
      <c r="T30" s="442"/>
    </row>
    <row r="31" spans="1:20" s="120" customFormat="1" ht="27" customHeight="1">
      <c r="A31" s="2019"/>
      <c r="B31" s="546" t="s">
        <v>2966</v>
      </c>
      <c r="C31" s="546" t="s">
        <v>3113</v>
      </c>
      <c r="D31" s="547" t="s">
        <v>2981</v>
      </c>
      <c r="E31" s="549"/>
      <c r="F31" s="550">
        <v>45873</v>
      </c>
      <c r="G31" s="550"/>
      <c r="H31" s="528">
        <f>VLOOKUP(F31,환율!A:B,2,0)</f>
        <v>1399.3</v>
      </c>
      <c r="I31" s="551">
        <v>5561.28</v>
      </c>
      <c r="J31" s="530">
        <f t="shared" si="6"/>
        <v>7781899</v>
      </c>
      <c r="K31" s="530"/>
      <c r="L31" s="548">
        <f t="shared" si="7"/>
        <v>7781899</v>
      </c>
      <c r="M31" s="365"/>
      <c r="S31" s="435"/>
      <c r="T31" s="442"/>
    </row>
    <row r="32" spans="1:20" s="97" customFormat="1" ht="27" customHeight="1">
      <c r="A32" s="2035" t="s">
        <v>10</v>
      </c>
      <c r="B32" s="2036"/>
      <c r="C32" s="2036"/>
      <c r="D32" s="2036"/>
      <c r="E32" s="2036"/>
      <c r="F32" s="2036"/>
      <c r="G32" s="2036"/>
      <c r="H32" s="2037"/>
      <c r="I32" s="127">
        <f>SUM(I16:I31)</f>
        <v>283388.49000000005</v>
      </c>
      <c r="J32" s="116">
        <f>SUM(J16:J31)</f>
        <v>391133308</v>
      </c>
      <c r="K32" s="116">
        <f>SUM(K16:K31)</f>
        <v>332710412</v>
      </c>
      <c r="L32" s="260">
        <f>SUM(L16:L31)</f>
        <v>58422896</v>
      </c>
      <c r="M32" s="364"/>
      <c r="N32" s="434"/>
      <c r="O32" s="434"/>
      <c r="P32" s="434"/>
      <c r="Q32" s="434"/>
      <c r="R32" s="434"/>
      <c r="S32" s="434"/>
      <c r="T32" s="441"/>
    </row>
    <row r="33" spans="1:20" s="97" customFormat="1" ht="27" customHeight="1">
      <c r="A33" s="2010" t="s">
        <v>3100</v>
      </c>
      <c r="B33" s="510" t="s">
        <v>2859</v>
      </c>
      <c r="C33" s="561" t="s">
        <v>3113</v>
      </c>
      <c r="D33" s="460" t="s">
        <v>2881</v>
      </c>
      <c r="E33" s="460"/>
      <c r="F33" s="465">
        <v>45839</v>
      </c>
      <c r="G33" s="465"/>
      <c r="H33" s="456">
        <f>VLOOKUP(F33,환율!A:B,2,0)</f>
        <v>1353.6</v>
      </c>
      <c r="I33" s="462">
        <v>9696</v>
      </c>
      <c r="J33" s="458">
        <f t="shared" ref="J33:J55" si="8">ROUNDDOWN(I33*H33,0)</f>
        <v>13124505</v>
      </c>
      <c r="K33" s="458">
        <f>J33</f>
        <v>13124505</v>
      </c>
      <c r="L33" s="464"/>
      <c r="M33" s="364"/>
      <c r="Q33" s="97" t="s">
        <v>3006</v>
      </c>
      <c r="S33" s="434"/>
      <c r="T33" s="441"/>
    </row>
    <row r="34" spans="1:20" s="97" customFormat="1" ht="27" customHeight="1">
      <c r="A34" s="2011"/>
      <c r="B34" s="510" t="s">
        <v>2867</v>
      </c>
      <c r="C34" s="561" t="s">
        <v>3113</v>
      </c>
      <c r="D34" s="460" t="s">
        <v>2982</v>
      </c>
      <c r="E34" s="460"/>
      <c r="F34" s="455">
        <v>45839</v>
      </c>
      <c r="G34" s="455"/>
      <c r="H34" s="456">
        <f>VLOOKUP(F34,환율!A:B,2,0)</f>
        <v>1353.6</v>
      </c>
      <c r="I34" s="462">
        <v>78183.360000000001</v>
      </c>
      <c r="J34" s="458">
        <f t="shared" si="8"/>
        <v>105828996</v>
      </c>
      <c r="K34" s="458">
        <f t="shared" ref="K34:K54" si="9">J34</f>
        <v>105828996</v>
      </c>
      <c r="L34" s="464"/>
      <c r="M34" s="364"/>
      <c r="Q34" s="97" t="s">
        <v>3006</v>
      </c>
      <c r="S34" s="434"/>
      <c r="T34" s="441"/>
    </row>
    <row r="35" spans="1:20" s="97" customFormat="1" ht="27" customHeight="1">
      <c r="A35" s="2011"/>
      <c r="B35" s="510" t="s">
        <v>2868</v>
      </c>
      <c r="C35" s="561" t="s">
        <v>3113</v>
      </c>
      <c r="D35" s="460" t="s">
        <v>2983</v>
      </c>
      <c r="E35" s="460"/>
      <c r="F35" s="455">
        <v>45843</v>
      </c>
      <c r="G35" s="455"/>
      <c r="H35" s="456">
        <f>VLOOKUP(F35,환율!A:B,2,0)</f>
        <v>1358.1</v>
      </c>
      <c r="I35" s="462">
        <v>5567.04</v>
      </c>
      <c r="J35" s="458">
        <f t="shared" si="8"/>
        <v>7560597</v>
      </c>
      <c r="K35" s="458">
        <f t="shared" si="9"/>
        <v>7560597</v>
      </c>
      <c r="L35" s="464"/>
      <c r="M35" s="364"/>
      <c r="Q35" s="97" t="s">
        <v>3006</v>
      </c>
      <c r="S35" s="434"/>
      <c r="T35" s="441"/>
    </row>
    <row r="36" spans="1:20" s="97" customFormat="1" ht="27" customHeight="1">
      <c r="A36" s="2011"/>
      <c r="B36" s="510" t="s">
        <v>2869</v>
      </c>
      <c r="C36" s="561" t="s">
        <v>3113</v>
      </c>
      <c r="D36" s="460" t="s">
        <v>2984</v>
      </c>
      <c r="E36" s="460"/>
      <c r="F36" s="455">
        <v>45844</v>
      </c>
      <c r="G36" s="455"/>
      <c r="H36" s="456">
        <f>VLOOKUP(F36,환율!A:B,2,0)</f>
        <v>1358.1</v>
      </c>
      <c r="I36" s="462">
        <v>50685.2</v>
      </c>
      <c r="J36" s="458">
        <f t="shared" si="8"/>
        <v>68835570</v>
      </c>
      <c r="K36" s="458">
        <f t="shared" si="9"/>
        <v>68835570</v>
      </c>
      <c r="L36" s="464"/>
      <c r="M36" s="364"/>
      <c r="Q36" s="97" t="s">
        <v>3006</v>
      </c>
      <c r="S36" s="434"/>
      <c r="T36" s="441"/>
    </row>
    <row r="37" spans="1:20" s="126" customFormat="1" ht="27" customHeight="1">
      <c r="A37" s="2011"/>
      <c r="B37" s="510" t="s">
        <v>3005</v>
      </c>
      <c r="C37" s="619" t="s">
        <v>3113</v>
      </c>
      <c r="D37" s="460" t="s">
        <v>2985</v>
      </c>
      <c r="E37" s="460"/>
      <c r="F37" s="455">
        <v>45843</v>
      </c>
      <c r="G37" s="455"/>
      <c r="H37" s="456">
        <f>VLOOKUP(F37,환율!A:B,2,0)</f>
        <v>1358.1</v>
      </c>
      <c r="I37" s="462">
        <v>50926</v>
      </c>
      <c r="J37" s="458">
        <f t="shared" si="8"/>
        <v>69162600</v>
      </c>
      <c r="K37" s="458">
        <f t="shared" si="9"/>
        <v>69162600</v>
      </c>
      <c r="L37" s="464"/>
      <c r="M37" s="401"/>
      <c r="N37" s="97"/>
      <c r="O37" s="97"/>
      <c r="P37" s="97"/>
      <c r="Q37" s="97" t="s">
        <v>3006</v>
      </c>
      <c r="R37" s="97"/>
      <c r="S37" s="436"/>
      <c r="T37" s="443"/>
    </row>
    <row r="38" spans="1:20" s="126" customFormat="1" ht="27" customHeight="1">
      <c r="A38" s="2011"/>
      <c r="B38" s="513" t="s">
        <v>2986</v>
      </c>
      <c r="C38" s="563" t="s">
        <v>3113</v>
      </c>
      <c r="D38" s="129" t="s">
        <v>3004</v>
      </c>
      <c r="E38" s="129"/>
      <c r="F38" s="136">
        <v>45843</v>
      </c>
      <c r="G38" s="136"/>
      <c r="H38" s="91">
        <f>VLOOKUP(F38,환율!A:B,2,0)</f>
        <v>1358.1</v>
      </c>
      <c r="I38" s="134">
        <v>33976.46</v>
      </c>
      <c r="J38" s="93">
        <f t="shared" si="8"/>
        <v>46143430</v>
      </c>
      <c r="K38" s="93">
        <f t="shared" si="9"/>
        <v>46143430</v>
      </c>
      <c r="L38" s="254"/>
      <c r="M38" s="401"/>
      <c r="N38" s="97"/>
      <c r="O38" s="97"/>
      <c r="P38" s="97"/>
      <c r="Q38" s="97" t="s">
        <v>3006</v>
      </c>
      <c r="R38" s="97"/>
      <c r="S38" s="436"/>
      <c r="T38" s="443"/>
    </row>
    <row r="39" spans="1:20" s="126" customFormat="1" ht="27" customHeight="1">
      <c r="A39" s="2011"/>
      <c r="B39" s="513" t="s">
        <v>2987</v>
      </c>
      <c r="C39" s="563" t="s">
        <v>3113</v>
      </c>
      <c r="D39" s="129" t="s">
        <v>3008</v>
      </c>
      <c r="E39" s="129"/>
      <c r="F39" s="136">
        <v>45844</v>
      </c>
      <c r="G39" s="136"/>
      <c r="H39" s="91">
        <f>VLOOKUP(F39,환율!A:B,2,0)</f>
        <v>1358.1</v>
      </c>
      <c r="I39" s="134">
        <v>26390.799999999999</v>
      </c>
      <c r="J39" s="93">
        <f t="shared" si="8"/>
        <v>35841345</v>
      </c>
      <c r="K39" s="93">
        <f t="shared" si="9"/>
        <v>35841345</v>
      </c>
      <c r="L39" s="254"/>
      <c r="M39" s="401"/>
      <c r="N39" s="97"/>
      <c r="O39" s="97"/>
      <c r="P39" s="97"/>
      <c r="Q39" s="97" t="s">
        <v>3006</v>
      </c>
      <c r="R39" s="97"/>
      <c r="S39" s="436"/>
      <c r="T39" s="443"/>
    </row>
    <row r="40" spans="1:20" s="126" customFormat="1" ht="27" customHeight="1">
      <c r="A40" s="2011"/>
      <c r="B40" s="513" t="s">
        <v>2988</v>
      </c>
      <c r="C40" s="562" t="s">
        <v>3113</v>
      </c>
      <c r="D40" s="129" t="s">
        <v>3007</v>
      </c>
      <c r="E40" s="129"/>
      <c r="F40" s="136">
        <v>45850</v>
      </c>
      <c r="G40" s="90"/>
      <c r="H40" s="91">
        <f>VLOOKUP(F40,환율!A:B,2,0)</f>
        <v>1373</v>
      </c>
      <c r="I40" s="134">
        <v>15964.02</v>
      </c>
      <c r="J40" s="93">
        <f t="shared" si="8"/>
        <v>21918599</v>
      </c>
      <c r="K40" s="164">
        <f t="shared" si="9"/>
        <v>21918599</v>
      </c>
      <c r="L40" s="254"/>
      <c r="M40" s="401"/>
      <c r="N40" s="97"/>
      <c r="O40" s="97"/>
      <c r="P40" s="97"/>
      <c r="Q40" s="97" t="s">
        <v>3006</v>
      </c>
      <c r="R40" s="97"/>
      <c r="S40" s="436"/>
      <c r="T40" s="443"/>
    </row>
    <row r="41" spans="1:20" s="126" customFormat="1" ht="27" customHeight="1">
      <c r="A41" s="2011"/>
      <c r="B41" s="513" t="s">
        <v>2989</v>
      </c>
      <c r="C41" s="562" t="s">
        <v>3113</v>
      </c>
      <c r="D41" s="129" t="s">
        <v>3009</v>
      </c>
      <c r="E41" s="129"/>
      <c r="F41" s="90">
        <v>45853</v>
      </c>
      <c r="G41" s="90"/>
      <c r="H41" s="91">
        <f>VLOOKUP(F41,환율!A:B,2,0)</f>
        <v>1378.5</v>
      </c>
      <c r="I41" s="134">
        <v>49907.48</v>
      </c>
      <c r="J41" s="93">
        <f t="shared" si="8"/>
        <v>68797461</v>
      </c>
      <c r="K41" s="164">
        <f t="shared" si="9"/>
        <v>68797461</v>
      </c>
      <c r="L41" s="254"/>
      <c r="M41" s="364"/>
      <c r="N41" s="97"/>
      <c r="O41" s="97"/>
      <c r="P41" s="97"/>
      <c r="Q41" s="97" t="s">
        <v>3006</v>
      </c>
      <c r="R41" s="97"/>
      <c r="S41" s="436"/>
      <c r="T41" s="443"/>
    </row>
    <row r="42" spans="1:20" s="126" customFormat="1" ht="27" customHeight="1">
      <c r="A42" s="2011"/>
      <c r="B42" s="513" t="s">
        <v>2990</v>
      </c>
      <c r="C42" s="562" t="s">
        <v>3113</v>
      </c>
      <c r="D42" s="129" t="s">
        <v>3010</v>
      </c>
      <c r="E42" s="129"/>
      <c r="F42" s="90">
        <v>45853</v>
      </c>
      <c r="G42" s="90"/>
      <c r="H42" s="91">
        <f>VLOOKUP(F42,환율!A:B,2,0)</f>
        <v>1378.5</v>
      </c>
      <c r="I42" s="134">
        <v>2000.22</v>
      </c>
      <c r="J42" s="93">
        <f t="shared" si="8"/>
        <v>2757303</v>
      </c>
      <c r="K42" s="93">
        <f t="shared" si="9"/>
        <v>2757303</v>
      </c>
      <c r="L42" s="254"/>
      <c r="M42" s="364"/>
      <c r="N42" s="97"/>
      <c r="O42" s="97"/>
      <c r="P42" s="97"/>
      <c r="Q42" s="97" t="s">
        <v>3006</v>
      </c>
      <c r="R42" s="97"/>
      <c r="S42" s="436"/>
      <c r="T42" s="443"/>
    </row>
    <row r="43" spans="1:20" s="126" customFormat="1" ht="27" customHeight="1">
      <c r="A43" s="2011"/>
      <c r="B43" s="513" t="s">
        <v>2991</v>
      </c>
      <c r="C43" s="562" t="s">
        <v>3113</v>
      </c>
      <c r="D43" s="129" t="s">
        <v>3011</v>
      </c>
      <c r="E43" s="129"/>
      <c r="F43" s="90">
        <v>45851</v>
      </c>
      <c r="G43" s="90"/>
      <c r="H43" s="91">
        <f>VLOOKUP(F43,환율!A:B,2,0)</f>
        <v>1373</v>
      </c>
      <c r="I43" s="134">
        <v>42481.440000000002</v>
      </c>
      <c r="J43" s="93">
        <f t="shared" si="8"/>
        <v>58327017</v>
      </c>
      <c r="K43" s="93">
        <f t="shared" si="9"/>
        <v>58327017</v>
      </c>
      <c r="L43" s="254"/>
      <c r="M43" s="364"/>
      <c r="N43" s="97"/>
      <c r="O43" s="97"/>
      <c r="P43" s="97"/>
      <c r="Q43" s="97" t="s">
        <v>3006</v>
      </c>
      <c r="R43" s="97"/>
      <c r="S43" s="436"/>
      <c r="T43" s="443"/>
    </row>
    <row r="44" spans="1:20" s="126" customFormat="1" ht="27" customHeight="1">
      <c r="A44" s="2011"/>
      <c r="B44" s="513" t="s">
        <v>2992</v>
      </c>
      <c r="C44" s="563" t="s">
        <v>3113</v>
      </c>
      <c r="D44" s="129" t="s">
        <v>3012</v>
      </c>
      <c r="E44" s="129"/>
      <c r="F44" s="90">
        <v>45851</v>
      </c>
      <c r="G44" s="90"/>
      <c r="H44" s="91">
        <f>VLOOKUP(F44,환율!A:B,2,0)</f>
        <v>1373</v>
      </c>
      <c r="I44" s="134">
        <v>9213.32</v>
      </c>
      <c r="J44" s="93">
        <f t="shared" si="8"/>
        <v>12649888</v>
      </c>
      <c r="K44" s="93">
        <f t="shared" si="9"/>
        <v>12649888</v>
      </c>
      <c r="L44" s="254"/>
      <c r="M44" s="364"/>
      <c r="N44" s="97"/>
      <c r="O44" s="97"/>
      <c r="P44" s="97"/>
      <c r="Q44" s="97" t="s">
        <v>3006</v>
      </c>
      <c r="R44" s="97"/>
      <c r="S44" s="436"/>
      <c r="T44" s="443"/>
    </row>
    <row r="45" spans="1:20" s="126" customFormat="1" ht="27" customHeight="1">
      <c r="A45" s="2011"/>
      <c r="B45" s="513" t="s">
        <v>2993</v>
      </c>
      <c r="C45" s="563" t="s">
        <v>3113</v>
      </c>
      <c r="D45" s="129" t="s">
        <v>3013</v>
      </c>
      <c r="E45" s="129"/>
      <c r="F45" s="136">
        <v>45853</v>
      </c>
      <c r="G45" s="136"/>
      <c r="H45" s="91">
        <f>VLOOKUP(F45,환율!A:B,2,0)</f>
        <v>1378.5</v>
      </c>
      <c r="I45" s="134">
        <v>45671.7</v>
      </c>
      <c r="J45" s="93">
        <f t="shared" si="8"/>
        <v>62958438</v>
      </c>
      <c r="K45" s="93">
        <f t="shared" si="9"/>
        <v>62958438</v>
      </c>
      <c r="L45" s="254"/>
      <c r="M45" s="364"/>
      <c r="N45" s="97"/>
      <c r="O45" s="97"/>
      <c r="P45" s="97"/>
      <c r="Q45" s="97" t="s">
        <v>3006</v>
      </c>
      <c r="R45" s="97"/>
      <c r="S45" s="436"/>
      <c r="T45" s="443"/>
    </row>
    <row r="46" spans="1:20" s="126" customFormat="1" ht="27" customHeight="1">
      <c r="A46" s="2011"/>
      <c r="B46" s="513" t="s">
        <v>2994</v>
      </c>
      <c r="C46" s="563" t="s">
        <v>3113</v>
      </c>
      <c r="D46" s="129" t="s">
        <v>3014</v>
      </c>
      <c r="E46" s="129"/>
      <c r="F46" s="90">
        <v>45861</v>
      </c>
      <c r="G46" s="90"/>
      <c r="H46" s="91">
        <f>VLOOKUP(F46,환율!A:B,2,0)</f>
        <v>1386.3</v>
      </c>
      <c r="I46" s="134">
        <v>25717.58</v>
      </c>
      <c r="J46" s="93">
        <f t="shared" si="8"/>
        <v>35652281</v>
      </c>
      <c r="K46" s="93">
        <f t="shared" si="9"/>
        <v>35652281</v>
      </c>
      <c r="L46" s="254"/>
      <c r="M46" s="364"/>
      <c r="N46" s="97"/>
      <c r="O46" s="97"/>
      <c r="P46" s="97"/>
      <c r="Q46" s="97" t="s">
        <v>3006</v>
      </c>
      <c r="R46" s="97"/>
      <c r="S46" s="436"/>
      <c r="T46" s="443"/>
    </row>
    <row r="47" spans="1:20" s="126" customFormat="1" ht="27" customHeight="1">
      <c r="A47" s="2011"/>
      <c r="B47" s="513" t="s">
        <v>2995</v>
      </c>
      <c r="C47" s="563" t="s">
        <v>3113</v>
      </c>
      <c r="D47" s="129" t="s">
        <v>3015</v>
      </c>
      <c r="E47" s="129"/>
      <c r="F47" s="90">
        <v>45858</v>
      </c>
      <c r="G47" s="90"/>
      <c r="H47" s="91">
        <f>VLOOKUP(F47,환율!A:B,2,0)</f>
        <v>1390.8</v>
      </c>
      <c r="I47" s="134">
        <v>71296.399999999994</v>
      </c>
      <c r="J47" s="93">
        <f t="shared" si="8"/>
        <v>99159033</v>
      </c>
      <c r="K47" s="93">
        <f t="shared" si="9"/>
        <v>99159033</v>
      </c>
      <c r="L47" s="254"/>
      <c r="M47" s="364"/>
      <c r="N47" s="97"/>
      <c r="O47" s="97"/>
      <c r="P47" s="97"/>
      <c r="Q47" s="97" t="s">
        <v>3006</v>
      </c>
      <c r="R47" s="97"/>
      <c r="S47" s="436"/>
      <c r="T47" s="443"/>
    </row>
    <row r="48" spans="1:20" s="126" customFormat="1" ht="27" customHeight="1">
      <c r="A48" s="2011"/>
      <c r="B48" s="513" t="s">
        <v>2996</v>
      </c>
      <c r="C48" s="563" t="s">
        <v>3113</v>
      </c>
      <c r="D48" s="129" t="s">
        <v>3016</v>
      </c>
      <c r="E48" s="129"/>
      <c r="F48" s="90">
        <v>45863</v>
      </c>
      <c r="G48" s="90"/>
      <c r="H48" s="91">
        <f>VLOOKUP(F48,환율!A:B,2,0)</f>
        <v>1368.7</v>
      </c>
      <c r="I48" s="134">
        <v>46600.28</v>
      </c>
      <c r="J48" s="93">
        <f t="shared" si="8"/>
        <v>63781803</v>
      </c>
      <c r="K48" s="93">
        <f t="shared" si="9"/>
        <v>63781803</v>
      </c>
      <c r="L48" s="254"/>
      <c r="M48" s="364"/>
      <c r="N48" s="97"/>
      <c r="O48" s="97"/>
      <c r="P48" s="97"/>
      <c r="Q48" s="97" t="s">
        <v>3006</v>
      </c>
      <c r="R48" s="97"/>
      <c r="S48" s="436"/>
      <c r="T48" s="443"/>
    </row>
    <row r="49" spans="1:20" s="126" customFormat="1" ht="27" customHeight="1">
      <c r="A49" s="2011"/>
      <c r="B49" s="513" t="s">
        <v>2997</v>
      </c>
      <c r="C49" s="620" t="s">
        <v>3113</v>
      </c>
      <c r="D49" s="129" t="s">
        <v>3017</v>
      </c>
      <c r="E49" s="129"/>
      <c r="F49" s="90">
        <v>45863</v>
      </c>
      <c r="G49" s="90"/>
      <c r="H49" s="91">
        <f>VLOOKUP(F49,환율!A:B,2,0)</f>
        <v>1368.7</v>
      </c>
      <c r="I49" s="134">
        <v>61682.64</v>
      </c>
      <c r="J49" s="93">
        <f t="shared" si="8"/>
        <v>84425029</v>
      </c>
      <c r="K49" s="93">
        <f t="shared" si="9"/>
        <v>84425029</v>
      </c>
      <c r="L49" s="254"/>
      <c r="M49" s="364"/>
      <c r="N49" s="97"/>
      <c r="O49" s="97"/>
      <c r="P49" s="97"/>
      <c r="Q49" s="97" t="s">
        <v>3006</v>
      </c>
      <c r="R49" s="97"/>
      <c r="S49" s="436"/>
      <c r="T49" s="443"/>
    </row>
    <row r="50" spans="1:20" s="126" customFormat="1" ht="27" customHeight="1">
      <c r="A50" s="2011"/>
      <c r="B50" s="513" t="s">
        <v>2998</v>
      </c>
      <c r="C50" s="563" t="s">
        <v>3113</v>
      </c>
      <c r="D50" s="129" t="s">
        <v>3018</v>
      </c>
      <c r="E50" s="129"/>
      <c r="F50" s="136">
        <v>45865</v>
      </c>
      <c r="G50" s="136"/>
      <c r="H50" s="91">
        <f>VLOOKUP(F50,환율!A:B,2,0)</f>
        <v>1368.7</v>
      </c>
      <c r="I50" s="134">
        <v>53742.48</v>
      </c>
      <c r="J50" s="93">
        <f t="shared" si="8"/>
        <v>73557332</v>
      </c>
      <c r="K50" s="93">
        <f t="shared" si="9"/>
        <v>73557332</v>
      </c>
      <c r="L50" s="254"/>
      <c r="M50" s="364"/>
      <c r="N50" s="97"/>
      <c r="O50" s="97"/>
      <c r="P50" s="97"/>
      <c r="Q50" s="97" t="s">
        <v>3006</v>
      </c>
      <c r="R50" s="97"/>
      <c r="S50" s="436"/>
      <c r="T50" s="443"/>
    </row>
    <row r="51" spans="1:20" s="126" customFormat="1" ht="27" customHeight="1">
      <c r="A51" s="2011"/>
      <c r="B51" s="513" t="s">
        <v>2999</v>
      </c>
      <c r="C51" s="563" t="s">
        <v>3113</v>
      </c>
      <c r="D51" s="129" t="s">
        <v>3019</v>
      </c>
      <c r="E51" s="129"/>
      <c r="F51" s="136">
        <v>45862</v>
      </c>
      <c r="G51" s="136"/>
      <c r="H51" s="91">
        <f>VLOOKUP(F51,환율!A:B,2,0)</f>
        <v>1379.1</v>
      </c>
      <c r="I51" s="134">
        <v>84391.44</v>
      </c>
      <c r="J51" s="93">
        <f t="shared" si="8"/>
        <v>116384234</v>
      </c>
      <c r="K51" s="93">
        <f t="shared" si="9"/>
        <v>116384234</v>
      </c>
      <c r="L51" s="254"/>
      <c r="M51" s="364"/>
      <c r="N51" s="434"/>
      <c r="O51" s="434"/>
      <c r="P51" s="434"/>
      <c r="Q51" s="97" t="s">
        <v>3006</v>
      </c>
      <c r="R51" s="434"/>
      <c r="S51" s="436"/>
      <c r="T51" s="443"/>
    </row>
    <row r="52" spans="1:20" s="126" customFormat="1" ht="27" customHeight="1">
      <c r="A52" s="2011"/>
      <c r="B52" s="513" t="s">
        <v>3000</v>
      </c>
      <c r="C52" s="563" t="s">
        <v>3113</v>
      </c>
      <c r="D52" s="129" t="s">
        <v>3020</v>
      </c>
      <c r="E52" s="129"/>
      <c r="F52" s="136">
        <v>45865</v>
      </c>
      <c r="G52" s="136"/>
      <c r="H52" s="91">
        <f>VLOOKUP(F52,환율!A:B,2,0)</f>
        <v>1368.7</v>
      </c>
      <c r="I52" s="134">
        <v>4175.28</v>
      </c>
      <c r="J52" s="93">
        <f t="shared" si="8"/>
        <v>5714705</v>
      </c>
      <c r="K52" s="93">
        <f t="shared" si="9"/>
        <v>5714705</v>
      </c>
      <c r="L52" s="254"/>
      <c r="M52" s="364"/>
      <c r="N52" s="97"/>
      <c r="O52" s="97"/>
      <c r="P52" s="97"/>
      <c r="Q52" s="97" t="s">
        <v>3006</v>
      </c>
      <c r="R52" s="97"/>
      <c r="S52" s="436"/>
      <c r="T52" s="443"/>
    </row>
    <row r="53" spans="1:20" s="126" customFormat="1" ht="27" customHeight="1">
      <c r="A53" s="2011"/>
      <c r="B53" s="513" t="s">
        <v>3001</v>
      </c>
      <c r="C53" s="563" t="s">
        <v>3113</v>
      </c>
      <c r="D53" s="129" t="s">
        <v>3021</v>
      </c>
      <c r="E53" s="129"/>
      <c r="F53" s="136">
        <v>45866</v>
      </c>
      <c r="G53" s="136"/>
      <c r="H53" s="91">
        <f>VLOOKUP(F53,환율!A:B,2,0)</f>
        <v>1376</v>
      </c>
      <c r="I53" s="134">
        <v>60469.120000000003</v>
      </c>
      <c r="J53" s="93">
        <f t="shared" si="8"/>
        <v>83205509</v>
      </c>
      <c r="K53" s="93">
        <f t="shared" si="9"/>
        <v>83205509</v>
      </c>
      <c r="L53" s="254"/>
      <c r="M53" s="364"/>
      <c r="N53" s="97"/>
      <c r="O53" s="97"/>
      <c r="P53" s="97"/>
      <c r="Q53" s="97" t="s">
        <v>3006</v>
      </c>
      <c r="R53" s="97"/>
      <c r="S53" s="436"/>
      <c r="T53" s="443"/>
    </row>
    <row r="54" spans="1:20" s="126" customFormat="1" ht="27" customHeight="1">
      <c r="A54" s="2011"/>
      <c r="B54" s="513" t="s">
        <v>3002</v>
      </c>
      <c r="C54" s="563" t="s">
        <v>3113</v>
      </c>
      <c r="D54" s="129" t="s">
        <v>3022</v>
      </c>
      <c r="E54" s="129"/>
      <c r="F54" s="136">
        <v>45866</v>
      </c>
      <c r="G54" s="136"/>
      <c r="H54" s="91">
        <f>VLOOKUP(F54,환율!A:B,2,0)</f>
        <v>1376</v>
      </c>
      <c r="I54" s="134">
        <v>2701.3</v>
      </c>
      <c r="J54" s="93">
        <f t="shared" si="8"/>
        <v>3716988</v>
      </c>
      <c r="K54" s="93">
        <f t="shared" si="9"/>
        <v>3716988</v>
      </c>
      <c r="L54" s="254"/>
      <c r="M54" s="364"/>
      <c r="N54" s="97"/>
      <c r="O54" s="97"/>
      <c r="P54" s="97"/>
      <c r="Q54" s="97" t="s">
        <v>3006</v>
      </c>
      <c r="R54" s="97"/>
      <c r="S54" s="436"/>
      <c r="T54" s="443"/>
    </row>
    <row r="55" spans="1:20" s="126" customFormat="1" ht="27" customHeight="1">
      <c r="A55" s="2019"/>
      <c r="B55" s="556" t="s">
        <v>3003</v>
      </c>
      <c r="C55" s="564" t="s">
        <v>3113</v>
      </c>
      <c r="D55" s="557" t="s">
        <v>3023</v>
      </c>
      <c r="E55" s="557"/>
      <c r="F55" s="550">
        <v>45878</v>
      </c>
      <c r="G55" s="550"/>
      <c r="H55" s="528">
        <f>VLOOKUP(F55,환율!A:B,2,0)</f>
        <v>1384.2</v>
      </c>
      <c r="I55" s="551">
        <v>170643.92</v>
      </c>
      <c r="J55" s="530">
        <f t="shared" si="8"/>
        <v>236205314</v>
      </c>
      <c r="K55" s="530"/>
      <c r="L55" s="548">
        <f>J55</f>
        <v>236205314</v>
      </c>
      <c r="M55" s="364"/>
      <c r="N55" s="97"/>
      <c r="O55" s="97"/>
      <c r="P55" s="97"/>
      <c r="Q55" s="97" t="s">
        <v>3006</v>
      </c>
      <c r="R55" s="97"/>
      <c r="S55" s="436"/>
      <c r="T55" s="443"/>
    </row>
    <row r="56" spans="1:20" s="97" customFormat="1" ht="27" customHeight="1">
      <c r="A56" s="2035" t="s">
        <v>10</v>
      </c>
      <c r="B56" s="2036"/>
      <c r="C56" s="2036"/>
      <c r="D56" s="2036"/>
      <c r="E56" s="2036"/>
      <c r="F56" s="2036"/>
      <c r="G56" s="2036"/>
      <c r="H56" s="2037"/>
      <c r="I56" s="127">
        <f>SUM(I33:I55)</f>
        <v>1002083.48</v>
      </c>
      <c r="J56" s="116">
        <f>SUM(J33:J55)</f>
        <v>1375707977</v>
      </c>
      <c r="K56" s="116">
        <f>SUM(K33:K55)</f>
        <v>1139502663</v>
      </c>
      <c r="L56" s="260">
        <f>SUM(L33:L55)</f>
        <v>236205314</v>
      </c>
      <c r="M56" s="364"/>
      <c r="N56" s="434"/>
      <c r="O56" s="434"/>
      <c r="P56" s="434"/>
      <c r="Q56" s="434"/>
      <c r="R56" s="434"/>
      <c r="S56" s="434"/>
      <c r="T56" s="441"/>
    </row>
    <row r="57" spans="1:20" s="97" customFormat="1" ht="27" customHeight="1">
      <c r="A57" s="2010" t="s">
        <v>3101</v>
      </c>
      <c r="B57" s="513" t="s">
        <v>3030</v>
      </c>
      <c r="C57" s="513" t="s">
        <v>3115</v>
      </c>
      <c r="D57" s="513" t="s">
        <v>3029</v>
      </c>
      <c r="E57" s="89"/>
      <c r="F57" s="89">
        <v>45851</v>
      </c>
      <c r="G57" s="89"/>
      <c r="H57" s="91">
        <f>VLOOKUP(F57,환율!A:B,2,0)</f>
        <v>1373</v>
      </c>
      <c r="I57" s="92">
        <v>107607.6</v>
      </c>
      <c r="J57" s="93">
        <f t="shared" ref="J57:J59" si="10">ROUNDDOWN(I57*H57,0)</f>
        <v>147745234</v>
      </c>
      <c r="K57" s="93">
        <f>J57</f>
        <v>147745234</v>
      </c>
      <c r="L57" s="254"/>
      <c r="M57" s="364"/>
      <c r="S57" s="434"/>
      <c r="T57" s="441"/>
    </row>
    <row r="58" spans="1:20" s="97" customFormat="1" ht="27" customHeight="1">
      <c r="A58" s="2011"/>
      <c r="B58" s="513" t="s">
        <v>3031</v>
      </c>
      <c r="C58" s="513" t="s">
        <v>3115</v>
      </c>
      <c r="D58" s="513" t="s">
        <v>3033</v>
      </c>
      <c r="E58" s="89"/>
      <c r="F58" s="89">
        <v>45855</v>
      </c>
      <c r="G58" s="89"/>
      <c r="H58" s="91">
        <f>VLOOKUP(F58,환율!A:B,2,0)</f>
        <v>1387.1</v>
      </c>
      <c r="I58" s="92">
        <v>2036.88</v>
      </c>
      <c r="J58" s="93">
        <f t="shared" si="10"/>
        <v>2825356</v>
      </c>
      <c r="K58" s="93">
        <f>J58</f>
        <v>2825356</v>
      </c>
      <c r="L58" s="254"/>
      <c r="M58" s="364"/>
      <c r="S58" s="434"/>
      <c r="T58" s="441"/>
    </row>
    <row r="59" spans="1:20" s="97" customFormat="1" ht="27" customHeight="1">
      <c r="A59" s="2019"/>
      <c r="B59" s="513" t="s">
        <v>3032</v>
      </c>
      <c r="C59" s="513" t="s">
        <v>3115</v>
      </c>
      <c r="D59" s="513" t="s">
        <v>3034</v>
      </c>
      <c r="E59" s="89"/>
      <c r="F59" s="89">
        <v>45867</v>
      </c>
      <c r="G59" s="89"/>
      <c r="H59" s="91">
        <f>VLOOKUP(F59,환율!A:B,2,0)</f>
        <v>1379.6</v>
      </c>
      <c r="I59" s="92">
        <v>59575.56</v>
      </c>
      <c r="J59" s="93">
        <f t="shared" si="10"/>
        <v>82190442</v>
      </c>
      <c r="K59" s="93">
        <f>J59</f>
        <v>82190442</v>
      </c>
      <c r="L59" s="254"/>
      <c r="M59" s="364"/>
      <c r="S59" s="434"/>
      <c r="T59" s="441"/>
    </row>
    <row r="60" spans="1:20" s="97" customFormat="1" ht="27" customHeight="1">
      <c r="A60" s="2035" t="s">
        <v>10</v>
      </c>
      <c r="B60" s="2036"/>
      <c r="C60" s="2036"/>
      <c r="D60" s="2036"/>
      <c r="E60" s="2036"/>
      <c r="F60" s="2036"/>
      <c r="G60" s="2036"/>
      <c r="H60" s="2037"/>
      <c r="I60" s="127">
        <f>SUM(I57:I59)</f>
        <v>169220.04</v>
      </c>
      <c r="J60" s="116">
        <f>SUM(J57:J59)</f>
        <v>232761032</v>
      </c>
      <c r="K60" s="116">
        <f>SUM(K57:K59)</f>
        <v>232761032</v>
      </c>
      <c r="L60" s="260">
        <f t="shared" ref="L60" si="11">SUM(L57:L58)</f>
        <v>0</v>
      </c>
      <c r="M60" s="364"/>
      <c r="N60" s="434"/>
      <c r="O60" s="434"/>
      <c r="P60" s="434"/>
      <c r="Q60" s="434"/>
      <c r="R60" s="434"/>
      <c r="S60" s="434"/>
      <c r="T60" s="441"/>
    </row>
    <row r="61" spans="1:20" s="97" customFormat="1" ht="27" customHeight="1">
      <c r="A61" s="2010" t="s">
        <v>3102</v>
      </c>
      <c r="B61" s="510" t="s">
        <v>3024</v>
      </c>
      <c r="C61" s="619" t="s">
        <v>3115</v>
      </c>
      <c r="D61" s="460" t="s">
        <v>3025</v>
      </c>
      <c r="E61" s="460"/>
      <c r="F61" s="455">
        <v>45846</v>
      </c>
      <c r="G61" s="455"/>
      <c r="H61" s="456">
        <f>VLOOKUP(F61,환율!A:B,2,0)</f>
        <v>1366.6</v>
      </c>
      <c r="I61" s="462"/>
      <c r="J61" s="458">
        <v>57778967</v>
      </c>
      <c r="K61" s="458">
        <f>J61</f>
        <v>57778967</v>
      </c>
      <c r="L61" s="464"/>
      <c r="M61" s="401"/>
      <c r="S61" s="434"/>
      <c r="T61" s="441"/>
    </row>
    <row r="62" spans="1:20" s="97" customFormat="1" ht="27" customHeight="1">
      <c r="A62" s="2011"/>
      <c r="B62" s="510" t="s">
        <v>3026</v>
      </c>
      <c r="C62" s="619" t="s">
        <v>3115</v>
      </c>
      <c r="D62" s="460" t="s">
        <v>3027</v>
      </c>
      <c r="E62" s="460"/>
      <c r="F62" s="455">
        <v>45854</v>
      </c>
      <c r="G62" s="455"/>
      <c r="H62" s="456">
        <f>VLOOKUP(F62,환율!A:B,2,0)</f>
        <v>1382.7</v>
      </c>
      <c r="I62" s="462"/>
      <c r="J62" s="458">
        <v>29861321</v>
      </c>
      <c r="K62" s="458">
        <f t="shared" ref="K62:K65" si="12">J62</f>
        <v>29861321</v>
      </c>
      <c r="L62" s="464"/>
      <c r="M62" s="401"/>
      <c r="S62" s="434"/>
      <c r="T62" s="441"/>
    </row>
    <row r="63" spans="1:20" s="97" customFormat="1" ht="27" customHeight="1">
      <c r="A63" s="2011"/>
      <c r="B63" s="174" t="s">
        <v>3035</v>
      </c>
      <c r="C63" s="174" t="s">
        <v>3115</v>
      </c>
      <c r="D63" s="174" t="s">
        <v>3039</v>
      </c>
      <c r="E63" s="146"/>
      <c r="F63" s="89">
        <v>45855</v>
      </c>
      <c r="G63" s="89"/>
      <c r="H63" s="91">
        <f>VLOOKUP(F63,환율!A:B,2,0)</f>
        <v>1387.1</v>
      </c>
      <c r="I63" s="92"/>
      <c r="J63" s="93">
        <v>16575690</v>
      </c>
      <c r="K63" s="93">
        <f t="shared" si="12"/>
        <v>16575690</v>
      </c>
      <c r="L63" s="254"/>
      <c r="M63" s="401"/>
      <c r="S63" s="434"/>
      <c r="T63" s="441"/>
    </row>
    <row r="64" spans="1:20" s="97" customFormat="1" ht="27" customHeight="1">
      <c r="A64" s="2011"/>
      <c r="B64" s="174" t="s">
        <v>3036</v>
      </c>
      <c r="C64" s="174" t="s">
        <v>3115</v>
      </c>
      <c r="D64" s="174" t="s">
        <v>3040</v>
      </c>
      <c r="E64" s="146"/>
      <c r="F64" s="89">
        <v>45863</v>
      </c>
      <c r="G64" s="89"/>
      <c r="H64" s="91">
        <f>VLOOKUP(F64,환율!A:B,2,0)</f>
        <v>1368.7</v>
      </c>
      <c r="I64" s="92"/>
      <c r="J64" s="93">
        <v>55552123</v>
      </c>
      <c r="K64" s="93">
        <f t="shared" si="12"/>
        <v>55552123</v>
      </c>
      <c r="L64" s="254"/>
      <c r="M64" s="401"/>
      <c r="S64" s="434"/>
      <c r="T64" s="441"/>
    </row>
    <row r="65" spans="1:20" s="97" customFormat="1" ht="27" customHeight="1">
      <c r="A65" s="2011"/>
      <c r="B65" s="174" t="s">
        <v>3037</v>
      </c>
      <c r="C65" s="174" t="s">
        <v>3115</v>
      </c>
      <c r="D65" s="174" t="s">
        <v>3041</v>
      </c>
      <c r="E65" s="146"/>
      <c r="F65" s="89">
        <v>45862</v>
      </c>
      <c r="G65" s="89"/>
      <c r="H65" s="91">
        <f>VLOOKUP(F65,환율!A:B,2,0)</f>
        <v>1379.1</v>
      </c>
      <c r="I65" s="92"/>
      <c r="J65" s="93">
        <v>54914544</v>
      </c>
      <c r="K65" s="93">
        <f t="shared" si="12"/>
        <v>54914544</v>
      </c>
      <c r="L65" s="254"/>
      <c r="M65" s="401"/>
      <c r="S65" s="434"/>
      <c r="T65" s="441"/>
    </row>
    <row r="66" spans="1:20" s="97" customFormat="1" ht="27" customHeight="1">
      <c r="A66" s="2011"/>
      <c r="B66" s="524" t="s">
        <v>3038</v>
      </c>
      <c r="C66" s="524" t="s">
        <v>3113</v>
      </c>
      <c r="D66" s="524" t="s">
        <v>3042</v>
      </c>
      <c r="E66" s="552"/>
      <c r="F66" s="547">
        <v>45870</v>
      </c>
      <c r="G66" s="547"/>
      <c r="H66" s="528">
        <f>VLOOKUP(F66,환율!A:B,2,0)</f>
        <v>1390.4</v>
      </c>
      <c r="I66" s="529"/>
      <c r="J66" s="530">
        <v>12398138</v>
      </c>
      <c r="K66" s="530"/>
      <c r="L66" s="548">
        <f>J66</f>
        <v>12398138</v>
      </c>
      <c r="M66" s="401"/>
      <c r="S66" s="434"/>
      <c r="T66" s="441"/>
    </row>
    <row r="67" spans="1:20" s="97" customFormat="1" ht="27" customHeight="1">
      <c r="A67" s="2019"/>
      <c r="B67" s="524" t="s">
        <v>3028</v>
      </c>
      <c r="C67" s="524" t="s">
        <v>38</v>
      </c>
      <c r="D67" s="524" t="s">
        <v>3043</v>
      </c>
      <c r="E67" s="552"/>
      <c r="F67" s="547">
        <v>45870</v>
      </c>
      <c r="G67" s="547"/>
      <c r="H67" s="528">
        <f>VLOOKUP(F67,환율!A:B,2,0)</f>
        <v>1390.4</v>
      </c>
      <c r="I67" s="529"/>
      <c r="J67" s="530">
        <v>34142505</v>
      </c>
      <c r="K67" s="530"/>
      <c r="L67" s="548">
        <f>J67</f>
        <v>34142505</v>
      </c>
      <c r="M67" s="401"/>
      <c r="S67" s="434"/>
      <c r="T67" s="441"/>
    </row>
    <row r="68" spans="1:20" s="97" customFormat="1" ht="27" customHeight="1">
      <c r="A68" s="2035" t="s">
        <v>10</v>
      </c>
      <c r="B68" s="2036"/>
      <c r="C68" s="2036"/>
      <c r="D68" s="2036"/>
      <c r="E68" s="2036"/>
      <c r="F68" s="2036"/>
      <c r="G68" s="2036"/>
      <c r="H68" s="2037"/>
      <c r="I68" s="127">
        <f>SUM(I61:I61)</f>
        <v>0</v>
      </c>
      <c r="J68" s="116">
        <f>SUM(J61:J67)</f>
        <v>261223288</v>
      </c>
      <c r="K68" s="116">
        <f>SUM(K61:K67)</f>
        <v>214682645</v>
      </c>
      <c r="L68" s="260">
        <f>SUM(L61:L67)</f>
        <v>46540643</v>
      </c>
      <c r="M68" s="364"/>
      <c r="N68" s="434"/>
      <c r="O68" s="434"/>
      <c r="P68" s="434"/>
      <c r="R68" s="434"/>
      <c r="S68" s="434"/>
      <c r="T68" s="441"/>
    </row>
    <row r="69" spans="1:20" s="97" customFormat="1" ht="38.4">
      <c r="A69" s="2012" t="s">
        <v>3103</v>
      </c>
      <c r="B69" s="623" t="s">
        <v>3047</v>
      </c>
      <c r="C69" s="619" t="s">
        <v>3115</v>
      </c>
      <c r="D69" s="460" t="s">
        <v>3046</v>
      </c>
      <c r="E69" s="460"/>
      <c r="F69" s="455">
        <v>45848</v>
      </c>
      <c r="G69" s="455"/>
      <c r="H69" s="456">
        <f>VLOOKUP(F69,환율!A:B,2,0)</f>
        <v>1373.8</v>
      </c>
      <c r="I69" s="462">
        <v>37381.24</v>
      </c>
      <c r="J69" s="458">
        <f t="shared" ref="J69:J70" si="13">ROUNDDOWN(I69*H69,0)</f>
        <v>51354347</v>
      </c>
      <c r="K69" s="458">
        <f>J69</f>
        <v>51354347</v>
      </c>
      <c r="L69" s="464"/>
      <c r="M69" s="364"/>
      <c r="N69" s="434"/>
      <c r="O69" s="434"/>
      <c r="P69" s="434"/>
      <c r="R69" s="434"/>
      <c r="S69" s="434"/>
      <c r="T69" s="441"/>
    </row>
    <row r="70" spans="1:20" s="97" customFormat="1" ht="30">
      <c r="A70" s="2013"/>
      <c r="B70" s="106" t="s">
        <v>3090</v>
      </c>
      <c r="C70" s="107" t="s">
        <v>3113</v>
      </c>
      <c r="D70" s="107"/>
      <c r="E70" s="179"/>
      <c r="F70" s="624">
        <v>45851</v>
      </c>
      <c r="G70" s="110"/>
      <c r="H70" s="625">
        <f>VLOOKUP(F70,환율!A:B,2,0)</f>
        <v>1373</v>
      </c>
      <c r="I70" s="626" ph="1">
        <v>16400</v>
      </c>
      <c r="J70" s="111">
        <f t="shared" si="13"/>
        <v>22517200</v>
      </c>
      <c r="K70" s="111">
        <f>J70</f>
        <v>22517200</v>
      </c>
      <c r="L70" s="273"/>
      <c r="M70" s="364"/>
      <c r="N70" s="434"/>
      <c r="O70" s="434"/>
      <c r="P70" s="434"/>
      <c r="R70" s="434"/>
      <c r="S70" s="434"/>
      <c r="T70" s="441"/>
    </row>
    <row r="71" spans="1:20" s="97" customFormat="1" ht="27" customHeight="1">
      <c r="A71" s="2035" t="s">
        <v>10</v>
      </c>
      <c r="B71" s="2036"/>
      <c r="C71" s="2036"/>
      <c r="D71" s="2036"/>
      <c r="E71" s="2036"/>
      <c r="F71" s="2036"/>
      <c r="G71" s="2036"/>
      <c r="H71" s="2037"/>
      <c r="I71" s="127">
        <f>SUM(I69:I70)</f>
        <v>53781.24</v>
      </c>
      <c r="J71" s="116">
        <f>SUM(J69:J70)</f>
        <v>73871547</v>
      </c>
      <c r="K71" s="116">
        <f>SUM(K69:K70)</f>
        <v>73871547</v>
      </c>
      <c r="L71" s="260">
        <f>SUM(L69:L69)</f>
        <v>0</v>
      </c>
      <c r="M71" s="364"/>
      <c r="N71" s="434"/>
      <c r="O71" s="434"/>
      <c r="P71" s="434"/>
      <c r="R71" s="434"/>
      <c r="S71" s="434"/>
      <c r="T71" s="441"/>
    </row>
    <row r="72" spans="1:20" s="97" customFormat="1" ht="27" customHeight="1">
      <c r="A72" s="2010" t="s">
        <v>3104</v>
      </c>
      <c r="B72" s="510" t="s">
        <v>3044</v>
      </c>
      <c r="C72" s="619" t="s">
        <v>3115</v>
      </c>
      <c r="D72" s="460" t="s">
        <v>3045</v>
      </c>
      <c r="E72" s="460"/>
      <c r="F72" s="455">
        <v>45840</v>
      </c>
      <c r="G72" s="455"/>
      <c r="H72" s="456">
        <f>VLOOKUP(F72,환율!A:B,2,0)</f>
        <v>1352.6</v>
      </c>
      <c r="I72" s="462">
        <v>11630</v>
      </c>
      <c r="J72" s="458">
        <f t="shared" ref="J72:J74" si="14">ROUNDDOWN(I72*H72,0)</f>
        <v>15730738</v>
      </c>
      <c r="K72" s="458">
        <f t="shared" ref="K72" si="15">J72</f>
        <v>15730738</v>
      </c>
      <c r="L72" s="464"/>
      <c r="M72" s="401"/>
      <c r="S72" s="434"/>
      <c r="T72" s="441"/>
    </row>
    <row r="73" spans="1:20" s="97" customFormat="1" ht="27" customHeight="1">
      <c r="A73" s="2011"/>
      <c r="B73" s="174" t="s">
        <v>3048</v>
      </c>
      <c r="C73" s="174" t="s">
        <v>3115</v>
      </c>
      <c r="D73" s="174" t="s">
        <v>3049</v>
      </c>
      <c r="E73" s="146"/>
      <c r="F73" s="146">
        <v>45846</v>
      </c>
      <c r="G73" s="607"/>
      <c r="H73" s="91">
        <f>VLOOKUP(F73,환율!A:B,2,0)</f>
        <v>1366.6</v>
      </c>
      <c r="I73" s="118">
        <v>8722.5</v>
      </c>
      <c r="J73" s="93">
        <f t="shared" si="14"/>
        <v>11920168</v>
      </c>
      <c r="K73" s="93">
        <f>J73</f>
        <v>11920168</v>
      </c>
      <c r="L73" s="254"/>
      <c r="M73" s="401"/>
      <c r="S73" s="434"/>
      <c r="T73" s="441"/>
    </row>
    <row r="74" spans="1:20" s="97" customFormat="1" ht="27" customHeight="1">
      <c r="A74" s="2019"/>
      <c r="B74" s="174" t="s">
        <v>3050</v>
      </c>
      <c r="C74" s="174" t="s">
        <v>3115</v>
      </c>
      <c r="D74" s="174" t="s">
        <v>3051</v>
      </c>
      <c r="E74" s="146"/>
      <c r="F74" s="146">
        <v>45868</v>
      </c>
      <c r="G74" s="607"/>
      <c r="H74" s="91">
        <f>VLOOKUP(F74,환율!A:B,2,0)</f>
        <v>1391.4</v>
      </c>
      <c r="I74" s="118">
        <v>13524.76</v>
      </c>
      <c r="J74" s="93">
        <f t="shared" si="14"/>
        <v>18818351</v>
      </c>
      <c r="K74" s="93">
        <f>J74</f>
        <v>18818351</v>
      </c>
      <c r="L74" s="254"/>
      <c r="M74" s="401"/>
      <c r="S74" s="434"/>
      <c r="T74" s="441"/>
    </row>
    <row r="75" spans="1:20" s="97" customFormat="1" ht="27" customHeight="1">
      <c r="A75" s="2035" t="s">
        <v>10</v>
      </c>
      <c r="B75" s="2036"/>
      <c r="C75" s="2036"/>
      <c r="D75" s="2036"/>
      <c r="E75" s="2036"/>
      <c r="F75" s="2036"/>
      <c r="G75" s="2036"/>
      <c r="H75" s="2037"/>
      <c r="I75" s="159">
        <f>SUM(I72:I74)</f>
        <v>33877.26</v>
      </c>
      <c r="J75" s="160">
        <f>SUM(J72:J74)</f>
        <v>46469257</v>
      </c>
      <c r="K75" s="116">
        <f>SUM(K72:K74)</f>
        <v>46469257</v>
      </c>
      <c r="L75" s="260">
        <f>SUM(L72:L74)</f>
        <v>0</v>
      </c>
      <c r="M75" s="364"/>
      <c r="N75" s="434"/>
      <c r="O75" s="434"/>
      <c r="P75" s="434"/>
      <c r="Q75" s="97" t="s">
        <v>3006</v>
      </c>
      <c r="R75" s="434"/>
      <c r="S75" s="434"/>
      <c r="T75" s="441"/>
    </row>
    <row r="76" spans="1:20" s="97" customFormat="1" ht="27" customHeight="1">
      <c r="A76" s="2010" t="s">
        <v>3105</v>
      </c>
      <c r="B76" s="174" t="s">
        <v>3052</v>
      </c>
      <c r="C76" s="173" t="s">
        <v>3113</v>
      </c>
      <c r="D76" s="173" t="s">
        <v>3058</v>
      </c>
      <c r="E76" s="288"/>
      <c r="F76" s="136">
        <v>45839</v>
      </c>
      <c r="G76" s="222"/>
      <c r="H76" s="91">
        <f>VLOOKUP(F76,환율!A:B,2,0)</f>
        <v>1353.6</v>
      </c>
      <c r="I76" s="92">
        <v>1077.6600000000001</v>
      </c>
      <c r="J76" s="93">
        <f t="shared" ref="J76:J81" si="16">ROUNDDOWN(I76*H76,0)</f>
        <v>1458720</v>
      </c>
      <c r="K76" s="93">
        <f t="shared" ref="K76:K81" si="17">J76</f>
        <v>1458720</v>
      </c>
      <c r="L76" s="254"/>
      <c r="M76" s="364"/>
      <c r="S76" s="434"/>
      <c r="T76" s="441"/>
    </row>
    <row r="77" spans="1:20" s="97" customFormat="1" ht="27" customHeight="1">
      <c r="A77" s="2011"/>
      <c r="B77" s="174" t="s">
        <v>3053</v>
      </c>
      <c r="C77" s="173" t="s">
        <v>3113</v>
      </c>
      <c r="D77" s="173" t="s">
        <v>3059</v>
      </c>
      <c r="E77" s="288"/>
      <c r="F77" s="136">
        <v>45863</v>
      </c>
      <c r="G77" s="222"/>
      <c r="H77" s="91">
        <f>VLOOKUP(F77,환율!A:B,2,0)</f>
        <v>1368.7</v>
      </c>
      <c r="I77" s="92">
        <v>10782.5</v>
      </c>
      <c r="J77" s="93">
        <f t="shared" si="16"/>
        <v>14758007</v>
      </c>
      <c r="K77" s="93">
        <f t="shared" si="17"/>
        <v>14758007</v>
      </c>
      <c r="L77" s="254"/>
      <c r="M77" s="364"/>
      <c r="S77" s="434"/>
      <c r="T77" s="441"/>
    </row>
    <row r="78" spans="1:20" s="97" customFormat="1" ht="27" customHeight="1">
      <c r="A78" s="2011"/>
      <c r="B78" s="174" t="s">
        <v>3054</v>
      </c>
      <c r="C78" s="173" t="s">
        <v>3113</v>
      </c>
      <c r="D78" s="173" t="s">
        <v>3060</v>
      </c>
      <c r="E78" s="288"/>
      <c r="F78" s="136">
        <v>45848</v>
      </c>
      <c r="G78" s="222"/>
      <c r="H78" s="91">
        <f>VLOOKUP(F78,환율!A:B,2,0)</f>
        <v>1373.8</v>
      </c>
      <c r="I78" s="118">
        <v>1881.92</v>
      </c>
      <c r="J78" s="93">
        <f t="shared" si="16"/>
        <v>2585381</v>
      </c>
      <c r="K78" s="93">
        <f t="shared" si="17"/>
        <v>2585381</v>
      </c>
      <c r="L78" s="255"/>
      <c r="M78" s="403"/>
      <c r="S78" s="434"/>
      <c r="T78" s="441"/>
    </row>
    <row r="79" spans="1:20" s="97" customFormat="1" ht="27" customHeight="1">
      <c r="A79" s="2011"/>
      <c r="B79" s="174" t="s">
        <v>3055</v>
      </c>
      <c r="C79" s="173" t="s">
        <v>3113</v>
      </c>
      <c r="D79" s="173" t="s">
        <v>3061</v>
      </c>
      <c r="E79" s="288"/>
      <c r="F79" s="136">
        <v>45847</v>
      </c>
      <c r="G79" s="222"/>
      <c r="H79" s="91">
        <f>VLOOKUP(F79,환율!A:B,2,0)</f>
        <v>1368</v>
      </c>
      <c r="I79" s="118">
        <v>1637.48</v>
      </c>
      <c r="J79" s="93">
        <f t="shared" ref="J79:J80" si="18">ROUNDDOWN(I79*H79,0)</f>
        <v>2240072</v>
      </c>
      <c r="K79" s="93">
        <f t="shared" ref="K79:K80" si="19">J79</f>
        <v>2240072</v>
      </c>
      <c r="L79" s="255"/>
      <c r="M79" s="403"/>
      <c r="S79" s="434"/>
      <c r="T79" s="441"/>
    </row>
    <row r="80" spans="1:20" s="97" customFormat="1" ht="27" customHeight="1">
      <c r="A80" s="2011"/>
      <c r="B80" s="174" t="s">
        <v>3056</v>
      </c>
      <c r="C80" s="173" t="s">
        <v>3113</v>
      </c>
      <c r="D80" s="173" t="s">
        <v>3062</v>
      </c>
      <c r="E80" s="288"/>
      <c r="F80" s="136">
        <v>45859</v>
      </c>
      <c r="G80" s="222"/>
      <c r="H80" s="91">
        <f>VLOOKUP(F80,환율!A:B,2,0)</f>
        <v>1391.9</v>
      </c>
      <c r="I80" s="118">
        <v>169.7</v>
      </c>
      <c r="J80" s="93">
        <f t="shared" si="18"/>
        <v>236205</v>
      </c>
      <c r="K80" s="93">
        <f t="shared" si="19"/>
        <v>236205</v>
      </c>
      <c r="L80" s="255"/>
      <c r="M80" s="403"/>
      <c r="S80" s="434"/>
      <c r="T80" s="441"/>
    </row>
    <row r="81" spans="1:20" s="97" customFormat="1" ht="27" customHeight="1">
      <c r="A81" s="2019"/>
      <c r="B81" s="174" t="s">
        <v>3057</v>
      </c>
      <c r="C81" s="173" t="s">
        <v>3113</v>
      </c>
      <c r="D81" s="173" t="s">
        <v>3063</v>
      </c>
      <c r="E81" s="288"/>
      <c r="F81" s="136">
        <v>45848</v>
      </c>
      <c r="G81" s="222"/>
      <c r="H81" s="91">
        <f>VLOOKUP(F81,환율!A:B,2,0)</f>
        <v>1373.8</v>
      </c>
      <c r="I81" s="92">
        <v>16923</v>
      </c>
      <c r="J81" s="93">
        <f t="shared" si="16"/>
        <v>23248817</v>
      </c>
      <c r="K81" s="93">
        <f t="shared" si="17"/>
        <v>23248817</v>
      </c>
      <c r="L81" s="256"/>
      <c r="M81" s="364"/>
      <c r="S81" s="434"/>
      <c r="T81" s="441"/>
    </row>
    <row r="82" spans="1:20" s="97" customFormat="1" ht="27" customHeight="1">
      <c r="A82" s="2035" t="s">
        <v>10</v>
      </c>
      <c r="B82" s="2036"/>
      <c r="C82" s="2036"/>
      <c r="D82" s="2036"/>
      <c r="E82" s="2036"/>
      <c r="F82" s="2036"/>
      <c r="G82" s="2036"/>
      <c r="H82" s="2037"/>
      <c r="I82" s="127">
        <f>SUM(I76:I81)</f>
        <v>32472.260000000002</v>
      </c>
      <c r="J82" s="160">
        <f>SUM(J76:J81)</f>
        <v>44527202</v>
      </c>
      <c r="K82" s="116">
        <f>SUM(K76:K81)</f>
        <v>44527202</v>
      </c>
      <c r="L82" s="260">
        <f>SUM(L76:L81)</f>
        <v>0</v>
      </c>
      <c r="M82" s="364"/>
      <c r="N82" s="434"/>
      <c r="O82" s="434"/>
      <c r="P82" s="434"/>
      <c r="R82" s="434"/>
      <c r="S82" s="434"/>
      <c r="T82" s="441"/>
    </row>
    <row r="83" spans="1:20" s="97" customFormat="1" ht="27" customHeight="1">
      <c r="A83" s="2010" t="s">
        <v>3106</v>
      </c>
      <c r="B83" s="174" t="s">
        <v>3064</v>
      </c>
      <c r="C83" s="145" t="s">
        <v>3115</v>
      </c>
      <c r="D83" s="145" t="s">
        <v>3067</v>
      </c>
      <c r="E83" s="288"/>
      <c r="F83" s="136">
        <v>45860</v>
      </c>
      <c r="G83" s="136"/>
      <c r="H83" s="91">
        <f>VLOOKUP(F83,환율!A:B,2,0)</f>
        <v>1391.1</v>
      </c>
      <c r="I83" s="92">
        <v>31148.560000000001</v>
      </c>
      <c r="J83" s="93">
        <f t="shared" ref="J83:J86" si="20">ROUNDDOWN(I83*H83,0)</f>
        <v>43330761</v>
      </c>
      <c r="K83" s="93">
        <f>J83</f>
        <v>43330761</v>
      </c>
      <c r="L83" s="254"/>
      <c r="M83" s="401"/>
      <c r="N83" s="434"/>
      <c r="O83" s="434"/>
      <c r="P83" s="434"/>
      <c r="R83" s="434"/>
      <c r="S83" s="434"/>
      <c r="T83" s="441"/>
    </row>
    <row r="84" spans="1:20" s="97" customFormat="1" ht="27" customHeight="1">
      <c r="A84" s="2011"/>
      <c r="B84" s="174" t="s">
        <v>3065</v>
      </c>
      <c r="C84" s="587" t="s">
        <v>3115</v>
      </c>
      <c r="D84" s="587" t="s">
        <v>3069</v>
      </c>
      <c r="E84" s="485"/>
      <c r="F84" s="130">
        <v>45854</v>
      </c>
      <c r="G84" s="130"/>
      <c r="H84" s="163">
        <f>VLOOKUP(F84,환율!A:B,2,0)</f>
        <v>1382.7</v>
      </c>
      <c r="I84" s="143">
        <v>31388.880000000001</v>
      </c>
      <c r="J84" s="164">
        <f t="shared" si="20"/>
        <v>43401404</v>
      </c>
      <c r="K84" s="164">
        <f t="shared" ref="K84" si="21">J84</f>
        <v>43401404</v>
      </c>
      <c r="L84" s="396"/>
      <c r="M84" s="401"/>
      <c r="S84" s="434"/>
      <c r="T84" s="441"/>
    </row>
    <row r="85" spans="1:20" s="97" customFormat="1" ht="27" customHeight="1">
      <c r="A85" s="2011"/>
      <c r="B85" s="627" t="s">
        <v>115</v>
      </c>
      <c r="C85" s="628" t="s">
        <v>3116</v>
      </c>
      <c r="D85" s="628" t="s">
        <v>3111</v>
      </c>
      <c r="E85" s="629"/>
      <c r="F85" s="486" t="s">
        <v>3112</v>
      </c>
      <c r="G85" s="486"/>
      <c r="H85" s="630">
        <v>1437.1</v>
      </c>
      <c r="I85" s="631">
        <v>5561.39</v>
      </c>
      <c r="J85" s="632">
        <f>-ROUNDDOWN(I85*H85,0)</f>
        <v>-7992273</v>
      </c>
      <c r="K85" s="632">
        <f>J85</f>
        <v>-7992273</v>
      </c>
      <c r="L85" s="396"/>
      <c r="M85" s="401"/>
      <c r="S85" s="434"/>
      <c r="T85" s="441"/>
    </row>
    <row r="86" spans="1:20" s="97" customFormat="1" ht="27" customHeight="1">
      <c r="A86" s="2019"/>
      <c r="B86" s="524" t="s">
        <v>3066</v>
      </c>
      <c r="C86" s="603" t="s">
        <v>3113</v>
      </c>
      <c r="D86" s="603" t="s">
        <v>3068</v>
      </c>
      <c r="E86" s="526"/>
      <c r="F86" s="550">
        <v>45870</v>
      </c>
      <c r="G86" s="550"/>
      <c r="H86" s="528">
        <f>VLOOKUP(F86,환율!A:B,2,0)</f>
        <v>1390.4</v>
      </c>
      <c r="I86" s="529">
        <v>20140.099999999999</v>
      </c>
      <c r="J86" s="530">
        <f t="shared" si="20"/>
        <v>28002795</v>
      </c>
      <c r="K86" s="530"/>
      <c r="L86" s="548">
        <f>J86</f>
        <v>28002795</v>
      </c>
      <c r="M86" s="401"/>
      <c r="S86" s="434"/>
      <c r="T86" s="441"/>
    </row>
    <row r="87" spans="1:20" s="97" customFormat="1" ht="27" customHeight="1">
      <c r="A87" s="2035" t="s">
        <v>10</v>
      </c>
      <c r="B87" s="2036"/>
      <c r="C87" s="2036"/>
      <c r="D87" s="2036"/>
      <c r="E87" s="2036"/>
      <c r="F87" s="2036"/>
      <c r="G87" s="2036"/>
      <c r="H87" s="2037"/>
      <c r="I87" s="127">
        <f>SUM(I83:I86)</f>
        <v>88238.93</v>
      </c>
      <c r="J87" s="116">
        <f>SUM(J83:J86)</f>
        <v>106742687</v>
      </c>
      <c r="K87" s="116">
        <f>SUM(K83:K86)</f>
        <v>78739892</v>
      </c>
      <c r="L87" s="260">
        <f>SUM(L83:L86)</f>
        <v>28002795</v>
      </c>
      <c r="M87" s="366"/>
      <c r="N87" s="434"/>
      <c r="O87" s="434"/>
      <c r="P87" s="434"/>
      <c r="R87" s="434"/>
      <c r="S87" s="434"/>
      <c r="T87" s="441"/>
    </row>
    <row r="88" spans="1:20" s="97" customFormat="1" ht="27" customHeight="1">
      <c r="A88" s="2010" t="s">
        <v>3108</v>
      </c>
      <c r="B88" s="510" t="s">
        <v>3072</v>
      </c>
      <c r="C88" s="619" t="s">
        <v>3115</v>
      </c>
      <c r="D88" s="460" t="s">
        <v>3077</v>
      </c>
      <c r="E88" s="460"/>
      <c r="F88" s="455">
        <v>45844</v>
      </c>
      <c r="G88" s="455"/>
      <c r="H88" s="488">
        <v>9.3742999999999999</v>
      </c>
      <c r="I88" s="468">
        <v>11878020</v>
      </c>
      <c r="J88" s="458">
        <f t="shared" ref="J88:J92" si="22">ROUNDDOWN(I88*H88,0)</f>
        <v>111348122</v>
      </c>
      <c r="K88" s="458">
        <f>J88</f>
        <v>111348122</v>
      </c>
      <c r="L88" s="464"/>
      <c r="M88" s="366"/>
      <c r="N88" s="434"/>
      <c r="O88" s="434"/>
      <c r="P88" s="434"/>
      <c r="R88" s="434"/>
      <c r="S88" s="434"/>
      <c r="T88" s="441"/>
    </row>
    <row r="89" spans="1:20" s="97" customFormat="1" ht="27" customHeight="1">
      <c r="A89" s="2011"/>
      <c r="B89" s="146" t="s">
        <v>3073</v>
      </c>
      <c r="C89" s="146" t="s">
        <v>3115</v>
      </c>
      <c r="D89" s="146" t="s">
        <v>3079</v>
      </c>
      <c r="E89" s="136"/>
      <c r="F89" s="90">
        <v>45852</v>
      </c>
      <c r="G89" s="90"/>
      <c r="H89" s="397">
        <v>9.3216000000000001</v>
      </c>
      <c r="I89" s="177">
        <v>18728183</v>
      </c>
      <c r="J89" s="93">
        <f t="shared" si="22"/>
        <v>174576630</v>
      </c>
      <c r="K89" s="93">
        <f>J89</f>
        <v>174576630</v>
      </c>
      <c r="L89" s="263"/>
      <c r="M89" s="364"/>
      <c r="S89" s="434"/>
      <c r="T89" s="441"/>
    </row>
    <row r="90" spans="1:20" s="97" customFormat="1" ht="27" customHeight="1">
      <c r="A90" s="2011"/>
      <c r="B90" s="146" t="s">
        <v>3074</v>
      </c>
      <c r="C90" s="146" t="s">
        <v>3115</v>
      </c>
      <c r="D90" s="146" t="s">
        <v>3081</v>
      </c>
      <c r="E90" s="136"/>
      <c r="F90" s="90">
        <v>45858</v>
      </c>
      <c r="G90" s="90"/>
      <c r="H90" s="176">
        <v>9.3773</v>
      </c>
      <c r="I90" s="177">
        <v>23444490</v>
      </c>
      <c r="J90" s="93">
        <f t="shared" si="22"/>
        <v>219846016</v>
      </c>
      <c r="K90" s="93">
        <f t="shared" ref="K90:K94" si="23">J90</f>
        <v>219846016</v>
      </c>
      <c r="L90" s="263"/>
      <c r="M90" s="402"/>
      <c r="S90" s="434"/>
      <c r="T90" s="441"/>
    </row>
    <row r="91" spans="1:20" s="97" customFormat="1" ht="27" customHeight="1">
      <c r="A91" s="2011"/>
      <c r="B91" s="146" t="s">
        <v>3075</v>
      </c>
      <c r="C91" s="146" t="s">
        <v>3115</v>
      </c>
      <c r="D91" s="146" t="s">
        <v>3080</v>
      </c>
      <c r="E91" s="136"/>
      <c r="F91" s="136">
        <v>45865</v>
      </c>
      <c r="G91" s="136"/>
      <c r="H91" s="176">
        <v>9.3095999999999997</v>
      </c>
      <c r="I91" s="177">
        <v>18398440</v>
      </c>
      <c r="J91" s="93">
        <f t="shared" si="22"/>
        <v>171282117</v>
      </c>
      <c r="K91" s="93">
        <f t="shared" si="23"/>
        <v>171282117</v>
      </c>
      <c r="L91" s="263"/>
      <c r="S91" s="434"/>
      <c r="T91" s="441"/>
    </row>
    <row r="92" spans="1:20" s="97" customFormat="1" ht="27" customHeight="1">
      <c r="A92" s="2019"/>
      <c r="B92" s="552" t="s">
        <v>3076</v>
      </c>
      <c r="C92" s="552" t="s">
        <v>3113</v>
      </c>
      <c r="D92" s="552" t="s">
        <v>3078</v>
      </c>
      <c r="E92" s="550"/>
      <c r="F92" s="550">
        <v>45871</v>
      </c>
      <c r="G92" s="550"/>
      <c r="H92" s="558">
        <v>9.2278000000000002</v>
      </c>
      <c r="I92" s="559">
        <v>5731370</v>
      </c>
      <c r="J92" s="530">
        <f t="shared" si="22"/>
        <v>52887936</v>
      </c>
      <c r="K92" s="530"/>
      <c r="L92" s="548">
        <f>J92</f>
        <v>52887936</v>
      </c>
      <c r="S92" s="434"/>
      <c r="T92" s="441"/>
    </row>
    <row r="93" spans="1:20" s="97" customFormat="1" ht="27" customHeight="1">
      <c r="A93" s="361" t="s">
        <v>10</v>
      </c>
      <c r="B93" s="113"/>
      <c r="C93" s="113"/>
      <c r="D93" s="113"/>
      <c r="E93" s="113"/>
      <c r="F93" s="113"/>
      <c r="G93" s="113"/>
      <c r="H93" s="114"/>
      <c r="I93" s="398">
        <f>SUM(I88:I92)</f>
        <v>78180503</v>
      </c>
      <c r="J93" s="116">
        <f>SUM(J88:J92)</f>
        <v>729940821</v>
      </c>
      <c r="K93" s="116">
        <f>SUM(K88:K92)</f>
        <v>677052885</v>
      </c>
      <c r="L93" s="260">
        <f>SUM(L88:L92)</f>
        <v>52887936</v>
      </c>
      <c r="S93" s="434"/>
      <c r="T93" s="441"/>
    </row>
    <row r="94" spans="1:20" s="97" customFormat="1" ht="27" customHeight="1">
      <c r="A94" s="2010" t="s">
        <v>3107</v>
      </c>
      <c r="B94" s="174" t="s">
        <v>3082</v>
      </c>
      <c r="C94" s="174" t="s">
        <v>3113</v>
      </c>
      <c r="D94" s="174" t="s">
        <v>3086</v>
      </c>
      <c r="E94" s="146"/>
      <c r="F94" s="146">
        <v>45853</v>
      </c>
      <c r="G94" s="607"/>
      <c r="H94" s="176">
        <v>9.3252000000000006</v>
      </c>
      <c r="I94" s="177">
        <v>246661</v>
      </c>
      <c r="J94" s="93">
        <f t="shared" ref="J94" si="24">ROUNDDOWN(I94*H94,0)</f>
        <v>2300163</v>
      </c>
      <c r="K94" s="93">
        <f t="shared" si="23"/>
        <v>2300163</v>
      </c>
      <c r="L94" s="256"/>
      <c r="S94" s="434"/>
      <c r="T94" s="441"/>
    </row>
    <row r="95" spans="1:20" s="97" customFormat="1" ht="27" customHeight="1">
      <c r="A95" s="2011"/>
      <c r="B95" s="174" t="s">
        <v>3083</v>
      </c>
      <c r="C95" s="174" t="s">
        <v>3113</v>
      </c>
      <c r="D95" s="174" t="s">
        <v>3087</v>
      </c>
      <c r="E95" s="146"/>
      <c r="F95" s="146">
        <v>45858</v>
      </c>
      <c r="G95" s="607"/>
      <c r="H95" s="176">
        <v>9.3773</v>
      </c>
      <c r="I95" s="177">
        <v>246661</v>
      </c>
      <c r="J95" s="93">
        <f t="shared" ref="J95:J97" si="25">ROUNDDOWN(I95*H95,0)</f>
        <v>2313014</v>
      </c>
      <c r="K95" s="93">
        <f t="shared" ref="K95:K97" si="26">J95</f>
        <v>2313014</v>
      </c>
      <c r="L95" s="256"/>
      <c r="S95" s="434"/>
      <c r="T95" s="441"/>
    </row>
    <row r="96" spans="1:20" s="97" customFormat="1" ht="27" customHeight="1">
      <c r="A96" s="2011"/>
      <c r="B96" s="174" t="s">
        <v>3084</v>
      </c>
      <c r="C96" s="174" t="s">
        <v>3113</v>
      </c>
      <c r="D96" s="174" t="s">
        <v>3088</v>
      </c>
      <c r="E96" s="146"/>
      <c r="F96" s="146">
        <v>45862</v>
      </c>
      <c r="G96" s="607"/>
      <c r="H96" s="176">
        <v>9.4193999999999996</v>
      </c>
      <c r="I96" s="177">
        <v>246661</v>
      </c>
      <c r="J96" s="93">
        <f t="shared" si="25"/>
        <v>2323398</v>
      </c>
      <c r="K96" s="93">
        <f t="shared" si="26"/>
        <v>2323398</v>
      </c>
      <c r="L96" s="256"/>
      <c r="S96" s="434"/>
      <c r="T96" s="441"/>
    </row>
    <row r="97" spans="1:20" s="97" customFormat="1" ht="27" customHeight="1">
      <c r="A97" s="2019"/>
      <c r="B97" s="174" t="s">
        <v>3085</v>
      </c>
      <c r="C97" s="174" t="s">
        <v>3113</v>
      </c>
      <c r="D97" s="174" t="s">
        <v>3089</v>
      </c>
      <c r="E97" s="146"/>
      <c r="F97" s="146">
        <v>45865</v>
      </c>
      <c r="G97" s="607"/>
      <c r="H97" s="176">
        <v>9.3095999999999997</v>
      </c>
      <c r="I97" s="177">
        <v>246661</v>
      </c>
      <c r="J97" s="93">
        <f t="shared" si="25"/>
        <v>2296315</v>
      </c>
      <c r="K97" s="93">
        <f t="shared" si="26"/>
        <v>2296315</v>
      </c>
      <c r="L97" s="256"/>
      <c r="S97" s="434"/>
      <c r="T97" s="441"/>
    </row>
    <row r="98" spans="1:20" s="97" customFormat="1" ht="27" customHeight="1">
      <c r="A98" s="600"/>
      <c r="B98" s="113"/>
      <c r="C98" s="148"/>
      <c r="D98" s="148"/>
      <c r="E98" s="148"/>
      <c r="F98" s="148"/>
      <c r="G98" s="148"/>
      <c r="H98" s="114"/>
      <c r="I98" s="605">
        <f>SUM(I94:I97)</f>
        <v>986644</v>
      </c>
      <c r="J98" s="151">
        <f>SUM(J94:J97)</f>
        <v>9232890</v>
      </c>
      <c r="K98" s="151">
        <f>SUM(K94:K97)</f>
        <v>9232890</v>
      </c>
      <c r="L98" s="633">
        <f>SUM(L94:L94)</f>
        <v>0</v>
      </c>
      <c r="S98" s="434"/>
      <c r="T98" s="441"/>
    </row>
    <row r="99" spans="1:20" s="97" customFormat="1" ht="38.4">
      <c r="A99" s="541" t="s">
        <v>3109</v>
      </c>
      <c r="B99" s="174" t="s">
        <v>3071</v>
      </c>
      <c r="C99" s="339" t="s">
        <v>3113</v>
      </c>
      <c r="D99" s="136" t="s">
        <v>3070</v>
      </c>
      <c r="E99" s="136"/>
      <c r="F99" s="136">
        <v>45850</v>
      </c>
      <c r="G99" s="136"/>
      <c r="H99" s="166">
        <f>VLOOKUP(F99,환율!A:B,2,0)</f>
        <v>1373</v>
      </c>
      <c r="I99" s="341">
        <v>18153.68</v>
      </c>
      <c r="J99" s="542">
        <f t="shared" ref="J99" si="27">ROUNDDOWN(I99*H99,0)</f>
        <v>24925002</v>
      </c>
      <c r="K99" s="542">
        <f>J99</f>
        <v>24925002</v>
      </c>
      <c r="L99" s="254"/>
      <c r="S99" s="434"/>
      <c r="T99" s="441"/>
    </row>
    <row r="100" spans="1:20" s="97" customFormat="1" ht="27" customHeight="1">
      <c r="A100" s="361" t="s">
        <v>10</v>
      </c>
      <c r="B100" s="113"/>
      <c r="C100" s="113"/>
      <c r="D100" s="113"/>
      <c r="E100" s="113"/>
      <c r="F100" s="113"/>
      <c r="G100" s="113"/>
      <c r="H100" s="114"/>
      <c r="I100" s="127">
        <f>SUM(I99)</f>
        <v>18153.68</v>
      </c>
      <c r="J100" s="116">
        <f>SUM(J99)</f>
        <v>24925002</v>
      </c>
      <c r="K100" s="116">
        <f>SUM(K99)</f>
        <v>24925002</v>
      </c>
      <c r="L100" s="260">
        <f>SUM(L99)</f>
        <v>0</v>
      </c>
      <c r="S100" s="434"/>
      <c r="T100" s="441"/>
    </row>
    <row r="101" spans="1:20" s="97" customFormat="1" ht="27" customHeight="1">
      <c r="A101" s="2111" t="s">
        <v>3110</v>
      </c>
      <c r="B101" s="301" t="s">
        <v>3232</v>
      </c>
      <c r="C101" s="332" t="s">
        <v>3113</v>
      </c>
      <c r="D101" s="303"/>
      <c r="E101" s="303"/>
      <c r="F101" s="303">
        <v>45845</v>
      </c>
      <c r="G101" s="303"/>
      <c r="H101" s="304">
        <f>VLOOKUP(F101,환율!A:B,2,0)</f>
        <v>1364.2</v>
      </c>
      <c r="I101" s="334"/>
      <c r="J101" s="335">
        <v>21526400</v>
      </c>
      <c r="K101" s="335">
        <f>J101</f>
        <v>21526400</v>
      </c>
      <c r="L101" s="337"/>
      <c r="S101" s="434"/>
      <c r="T101" s="441"/>
    </row>
    <row r="102" spans="1:20" s="97" customFormat="1" ht="27" customHeight="1">
      <c r="A102" s="2112"/>
      <c r="B102" s="301" t="s">
        <v>3233</v>
      </c>
      <c r="C102" s="332" t="s">
        <v>3113</v>
      </c>
      <c r="D102" s="303"/>
      <c r="E102" s="303"/>
      <c r="F102" s="303">
        <v>45855</v>
      </c>
      <c r="G102" s="303"/>
      <c r="H102" s="304">
        <f>VLOOKUP(F102,환율!A:B,2,0)</f>
        <v>1387.1</v>
      </c>
      <c r="I102" s="334"/>
      <c r="J102" s="335">
        <v>21526400</v>
      </c>
      <c r="K102" s="335">
        <f t="shared" ref="K102:K107" si="28">J102</f>
        <v>21526400</v>
      </c>
      <c r="L102" s="337"/>
      <c r="S102" s="434"/>
      <c r="T102" s="441"/>
    </row>
    <row r="103" spans="1:20" s="97" customFormat="1" ht="27" customHeight="1">
      <c r="A103" s="2112"/>
      <c r="B103" s="301" t="s">
        <v>3091</v>
      </c>
      <c r="C103" s="332" t="s">
        <v>3113</v>
      </c>
      <c r="D103" s="303"/>
      <c r="E103" s="303"/>
      <c r="F103" s="303">
        <v>45861</v>
      </c>
      <c r="G103" s="303"/>
      <c r="H103" s="304">
        <f>VLOOKUP(F103,환율!A:B,2,0)</f>
        <v>1386.3</v>
      </c>
      <c r="I103" s="334"/>
      <c r="J103" s="335">
        <v>1035251</v>
      </c>
      <c r="K103" s="335">
        <f t="shared" ref="K103:K105" si="29">J103</f>
        <v>1035251</v>
      </c>
      <c r="L103" s="337"/>
      <c r="S103" s="434"/>
      <c r="T103" s="441"/>
    </row>
    <row r="104" spans="1:20" s="97" customFormat="1" ht="27" customHeight="1">
      <c r="A104" s="2112"/>
      <c r="B104" s="301" t="s">
        <v>3092</v>
      </c>
      <c r="C104" s="332" t="s">
        <v>3113</v>
      </c>
      <c r="D104" s="303"/>
      <c r="E104" s="303"/>
      <c r="F104" s="303">
        <v>45861</v>
      </c>
      <c r="G104" s="303"/>
      <c r="H104" s="304">
        <f>VLOOKUP(F104,환율!A:B,2,0)</f>
        <v>1386.3</v>
      </c>
      <c r="I104" s="334"/>
      <c r="J104" s="335">
        <v>1806496</v>
      </c>
      <c r="K104" s="335">
        <f t="shared" si="29"/>
        <v>1806496</v>
      </c>
      <c r="L104" s="337"/>
      <c r="S104" s="434"/>
      <c r="T104" s="441"/>
    </row>
    <row r="105" spans="1:20" s="97" customFormat="1" ht="27" customHeight="1">
      <c r="A105" s="2112"/>
      <c r="B105" s="301" t="s">
        <v>3093</v>
      </c>
      <c r="C105" s="332" t="s">
        <v>3113</v>
      </c>
      <c r="D105" s="303"/>
      <c r="E105" s="303"/>
      <c r="F105" s="303">
        <v>45861</v>
      </c>
      <c r="G105" s="303"/>
      <c r="H105" s="304">
        <f>VLOOKUP(F105,환율!A:B,2,0)</f>
        <v>1386.3</v>
      </c>
      <c r="I105" s="334"/>
      <c r="J105" s="335">
        <v>1035195</v>
      </c>
      <c r="K105" s="335">
        <f t="shared" si="29"/>
        <v>1035195</v>
      </c>
      <c r="L105" s="337"/>
      <c r="S105" s="434"/>
      <c r="T105" s="441"/>
    </row>
    <row r="106" spans="1:20" s="97" customFormat="1" ht="27" customHeight="1">
      <c r="A106" s="2112"/>
      <c r="B106" s="301" t="s">
        <v>3094</v>
      </c>
      <c r="C106" s="332" t="s">
        <v>3113</v>
      </c>
      <c r="D106" s="303"/>
      <c r="E106" s="303"/>
      <c r="F106" s="303">
        <v>45861</v>
      </c>
      <c r="G106" s="303"/>
      <c r="H106" s="304">
        <f>VLOOKUP(F106,환율!A:B,2,0)</f>
        <v>1386.3</v>
      </c>
      <c r="I106" s="334"/>
      <c r="J106" s="335">
        <v>1856486</v>
      </c>
      <c r="K106" s="335">
        <f t="shared" si="28"/>
        <v>1856486</v>
      </c>
      <c r="L106" s="337"/>
      <c r="S106" s="434"/>
      <c r="T106" s="441"/>
    </row>
    <row r="107" spans="1:20" s="97" customFormat="1" ht="27" customHeight="1">
      <c r="A107" s="2113"/>
      <c r="B107" s="301" t="s">
        <v>3095</v>
      </c>
      <c r="C107" s="332" t="s">
        <v>3113</v>
      </c>
      <c r="D107" s="303"/>
      <c r="E107" s="303"/>
      <c r="F107" s="303">
        <v>45861</v>
      </c>
      <c r="G107" s="303"/>
      <c r="H107" s="304">
        <f>VLOOKUP(F107,환율!A:B,2,0)</f>
        <v>1386.3</v>
      </c>
      <c r="I107" s="334"/>
      <c r="J107" s="335">
        <v>1035300</v>
      </c>
      <c r="K107" s="335">
        <f t="shared" si="28"/>
        <v>1035300</v>
      </c>
      <c r="L107" s="337"/>
      <c r="M107" s="403"/>
      <c r="S107" s="434"/>
      <c r="T107" s="441"/>
    </row>
    <row r="108" spans="1:20" s="496" customFormat="1" ht="27" customHeight="1" thickBot="1">
      <c r="A108" s="599" t="s">
        <v>10</v>
      </c>
      <c r="B108" s="266"/>
      <c r="C108" s="266"/>
      <c r="D108" s="266"/>
      <c r="E108" s="266"/>
      <c r="F108" s="266"/>
      <c r="G108" s="266"/>
      <c r="H108" s="267"/>
      <c r="I108" s="268"/>
      <c r="J108" s="269">
        <f>SUM(J101:J107)</f>
        <v>49821528</v>
      </c>
      <c r="K108" s="269">
        <f>SUM(K101:K107)</f>
        <v>49821528</v>
      </c>
      <c r="L108" s="506">
        <f>SUM(L101:L107)</f>
        <v>0</v>
      </c>
      <c r="M108" s="493"/>
      <c r="N108" s="434"/>
      <c r="O108" s="434"/>
      <c r="P108" s="434"/>
      <c r="Q108" s="434"/>
      <c r="R108" s="434"/>
      <c r="S108" s="494"/>
      <c r="T108" s="495"/>
    </row>
    <row r="109" spans="1:20" s="496" customFormat="1" ht="27" customHeight="1" thickBot="1">
      <c r="A109" s="601" t="s">
        <v>1176</v>
      </c>
      <c r="B109" s="597"/>
      <c r="C109" s="597"/>
      <c r="D109" s="597"/>
      <c r="E109" s="597"/>
      <c r="F109" s="598"/>
      <c r="G109" s="532"/>
      <c r="H109" s="2095" t="s">
        <v>2334</v>
      </c>
      <c r="I109" s="193" t="s">
        <v>17</v>
      </c>
      <c r="J109" s="194">
        <f>+J111-J110</f>
        <v>4741732402</v>
      </c>
      <c r="K109" s="473">
        <f>K111-K110</f>
        <v>3743409470</v>
      </c>
      <c r="L109" s="474">
        <f>L111-L110</f>
        <v>998322932</v>
      </c>
      <c r="M109" s="493"/>
      <c r="N109" s="434"/>
      <c r="O109" s="434"/>
      <c r="P109" s="434"/>
      <c r="Q109" s="434"/>
      <c r="R109" s="434"/>
      <c r="S109" s="494"/>
      <c r="T109" s="495"/>
    </row>
    <row r="110" spans="1:20" s="496" customFormat="1" ht="27" customHeight="1">
      <c r="A110" s="239" t="s">
        <v>20</v>
      </c>
      <c r="B110" s="195" t="s">
        <v>21</v>
      </c>
      <c r="C110" s="196"/>
      <c r="D110" s="196" t="s">
        <v>20</v>
      </c>
      <c r="E110" s="314"/>
      <c r="F110" s="197" t="s">
        <v>21</v>
      </c>
      <c r="G110" s="533"/>
      <c r="H110" s="2096"/>
      <c r="I110" s="198" t="s">
        <v>18</v>
      </c>
      <c r="J110" s="210">
        <f>SUM(J101:J107)</f>
        <v>49821528</v>
      </c>
      <c r="K110" s="210">
        <f>J110</f>
        <v>49821528</v>
      </c>
      <c r="L110" s="219">
        <v>0</v>
      </c>
      <c r="M110" s="493"/>
      <c r="N110" s="434"/>
      <c r="O110" s="434"/>
      <c r="P110" s="434"/>
      <c r="Q110" s="434"/>
      <c r="R110" s="434"/>
      <c r="S110" s="494"/>
      <c r="T110" s="495"/>
    </row>
    <row r="111" spans="1:20" s="496" customFormat="1" ht="27" customHeight="1" thickBot="1">
      <c r="A111" s="240" t="s">
        <v>9</v>
      </c>
      <c r="B111" s="199">
        <f>L15</f>
        <v>576263348</v>
      </c>
      <c r="C111" s="199"/>
      <c r="D111" s="200" t="s">
        <v>721</v>
      </c>
      <c r="E111" s="315"/>
      <c r="F111" s="201">
        <v>0</v>
      </c>
      <c r="G111" s="534"/>
      <c r="H111" s="2097"/>
      <c r="I111" s="202" t="s">
        <v>19</v>
      </c>
      <c r="J111" s="203">
        <f>SUM(J108,J100,J93,J87,J82,J75,J71,J68,J60,J56,J32,J15,J98)</f>
        <v>4791553930</v>
      </c>
      <c r="K111" s="203">
        <f>I118+J118</f>
        <v>3793230998</v>
      </c>
      <c r="L111" s="475">
        <f>SUM(L15,L32,L56,L60,L68,L71,L75,L82,L87,L93,L108)+L100+L98</f>
        <v>998322932</v>
      </c>
      <c r="M111" s="622" t="b">
        <f>J111-K111=L111</f>
        <v>1</v>
      </c>
      <c r="N111" s="434"/>
      <c r="O111" s="434"/>
      <c r="P111" s="434"/>
      <c r="Q111" s="434"/>
      <c r="R111" s="434"/>
      <c r="S111" s="494"/>
      <c r="T111" s="495"/>
    </row>
    <row r="112" spans="1:20" s="496" customFormat="1" ht="27" customHeight="1">
      <c r="A112" s="240" t="s">
        <v>11</v>
      </c>
      <c r="B112" s="199">
        <f>L32</f>
        <v>58422896</v>
      </c>
      <c r="C112" s="199"/>
      <c r="D112" s="200" t="s">
        <v>2950</v>
      </c>
      <c r="E112" s="315"/>
      <c r="F112" s="201">
        <f>L75</f>
        <v>0</v>
      </c>
      <c r="G112" s="535"/>
      <c r="H112" s="296" t="s">
        <v>20</v>
      </c>
      <c r="I112" s="297" t="s">
        <v>3097</v>
      </c>
      <c r="J112" s="298" t="s">
        <v>154</v>
      </c>
      <c r="K112" s="298" t="s">
        <v>155</v>
      </c>
      <c r="L112" s="234" t="s">
        <v>32</v>
      </c>
      <c r="M112" s="493"/>
      <c r="N112" s="434"/>
      <c r="O112" s="434"/>
      <c r="P112" s="434"/>
      <c r="Q112" s="434"/>
      <c r="R112" s="434"/>
      <c r="S112" s="494"/>
      <c r="T112" s="495"/>
    </row>
    <row r="113" spans="1:20" s="496" customFormat="1" ht="27" customHeight="1">
      <c r="A113" s="241" t="s">
        <v>114</v>
      </c>
      <c r="B113" s="199">
        <f>L56</f>
        <v>236205314</v>
      </c>
      <c r="C113" s="199"/>
      <c r="D113" s="293" t="s">
        <v>14</v>
      </c>
      <c r="E113" s="316"/>
      <c r="F113" s="294">
        <f>L82</f>
        <v>0</v>
      </c>
      <c r="G113" s="536"/>
      <c r="H113" s="211" t="s">
        <v>22</v>
      </c>
      <c r="I113" s="199">
        <f>K88</f>
        <v>111348122</v>
      </c>
      <c r="J113" s="199">
        <f>SUM(K89:K91,K94:K97)</f>
        <v>574937653</v>
      </c>
      <c r="K113" s="199">
        <f>L93</f>
        <v>52887936</v>
      </c>
      <c r="L113" s="201">
        <f>SUM(I113:J113)</f>
        <v>686285775</v>
      </c>
      <c r="M113" s="493"/>
      <c r="N113" s="434"/>
      <c r="O113" s="434"/>
      <c r="P113" s="434"/>
      <c r="Q113" s="434"/>
      <c r="R113" s="434"/>
      <c r="S113" s="494"/>
      <c r="T113" s="495"/>
    </row>
    <row r="114" spans="1:20" s="97" customFormat="1" ht="27" customHeight="1">
      <c r="A114" s="241" t="s">
        <v>153</v>
      </c>
      <c r="B114" s="199">
        <v>0</v>
      </c>
      <c r="C114" s="199"/>
      <c r="D114" s="293" t="s">
        <v>15</v>
      </c>
      <c r="E114" s="317"/>
      <c r="F114" s="295">
        <f>L87</f>
        <v>28002795</v>
      </c>
      <c r="G114" s="537"/>
      <c r="H114" s="211" t="s">
        <v>23</v>
      </c>
      <c r="I114" s="199">
        <f>SUM(K16,K17,K33:K37,K61:K62,K72)</f>
        <v>423003357</v>
      </c>
      <c r="J114" s="199">
        <f>SUM(K18:K26,K38:K54,K57:K59,K63:K65,K73:K74,)</f>
        <v>1543122652</v>
      </c>
      <c r="K114" s="199">
        <f>SUM(L27:L31,L55,L66:L67)</f>
        <v>341168853</v>
      </c>
      <c r="L114" s="201">
        <f>SUM(I114:J114)</f>
        <v>1966126009</v>
      </c>
      <c r="M114" s="402"/>
      <c r="N114" s="438"/>
      <c r="O114" s="434"/>
      <c r="P114" s="434"/>
      <c r="Q114" s="434"/>
      <c r="R114" s="434"/>
    </row>
    <row r="115" spans="1:20" s="97" customFormat="1" ht="27" customHeight="1">
      <c r="A115" s="241" t="s">
        <v>719</v>
      </c>
      <c r="B115" s="199">
        <v>0</v>
      </c>
      <c r="C115" s="199"/>
      <c r="D115" s="293" t="s">
        <v>53</v>
      </c>
      <c r="E115" s="316"/>
      <c r="F115" s="294">
        <f>L71</f>
        <v>0</v>
      </c>
      <c r="G115" s="536"/>
      <c r="H115" s="211" t="s">
        <v>24</v>
      </c>
      <c r="I115" s="199">
        <f>K12</f>
        <v>380168016</v>
      </c>
      <c r="J115" s="199">
        <f>K13</f>
        <v>488766027</v>
      </c>
      <c r="K115" s="199">
        <f>L15</f>
        <v>576263348</v>
      </c>
      <c r="L115" s="201">
        <f>SUM(I115:J115)</f>
        <v>868934043</v>
      </c>
      <c r="M115" s="401"/>
      <c r="N115" s="441"/>
    </row>
    <row r="116" spans="1:20" s="97" customFormat="1" ht="27" customHeight="1">
      <c r="A116" s="241" t="s">
        <v>2951</v>
      </c>
      <c r="B116" s="199">
        <f>L68</f>
        <v>46540643</v>
      </c>
      <c r="C116" s="199"/>
      <c r="D116" s="200" t="s">
        <v>252</v>
      </c>
      <c r="E116" s="216"/>
      <c r="F116" s="294">
        <f>L93</f>
        <v>52887936</v>
      </c>
      <c r="G116" s="538"/>
      <c r="H116" s="211" t="s">
        <v>723</v>
      </c>
      <c r="I116" s="199">
        <f>SUM(K69,)</f>
        <v>51354347</v>
      </c>
      <c r="J116" s="199">
        <f>SUM(K76:K81,K83:K84,K99,K70,K85)</f>
        <v>170709296</v>
      </c>
      <c r="K116" s="199">
        <f>SUM(L86,)</f>
        <v>28002795</v>
      </c>
      <c r="L116" s="201">
        <f>SUM(I116:J116)</f>
        <v>222063643</v>
      </c>
      <c r="M116" s="401"/>
      <c r="N116" s="441"/>
    </row>
    <row r="117" spans="1:20" s="97" customFormat="1" ht="27" customHeight="1" thickBot="1">
      <c r="A117" s="215" t="s">
        <v>2646</v>
      </c>
      <c r="B117" s="213">
        <f>L100</f>
        <v>0</v>
      </c>
      <c r="C117" s="213"/>
      <c r="D117" s="214"/>
      <c r="E117" s="318"/>
      <c r="F117" s="242"/>
      <c r="G117" s="539"/>
      <c r="H117" s="299" t="s">
        <v>1177</v>
      </c>
      <c r="I117" s="311">
        <v>0</v>
      </c>
      <c r="J117" s="311">
        <f>J108</f>
        <v>49821528</v>
      </c>
      <c r="K117" s="311">
        <v>0</v>
      </c>
      <c r="L117" s="312">
        <f>SUM(I117:J117)</f>
        <v>49821528</v>
      </c>
      <c r="M117" s="364" t="b">
        <f>K118=F118</f>
        <v>1</v>
      </c>
      <c r="N117" s="441"/>
      <c r="O117" s="403"/>
      <c r="P117" s="403"/>
      <c r="Q117" s="403"/>
      <c r="R117" s="403"/>
    </row>
    <row r="118" spans="1:20" s="97" customFormat="1" ht="27" customHeight="1" thickTop="1" thickBot="1">
      <c r="A118" s="243"/>
      <c r="B118" s="244" t="s">
        <v>49</v>
      </c>
      <c r="C118" s="244"/>
      <c r="D118" s="245"/>
      <c r="E118" s="244"/>
      <c r="F118" s="246">
        <f>SUM(B111:B117,F111:F117)</f>
        <v>998322932</v>
      </c>
      <c r="G118" s="540"/>
      <c r="H118" s="236" t="s">
        <v>16</v>
      </c>
      <c r="I118" s="237">
        <f>SUM(I113:I117)</f>
        <v>965873842</v>
      </c>
      <c r="J118" s="237">
        <f>SUM(J113:J117)</f>
        <v>2827357156</v>
      </c>
      <c r="K118" s="237">
        <f>SUM(K113:K117)</f>
        <v>998322932</v>
      </c>
      <c r="L118" s="238">
        <f>+I118+J118</f>
        <v>3793230998</v>
      </c>
      <c r="M118" s="364" t="b">
        <f>K111=J118+I118</f>
        <v>1</v>
      </c>
      <c r="N118" s="441"/>
      <c r="O118" s="403"/>
      <c r="P118" s="403"/>
      <c r="Q118" s="403"/>
    </row>
    <row r="119" spans="1:20" s="97" customFormat="1" ht="27" customHeight="1" thickBot="1">
      <c r="A119"/>
      <c r="B119"/>
      <c r="C119"/>
      <c r="D119"/>
      <c r="E119"/>
      <c r="F119"/>
      <c r="G119"/>
      <c r="H119" s="2047" t="s">
        <v>1685</v>
      </c>
      <c r="I119" s="2048"/>
      <c r="J119" s="2048"/>
      <c r="K119" s="2049"/>
      <c r="L119" s="404">
        <f>L118-L117</f>
        <v>3743409470</v>
      </c>
      <c r="M119" s="366"/>
      <c r="N119" s="441"/>
      <c r="O119" s="403"/>
      <c r="P119" s="403"/>
      <c r="Q119" s="403"/>
    </row>
    <row r="120" spans="1:20" s="97" customFormat="1" ht="27" customHeight="1">
      <c r="A120"/>
      <c r="B120" s="291"/>
      <c r="C120" s="291"/>
      <c r="D120" s="290"/>
      <c r="E120" s="290"/>
      <c r="F120" s="26"/>
      <c r="G120" s="26"/>
      <c r="H120" s="292"/>
      <c r="I120" s="47"/>
      <c r="J120" s="412"/>
      <c r="K120" s="412"/>
      <c r="L120" s="13">
        <v>3743077012</v>
      </c>
      <c r="M120" s="175"/>
      <c r="N120" s="441"/>
      <c r="O120" s="403"/>
      <c r="P120" s="403"/>
      <c r="Q120" s="403"/>
    </row>
    <row r="121" spans="1:20" s="126" customFormat="1" ht="27" customHeight="1">
      <c r="A121"/>
      <c r="B121"/>
      <c r="C121"/>
      <c r="D121" s="290"/>
      <c r="E121" s="290"/>
      <c r="F121" s="26"/>
      <c r="G121" s="26"/>
      <c r="H121" s="292"/>
      <c r="I121" s="47"/>
      <c r="J121" s="412">
        <f>J118+I118-J111</f>
        <v>-998322932</v>
      </c>
      <c r="K121"/>
      <c r="L121" s="412">
        <f>L119-L120</f>
        <v>332458</v>
      </c>
      <c r="M121" s="175"/>
      <c r="N121" s="443"/>
      <c r="O121" s="403"/>
      <c r="P121" s="403"/>
      <c r="Q121" s="403"/>
      <c r="R121" s="97"/>
    </row>
    <row r="122" spans="1:20" s="126" customFormat="1" ht="27" customHeight="1">
      <c r="A122"/>
      <c r="B122"/>
      <c r="C122"/>
      <c r="D122" s="290"/>
      <c r="E122" s="290"/>
      <c r="F122" s="26"/>
      <c r="G122" s="26"/>
      <c r="H122" s="292"/>
      <c r="I122" s="47"/>
      <c r="J122" s="26"/>
      <c r="K122"/>
      <c r="L122" s="26">
        <v>550384366</v>
      </c>
      <c r="M122" s="366"/>
      <c r="N122" s="443"/>
      <c r="O122" s="403"/>
      <c r="P122" s="403"/>
      <c r="Q122" s="403"/>
      <c r="R122" s="97"/>
    </row>
    <row r="123" spans="1:20" s="126" customFormat="1" ht="27" customHeight="1">
      <c r="A123"/>
      <c r="B123"/>
      <c r="C123"/>
      <c r="D123" s="290"/>
      <c r="E123" s="290"/>
      <c r="F123" s="26"/>
      <c r="G123" s="26"/>
      <c r="H123" s="292"/>
      <c r="I123" s="47"/>
      <c r="J123" s="26"/>
      <c r="K123"/>
      <c r="L123" s="26">
        <f>J116+I116</f>
        <v>222063643</v>
      </c>
      <c r="M123" s="364"/>
      <c r="N123" s="443"/>
      <c r="P123" s="205"/>
      <c r="Q123" s="205"/>
    </row>
    <row r="124" spans="1:20" s="126" customFormat="1" ht="27" customHeight="1">
      <c r="A124"/>
      <c r="B124"/>
      <c r="C124"/>
      <c r="D124" s="290"/>
      <c r="E124" s="290"/>
      <c r="F124"/>
      <c r="G124"/>
      <c r="H124" s="13"/>
      <c r="I124" s="47"/>
      <c r="J124" s="26"/>
      <c r="K124"/>
      <c r="L124" s="26">
        <f>L122-L123</f>
        <v>328320723</v>
      </c>
      <c r="M124" s="364"/>
      <c r="N124" s="443"/>
    </row>
    <row r="125" spans="1:20" s="19" customFormat="1" ht="27" customHeight="1">
      <c r="A125"/>
      <c r="B125"/>
      <c r="C125"/>
      <c r="D125"/>
      <c r="E125"/>
      <c r="F125"/>
      <c r="G125"/>
      <c r="H125" s="13"/>
      <c r="I125" s="47"/>
      <c r="J125"/>
      <c r="K125"/>
      <c r="L125"/>
      <c r="M125" s="410"/>
      <c r="N125" s="443"/>
      <c r="O125" s="15"/>
    </row>
    <row r="126" spans="1:20">
      <c r="J126" s="47"/>
      <c r="L126" s="26"/>
      <c r="N126" s="441"/>
      <c r="O126" s="26"/>
      <c r="P126"/>
      <c r="Q126"/>
      <c r="R126"/>
      <c r="S126"/>
      <c r="T126"/>
    </row>
    <row r="127" spans="1:20" s="24" customFormat="1">
      <c r="A127"/>
      <c r="B127"/>
      <c r="C127"/>
      <c r="D127"/>
      <c r="E127"/>
      <c r="F127"/>
      <c r="G127"/>
      <c r="H127"/>
      <c r="I127" s="47"/>
      <c r="J127"/>
      <c r="K127"/>
      <c r="L127"/>
      <c r="N127" s="445"/>
    </row>
    <row r="128" spans="1:20" s="24" customFormat="1">
      <c r="A128"/>
      <c r="B128"/>
      <c r="C128"/>
      <c r="D128"/>
      <c r="E128"/>
      <c r="F128"/>
      <c r="G128"/>
      <c r="H128"/>
      <c r="I128" s="47"/>
      <c r="J128"/>
      <c r="K128"/>
      <c r="L128" s="26"/>
      <c r="N128" s="445"/>
    </row>
    <row r="129" spans="1:20" s="24" customFormat="1">
      <c r="A129"/>
      <c r="B129"/>
      <c r="C129"/>
      <c r="D129"/>
      <c r="E129"/>
      <c r="F129"/>
      <c r="G129"/>
      <c r="H129"/>
      <c r="I129" s="47"/>
      <c r="J129" s="26"/>
      <c r="K129"/>
      <c r="L129"/>
      <c r="O129" s="434"/>
      <c r="P129" s="440"/>
      <c r="Q129" s="440"/>
      <c r="R129" s="440"/>
      <c r="S129" s="440"/>
      <c r="T129" s="445"/>
    </row>
    <row r="130" spans="1:20" s="24" customFormat="1">
      <c r="A130"/>
      <c r="B130"/>
      <c r="C130"/>
      <c r="D130"/>
      <c r="E130"/>
      <c r="F130"/>
      <c r="G130"/>
      <c r="H130"/>
      <c r="I130" s="47"/>
      <c r="J130"/>
      <c r="K130"/>
      <c r="L130" s="26"/>
      <c r="O130" s="434"/>
      <c r="P130" s="440"/>
      <c r="Q130" s="440"/>
      <c r="R130" s="440"/>
      <c r="S130" s="440"/>
      <c r="T130" s="445"/>
    </row>
    <row r="131" spans="1:20" s="24" customFormat="1">
      <c r="A131"/>
      <c r="B131"/>
      <c r="C131"/>
      <c r="D131"/>
      <c r="E131"/>
      <c r="F131"/>
      <c r="G131"/>
      <c r="H131"/>
      <c r="I131" s="47"/>
      <c r="J131"/>
      <c r="K131"/>
      <c r="L131"/>
      <c r="O131" s="434"/>
      <c r="P131" s="440"/>
      <c r="Q131" s="440"/>
      <c r="R131" s="440"/>
      <c r="S131" s="440"/>
      <c r="T131" s="445"/>
    </row>
  </sheetData>
  <autoFilter ref="A10:H122" xr:uid="{00000000-0009-0000-0000-000058000000}"/>
  <mergeCells count="41">
    <mergeCell ref="A5:I9"/>
    <mergeCell ref="O5:O9"/>
    <mergeCell ref="P5:P9"/>
    <mergeCell ref="R5:R9"/>
    <mergeCell ref="S5:S9"/>
    <mergeCell ref="N3:N9"/>
    <mergeCell ref="O3:O4"/>
    <mergeCell ref="P3:P4"/>
    <mergeCell ref="R3:R4"/>
    <mergeCell ref="S3:S4"/>
    <mergeCell ref="A32:H32"/>
    <mergeCell ref="A10:A11"/>
    <mergeCell ref="B10:B11"/>
    <mergeCell ref="C10:C11"/>
    <mergeCell ref="D10:D11"/>
    <mergeCell ref="E10:E11"/>
    <mergeCell ref="F10:F11"/>
    <mergeCell ref="H10:H11"/>
    <mergeCell ref="H109:H111"/>
    <mergeCell ref="H119:K119"/>
    <mergeCell ref="I10:L10"/>
    <mergeCell ref="A12:A14"/>
    <mergeCell ref="A15:H15"/>
    <mergeCell ref="A16:A31"/>
    <mergeCell ref="A83:A86"/>
    <mergeCell ref="A33:A55"/>
    <mergeCell ref="A56:H56"/>
    <mergeCell ref="A57:A59"/>
    <mergeCell ref="A60:H60"/>
    <mergeCell ref="A61:A67"/>
    <mergeCell ref="A68:H68"/>
    <mergeCell ref="A71:H71"/>
    <mergeCell ref="A75:H75"/>
    <mergeCell ref="A76:A81"/>
    <mergeCell ref="A72:A74"/>
    <mergeCell ref="A69:A70"/>
    <mergeCell ref="A101:A107"/>
    <mergeCell ref="A87:H87"/>
    <mergeCell ref="A88:A92"/>
    <mergeCell ref="A94:A97"/>
    <mergeCell ref="A82:H82"/>
  </mergeCells>
  <phoneticPr fontId="2" type="noConversion"/>
  <conditionalFormatting sqref="A12 B12:L14 B16:L31 B33:L55 B61:L62 B63:H67 J63:L67 I63:I68 B94:L97">
    <cfRule type="expression" dxfId="788" priority="60">
      <formula>#REF!="*01월*"</formula>
    </cfRule>
  </conditionalFormatting>
  <conditionalFormatting sqref="A15">
    <cfRule type="expression" dxfId="787" priority="61">
      <formula>#REF!="*01월*"</formula>
    </cfRule>
  </conditionalFormatting>
  <conditionalFormatting sqref="A32 D81:E81">
    <cfRule type="expression" dxfId="786" priority="67">
      <formula>#REF!="*01월*"</formula>
    </cfRule>
  </conditionalFormatting>
  <conditionalFormatting sqref="A56:A57 A60:A66">
    <cfRule type="expression" dxfId="785" priority="50">
      <formula>#REF!="*01월*"</formula>
    </cfRule>
  </conditionalFormatting>
  <conditionalFormatting sqref="A68 J68:L68 B73:D74 F73:G74 B78:C78 F78:G78 D79:E80 B86:E86 D97:E97 D107:E107 G107 J107 L107">
    <cfRule type="expression" dxfId="784" priority="49">
      <formula>$F71="*01월*"</formula>
    </cfRule>
  </conditionalFormatting>
  <conditionalFormatting sqref="A69 K75:L75 A76 D76:E76 B80:G80 B110:L118 H119:H123">
    <cfRule type="expression" dxfId="783" priority="35">
      <formula>$F71="*01월*"</formula>
    </cfRule>
  </conditionalFormatting>
  <conditionalFormatting sqref="A71 I71:K71 K73:K74 D77:E77 B83 J83 L83 B84:E85 K86 D96:E96 D106:G106 J106 L106 K106:K107 F107">
    <cfRule type="expression" dxfId="782" priority="22">
      <formula>$F75="*01월*"</formula>
    </cfRule>
  </conditionalFormatting>
  <conditionalFormatting sqref="A75">
    <cfRule type="expression" dxfId="781" priority="59">
      <formula>#REF!="*01월*"</formula>
    </cfRule>
  </conditionalFormatting>
  <conditionalFormatting sqref="A82">
    <cfRule type="expression" dxfId="780" priority="54">
      <formula>#REF!="*01월*"</formula>
    </cfRule>
  </conditionalFormatting>
  <conditionalFormatting sqref="A83 J84:J85 L84:L85 L108">
    <cfRule type="expression" dxfId="779" priority="52">
      <formula>$F89="*01월*"</formula>
    </cfRule>
  </conditionalFormatting>
  <conditionalFormatting sqref="A87:A88">
    <cfRule type="expression" dxfId="778" priority="53">
      <formula>#REF!="*01월*"</formula>
    </cfRule>
  </conditionalFormatting>
  <conditionalFormatting sqref="A93 I93:K93 A96">
    <cfRule type="expression" dxfId="777" priority="81">
      <formula>$F108="*01월*"</formula>
    </cfRule>
  </conditionalFormatting>
  <conditionalFormatting sqref="A94:A95">
    <cfRule type="expression" dxfId="776" priority="955">
      <formula>$F110="*01월*"</formula>
    </cfRule>
  </conditionalFormatting>
  <conditionalFormatting sqref="A98 I98:L98">
    <cfRule type="expression" dxfId="775" priority="80">
      <formula>$F109="*01월*"</formula>
    </cfRule>
  </conditionalFormatting>
  <conditionalFormatting sqref="A99:A100">
    <cfRule type="expression" dxfId="774" priority="965">
      <formula>$F109="*01월*"</formula>
    </cfRule>
  </conditionalFormatting>
  <conditionalFormatting sqref="A108:A118">
    <cfRule type="expression" dxfId="773" priority="75">
      <formula>$F110="*01월*"</formula>
    </cfRule>
  </conditionalFormatting>
  <conditionalFormatting sqref="A11:B11 D11:L11">
    <cfRule type="expression" dxfId="772" priority="912">
      <formula>#REF!="*01월*"</formula>
    </cfRule>
  </conditionalFormatting>
  <conditionalFormatting sqref="A10:L10">
    <cfRule type="expression" dxfId="771" priority="56">
      <formula>$F13="*01월*"</formula>
    </cfRule>
  </conditionalFormatting>
  <conditionalFormatting sqref="A72:L72">
    <cfRule type="expression" dxfId="770" priority="7">
      <formula>#REF!="*01월*"</formula>
    </cfRule>
  </conditionalFormatting>
  <conditionalFormatting sqref="B76:C77 F76:G77 B77:B80">
    <cfRule type="expression" dxfId="769" priority="27">
      <formula>$F77="*01월*"</formula>
    </cfRule>
  </conditionalFormatting>
  <conditionalFormatting sqref="B99:C99">
    <cfRule type="expression" dxfId="768" priority="29">
      <formula>#REF!="*01월*"</formula>
    </cfRule>
  </conditionalFormatting>
  <conditionalFormatting sqref="B101:C107">
    <cfRule type="expression" dxfId="767" priority="23">
      <formula>#REF!="*01월*"</formula>
    </cfRule>
  </conditionalFormatting>
  <conditionalFormatting sqref="B73:H74">
    <cfRule type="expression" dxfId="766" priority="33">
      <formula>#REF!="*01월*"</formula>
    </cfRule>
  </conditionalFormatting>
  <conditionalFormatting sqref="B57:L59">
    <cfRule type="expression" dxfId="765" priority="36">
      <formula>#REF!="*01월*"</formula>
    </cfRule>
  </conditionalFormatting>
  <conditionalFormatting sqref="B69:L70">
    <cfRule type="expression" dxfId="764" priority="4">
      <formula>#REF!="*01월*"</formula>
    </cfRule>
  </conditionalFormatting>
  <conditionalFormatting sqref="B76:L81">
    <cfRule type="expression" dxfId="763" priority="32">
      <formula>#REF!="*01월*"</formula>
    </cfRule>
  </conditionalFormatting>
  <conditionalFormatting sqref="B88:L91 B92:K92">
    <cfRule type="expression" dxfId="762" priority="2">
      <formula>#REF!="*01월*"</formula>
    </cfRule>
  </conditionalFormatting>
  <conditionalFormatting sqref="C83:E83 K83">
    <cfRule type="expression" dxfId="761" priority="77">
      <formula>#REF!="*01월*"</formula>
    </cfRule>
  </conditionalFormatting>
  <conditionalFormatting sqref="D73:E74">
    <cfRule type="expression" dxfId="760" priority="34">
      <formula>$F77="*01월*"</formula>
    </cfRule>
  </conditionalFormatting>
  <conditionalFormatting sqref="D78:E78 B79:C81 F79:G81">
    <cfRule type="expression" dxfId="759" priority="953">
      <formula>#REF!="*01월*"</formula>
    </cfRule>
  </conditionalFormatting>
  <conditionalFormatting sqref="D120:E124">
    <cfRule type="expression" dxfId="758" priority="55">
      <formula>$F122="*01월*"</formula>
    </cfRule>
  </conditionalFormatting>
  <conditionalFormatting sqref="F16:G16">
    <cfRule type="expression" dxfId="757" priority="19">
      <formula>$F23="*01월*"</formula>
    </cfRule>
  </conditionalFormatting>
  <conditionalFormatting sqref="F17:G17">
    <cfRule type="expression" dxfId="756" priority="20">
      <formula>#REF!="*01월*"</formula>
    </cfRule>
    <cfRule type="expression" dxfId="755" priority="21">
      <formula>$F32="*01월*"</formula>
    </cfRule>
  </conditionalFormatting>
  <conditionalFormatting sqref="F18:G18">
    <cfRule type="expression" dxfId="754" priority="913">
      <formula>$F32="*01월*"</formula>
    </cfRule>
  </conditionalFormatting>
  <conditionalFormatting sqref="F19:G21">
    <cfRule type="expression" dxfId="753" priority="65">
      <formula>$F37="*01월*"</formula>
    </cfRule>
  </conditionalFormatting>
  <conditionalFormatting sqref="F20:G21">
    <cfRule type="expression" dxfId="752" priority="62">
      <formula>$F39="*01월*"</formula>
    </cfRule>
  </conditionalFormatting>
  <conditionalFormatting sqref="F22:G26">
    <cfRule type="expression" dxfId="751" priority="66">
      <formula>$F38="*01월*"</formula>
    </cfRule>
  </conditionalFormatting>
  <conditionalFormatting sqref="F23:G23 F25:G25 F29:G29">
    <cfRule type="expression" dxfId="750" priority="927">
      <formula>$F41="*01월*"</formula>
    </cfRule>
  </conditionalFormatting>
  <conditionalFormatting sqref="F23:G23">
    <cfRule type="expression" dxfId="749" priority="926">
      <formula>$F38="*01월*"</formula>
    </cfRule>
  </conditionalFormatting>
  <conditionalFormatting sqref="F23:G26">
    <cfRule type="expression" dxfId="748" priority="70">
      <formula>$F42="*01월*"</formula>
    </cfRule>
  </conditionalFormatting>
  <conditionalFormatting sqref="F24:G31">
    <cfRule type="expression" dxfId="747" priority="918">
      <formula>$F41="*01월*"</formula>
    </cfRule>
  </conditionalFormatting>
  <conditionalFormatting sqref="F25:G27">
    <cfRule type="expression" dxfId="746" priority="919">
      <formula>$F40="*01월*"</formula>
    </cfRule>
  </conditionalFormatting>
  <conditionalFormatting sqref="F26:G31">
    <cfRule type="expression" dxfId="745" priority="917">
      <formula>$F40="*01월*"</formula>
    </cfRule>
  </conditionalFormatting>
  <conditionalFormatting sqref="F27:G27">
    <cfRule type="expression" dxfId="744" priority="8">
      <formula>$F35="*01월*"</formula>
    </cfRule>
    <cfRule type="expression" dxfId="743" priority="952">
      <formula>$F45="*01월*"</formula>
    </cfRule>
    <cfRule type="expression" dxfId="742" priority="951">
      <formula>$F47="*01월*"</formula>
    </cfRule>
  </conditionalFormatting>
  <conditionalFormatting sqref="F28:G31">
    <cfRule type="expression" dxfId="741" priority="9">
      <formula>#REF!="*01월*"</formula>
    </cfRule>
    <cfRule type="expression" dxfId="740" priority="10">
      <formula>$F39="*01월*"</formula>
    </cfRule>
    <cfRule type="expression" dxfId="739" priority="928">
      <formula>$F44="*01월*"</formula>
    </cfRule>
    <cfRule type="expression" dxfId="738" priority="69">
      <formula>$F41="*01월*"</formula>
    </cfRule>
    <cfRule type="expression" dxfId="737" priority="939">
      <formula>$F47="*01월*"</formula>
    </cfRule>
  </conditionalFormatting>
  <conditionalFormatting sqref="F29:G29">
    <cfRule type="expression" dxfId="736" priority="914">
      <formula>$F41="*01월*"</formula>
    </cfRule>
  </conditionalFormatting>
  <conditionalFormatting sqref="F29:G30">
    <cfRule type="expression" dxfId="735" priority="915">
      <formula>$F44="*01월*"</formula>
    </cfRule>
  </conditionalFormatting>
  <conditionalFormatting sqref="F30:G30 D99:G99 J99:K99 J100:L100">
    <cfRule type="expression" dxfId="734" priority="31">
      <formula>$F40="*01월*"</formula>
    </cfRule>
  </conditionalFormatting>
  <conditionalFormatting sqref="F31:G31">
    <cfRule type="expression" dxfId="733" priority="25">
      <formula>$F39="*01월*"</formula>
    </cfRule>
  </conditionalFormatting>
  <conditionalFormatting sqref="F83:H86">
    <cfRule type="expression" dxfId="732" priority="44">
      <formula>#REF!="*01월*"</formula>
    </cfRule>
  </conditionalFormatting>
  <conditionalFormatting sqref="H99:I99">
    <cfRule type="expression" dxfId="731" priority="43">
      <formula>#REF!="*01월*"</formula>
    </cfRule>
  </conditionalFormatting>
  <conditionalFormatting sqref="H101:I107">
    <cfRule type="expression" dxfId="730" priority="24">
      <formula>#REF!="*01월*"</formula>
    </cfRule>
  </conditionalFormatting>
  <conditionalFormatting sqref="H109:L109">
    <cfRule type="expression" dxfId="729" priority="45">
      <formula>$F111="*01월*"</formula>
    </cfRule>
  </conditionalFormatting>
  <conditionalFormatting sqref="I82">
    <cfRule type="expression" dxfId="728" priority="16">
      <formula>$F87="*01월*"</formula>
    </cfRule>
  </conditionalFormatting>
  <conditionalFormatting sqref="I83">
    <cfRule type="expression" dxfId="727" priority="17">
      <formula>#REF!="*01월*"</formula>
    </cfRule>
  </conditionalFormatting>
  <conditionalFormatting sqref="I84:I85">
    <cfRule type="expression" dxfId="726" priority="30">
      <formula>$F91="*01월*"</formula>
    </cfRule>
  </conditionalFormatting>
  <conditionalFormatting sqref="I86 L99">
    <cfRule type="expression" dxfId="725" priority="76">
      <formula>#REF!="*01월*"</formula>
    </cfRule>
  </conditionalFormatting>
  <conditionalFormatting sqref="I73:J73 K82:L82 K84:K85 J86 L86 D94:E95">
    <cfRule type="expression" dxfId="724" priority="42">
      <formula>$F78="*01월*"</formula>
    </cfRule>
  </conditionalFormatting>
  <conditionalFormatting sqref="I74:J74 A101 D101:G105">
    <cfRule type="expression" dxfId="723" priority="79">
      <formula>$F81="*01월*"</formula>
    </cfRule>
  </conditionalFormatting>
  <conditionalFormatting sqref="I75:J75">
    <cfRule type="expression" dxfId="722" priority="39">
      <formula>#REF!="*01월*"</formula>
    </cfRule>
  </conditionalFormatting>
  <conditionalFormatting sqref="I108:K108">
    <cfRule type="expression" dxfId="721" priority="57">
      <formula>$F110="*01월*"</formula>
    </cfRule>
  </conditionalFormatting>
  <conditionalFormatting sqref="I15:L15">
    <cfRule type="expression" dxfId="720" priority="47">
      <formula>#REF!="*01월*"</formula>
    </cfRule>
  </conditionalFormatting>
  <conditionalFormatting sqref="I32:L32">
    <cfRule type="expression" dxfId="719" priority="46">
      <formula>#REF!="*01월*"</formula>
    </cfRule>
  </conditionalFormatting>
  <conditionalFormatting sqref="I56:L56">
    <cfRule type="expression" dxfId="718" priority="37">
      <formula>#REF!="*01월*"</formula>
    </cfRule>
  </conditionalFormatting>
  <conditionalFormatting sqref="I60:L60">
    <cfRule type="expression" dxfId="717" priority="26">
      <formula>#REF!="*01월*"</formula>
    </cfRule>
  </conditionalFormatting>
  <conditionalFormatting sqref="I76:L76">
    <cfRule type="expression" dxfId="716" priority="41">
      <formula>$F68="*01월*"</formula>
    </cfRule>
  </conditionalFormatting>
  <conditionalFormatting sqref="I87:L87">
    <cfRule type="expression" dxfId="715" priority="48">
      <formula>$F90="*01월*"</formula>
    </cfRule>
  </conditionalFormatting>
  <conditionalFormatting sqref="J82">
    <cfRule type="expression" dxfId="714" priority="38">
      <formula>#REF!="*01월*"</formula>
    </cfRule>
  </conditionalFormatting>
  <conditionalFormatting sqref="J76:K76">
    <cfRule type="expression" dxfId="713" priority="40">
      <formula>$F81="*01월*"</formula>
    </cfRule>
  </conditionalFormatting>
  <conditionalFormatting sqref="J101:L105">
    <cfRule type="expression" dxfId="712" priority="64">
      <formula>$F108="*01월*"</formula>
    </cfRule>
  </conditionalFormatting>
  <conditionalFormatting sqref="L71">
    <cfRule type="expression" dxfId="711" priority="13">
      <formula>$F73="*01월*"</formula>
    </cfRule>
  </conditionalFormatting>
  <conditionalFormatting sqref="L73:L74">
    <cfRule type="expression" dxfId="710" priority="11">
      <formula>#REF!="*01월*"</formula>
    </cfRule>
  </conditionalFormatting>
  <conditionalFormatting sqref="L92">
    <cfRule type="expression" dxfId="709" priority="1">
      <formula>$F97="*01월*"</formula>
    </cfRule>
  </conditionalFormatting>
  <conditionalFormatting sqref="L93 I100">
    <cfRule type="expression" dxfId="708" priority="78">
      <formula>#REF!="*01월*"</formula>
    </cfRule>
  </conditionalFormatting>
  <conditionalFormatting sqref="L119">
    <cfRule type="expression" dxfId="707" priority="51">
      <formula>$F121="*01월*"</formula>
    </cfRule>
  </conditionalFormatting>
  <printOptions horizontalCentered="1"/>
  <pageMargins left="0" right="0" top="0.70866141732283472" bottom="0.23622047244094491" header="0" footer="0"/>
  <pageSetup paperSize="9" scale="40" fitToHeight="0" orientation="portrait" r:id="rId1"/>
  <rowBreaks count="1" manualBreakCount="1">
    <brk id="68" max="11" man="1"/>
  </rowBreaks>
  <colBreaks count="1" manualBreakCount="1">
    <brk id="11" max="1048575" man="1"/>
  </colBreaks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pageSetUpPr fitToPage="1"/>
  </sheetPr>
  <dimension ref="A2:T121"/>
  <sheetViews>
    <sheetView view="pageBreakPreview" zoomScale="70" zoomScaleNormal="70" zoomScaleSheetLayoutView="70" workbookViewId="0">
      <pane xSplit="1" ySplit="11" topLeftCell="B90" activePane="bottomRight" state="frozen"/>
      <selection pane="topRight" activeCell="B1" sqref="B1"/>
      <selection pane="bottomLeft" activeCell="A12" sqref="A12"/>
      <selection pane="bottomRight" activeCell="L14" sqref="L14"/>
    </sheetView>
  </sheetViews>
  <sheetFormatPr defaultRowHeight="25.2"/>
  <cols>
    <col min="1" max="1" width="18.69921875" customWidth="1"/>
    <col min="2" max="2" width="22.8984375" customWidth="1"/>
    <col min="3" max="3" width="22.8984375" hidden="1" customWidth="1"/>
    <col min="4" max="4" width="29.09765625" customWidth="1"/>
    <col min="5" max="5" width="29.09765625" hidden="1" customWidth="1"/>
    <col min="6" max="6" width="21" customWidth="1"/>
    <col min="7" max="7" width="21" hidden="1" customWidth="1"/>
    <col min="8" max="8" width="18.69921875" customWidth="1"/>
    <col min="9" max="9" width="25.69921875" style="47" customWidth="1"/>
    <col min="10" max="10" width="26.5" customWidth="1"/>
    <col min="11" max="11" width="25.09765625" customWidth="1"/>
    <col min="12" max="12" width="29.19921875" customWidth="1"/>
    <col min="13" max="13" width="14.8984375" style="24" customWidth="1"/>
    <col min="14" max="14" width="18.09765625" style="24" bestFit="1" customWidth="1"/>
    <col min="15" max="19" width="17.09765625" style="434" customWidth="1"/>
    <col min="20" max="20" width="9" style="441"/>
  </cols>
  <sheetData>
    <row r="2" spans="1:20" ht="25.8" thickBot="1">
      <c r="F2" s="507"/>
      <c r="G2" s="507"/>
      <c r="I2" s="24"/>
      <c r="J2" s="434"/>
      <c r="K2" s="434"/>
      <c r="L2" s="434"/>
      <c r="M2" s="434"/>
      <c r="N2"/>
      <c r="O2"/>
      <c r="P2"/>
      <c r="Q2"/>
      <c r="R2"/>
      <c r="S2"/>
      <c r="T2"/>
    </row>
    <row r="3" spans="1:20" ht="21.75" customHeight="1" thickTop="1">
      <c r="F3" s="507"/>
      <c r="N3" s="2058" t="s">
        <v>2041</v>
      </c>
      <c r="O3" s="2082" t="s">
        <v>2034</v>
      </c>
      <c r="P3" s="2084" t="s">
        <v>2035</v>
      </c>
      <c r="Q3" s="2084" t="s">
        <v>2063</v>
      </c>
      <c r="R3" s="2086" t="s">
        <v>2036</v>
      </c>
      <c r="S3" s="441"/>
      <c r="T3"/>
    </row>
    <row r="4" spans="1:20" ht="19.5" customHeight="1">
      <c r="N4" s="2080"/>
      <c r="O4" s="2083"/>
      <c r="P4" s="2085"/>
      <c r="Q4" s="2085"/>
      <c r="R4" s="2087"/>
      <c r="S4" s="441"/>
      <c r="T4"/>
    </row>
    <row r="5" spans="1:20" ht="19.5" customHeight="1">
      <c r="A5" s="2020" t="s">
        <v>3118</v>
      </c>
      <c r="B5" s="2020"/>
      <c r="C5" s="2020"/>
      <c r="D5" s="2020"/>
      <c r="E5" s="2020"/>
      <c r="F5" s="2020"/>
      <c r="G5" s="2020"/>
      <c r="H5" s="2020"/>
      <c r="I5" s="2020"/>
      <c r="J5" s="1"/>
      <c r="K5" s="1"/>
      <c r="L5" s="1"/>
      <c r="N5" s="2080"/>
      <c r="O5" s="2091"/>
      <c r="P5" s="2088"/>
      <c r="Q5" s="2088"/>
      <c r="R5" s="2077"/>
      <c r="S5" s="441"/>
      <c r="T5"/>
    </row>
    <row r="6" spans="1:20" ht="19.5" customHeight="1">
      <c r="A6" s="2020"/>
      <c r="B6" s="2020"/>
      <c r="C6" s="2020"/>
      <c r="D6" s="2020"/>
      <c r="E6" s="2020"/>
      <c r="F6" s="2020"/>
      <c r="G6" s="2020"/>
      <c r="H6" s="2020"/>
      <c r="I6" s="2020"/>
      <c r="J6" s="1"/>
      <c r="K6" s="1"/>
      <c r="L6" s="1"/>
      <c r="N6" s="2080"/>
      <c r="O6" s="2092"/>
      <c r="P6" s="2089"/>
      <c r="Q6" s="2089"/>
      <c r="R6" s="2078"/>
      <c r="S6" s="441"/>
      <c r="T6"/>
    </row>
    <row r="7" spans="1:20" ht="19.5" customHeight="1">
      <c r="A7" s="2020"/>
      <c r="B7" s="2020"/>
      <c r="C7" s="2020"/>
      <c r="D7" s="2020"/>
      <c r="E7" s="2020"/>
      <c r="F7" s="2020"/>
      <c r="G7" s="2020"/>
      <c r="H7" s="2020"/>
      <c r="I7" s="2020"/>
      <c r="J7" s="1"/>
      <c r="K7" s="1"/>
      <c r="L7" s="1"/>
      <c r="N7" s="2080"/>
      <c r="O7" s="2092"/>
      <c r="P7" s="2089"/>
      <c r="Q7" s="2089"/>
      <c r="R7" s="2078"/>
      <c r="S7" s="441"/>
      <c r="T7"/>
    </row>
    <row r="8" spans="1:20" ht="19.5" customHeight="1">
      <c r="A8" s="2020"/>
      <c r="B8" s="2020"/>
      <c r="C8" s="2020"/>
      <c r="D8" s="2020"/>
      <c r="E8" s="2020"/>
      <c r="F8" s="2020"/>
      <c r="G8" s="2020"/>
      <c r="H8" s="2020"/>
      <c r="I8" s="2020"/>
      <c r="J8" s="2"/>
      <c r="K8" s="2"/>
      <c r="L8" s="2"/>
      <c r="N8" s="2080"/>
      <c r="O8" s="2092"/>
      <c r="P8" s="2089"/>
      <c r="Q8" s="2089"/>
      <c r="R8" s="2078"/>
      <c r="S8" s="441"/>
      <c r="T8"/>
    </row>
    <row r="9" spans="1:20" ht="19.5" customHeight="1" thickBot="1">
      <c r="A9" s="2052"/>
      <c r="B9" s="2052"/>
      <c r="C9" s="2052"/>
      <c r="D9" s="2052"/>
      <c r="E9" s="2052"/>
      <c r="F9" s="2052"/>
      <c r="G9" s="2052"/>
      <c r="H9" s="2052"/>
      <c r="I9" s="2052"/>
      <c r="J9" s="2"/>
      <c r="K9" s="2"/>
      <c r="L9" s="2"/>
      <c r="N9" s="2081"/>
      <c r="O9" s="2093"/>
      <c r="P9" s="2090"/>
      <c r="Q9" s="2090"/>
      <c r="R9" s="2079"/>
      <c r="S9" s="441"/>
      <c r="T9"/>
    </row>
    <row r="10" spans="1:20" ht="23.25" customHeight="1">
      <c r="A10" s="2021" t="s">
        <v>0</v>
      </c>
      <c r="B10" s="2107" t="s">
        <v>1</v>
      </c>
      <c r="C10" s="2107" t="s">
        <v>2655</v>
      </c>
      <c r="D10" s="2114" t="s">
        <v>2</v>
      </c>
      <c r="E10" s="2114" t="s">
        <v>1222</v>
      </c>
      <c r="F10" s="2114" t="s">
        <v>3</v>
      </c>
      <c r="G10" s="523"/>
      <c r="H10" s="2116" t="s">
        <v>4</v>
      </c>
      <c r="I10" s="2104" t="s">
        <v>2352</v>
      </c>
      <c r="J10" s="2105"/>
      <c r="K10" s="2105"/>
      <c r="L10" s="2106"/>
    </row>
    <row r="11" spans="1:20" ht="23.25" customHeight="1">
      <c r="A11" s="2022"/>
      <c r="B11" s="2108"/>
      <c r="C11" s="2108"/>
      <c r="D11" s="2115"/>
      <c r="E11" s="2115"/>
      <c r="F11" s="2115"/>
      <c r="G11" s="522" t="s">
        <v>2499</v>
      </c>
      <c r="H11" s="2117"/>
      <c r="I11" s="82" t="s">
        <v>6</v>
      </c>
      <c r="J11" s="3" t="s">
        <v>7</v>
      </c>
      <c r="K11" s="476" t="s">
        <v>2479</v>
      </c>
      <c r="L11" s="271" t="s">
        <v>2336</v>
      </c>
      <c r="M11" s="24" t="s">
        <v>2528</v>
      </c>
      <c r="N11" s="434" t="s">
        <v>33</v>
      </c>
      <c r="O11" s="434" t="s">
        <v>2522</v>
      </c>
      <c r="P11" s="434" t="s">
        <v>2358</v>
      </c>
      <c r="Q11" s="434" t="s">
        <v>2815</v>
      </c>
      <c r="R11" s="434" t="s">
        <v>44</v>
      </c>
    </row>
    <row r="12" spans="1:20" ht="27" customHeight="1">
      <c r="A12" s="2011" t="s">
        <v>3098</v>
      </c>
      <c r="B12" s="509" t="s">
        <v>3125</v>
      </c>
      <c r="C12" s="509" t="s">
        <v>3245</v>
      </c>
      <c r="D12" s="454" t="s">
        <v>3126</v>
      </c>
      <c r="E12" s="454"/>
      <c r="F12" s="455">
        <v>45870</v>
      </c>
      <c r="G12" s="455"/>
      <c r="H12" s="456">
        <f>VLOOKUP(F12,환율!A:B,2,0)</f>
        <v>1390.4</v>
      </c>
      <c r="I12" s="457">
        <v>414458.68</v>
      </c>
      <c r="J12" s="458">
        <f t="shared" ref="J12" si="0">ROUNDDOWN(I12*H12,0)</f>
        <v>576263348</v>
      </c>
      <c r="K12" s="458">
        <f t="shared" ref="K12:K17" si="1">J12</f>
        <v>576263348</v>
      </c>
      <c r="L12" s="464"/>
      <c r="N12" s="434"/>
    </row>
    <row r="13" spans="1:20" ht="27" customHeight="1">
      <c r="A13" s="2011"/>
      <c r="B13" s="509" t="s">
        <v>3252</v>
      </c>
      <c r="C13" s="509" t="s">
        <v>2475</v>
      </c>
      <c r="D13" s="454" t="s">
        <v>3254</v>
      </c>
      <c r="E13" s="454"/>
      <c r="F13" s="455">
        <v>45870</v>
      </c>
      <c r="G13" s="455"/>
      <c r="H13" s="456">
        <f>VLOOKUP(F13,환율!A:B,2,0)</f>
        <v>1390.4</v>
      </c>
      <c r="I13" s="457">
        <v>40962.65</v>
      </c>
      <c r="J13" s="458">
        <f t="shared" ref="J13" si="2">ROUNDDOWN(I13*H13,0)</f>
        <v>56954468</v>
      </c>
      <c r="K13" s="458">
        <f t="shared" si="1"/>
        <v>56954468</v>
      </c>
      <c r="L13" s="464"/>
      <c r="N13" s="434"/>
    </row>
    <row r="14" spans="1:20" s="97" customFormat="1" ht="27" customHeight="1">
      <c r="A14" s="2011"/>
      <c r="B14" s="155" t="s">
        <v>3127</v>
      </c>
      <c r="C14" s="155" t="s">
        <v>3245</v>
      </c>
      <c r="D14" s="89" t="s">
        <v>3129</v>
      </c>
      <c r="E14" s="89"/>
      <c r="F14" s="90">
        <v>45892</v>
      </c>
      <c r="G14" s="90"/>
      <c r="H14" s="91">
        <f>VLOOKUP(F14,환율!A:B,2,0)</f>
        <v>1398.1</v>
      </c>
      <c r="I14" s="92">
        <v>400695.86</v>
      </c>
      <c r="J14" s="93">
        <f t="shared" ref="J14:J19" si="3">ROUNDDOWN(I14*H14,0)</f>
        <v>560212881</v>
      </c>
      <c r="K14" s="93">
        <f t="shared" si="1"/>
        <v>560212881</v>
      </c>
      <c r="L14" s="254"/>
      <c r="M14" s="364"/>
      <c r="N14" s="434"/>
      <c r="O14" s="434"/>
      <c r="P14" s="434"/>
      <c r="Q14" s="434"/>
      <c r="R14" s="434"/>
      <c r="S14" s="434"/>
      <c r="T14" s="441"/>
    </row>
    <row r="15" spans="1:20" s="97" customFormat="1" ht="27" customHeight="1">
      <c r="A15" s="2011"/>
      <c r="B15" s="155" t="s">
        <v>3250</v>
      </c>
      <c r="C15" s="155"/>
      <c r="D15" s="89" t="s">
        <v>3254</v>
      </c>
      <c r="E15" s="89"/>
      <c r="F15" s="90">
        <v>45892</v>
      </c>
      <c r="G15" s="90"/>
      <c r="H15" s="91">
        <f>VLOOKUP(F15,환율!A:B,2,0)</f>
        <v>1398.1</v>
      </c>
      <c r="I15" s="92">
        <v>59049.59</v>
      </c>
      <c r="J15" s="93">
        <f t="shared" ref="J15" si="4">ROUNDDOWN(I15*H15,0)</f>
        <v>82557231</v>
      </c>
      <c r="K15" s="93">
        <f t="shared" si="1"/>
        <v>82557231</v>
      </c>
      <c r="L15" s="254"/>
      <c r="M15" s="364"/>
      <c r="N15" s="434"/>
      <c r="O15" s="434"/>
      <c r="P15" s="434"/>
      <c r="Q15" s="434"/>
      <c r="R15" s="434"/>
      <c r="S15" s="434"/>
      <c r="T15" s="441"/>
    </row>
    <row r="16" spans="1:20" s="97" customFormat="1" ht="27" customHeight="1">
      <c r="A16" s="2011"/>
      <c r="B16" s="155" t="s">
        <v>3128</v>
      </c>
      <c r="C16" s="155" t="s">
        <v>3245</v>
      </c>
      <c r="D16" s="89" t="s">
        <v>3130</v>
      </c>
      <c r="E16" s="89"/>
      <c r="F16" s="90">
        <v>45895</v>
      </c>
      <c r="G16" s="90"/>
      <c r="H16" s="91">
        <f>VLOOKUP(F16,환율!A:B,2,0)</f>
        <v>1386.3</v>
      </c>
      <c r="I16" s="92">
        <v>350480.46</v>
      </c>
      <c r="J16" s="93">
        <f t="shared" ref="J16:J18" si="5">ROUNDDOWN(I16*H16,0)</f>
        <v>485871061</v>
      </c>
      <c r="K16" s="93">
        <f t="shared" si="1"/>
        <v>485871061</v>
      </c>
      <c r="L16" s="254"/>
      <c r="M16" s="364"/>
      <c r="N16" s="434"/>
      <c r="O16" s="434"/>
      <c r="P16" s="434"/>
      <c r="Q16" s="434"/>
      <c r="R16" s="434"/>
      <c r="S16" s="434"/>
      <c r="T16" s="441"/>
    </row>
    <row r="17" spans="1:20" s="97" customFormat="1" ht="27" customHeight="1">
      <c r="A17" s="2011"/>
      <c r="B17" s="155" t="s">
        <v>3251</v>
      </c>
      <c r="C17" s="155"/>
      <c r="D17" s="89" t="s">
        <v>3254</v>
      </c>
      <c r="E17" s="89"/>
      <c r="F17" s="90">
        <v>45895</v>
      </c>
      <c r="G17" s="90"/>
      <c r="H17" s="91">
        <f>VLOOKUP(F17,환율!A:B,2,0)</f>
        <v>1386.3</v>
      </c>
      <c r="I17" s="92">
        <v>51712.37</v>
      </c>
      <c r="J17" s="93">
        <f t="shared" si="5"/>
        <v>71688858</v>
      </c>
      <c r="K17" s="93">
        <f t="shared" si="1"/>
        <v>71688858</v>
      </c>
      <c r="L17" s="254"/>
      <c r="M17" s="364"/>
      <c r="N17" s="434"/>
      <c r="O17" s="434"/>
      <c r="P17" s="434"/>
      <c r="Q17" s="434"/>
      <c r="R17" s="434"/>
      <c r="S17" s="434"/>
      <c r="T17" s="441"/>
    </row>
    <row r="18" spans="1:20" s="97" customFormat="1" ht="27" customHeight="1">
      <c r="A18" s="2011"/>
      <c r="B18" s="546" t="s">
        <v>3248</v>
      </c>
      <c r="C18" s="546" t="s">
        <v>2504</v>
      </c>
      <c r="D18" s="547" t="s">
        <v>3249</v>
      </c>
      <c r="E18" s="547"/>
      <c r="F18" s="527">
        <v>45908</v>
      </c>
      <c r="G18" s="527"/>
      <c r="H18" s="528">
        <f>VLOOKUP(F18,환율!A:B,2,0)</f>
        <v>1391.8</v>
      </c>
      <c r="I18" s="529">
        <v>392354.51</v>
      </c>
      <c r="J18" s="530">
        <f t="shared" si="5"/>
        <v>546079007</v>
      </c>
      <c r="K18" s="530"/>
      <c r="L18" s="548">
        <f>J18</f>
        <v>546079007</v>
      </c>
      <c r="M18" s="364"/>
      <c r="N18" s="434"/>
      <c r="O18" s="434"/>
      <c r="P18" s="434"/>
      <c r="Q18" s="434"/>
      <c r="R18" s="434"/>
      <c r="S18" s="434"/>
      <c r="T18" s="441"/>
    </row>
    <row r="19" spans="1:20" s="97" customFormat="1" ht="27" customHeight="1">
      <c r="A19" s="2019"/>
      <c r="B19" s="546" t="s">
        <v>3253</v>
      </c>
      <c r="C19" s="546" t="s">
        <v>3244</v>
      </c>
      <c r="D19" s="547" t="s">
        <v>3254</v>
      </c>
      <c r="E19" s="547"/>
      <c r="F19" s="527">
        <v>45908</v>
      </c>
      <c r="G19" s="527"/>
      <c r="H19" s="528">
        <f>VLOOKUP(F19,환율!A:B,2,0)</f>
        <v>1391.8</v>
      </c>
      <c r="I19" s="529">
        <v>57845.72</v>
      </c>
      <c r="J19" s="530">
        <f t="shared" si="3"/>
        <v>80509673</v>
      </c>
      <c r="K19" s="530"/>
      <c r="L19" s="548">
        <f>J19</f>
        <v>80509673</v>
      </c>
      <c r="M19" s="401"/>
      <c r="N19" s="434"/>
      <c r="O19" s="434"/>
      <c r="P19" s="434"/>
      <c r="Q19" s="434"/>
      <c r="R19" s="434"/>
      <c r="S19" s="434"/>
      <c r="T19" s="441"/>
    </row>
    <row r="20" spans="1:20" s="97" customFormat="1" ht="27" customHeight="1">
      <c r="A20" s="2035" t="s">
        <v>10</v>
      </c>
      <c r="B20" s="2036"/>
      <c r="C20" s="2036"/>
      <c r="D20" s="2036"/>
      <c r="E20" s="2036"/>
      <c r="F20" s="2036"/>
      <c r="G20" s="2036"/>
      <c r="H20" s="2037"/>
      <c r="I20" s="449">
        <f>SUM(I12:I19)</f>
        <v>1767559.84</v>
      </c>
      <c r="J20" s="116">
        <f>SUM(J12:J19)</f>
        <v>2460136527</v>
      </c>
      <c r="K20" s="116">
        <f>SUM(K12:K19)</f>
        <v>1833547847</v>
      </c>
      <c r="L20" s="260">
        <f>SUM(L12:L19)</f>
        <v>626588680</v>
      </c>
      <c r="M20" s="364"/>
      <c r="N20" s="434"/>
      <c r="O20" s="434"/>
      <c r="P20" s="434"/>
      <c r="Q20" s="434"/>
      <c r="R20" s="434"/>
      <c r="S20" s="434"/>
      <c r="T20" s="441"/>
    </row>
    <row r="21" spans="1:20" s="97" customFormat="1" ht="27" customHeight="1">
      <c r="A21" s="2010" t="s">
        <v>3099</v>
      </c>
      <c r="B21" s="509" t="s">
        <v>2959</v>
      </c>
      <c r="C21" s="509" t="s">
        <v>3245</v>
      </c>
      <c r="D21" s="454" t="s">
        <v>2972</v>
      </c>
      <c r="E21" s="477"/>
      <c r="F21" s="465">
        <v>45879</v>
      </c>
      <c r="G21" s="465"/>
      <c r="H21" s="456">
        <f>VLOOKUP(F21,환율!A:B,2,0)</f>
        <v>1384.2</v>
      </c>
      <c r="I21" s="462">
        <v>11665.44</v>
      </c>
      <c r="J21" s="458">
        <f>ROUNDDOWN(I21*H21,0)</f>
        <v>16147302</v>
      </c>
      <c r="K21" s="458">
        <f>J21</f>
        <v>16147302</v>
      </c>
      <c r="L21" s="464"/>
      <c r="M21" s="364"/>
      <c r="N21" s="434"/>
      <c r="O21" s="434"/>
      <c r="P21" s="434"/>
      <c r="Q21" s="434"/>
      <c r="R21" s="434"/>
      <c r="S21" s="434"/>
      <c r="T21" s="441"/>
    </row>
    <row r="22" spans="1:20" s="120" customFormat="1" ht="27" customHeight="1">
      <c r="A22" s="2011"/>
      <c r="B22" s="509" t="s">
        <v>2960</v>
      </c>
      <c r="C22" s="509" t="s">
        <v>3245</v>
      </c>
      <c r="D22" s="454" t="s">
        <v>2973</v>
      </c>
      <c r="E22" s="477"/>
      <c r="F22" s="465">
        <v>45874</v>
      </c>
      <c r="G22" s="465"/>
      <c r="H22" s="456">
        <f>VLOOKUP(F22,환율!A:B,2,0)</f>
        <v>1384.9</v>
      </c>
      <c r="I22" s="462">
        <v>7456.32</v>
      </c>
      <c r="J22" s="458">
        <f t="shared" ref="J22:J25" si="6">ROUNDDOWN(I22*H22,0)</f>
        <v>10326257</v>
      </c>
      <c r="K22" s="458">
        <f>J22</f>
        <v>10326257</v>
      </c>
      <c r="L22" s="464"/>
      <c r="M22" s="365"/>
      <c r="N22" s="434"/>
      <c r="O22" s="434"/>
      <c r="P22" s="434"/>
      <c r="Q22" s="434"/>
      <c r="R22" s="434"/>
      <c r="S22" s="435"/>
      <c r="T22" s="442"/>
    </row>
    <row r="23" spans="1:20" s="120" customFormat="1" ht="27" customHeight="1">
      <c r="A23" s="2011"/>
      <c r="B23" s="509" t="s">
        <v>2961</v>
      </c>
      <c r="C23" s="509" t="s">
        <v>3245</v>
      </c>
      <c r="D23" s="454" t="s">
        <v>2974</v>
      </c>
      <c r="E23" s="477"/>
      <c r="F23" s="465">
        <v>45882</v>
      </c>
      <c r="G23" s="465"/>
      <c r="H23" s="456">
        <f>VLOOKUP(F23,환율!A:B,2,0)</f>
        <v>1390.2</v>
      </c>
      <c r="I23" s="462">
        <v>15393.6</v>
      </c>
      <c r="J23" s="458">
        <f t="shared" si="6"/>
        <v>21400182</v>
      </c>
      <c r="K23" s="458">
        <f>J23</f>
        <v>21400182</v>
      </c>
      <c r="L23" s="464"/>
      <c r="M23" s="365"/>
      <c r="S23" s="435"/>
      <c r="T23" s="442"/>
    </row>
    <row r="24" spans="1:20" s="120" customFormat="1" ht="27" customHeight="1">
      <c r="A24" s="2011"/>
      <c r="B24" s="509" t="s">
        <v>3123</v>
      </c>
      <c r="C24" s="509" t="s">
        <v>3245</v>
      </c>
      <c r="D24" s="454" t="s">
        <v>3124</v>
      </c>
      <c r="E24" s="477"/>
      <c r="F24" s="465">
        <v>45874</v>
      </c>
      <c r="G24" s="465"/>
      <c r="H24" s="456">
        <f>VLOOKUP(F24,환율!A:B,2,0)</f>
        <v>1384.9</v>
      </c>
      <c r="I24" s="462">
        <v>1953.72</v>
      </c>
      <c r="J24" s="458">
        <f t="shared" si="6"/>
        <v>2705706</v>
      </c>
      <c r="K24" s="458">
        <f>J24</f>
        <v>2705706</v>
      </c>
      <c r="L24" s="464"/>
      <c r="M24" s="365"/>
      <c r="S24" s="435"/>
      <c r="T24" s="442"/>
    </row>
    <row r="25" spans="1:20" s="120" customFormat="1" ht="27" customHeight="1">
      <c r="A25" s="2011"/>
      <c r="B25" s="509" t="s">
        <v>2966</v>
      </c>
      <c r="C25" s="509" t="s">
        <v>3245</v>
      </c>
      <c r="D25" s="454" t="s">
        <v>2981</v>
      </c>
      <c r="E25" s="477"/>
      <c r="F25" s="465">
        <v>45873</v>
      </c>
      <c r="G25" s="465"/>
      <c r="H25" s="456">
        <f>VLOOKUP(F25,환율!A:B,2,0)</f>
        <v>1399.3</v>
      </c>
      <c r="I25" s="462">
        <v>5561.28</v>
      </c>
      <c r="J25" s="458">
        <f t="shared" si="6"/>
        <v>7781899</v>
      </c>
      <c r="K25" s="458">
        <f>J25</f>
        <v>7781899</v>
      </c>
      <c r="L25" s="464"/>
      <c r="M25" s="365"/>
      <c r="S25" s="435"/>
      <c r="T25" s="442"/>
    </row>
    <row r="26" spans="1:20" s="120" customFormat="1" ht="27" customHeight="1">
      <c r="A26" s="2011"/>
      <c r="B26" s="155" t="s">
        <v>3131</v>
      </c>
      <c r="C26" s="155" t="s">
        <v>3245</v>
      </c>
      <c r="D26" s="89" t="s">
        <v>3142</v>
      </c>
      <c r="E26" s="319"/>
      <c r="F26" s="136">
        <v>45881</v>
      </c>
      <c r="G26" s="136"/>
      <c r="H26" s="163">
        <f>VLOOKUP(F26,환율!A:B,2,0)</f>
        <v>1388.3</v>
      </c>
      <c r="I26" s="131">
        <v>52714.080000000002</v>
      </c>
      <c r="J26" s="164">
        <f t="shared" ref="J26:J30" si="7">ROUNDDOWN(I26*H26,0)</f>
        <v>73182957</v>
      </c>
      <c r="K26" s="164">
        <f t="shared" ref="K26:K30" si="8">J26</f>
        <v>73182957</v>
      </c>
      <c r="L26" s="396"/>
      <c r="M26" s="365"/>
      <c r="S26" s="435"/>
      <c r="T26" s="442"/>
    </row>
    <row r="27" spans="1:20" s="120" customFormat="1" ht="27" customHeight="1">
      <c r="A27" s="2011"/>
      <c r="B27" s="155" t="s">
        <v>3132</v>
      </c>
      <c r="C27" s="155" t="s">
        <v>3245</v>
      </c>
      <c r="D27" s="89" t="s">
        <v>3143</v>
      </c>
      <c r="E27" s="392"/>
      <c r="F27" s="130">
        <v>45887</v>
      </c>
      <c r="G27" s="130"/>
      <c r="H27" s="163">
        <f>VLOOKUP(F27,환율!A:B,2,0)</f>
        <v>1382.2</v>
      </c>
      <c r="I27" s="131">
        <v>24789.119999999999</v>
      </c>
      <c r="J27" s="164">
        <f t="shared" si="7"/>
        <v>34263521</v>
      </c>
      <c r="K27" s="164">
        <f t="shared" si="8"/>
        <v>34263521</v>
      </c>
      <c r="L27" s="396"/>
      <c r="M27" s="365"/>
      <c r="S27" s="435"/>
      <c r="T27" s="442"/>
    </row>
    <row r="28" spans="1:20" s="120" customFormat="1" ht="27" customHeight="1">
      <c r="A28" s="2011"/>
      <c r="B28" s="155" t="s">
        <v>3133</v>
      </c>
      <c r="C28" s="155" t="s">
        <v>3245</v>
      </c>
      <c r="D28" s="89" t="s">
        <v>3144</v>
      </c>
      <c r="E28" s="319"/>
      <c r="F28" s="136">
        <v>45894</v>
      </c>
      <c r="G28" s="136"/>
      <c r="H28" s="163">
        <f>VLOOKUP(F28,환율!A:B,2,0)</f>
        <v>1395.6</v>
      </c>
      <c r="I28" s="131">
        <v>83059.199999999997</v>
      </c>
      <c r="J28" s="164">
        <f t="shared" si="7"/>
        <v>115917419</v>
      </c>
      <c r="K28" s="164">
        <f t="shared" si="8"/>
        <v>115917419</v>
      </c>
      <c r="L28" s="254"/>
      <c r="M28" s="365"/>
      <c r="S28" s="435"/>
      <c r="T28" s="442"/>
    </row>
    <row r="29" spans="1:20" s="120" customFormat="1" ht="27" customHeight="1">
      <c r="A29" s="2011"/>
      <c r="B29" s="155" t="s">
        <v>3134</v>
      </c>
      <c r="C29" s="155" t="s">
        <v>3245</v>
      </c>
      <c r="D29" s="89" t="s">
        <v>3145</v>
      </c>
      <c r="E29" s="319"/>
      <c r="F29" s="136">
        <v>45897</v>
      </c>
      <c r="G29" s="136"/>
      <c r="H29" s="163">
        <f>VLOOKUP(F29,환율!A:B,2,0)</f>
        <v>1395.7</v>
      </c>
      <c r="I29" s="131">
        <v>15249.6</v>
      </c>
      <c r="J29" s="164">
        <f t="shared" si="7"/>
        <v>21283866</v>
      </c>
      <c r="K29" s="164">
        <f t="shared" si="8"/>
        <v>21283866</v>
      </c>
      <c r="L29" s="254"/>
      <c r="M29" s="365"/>
      <c r="S29" s="435"/>
      <c r="T29" s="442"/>
    </row>
    <row r="30" spans="1:20" s="120" customFormat="1" ht="27" customHeight="1">
      <c r="A30" s="2011"/>
      <c r="B30" s="155" t="s">
        <v>3135</v>
      </c>
      <c r="C30" s="155" t="s">
        <v>3245</v>
      </c>
      <c r="D30" s="89" t="s">
        <v>3146</v>
      </c>
      <c r="E30" s="319"/>
      <c r="F30" s="136">
        <v>45881</v>
      </c>
      <c r="G30" s="136"/>
      <c r="H30" s="163">
        <f>VLOOKUP(F30,환율!A:B,2,0)</f>
        <v>1388.3</v>
      </c>
      <c r="I30" s="131">
        <v>539</v>
      </c>
      <c r="J30" s="164">
        <f t="shared" si="7"/>
        <v>748293</v>
      </c>
      <c r="K30" s="164">
        <f t="shared" si="8"/>
        <v>748293</v>
      </c>
      <c r="L30" s="254"/>
      <c r="M30" s="365"/>
      <c r="S30" s="435"/>
      <c r="T30" s="442"/>
    </row>
    <row r="31" spans="1:20" s="120" customFormat="1" ht="27" customHeight="1">
      <c r="A31" s="2011"/>
      <c r="B31" s="155" t="s">
        <v>3137</v>
      </c>
      <c r="C31" s="155" t="s">
        <v>3245</v>
      </c>
      <c r="D31" s="89" t="s">
        <v>3148</v>
      </c>
      <c r="E31" s="319"/>
      <c r="F31" s="136">
        <v>45881</v>
      </c>
      <c r="G31" s="136"/>
      <c r="H31" s="91">
        <f>VLOOKUP(F31,환율!A:B,2,0)</f>
        <v>1388.3</v>
      </c>
      <c r="I31" s="134">
        <v>583</v>
      </c>
      <c r="J31" s="93">
        <f>ROUNDDOWN(I31*H31,0)</f>
        <v>809378</v>
      </c>
      <c r="K31" s="93">
        <f>J31</f>
        <v>809378</v>
      </c>
      <c r="L31" s="254"/>
      <c r="M31" s="365"/>
      <c r="S31" s="435"/>
      <c r="T31" s="442"/>
    </row>
    <row r="32" spans="1:20" s="120" customFormat="1" ht="27" customHeight="1">
      <c r="A32" s="2011"/>
      <c r="B32" s="155" t="s">
        <v>3139</v>
      </c>
      <c r="C32" s="155" t="s">
        <v>3245</v>
      </c>
      <c r="D32" s="89" t="s">
        <v>3150</v>
      </c>
      <c r="E32" s="319"/>
      <c r="F32" s="136">
        <v>45894</v>
      </c>
      <c r="G32" s="136"/>
      <c r="H32" s="91">
        <f>VLOOKUP(F32,환율!A:B,2,0)</f>
        <v>1395.6</v>
      </c>
      <c r="I32" s="134">
        <v>18252</v>
      </c>
      <c r="J32" s="93">
        <f t="shared" ref="J32:J33" si="9">ROUNDDOWN(I32*H32,0)</f>
        <v>25472491</v>
      </c>
      <c r="K32" s="93">
        <f t="shared" ref="K32:K35" si="10">J32</f>
        <v>25472491</v>
      </c>
      <c r="L32" s="254"/>
      <c r="M32" s="365"/>
      <c r="S32" s="435"/>
      <c r="T32" s="442"/>
    </row>
    <row r="33" spans="1:20" s="120" customFormat="1" ht="27" customHeight="1">
      <c r="A33" s="2011"/>
      <c r="B33" s="155" t="s">
        <v>3140</v>
      </c>
      <c r="C33" s="155" t="s">
        <v>3245</v>
      </c>
      <c r="D33" s="89" t="s">
        <v>3151</v>
      </c>
      <c r="E33" s="319"/>
      <c r="F33" s="136">
        <v>45894</v>
      </c>
      <c r="G33" s="136"/>
      <c r="H33" s="91">
        <f>VLOOKUP(F33,환율!A:B,2,0)</f>
        <v>1395.6</v>
      </c>
      <c r="I33" s="134">
        <v>14653.44</v>
      </c>
      <c r="J33" s="93">
        <f t="shared" si="9"/>
        <v>20450340</v>
      </c>
      <c r="K33" s="93">
        <f t="shared" si="10"/>
        <v>20450340</v>
      </c>
      <c r="L33" s="254"/>
      <c r="M33" s="365"/>
      <c r="S33" s="435"/>
      <c r="T33" s="442"/>
    </row>
    <row r="34" spans="1:20" s="120" customFormat="1" ht="27" customHeight="1">
      <c r="A34" s="2011"/>
      <c r="B34" s="155" t="s">
        <v>3152</v>
      </c>
      <c r="C34" s="155" t="s">
        <v>3245</v>
      </c>
      <c r="D34" s="89" t="s">
        <v>3155</v>
      </c>
      <c r="E34" s="319"/>
      <c r="F34" s="136">
        <v>45894</v>
      </c>
      <c r="G34" s="136"/>
      <c r="H34" s="91">
        <f>VLOOKUP(F34,환율!A:B,2,0)</f>
        <v>1395.6</v>
      </c>
      <c r="I34" s="134">
        <v>1855.6</v>
      </c>
      <c r="J34" s="93">
        <f t="shared" ref="J34:J37" si="11">ROUNDDOWN(I34*H34,0)</f>
        <v>2589675</v>
      </c>
      <c r="K34" s="93">
        <f t="shared" si="10"/>
        <v>2589675</v>
      </c>
      <c r="L34" s="254"/>
      <c r="M34" s="365"/>
      <c r="S34" s="435"/>
      <c r="T34" s="442"/>
    </row>
    <row r="35" spans="1:20" s="120" customFormat="1" ht="27" customHeight="1">
      <c r="A35" s="2011"/>
      <c r="B35" s="155" t="s">
        <v>3153</v>
      </c>
      <c r="C35" s="155" t="s">
        <v>3245</v>
      </c>
      <c r="D35" s="89" t="s">
        <v>3156</v>
      </c>
      <c r="E35" s="319"/>
      <c r="F35" s="136">
        <v>45894</v>
      </c>
      <c r="G35" s="136"/>
      <c r="H35" s="91">
        <f>VLOOKUP(F35,환율!A:B,2,0)</f>
        <v>1395.6</v>
      </c>
      <c r="I35" s="134">
        <v>512.4</v>
      </c>
      <c r="J35" s="93">
        <f t="shared" si="11"/>
        <v>715105</v>
      </c>
      <c r="K35" s="93">
        <f t="shared" si="10"/>
        <v>715105</v>
      </c>
      <c r="L35" s="254"/>
      <c r="M35" s="365"/>
      <c r="S35" s="435"/>
      <c r="T35" s="442"/>
    </row>
    <row r="36" spans="1:20" s="120" customFormat="1" ht="27" customHeight="1">
      <c r="A36" s="634"/>
      <c r="B36" s="546" t="s">
        <v>3136</v>
      </c>
      <c r="C36" s="546" t="s">
        <v>3244</v>
      </c>
      <c r="D36" s="547" t="s">
        <v>3147</v>
      </c>
      <c r="E36" s="549"/>
      <c r="F36" s="552">
        <v>45904</v>
      </c>
      <c r="G36" s="552"/>
      <c r="H36" s="528">
        <f>VLOOKUP(F36,환율!A:B,2,0)</f>
        <v>1393.8</v>
      </c>
      <c r="I36" s="554">
        <v>20459.04</v>
      </c>
      <c r="J36" s="530">
        <f t="shared" si="11"/>
        <v>28515809</v>
      </c>
      <c r="K36" s="530"/>
      <c r="L36" s="530">
        <f>J36</f>
        <v>28515809</v>
      </c>
      <c r="M36" s="365"/>
      <c r="S36" s="435"/>
      <c r="T36" s="442"/>
    </row>
    <row r="37" spans="1:20" s="120" customFormat="1" ht="27" customHeight="1">
      <c r="A37" s="634"/>
      <c r="B37" s="546" t="s">
        <v>3138</v>
      </c>
      <c r="C37" s="546" t="s">
        <v>3244</v>
      </c>
      <c r="D37" s="547" t="s">
        <v>3149</v>
      </c>
      <c r="E37" s="549"/>
      <c r="F37" s="552">
        <v>45906</v>
      </c>
      <c r="G37" s="552"/>
      <c r="H37" s="528">
        <f>VLOOKUP(F37,환율!A:B,2,0)</f>
        <v>1392.7</v>
      </c>
      <c r="I37" s="554">
        <v>11550</v>
      </c>
      <c r="J37" s="530">
        <f t="shared" si="11"/>
        <v>16085685</v>
      </c>
      <c r="K37" s="530"/>
      <c r="L37" s="530">
        <f>J37</f>
        <v>16085685</v>
      </c>
      <c r="M37" s="365"/>
      <c r="S37" s="435"/>
      <c r="T37" s="442"/>
    </row>
    <row r="38" spans="1:20" s="120" customFormat="1" ht="27" customHeight="1">
      <c r="A38" s="634"/>
      <c r="B38" s="546" t="s">
        <v>3141</v>
      </c>
      <c r="C38" s="546" t="s">
        <v>3244</v>
      </c>
      <c r="D38" s="547" t="s">
        <v>3154</v>
      </c>
      <c r="E38" s="549"/>
      <c r="F38" s="552">
        <v>45902</v>
      </c>
      <c r="G38" s="552"/>
      <c r="H38" s="528">
        <f>VLOOKUP(F38,환율!A:B,2,0)</f>
        <v>1392.4</v>
      </c>
      <c r="I38" s="554">
        <v>7326.72</v>
      </c>
      <c r="J38" s="530">
        <f t="shared" ref="J38" si="12">ROUNDDOWN(I38*H38,0)</f>
        <v>10201724</v>
      </c>
      <c r="K38" s="530"/>
      <c r="L38" s="530">
        <f>J38</f>
        <v>10201724</v>
      </c>
      <c r="M38" s="365"/>
      <c r="S38" s="435"/>
      <c r="T38" s="442"/>
    </row>
    <row r="39" spans="1:20" s="97" customFormat="1" ht="27" customHeight="1">
      <c r="A39" s="2035" t="s">
        <v>10</v>
      </c>
      <c r="B39" s="2036"/>
      <c r="C39" s="2036"/>
      <c r="D39" s="2036"/>
      <c r="E39" s="2036"/>
      <c r="F39" s="2036"/>
      <c r="G39" s="2036"/>
      <c r="H39" s="2037"/>
      <c r="I39" s="127">
        <f>SUM(I21:I38)</f>
        <v>293573.56</v>
      </c>
      <c r="J39" s="116">
        <f>SUM(J21:J38)</f>
        <v>408597609</v>
      </c>
      <c r="K39" s="116">
        <f t="shared" ref="K39:L39" si="13">SUM(K21:K38)</f>
        <v>353794391</v>
      </c>
      <c r="L39" s="116">
        <f t="shared" si="13"/>
        <v>54803218</v>
      </c>
      <c r="M39" s="364"/>
      <c r="N39" s="434"/>
      <c r="O39" s="434"/>
      <c r="P39" s="434"/>
      <c r="Q39" s="434"/>
      <c r="R39" s="434"/>
      <c r="S39" s="434"/>
      <c r="T39" s="441"/>
    </row>
    <row r="40" spans="1:20" s="97" customFormat="1" ht="27" customHeight="1">
      <c r="A40" s="2010" t="s">
        <v>3100</v>
      </c>
      <c r="B40" s="510" t="s">
        <v>3003</v>
      </c>
      <c r="C40" s="561" t="s">
        <v>3244</v>
      </c>
      <c r="D40" s="460" t="s">
        <v>3023</v>
      </c>
      <c r="E40" s="460"/>
      <c r="F40" s="465">
        <v>45882</v>
      </c>
      <c r="G40" s="465"/>
      <c r="H40" s="456">
        <f>VLOOKUP(F40,환율!A:B,2,0)</f>
        <v>1390.2</v>
      </c>
      <c r="I40" s="462">
        <v>170643.92</v>
      </c>
      <c r="J40" s="458">
        <f t="shared" ref="J40:J41" si="14">ROUNDDOWN(I40*H40,0)</f>
        <v>237229177</v>
      </c>
      <c r="K40" s="458">
        <f>J40</f>
        <v>237229177</v>
      </c>
      <c r="L40" s="464"/>
      <c r="M40" s="364"/>
      <c r="S40" s="434"/>
      <c r="T40" s="441"/>
    </row>
    <row r="41" spans="1:20" s="97" customFormat="1" ht="27" customHeight="1">
      <c r="A41" s="2011"/>
      <c r="B41" s="510" t="s">
        <v>3212</v>
      </c>
      <c r="C41" s="561" t="s">
        <v>3244</v>
      </c>
      <c r="D41" s="460" t="s">
        <v>3241</v>
      </c>
      <c r="E41" s="460"/>
      <c r="F41" s="465">
        <v>45876</v>
      </c>
      <c r="G41" s="465"/>
      <c r="H41" s="456">
        <f>VLOOKUP(F41,환율!A:B,2,0)</f>
        <v>1389.5</v>
      </c>
      <c r="I41" s="462">
        <v>14544</v>
      </c>
      <c r="J41" s="458">
        <f t="shared" si="14"/>
        <v>20208888</v>
      </c>
      <c r="K41" s="458">
        <f>J41</f>
        <v>20208888</v>
      </c>
      <c r="L41" s="464"/>
      <c r="M41" s="364"/>
      <c r="S41" s="434"/>
      <c r="T41" s="441"/>
    </row>
    <row r="42" spans="1:20" s="97" customFormat="1" ht="27" customHeight="1">
      <c r="A42" s="2011"/>
      <c r="B42" s="513" t="s">
        <v>3157</v>
      </c>
      <c r="C42" s="563" t="s">
        <v>3244</v>
      </c>
      <c r="D42" s="129" t="s">
        <v>3171</v>
      </c>
      <c r="E42" s="129"/>
      <c r="F42" s="90">
        <v>45886</v>
      </c>
      <c r="G42" s="90"/>
      <c r="H42" s="91">
        <f>VLOOKUP(F42,환율!A:B,2,0)</f>
        <v>1383.8</v>
      </c>
      <c r="I42" s="134">
        <v>119610.5</v>
      </c>
      <c r="J42" s="93">
        <f t="shared" ref="J42:J55" si="15">ROUNDDOWN(I42*H42,0)</f>
        <v>165517009</v>
      </c>
      <c r="K42" s="93">
        <f t="shared" ref="K42:K47" si="16">J42</f>
        <v>165517009</v>
      </c>
      <c r="L42" s="254"/>
      <c r="M42" s="364"/>
      <c r="S42" s="434"/>
      <c r="T42" s="441"/>
    </row>
    <row r="43" spans="1:20" s="97" customFormat="1" ht="27" customHeight="1">
      <c r="A43" s="2011"/>
      <c r="B43" s="513" t="s">
        <v>3158</v>
      </c>
      <c r="C43" s="563" t="s">
        <v>3244</v>
      </c>
      <c r="D43" s="129" t="s">
        <v>3172</v>
      </c>
      <c r="E43" s="129"/>
      <c r="F43" s="90">
        <v>45892</v>
      </c>
      <c r="G43" s="90"/>
      <c r="H43" s="91">
        <f>VLOOKUP(F43,환율!A:B,2,0)</f>
        <v>1398.1</v>
      </c>
      <c r="I43" s="134">
        <v>48434.400000000001</v>
      </c>
      <c r="J43" s="93">
        <f t="shared" si="15"/>
        <v>67716134</v>
      </c>
      <c r="K43" s="93">
        <f t="shared" si="16"/>
        <v>67716134</v>
      </c>
      <c r="L43" s="254"/>
      <c r="M43" s="364"/>
      <c r="S43" s="434"/>
      <c r="T43" s="441"/>
    </row>
    <row r="44" spans="1:20" s="97" customFormat="1" ht="27" customHeight="1">
      <c r="A44" s="2011"/>
      <c r="B44" s="513" t="s">
        <v>3159</v>
      </c>
      <c r="C44" s="563" t="s">
        <v>3244</v>
      </c>
      <c r="D44" s="129" t="s">
        <v>3173</v>
      </c>
      <c r="E44" s="129"/>
      <c r="F44" s="90">
        <v>45895</v>
      </c>
      <c r="G44" s="90"/>
      <c r="H44" s="91">
        <f>VLOOKUP(F44,환율!A:B,2,0)</f>
        <v>1386.3</v>
      </c>
      <c r="I44" s="134">
        <v>4214.3999999999996</v>
      </c>
      <c r="J44" s="93">
        <f t="shared" si="15"/>
        <v>5842422</v>
      </c>
      <c r="K44" s="93">
        <f t="shared" si="16"/>
        <v>5842422</v>
      </c>
      <c r="L44" s="254"/>
      <c r="M44" s="364"/>
      <c r="S44" s="434"/>
      <c r="T44" s="441"/>
    </row>
    <row r="45" spans="1:20" s="126" customFormat="1" ht="27" customHeight="1">
      <c r="A45" s="2011"/>
      <c r="B45" s="513" t="s">
        <v>3160</v>
      </c>
      <c r="C45" s="620" t="s">
        <v>3244</v>
      </c>
      <c r="D45" s="129" t="s">
        <v>3174</v>
      </c>
      <c r="E45" s="129"/>
      <c r="F45" s="90">
        <v>45898</v>
      </c>
      <c r="G45" s="90"/>
      <c r="H45" s="91">
        <f>VLOOKUP(F45,환율!A:B,2,0)</f>
        <v>1388.6</v>
      </c>
      <c r="I45" s="134">
        <v>138390</v>
      </c>
      <c r="J45" s="93">
        <f t="shared" si="15"/>
        <v>192168354</v>
      </c>
      <c r="K45" s="93">
        <f t="shared" si="16"/>
        <v>192168354</v>
      </c>
      <c r="L45" s="254"/>
      <c r="M45" s="401"/>
      <c r="N45" s="97"/>
      <c r="O45" s="97"/>
      <c r="P45" s="97"/>
      <c r="Q45" s="97"/>
      <c r="R45" s="97"/>
      <c r="S45" s="436"/>
      <c r="T45" s="443"/>
    </row>
    <row r="46" spans="1:20" s="126" customFormat="1" ht="27" customHeight="1">
      <c r="A46" s="2011"/>
      <c r="B46" s="513" t="s">
        <v>3161</v>
      </c>
      <c r="C46" s="563" t="s">
        <v>3244</v>
      </c>
      <c r="D46" s="129" t="s">
        <v>3175</v>
      </c>
      <c r="E46" s="129"/>
      <c r="F46" s="136">
        <v>45900</v>
      </c>
      <c r="G46" s="136"/>
      <c r="H46" s="91">
        <f>VLOOKUP(F46,환율!A:B,2,0)</f>
        <v>1388.6</v>
      </c>
      <c r="I46" s="134">
        <v>9619.2000000000007</v>
      </c>
      <c r="J46" s="93">
        <f t="shared" si="15"/>
        <v>13357221</v>
      </c>
      <c r="K46" s="93">
        <f t="shared" si="16"/>
        <v>13357221</v>
      </c>
      <c r="L46" s="254"/>
      <c r="M46" s="401"/>
      <c r="N46" s="97"/>
      <c r="O46" s="97"/>
      <c r="P46" s="97"/>
      <c r="Q46" s="97"/>
      <c r="R46" s="97"/>
      <c r="S46" s="436"/>
      <c r="T46" s="443"/>
    </row>
    <row r="47" spans="1:20" s="126" customFormat="1" ht="27" customHeight="1">
      <c r="A47" s="2011"/>
      <c r="B47" s="513" t="s">
        <v>3162</v>
      </c>
      <c r="C47" s="563" t="s">
        <v>3244</v>
      </c>
      <c r="D47" s="129" t="s">
        <v>3176</v>
      </c>
      <c r="E47" s="129"/>
      <c r="F47" s="136">
        <v>45897</v>
      </c>
      <c r="G47" s="136"/>
      <c r="H47" s="91">
        <f>VLOOKUP(F47,환율!A:B,2,0)</f>
        <v>1395.7</v>
      </c>
      <c r="I47" s="134">
        <v>43444.800000000003</v>
      </c>
      <c r="J47" s="93">
        <f t="shared" si="15"/>
        <v>60635907</v>
      </c>
      <c r="K47" s="93">
        <f t="shared" si="16"/>
        <v>60635907</v>
      </c>
      <c r="L47" s="254"/>
      <c r="M47" s="401"/>
      <c r="N47" s="97"/>
      <c r="O47" s="97"/>
      <c r="P47" s="97"/>
      <c r="Q47" s="97"/>
      <c r="R47" s="97"/>
      <c r="S47" s="436"/>
      <c r="T47" s="443"/>
    </row>
    <row r="48" spans="1:20" s="126" customFormat="1" ht="27" customHeight="1">
      <c r="A48" s="2011"/>
      <c r="B48" s="556" t="s">
        <v>3163</v>
      </c>
      <c r="C48" s="564" t="s">
        <v>3244</v>
      </c>
      <c r="D48" s="557" t="s">
        <v>3177</v>
      </c>
      <c r="E48" s="557"/>
      <c r="F48" s="550">
        <v>45904</v>
      </c>
      <c r="G48" s="527"/>
      <c r="H48" s="528">
        <f>VLOOKUP(F48,환율!A:B,2,0)</f>
        <v>1393.8</v>
      </c>
      <c r="I48" s="551">
        <v>86031.039999999994</v>
      </c>
      <c r="J48" s="530">
        <f t="shared" si="15"/>
        <v>119910063</v>
      </c>
      <c r="K48" s="530"/>
      <c r="L48" s="548">
        <f>J48</f>
        <v>119910063</v>
      </c>
      <c r="M48" s="401"/>
      <c r="N48" s="97"/>
      <c r="O48" s="97"/>
      <c r="P48" s="97"/>
      <c r="Q48" s="97"/>
      <c r="R48" s="97"/>
      <c r="S48" s="436"/>
      <c r="T48" s="443"/>
    </row>
    <row r="49" spans="1:20" s="126" customFormat="1" ht="27" customHeight="1">
      <c r="A49" s="2011"/>
      <c r="B49" s="556" t="s">
        <v>3164</v>
      </c>
      <c r="C49" s="564" t="s">
        <v>3244</v>
      </c>
      <c r="D49" s="557" t="s">
        <v>3178</v>
      </c>
      <c r="E49" s="557"/>
      <c r="F49" s="527">
        <v>45902</v>
      </c>
      <c r="G49" s="527"/>
      <c r="H49" s="528">
        <f>VLOOKUP(F49,환율!A:B,2,0)</f>
        <v>1392.4</v>
      </c>
      <c r="I49" s="551">
        <v>77109.2</v>
      </c>
      <c r="J49" s="530">
        <f t="shared" si="15"/>
        <v>107366850</v>
      </c>
      <c r="K49" s="530"/>
      <c r="L49" s="548">
        <f>J49</f>
        <v>107366850</v>
      </c>
      <c r="M49" s="364"/>
      <c r="N49" s="97"/>
      <c r="O49" s="97"/>
      <c r="P49" s="97"/>
      <c r="Q49" s="97"/>
      <c r="R49" s="97"/>
      <c r="S49" s="436"/>
      <c r="T49" s="443"/>
    </row>
    <row r="50" spans="1:20" s="126" customFormat="1" ht="27" customHeight="1">
      <c r="A50" s="2011"/>
      <c r="B50" s="556" t="s">
        <v>3165</v>
      </c>
      <c r="C50" s="564" t="s">
        <v>3244</v>
      </c>
      <c r="D50" s="557" t="s">
        <v>3179</v>
      </c>
      <c r="E50" s="557"/>
      <c r="F50" s="527">
        <v>45904</v>
      </c>
      <c r="G50" s="527"/>
      <c r="H50" s="528">
        <f>VLOOKUP(F50,환율!A:B,2,0)</f>
        <v>1393.8</v>
      </c>
      <c r="I50" s="551">
        <v>5567.04</v>
      </c>
      <c r="J50" s="530">
        <f t="shared" si="15"/>
        <v>7759340</v>
      </c>
      <c r="K50" s="530"/>
      <c r="L50" s="548">
        <f>J50</f>
        <v>7759340</v>
      </c>
      <c r="M50" s="364"/>
      <c r="N50" s="97"/>
      <c r="O50" s="97"/>
      <c r="P50" s="97"/>
      <c r="Q50" s="97"/>
      <c r="R50" s="97"/>
      <c r="S50" s="436"/>
      <c r="T50" s="443"/>
    </row>
    <row r="51" spans="1:20" s="126" customFormat="1" ht="27" customHeight="1">
      <c r="A51" s="2011"/>
      <c r="B51" s="556" t="s">
        <v>3166</v>
      </c>
      <c r="C51" s="564" t="s">
        <v>3244</v>
      </c>
      <c r="D51" s="557" t="s">
        <v>3237</v>
      </c>
      <c r="E51" s="557"/>
      <c r="F51" s="527">
        <v>45904</v>
      </c>
      <c r="G51" s="527"/>
      <c r="H51" s="528">
        <f>VLOOKUP(F51,환율!A:B,2,0)</f>
        <v>1393.8</v>
      </c>
      <c r="I51" s="551">
        <v>50341.14</v>
      </c>
      <c r="J51" s="530">
        <f t="shared" si="15"/>
        <v>70165480</v>
      </c>
      <c r="K51" s="530"/>
      <c r="L51" s="548">
        <f>J51</f>
        <v>70165480</v>
      </c>
      <c r="M51" s="364"/>
      <c r="N51" s="97"/>
      <c r="O51" s="97"/>
      <c r="P51" s="97"/>
      <c r="Q51" s="97"/>
      <c r="R51" s="97"/>
      <c r="S51" s="436"/>
      <c r="T51" s="443"/>
    </row>
    <row r="52" spans="1:20" s="126" customFormat="1" ht="27" customHeight="1">
      <c r="A52" s="2011"/>
      <c r="B52" s="556" t="s">
        <v>3167</v>
      </c>
      <c r="C52" s="564" t="s">
        <v>3244</v>
      </c>
      <c r="D52" s="557" t="s">
        <v>3238</v>
      </c>
      <c r="E52" s="557"/>
      <c r="F52" s="527">
        <v>45904</v>
      </c>
      <c r="G52" s="527"/>
      <c r="H52" s="528">
        <f>VLOOKUP(F52,환율!A:B,2,0)</f>
        <v>1393.8</v>
      </c>
      <c r="I52" s="551">
        <v>2364</v>
      </c>
      <c r="J52" s="530">
        <f t="shared" si="15"/>
        <v>3294943</v>
      </c>
      <c r="K52" s="530"/>
      <c r="L52" s="548">
        <f t="shared" ref="L52:L55" si="17">J52</f>
        <v>3294943</v>
      </c>
      <c r="M52" s="364"/>
      <c r="N52" s="97"/>
      <c r="O52" s="97"/>
      <c r="P52" s="97"/>
      <c r="Q52" s="97"/>
      <c r="R52" s="97"/>
      <c r="S52" s="436"/>
      <c r="T52" s="443"/>
    </row>
    <row r="53" spans="1:20" s="126" customFormat="1" ht="27" customHeight="1">
      <c r="A53" s="2011"/>
      <c r="B53" s="556" t="s">
        <v>3168</v>
      </c>
      <c r="C53" s="564" t="s">
        <v>3244</v>
      </c>
      <c r="D53" s="557" t="s">
        <v>3211</v>
      </c>
      <c r="E53" s="557"/>
      <c r="F53" s="550">
        <v>45910</v>
      </c>
      <c r="G53" s="550"/>
      <c r="H53" s="528">
        <f>VLOOKUP(F53,환율!A:B,2,0)</f>
        <v>1386.6</v>
      </c>
      <c r="I53" s="551">
        <v>3295.96</v>
      </c>
      <c r="J53" s="530">
        <f t="shared" si="15"/>
        <v>4570178</v>
      </c>
      <c r="K53" s="530"/>
      <c r="L53" s="548">
        <f t="shared" si="17"/>
        <v>4570178</v>
      </c>
      <c r="M53" s="364"/>
      <c r="N53" s="97"/>
      <c r="O53" s="97"/>
      <c r="P53" s="97"/>
      <c r="Q53" s="97"/>
      <c r="R53" s="97"/>
      <c r="S53" s="436"/>
      <c r="T53" s="443"/>
    </row>
    <row r="54" spans="1:20" s="126" customFormat="1" ht="27" customHeight="1">
      <c r="A54" s="2011"/>
      <c r="B54" s="556" t="s">
        <v>3169</v>
      </c>
      <c r="C54" s="564" t="s">
        <v>3244</v>
      </c>
      <c r="D54" s="557" t="s">
        <v>3239</v>
      </c>
      <c r="E54" s="557"/>
      <c r="F54" s="527">
        <v>45904</v>
      </c>
      <c r="G54" s="527"/>
      <c r="H54" s="528">
        <f>VLOOKUP(F54,환율!A:B,2,0)</f>
        <v>1393.8</v>
      </c>
      <c r="I54" s="551">
        <v>128650.68</v>
      </c>
      <c r="J54" s="530">
        <f t="shared" si="15"/>
        <v>179313317</v>
      </c>
      <c r="K54" s="530"/>
      <c r="L54" s="548">
        <f t="shared" si="17"/>
        <v>179313317</v>
      </c>
      <c r="M54" s="364"/>
      <c r="N54" s="97"/>
      <c r="O54" s="97"/>
      <c r="P54" s="97"/>
      <c r="Q54" s="97"/>
      <c r="R54" s="97"/>
      <c r="S54" s="436"/>
      <c r="T54" s="443"/>
    </row>
    <row r="55" spans="1:20" s="126" customFormat="1" ht="27" customHeight="1">
      <c r="A55" s="2019"/>
      <c r="B55" s="556" t="s">
        <v>3170</v>
      </c>
      <c r="C55" s="564" t="s">
        <v>3244</v>
      </c>
      <c r="D55" s="557" t="s">
        <v>3240</v>
      </c>
      <c r="E55" s="557"/>
      <c r="F55" s="527">
        <v>45910</v>
      </c>
      <c r="G55" s="527"/>
      <c r="H55" s="528">
        <f>VLOOKUP(F55,환율!A:B,2,0)</f>
        <v>1386.6</v>
      </c>
      <c r="I55" s="551">
        <v>17701.599999999999</v>
      </c>
      <c r="J55" s="530">
        <f t="shared" si="15"/>
        <v>24545038</v>
      </c>
      <c r="K55" s="530"/>
      <c r="L55" s="548">
        <f t="shared" si="17"/>
        <v>24545038</v>
      </c>
      <c r="M55" s="364"/>
      <c r="N55" s="97"/>
      <c r="O55" s="97"/>
      <c r="P55" s="97"/>
      <c r="Q55" s="97"/>
      <c r="R55" s="97"/>
      <c r="S55" s="436"/>
      <c r="T55" s="443"/>
    </row>
    <row r="56" spans="1:20" s="97" customFormat="1" ht="27" customHeight="1">
      <c r="A56" s="2035" t="s">
        <v>10</v>
      </c>
      <c r="B56" s="2036"/>
      <c r="C56" s="2036"/>
      <c r="D56" s="2036"/>
      <c r="E56" s="2036"/>
      <c r="F56" s="2036"/>
      <c r="G56" s="2036"/>
      <c r="H56" s="2037"/>
      <c r="I56" s="127">
        <f>SUM(I40:I55)</f>
        <v>919961.88</v>
      </c>
      <c r="J56" s="116">
        <f>SUM(J40:J55)</f>
        <v>1279600321</v>
      </c>
      <c r="K56" s="116">
        <f>SUM(K40:K55)</f>
        <v>762675112</v>
      </c>
      <c r="L56" s="260">
        <f>SUM(L40:L55)</f>
        <v>516925209</v>
      </c>
      <c r="M56" s="364"/>
      <c r="N56" s="434"/>
      <c r="O56" s="434"/>
      <c r="P56" s="434"/>
      <c r="Q56" s="434"/>
      <c r="R56" s="434"/>
      <c r="S56" s="434"/>
      <c r="T56" s="441"/>
    </row>
    <row r="57" spans="1:20" s="97" customFormat="1" ht="27" customHeight="1">
      <c r="A57" s="2010" t="s">
        <v>3101</v>
      </c>
      <c r="B57" s="513" t="s">
        <v>3180</v>
      </c>
      <c r="C57" s="513" t="s">
        <v>3245</v>
      </c>
      <c r="D57" s="513" t="s">
        <v>3182</v>
      </c>
      <c r="E57" s="89"/>
      <c r="F57" s="89">
        <v>45881</v>
      </c>
      <c r="G57" s="89"/>
      <c r="H57" s="91">
        <f>VLOOKUP(F57,환율!A:B,2,0)</f>
        <v>1388.3</v>
      </c>
      <c r="I57" s="92">
        <v>63606.239999999998</v>
      </c>
      <c r="J57" s="93">
        <f t="shared" ref="J57:J58" si="18">ROUNDDOWN(I57*H57,0)</f>
        <v>88304542</v>
      </c>
      <c r="K57" s="93">
        <f>J57</f>
        <v>88304542</v>
      </c>
      <c r="L57" s="254"/>
      <c r="M57" s="364"/>
      <c r="S57" s="434"/>
      <c r="T57" s="441"/>
    </row>
    <row r="58" spans="1:20" s="97" customFormat="1" ht="27" customHeight="1">
      <c r="A58" s="2019"/>
      <c r="B58" s="513" t="s">
        <v>3181</v>
      </c>
      <c r="C58" s="513" t="s">
        <v>3245</v>
      </c>
      <c r="D58" s="513" t="s">
        <v>3183</v>
      </c>
      <c r="E58" s="89"/>
      <c r="F58" s="89">
        <v>45893</v>
      </c>
      <c r="G58" s="89"/>
      <c r="H58" s="91">
        <f>VLOOKUP(F58,환율!A:B,2,0)</f>
        <v>1398.1</v>
      </c>
      <c r="I58" s="92">
        <v>112738.32</v>
      </c>
      <c r="J58" s="93">
        <f t="shared" si="18"/>
        <v>157619445</v>
      </c>
      <c r="K58" s="93">
        <f>J58</f>
        <v>157619445</v>
      </c>
      <c r="L58" s="254"/>
      <c r="M58" s="364"/>
      <c r="S58" s="434"/>
      <c r="T58" s="441"/>
    </row>
    <row r="59" spans="1:20" s="97" customFormat="1" ht="27" customHeight="1">
      <c r="A59" s="2035" t="s">
        <v>10</v>
      </c>
      <c r="B59" s="2036"/>
      <c r="C59" s="2036"/>
      <c r="D59" s="2036"/>
      <c r="E59" s="2036"/>
      <c r="F59" s="2036"/>
      <c r="G59" s="2036"/>
      <c r="H59" s="2037"/>
      <c r="I59" s="127">
        <f>SUM(I57:I58)</f>
        <v>176344.56</v>
      </c>
      <c r="J59" s="116">
        <f>SUM(J57:J58)</f>
        <v>245923987</v>
      </c>
      <c r="K59" s="116">
        <f>SUM(K57:K58)</f>
        <v>245923987</v>
      </c>
      <c r="L59" s="260">
        <f>SUM(L57:L58)</f>
        <v>0</v>
      </c>
      <c r="M59" s="364"/>
      <c r="N59" s="434"/>
      <c r="O59" s="434"/>
      <c r="P59" s="434"/>
      <c r="Q59" s="434"/>
      <c r="R59" s="434"/>
      <c r="S59" s="434"/>
      <c r="T59" s="441"/>
    </row>
    <row r="60" spans="1:20" s="97" customFormat="1" ht="27" customHeight="1">
      <c r="A60" s="2010" t="s">
        <v>3102</v>
      </c>
      <c r="B60" s="510" t="s">
        <v>3038</v>
      </c>
      <c r="C60" s="619" t="s">
        <v>3245</v>
      </c>
      <c r="D60" s="460" t="s">
        <v>3121</v>
      </c>
      <c r="E60" s="460"/>
      <c r="F60" s="455">
        <v>45870</v>
      </c>
      <c r="G60" s="455"/>
      <c r="H60" s="456">
        <f>VLOOKUP(F60,환율!A:B,2,0)</f>
        <v>1390.4</v>
      </c>
      <c r="I60" s="462"/>
      <c r="J60" s="458">
        <v>12398138</v>
      </c>
      <c r="K60" s="458">
        <f>J60</f>
        <v>12398138</v>
      </c>
      <c r="L60" s="464"/>
      <c r="M60" s="401"/>
      <c r="S60" s="434"/>
      <c r="T60" s="441"/>
    </row>
    <row r="61" spans="1:20" s="97" customFormat="1" ht="27" customHeight="1">
      <c r="A61" s="2011"/>
      <c r="B61" s="510" t="s">
        <v>3122</v>
      </c>
      <c r="C61" s="619" t="s">
        <v>3245</v>
      </c>
      <c r="D61" s="460" t="s">
        <v>3256</v>
      </c>
      <c r="E61" s="460"/>
      <c r="F61" s="455">
        <v>45886</v>
      </c>
      <c r="G61" s="455"/>
      <c r="H61" s="456">
        <f>VLOOKUP(F61,환율!A:B,2,0)</f>
        <v>1383.8</v>
      </c>
      <c r="I61" s="462"/>
      <c r="J61" s="458">
        <v>39642825</v>
      </c>
      <c r="K61" s="458">
        <f>J61</f>
        <v>39642825</v>
      </c>
      <c r="L61" s="464"/>
      <c r="M61" s="401"/>
      <c r="S61" s="434"/>
      <c r="T61" s="441"/>
    </row>
    <row r="62" spans="1:20" s="97" customFormat="1" ht="27" customHeight="1">
      <c r="A62" s="2011"/>
      <c r="B62" s="174" t="s">
        <v>3209</v>
      </c>
      <c r="C62" s="174" t="s">
        <v>3246</v>
      </c>
      <c r="D62" s="174" t="s">
        <v>3242</v>
      </c>
      <c r="E62" s="146"/>
      <c r="F62" s="89">
        <v>45898</v>
      </c>
      <c r="G62" s="89"/>
      <c r="H62" s="91">
        <f>VLOOKUP(F62,환율!A:B,2,0)</f>
        <v>1388.6</v>
      </c>
      <c r="I62" s="92"/>
      <c r="J62" s="93">
        <v>28780149</v>
      </c>
      <c r="K62" s="93">
        <f t="shared" ref="K62" si="19">J62</f>
        <v>28780149</v>
      </c>
      <c r="L62" s="254"/>
      <c r="M62" s="401"/>
      <c r="S62" s="434"/>
      <c r="T62" s="441"/>
    </row>
    <row r="63" spans="1:20" s="97" customFormat="1" ht="27" customHeight="1">
      <c r="A63" s="2019"/>
      <c r="B63" s="524" t="s">
        <v>3210</v>
      </c>
      <c r="C63" s="524" t="s">
        <v>3244</v>
      </c>
      <c r="D63" s="524" t="s">
        <v>3236</v>
      </c>
      <c r="E63" s="552"/>
      <c r="F63" s="547">
        <v>45907</v>
      </c>
      <c r="G63" s="547"/>
      <c r="H63" s="528">
        <f>VLOOKUP(F63,환율!A:B,2,0)</f>
        <v>1392.7</v>
      </c>
      <c r="I63" s="529"/>
      <c r="J63" s="530">
        <v>70732349</v>
      </c>
      <c r="K63" s="530"/>
      <c r="L63" s="548">
        <f>J63</f>
        <v>70732349</v>
      </c>
      <c r="M63" s="401"/>
      <c r="S63" s="434"/>
      <c r="T63" s="441"/>
    </row>
    <row r="64" spans="1:20" s="97" customFormat="1" ht="27" customHeight="1">
      <c r="A64" s="2035" t="s">
        <v>10</v>
      </c>
      <c r="B64" s="2036"/>
      <c r="C64" s="2036"/>
      <c r="D64" s="2036"/>
      <c r="E64" s="2036"/>
      <c r="F64" s="2036"/>
      <c r="G64" s="2036"/>
      <c r="H64" s="2037"/>
      <c r="I64" s="127">
        <f>SUM(I60:I60)</f>
        <v>0</v>
      </c>
      <c r="J64" s="116">
        <f>SUM(J60:J63)</f>
        <v>151553461</v>
      </c>
      <c r="K64" s="116">
        <f>SUM(K60:K63)</f>
        <v>80821112</v>
      </c>
      <c r="L64" s="260">
        <f>SUM(L60:L63)</f>
        <v>70732349</v>
      </c>
      <c r="M64" s="364"/>
      <c r="N64" s="434"/>
      <c r="O64" s="434"/>
      <c r="P64" s="434"/>
      <c r="R64" s="434"/>
      <c r="S64" s="434"/>
      <c r="T64" s="441"/>
    </row>
    <row r="65" spans="1:20" s="97" customFormat="1" ht="38.4">
      <c r="A65" s="362" t="s">
        <v>3103</v>
      </c>
      <c r="B65" s="635" t="s">
        <v>3231</v>
      </c>
      <c r="C65" s="620" t="s">
        <v>3244</v>
      </c>
      <c r="D65" s="129" t="s">
        <v>3231</v>
      </c>
      <c r="E65" s="129"/>
      <c r="F65" s="90" t="s">
        <v>3231</v>
      </c>
      <c r="G65" s="90"/>
      <c r="H65" s="91">
        <f>VLOOKUP(F65,환율!A:B,2,0)</f>
        <v>0</v>
      </c>
      <c r="I65" s="134"/>
      <c r="J65" s="93">
        <f>ROUNDDOWN(I65*H65,0)</f>
        <v>0</v>
      </c>
      <c r="K65" s="93">
        <f>J65</f>
        <v>0</v>
      </c>
      <c r="L65" s="254"/>
      <c r="M65" s="364"/>
      <c r="N65" s="434"/>
      <c r="O65" s="434"/>
      <c r="P65" s="434"/>
      <c r="R65" s="434"/>
      <c r="S65" s="434"/>
      <c r="T65" s="441"/>
    </row>
    <row r="66" spans="1:20" s="97" customFormat="1" ht="27" customHeight="1">
      <c r="A66" s="2035" t="s">
        <v>10</v>
      </c>
      <c r="B66" s="2036"/>
      <c r="C66" s="2036"/>
      <c r="D66" s="2036"/>
      <c r="E66" s="2036"/>
      <c r="F66" s="2036"/>
      <c r="G66" s="2036"/>
      <c r="H66" s="2037"/>
      <c r="I66" s="127">
        <f>SUM(I65:I65)</f>
        <v>0</v>
      </c>
      <c r="J66" s="116">
        <f>SUM(J65:J65)</f>
        <v>0</v>
      </c>
      <c r="K66" s="116">
        <f>SUM(K65:K65)</f>
        <v>0</v>
      </c>
      <c r="L66" s="260">
        <f>SUM(L65:L65)</f>
        <v>0</v>
      </c>
      <c r="M66" s="364"/>
      <c r="N66" s="434"/>
      <c r="O66" s="434"/>
      <c r="P66" s="434"/>
      <c r="R66" s="434"/>
      <c r="S66" s="434"/>
      <c r="T66" s="441"/>
    </row>
    <row r="67" spans="1:20" s="97" customFormat="1" ht="37.5" customHeight="1">
      <c r="A67" s="261" t="s">
        <v>3104</v>
      </c>
      <c r="B67" s="513" t="s">
        <v>3184</v>
      </c>
      <c r="C67" s="620" t="s">
        <v>3246</v>
      </c>
      <c r="D67" s="129" t="s">
        <v>3185</v>
      </c>
      <c r="E67" s="129"/>
      <c r="F67" s="90">
        <v>45895</v>
      </c>
      <c r="G67" s="90"/>
      <c r="H67" s="91">
        <f>VLOOKUP(F67,환율!A:B,2,0)</f>
        <v>1386.3</v>
      </c>
      <c r="I67" s="134">
        <v>5815</v>
      </c>
      <c r="J67" s="93">
        <f t="shared" ref="J67" si="20">ROUNDDOWN(I67*H67,0)</f>
        <v>8061334</v>
      </c>
      <c r="K67" s="93">
        <f t="shared" ref="K67" si="21">J67</f>
        <v>8061334</v>
      </c>
      <c r="L67" s="254"/>
      <c r="M67" s="401"/>
      <c r="S67" s="434"/>
      <c r="T67" s="441"/>
    </row>
    <row r="68" spans="1:20" s="97" customFormat="1" ht="27" customHeight="1">
      <c r="A68" s="2035" t="s">
        <v>10</v>
      </c>
      <c r="B68" s="2036"/>
      <c r="C68" s="2036"/>
      <c r="D68" s="2036"/>
      <c r="E68" s="2036"/>
      <c r="F68" s="2036"/>
      <c r="G68" s="2036"/>
      <c r="H68" s="2037"/>
      <c r="I68" s="127">
        <f>SUM(I67:I67)</f>
        <v>5815</v>
      </c>
      <c r="J68" s="116">
        <f>SUM(J67:J67)</f>
        <v>8061334</v>
      </c>
      <c r="K68" s="116">
        <f>SUM(K67:K67)</f>
        <v>8061334</v>
      </c>
      <c r="L68" s="260">
        <f>SUM(L67:L67)</f>
        <v>0</v>
      </c>
      <c r="M68" s="364"/>
      <c r="N68" s="434"/>
      <c r="O68" s="434"/>
      <c r="P68" s="434"/>
      <c r="R68" s="434"/>
      <c r="S68" s="434"/>
      <c r="T68" s="441"/>
    </row>
    <row r="69" spans="1:20" s="97" customFormat="1" ht="27" customHeight="1">
      <c r="A69" s="2010" t="s">
        <v>3208</v>
      </c>
      <c r="B69" s="174" t="s">
        <v>3186</v>
      </c>
      <c r="C69" s="173" t="s">
        <v>3247</v>
      </c>
      <c r="D69" s="173" t="s">
        <v>3191</v>
      </c>
      <c r="E69" s="288"/>
      <c r="F69" s="136">
        <v>45875</v>
      </c>
      <c r="G69" s="222"/>
      <c r="H69" s="91">
        <f>VLOOKUP(F69,환율!A:B,2,0)</f>
        <v>1386.7</v>
      </c>
      <c r="I69" s="92">
        <v>591.08000000000004</v>
      </c>
      <c r="J69" s="93">
        <f t="shared" ref="J69:J71" si="22">ROUNDDOWN(I69*H69,0)</f>
        <v>819650</v>
      </c>
      <c r="K69" s="93">
        <f t="shared" ref="K69:K71" si="23">J69</f>
        <v>819650</v>
      </c>
      <c r="L69" s="254"/>
      <c r="M69" s="364"/>
      <c r="S69" s="434"/>
      <c r="T69" s="441"/>
    </row>
    <row r="70" spans="1:20" s="97" customFormat="1" ht="27" customHeight="1">
      <c r="A70" s="2011"/>
      <c r="B70" s="174" t="s">
        <v>3187</v>
      </c>
      <c r="C70" s="173" t="s">
        <v>3247</v>
      </c>
      <c r="D70" s="173" t="s">
        <v>3190</v>
      </c>
      <c r="E70" s="288"/>
      <c r="F70" s="136">
        <v>45878</v>
      </c>
      <c r="G70" s="222"/>
      <c r="H70" s="91">
        <f>VLOOKUP(F70,환율!A:B,2,0)</f>
        <v>1384.2</v>
      </c>
      <c r="I70" s="118">
        <v>3282.2</v>
      </c>
      <c r="J70" s="93">
        <f t="shared" si="22"/>
        <v>4543221</v>
      </c>
      <c r="K70" s="93">
        <f t="shared" si="23"/>
        <v>4543221</v>
      </c>
      <c r="L70" s="255"/>
      <c r="M70" s="403"/>
      <c r="S70" s="434"/>
      <c r="T70" s="441"/>
    </row>
    <row r="71" spans="1:20" s="97" customFormat="1" ht="27" customHeight="1">
      <c r="A71" s="2011"/>
      <c r="B71" s="174" t="s">
        <v>3188</v>
      </c>
      <c r="C71" s="173" t="s">
        <v>3247</v>
      </c>
      <c r="D71" s="173" t="s">
        <v>3192</v>
      </c>
      <c r="E71" s="288"/>
      <c r="F71" s="136">
        <v>45892</v>
      </c>
      <c r="G71" s="222"/>
      <c r="H71" s="91">
        <f>VLOOKUP(F71,환율!A:B,2,0)</f>
        <v>1398.1</v>
      </c>
      <c r="I71" s="118">
        <v>1683.76</v>
      </c>
      <c r="J71" s="93">
        <f t="shared" si="22"/>
        <v>2354064</v>
      </c>
      <c r="K71" s="93">
        <f t="shared" si="23"/>
        <v>2354064</v>
      </c>
      <c r="L71" s="255"/>
      <c r="M71" s="403"/>
      <c r="S71" s="434"/>
      <c r="T71" s="441"/>
    </row>
    <row r="72" spans="1:20" s="97" customFormat="1" ht="27" customHeight="1">
      <c r="A72" s="2011"/>
      <c r="B72" s="174" t="s">
        <v>3189</v>
      </c>
      <c r="C72" s="173" t="s">
        <v>3247</v>
      </c>
      <c r="D72" s="173" t="s">
        <v>3193</v>
      </c>
      <c r="E72" s="288"/>
      <c r="F72" s="136">
        <v>45891</v>
      </c>
      <c r="G72" s="222"/>
      <c r="H72" s="91">
        <f>VLOOKUP(F72,환율!A:B,2,0)</f>
        <v>1398.1</v>
      </c>
      <c r="I72" s="118">
        <v>27047.5</v>
      </c>
      <c r="J72" s="93">
        <f t="shared" ref="J72:J74" si="24">ROUNDDOWN(I72*H72,0)</f>
        <v>37815109</v>
      </c>
      <c r="K72" s="93">
        <f t="shared" ref="K72:K74" si="25">J72</f>
        <v>37815109</v>
      </c>
      <c r="L72" s="255"/>
      <c r="M72" s="403"/>
      <c r="S72" s="434"/>
      <c r="T72" s="441"/>
    </row>
    <row r="73" spans="1:20" s="97" customFormat="1" ht="27" customHeight="1">
      <c r="A73" s="2011"/>
      <c r="B73" s="174" t="s">
        <v>3197</v>
      </c>
      <c r="C73" s="173" t="s">
        <v>3247</v>
      </c>
      <c r="D73" s="173" t="s">
        <v>3194</v>
      </c>
      <c r="E73" s="288"/>
      <c r="F73" s="136">
        <v>45891</v>
      </c>
      <c r="G73" s="222"/>
      <c r="H73" s="91">
        <f>VLOOKUP(F73,환율!A:B,2,0)</f>
        <v>1398.1</v>
      </c>
      <c r="I73" s="118">
        <v>7968</v>
      </c>
      <c r="J73" s="93">
        <f t="shared" si="24"/>
        <v>11140060</v>
      </c>
      <c r="K73" s="93">
        <f t="shared" si="25"/>
        <v>11140060</v>
      </c>
      <c r="L73" s="255"/>
      <c r="M73" s="403"/>
      <c r="S73" s="434"/>
      <c r="T73" s="441"/>
    </row>
    <row r="74" spans="1:20" s="97" customFormat="1" ht="27" customHeight="1">
      <c r="A74" s="2019"/>
      <c r="B74" s="174" t="s">
        <v>3198</v>
      </c>
      <c r="C74" s="173" t="s">
        <v>3247</v>
      </c>
      <c r="D74" s="173" t="s">
        <v>3195</v>
      </c>
      <c r="E74" s="288"/>
      <c r="F74" s="136">
        <v>45884</v>
      </c>
      <c r="G74" s="222"/>
      <c r="H74" s="91">
        <f>VLOOKUP(F74,환율!A:B,2,0)</f>
        <v>1383.8</v>
      </c>
      <c r="I74" s="118">
        <v>11952</v>
      </c>
      <c r="J74" s="93">
        <f t="shared" si="24"/>
        <v>16539177</v>
      </c>
      <c r="K74" s="93">
        <f t="shared" si="25"/>
        <v>16539177</v>
      </c>
      <c r="L74" s="255"/>
      <c r="M74" s="403"/>
      <c r="S74" s="434"/>
      <c r="T74" s="441"/>
    </row>
    <row r="75" spans="1:20" s="97" customFormat="1" ht="27" customHeight="1">
      <c r="A75" s="2035" t="s">
        <v>10</v>
      </c>
      <c r="B75" s="2036"/>
      <c r="C75" s="2036"/>
      <c r="D75" s="2036"/>
      <c r="E75" s="2036"/>
      <c r="F75" s="2036"/>
      <c r="G75" s="2036"/>
      <c r="H75" s="2037"/>
      <c r="I75" s="127">
        <f>SUM(I69:I74)</f>
        <v>52524.54</v>
      </c>
      <c r="J75" s="160">
        <f>SUM(J69:J74)</f>
        <v>73211281</v>
      </c>
      <c r="K75" s="116">
        <f>SUM(K69:K74)</f>
        <v>73211281</v>
      </c>
      <c r="L75" s="260">
        <f>SUM(L69:L74)</f>
        <v>0</v>
      </c>
      <c r="M75" s="364"/>
      <c r="N75" s="434"/>
      <c r="O75" s="434"/>
      <c r="P75" s="434"/>
      <c r="R75" s="434"/>
      <c r="S75" s="434"/>
      <c r="T75" s="441"/>
    </row>
    <row r="76" spans="1:20" s="97" customFormat="1" ht="27" customHeight="1">
      <c r="A76" s="2010" t="s">
        <v>3106</v>
      </c>
      <c r="B76" s="174" t="s">
        <v>3199</v>
      </c>
      <c r="C76" s="145" t="s">
        <v>3246</v>
      </c>
      <c r="D76" s="145" t="s">
        <v>3196</v>
      </c>
      <c r="E76" s="288"/>
      <c r="F76" s="136">
        <v>45886</v>
      </c>
      <c r="G76" s="136"/>
      <c r="H76" s="91">
        <f>VLOOKUP(F76,환율!A:B,2,0)</f>
        <v>1383.8</v>
      </c>
      <c r="I76" s="92">
        <v>19875.05</v>
      </c>
      <c r="J76" s="93">
        <f t="shared" ref="J76" si="26">ROUNDDOWN(I76*H76,0)</f>
        <v>27503094</v>
      </c>
      <c r="K76" s="93">
        <f>J76</f>
        <v>27503094</v>
      </c>
      <c r="L76" s="254"/>
      <c r="M76" s="401"/>
      <c r="N76" s="434"/>
      <c r="O76" s="434"/>
      <c r="P76" s="434"/>
      <c r="R76" s="434"/>
      <c r="S76" s="434"/>
      <c r="T76" s="441"/>
    </row>
    <row r="77" spans="1:20" s="97" customFormat="1" ht="27" customHeight="1">
      <c r="A77" s="2011"/>
      <c r="B77" s="174" t="s">
        <v>3200</v>
      </c>
      <c r="C77" s="145" t="s">
        <v>3246</v>
      </c>
      <c r="D77" s="145" t="s">
        <v>3203</v>
      </c>
      <c r="E77" s="288"/>
      <c r="F77" s="136">
        <v>45894</v>
      </c>
      <c r="G77" s="136"/>
      <c r="H77" s="91">
        <f>VLOOKUP(F77,환율!A:B,2,0)</f>
        <v>1395.6</v>
      </c>
      <c r="I77" s="92">
        <v>7094.76</v>
      </c>
      <c r="J77" s="93">
        <f t="shared" ref="J77:J79" si="27">ROUNDDOWN(I77*H77,0)</f>
        <v>9901447</v>
      </c>
      <c r="K77" s="93">
        <f t="shared" ref="K77:K79" si="28">J77</f>
        <v>9901447</v>
      </c>
      <c r="L77" s="254"/>
      <c r="M77" s="401"/>
      <c r="N77" s="434"/>
      <c r="O77" s="434"/>
      <c r="P77" s="434"/>
      <c r="R77" s="434"/>
      <c r="S77" s="434"/>
      <c r="T77" s="441"/>
    </row>
    <row r="78" spans="1:20" s="97" customFormat="1" ht="27" customHeight="1">
      <c r="A78" s="2011"/>
      <c r="B78" s="174" t="s">
        <v>3201</v>
      </c>
      <c r="C78" s="145" t="s">
        <v>3246</v>
      </c>
      <c r="D78" s="145" t="s">
        <v>3204</v>
      </c>
      <c r="E78" s="288"/>
      <c r="F78" s="136">
        <v>45900</v>
      </c>
      <c r="G78" s="136"/>
      <c r="H78" s="91">
        <f>VLOOKUP(F78,환율!A:B,2,0)</f>
        <v>1388.6</v>
      </c>
      <c r="I78" s="92">
        <v>8056.04</v>
      </c>
      <c r="J78" s="93">
        <f t="shared" si="27"/>
        <v>11186617</v>
      </c>
      <c r="K78" s="93">
        <f t="shared" si="28"/>
        <v>11186617</v>
      </c>
      <c r="L78" s="254"/>
      <c r="M78" s="401"/>
      <c r="N78" s="434"/>
      <c r="O78" s="434"/>
      <c r="P78" s="434"/>
      <c r="R78" s="434"/>
      <c r="S78" s="434"/>
      <c r="T78" s="441"/>
    </row>
    <row r="79" spans="1:20" s="97" customFormat="1" ht="27" customHeight="1">
      <c r="A79" s="2011"/>
      <c r="B79" s="174" t="s">
        <v>3202</v>
      </c>
      <c r="C79" s="145" t="s">
        <v>3246</v>
      </c>
      <c r="D79" s="145" t="s">
        <v>3205</v>
      </c>
      <c r="E79" s="288"/>
      <c r="F79" s="136">
        <v>45900</v>
      </c>
      <c r="G79" s="136"/>
      <c r="H79" s="91">
        <f>VLOOKUP(F79,환율!A:B,2,0)</f>
        <v>1388.6</v>
      </c>
      <c r="I79" s="92">
        <v>5442.14</v>
      </c>
      <c r="J79" s="93">
        <f t="shared" si="27"/>
        <v>7556955</v>
      </c>
      <c r="K79" s="93">
        <f t="shared" si="28"/>
        <v>7556955</v>
      </c>
      <c r="L79" s="254"/>
      <c r="M79" s="401"/>
      <c r="N79" s="434"/>
      <c r="O79" s="434"/>
      <c r="P79" s="434"/>
      <c r="R79" s="434"/>
      <c r="S79" s="434"/>
      <c r="T79" s="441"/>
    </row>
    <row r="80" spans="1:20" s="97" customFormat="1" ht="27" customHeight="1">
      <c r="A80" s="2019"/>
      <c r="B80" s="524" t="s">
        <v>3207</v>
      </c>
      <c r="C80" s="603" t="s">
        <v>3244</v>
      </c>
      <c r="D80" s="603" t="s">
        <v>3206</v>
      </c>
      <c r="E80" s="526"/>
      <c r="F80" s="550">
        <v>45905</v>
      </c>
      <c r="G80" s="550"/>
      <c r="H80" s="528">
        <f>VLOOKUP(F80,환율!A:B,2,0)</f>
        <v>1392.7</v>
      </c>
      <c r="I80" s="529">
        <v>1773.69</v>
      </c>
      <c r="J80" s="530">
        <f t="shared" ref="J80" si="29">ROUNDDOWN(I80*H80,0)</f>
        <v>2470218</v>
      </c>
      <c r="K80" s="530"/>
      <c r="L80" s="548">
        <f>J80</f>
        <v>2470218</v>
      </c>
      <c r="M80" s="401"/>
      <c r="S80" s="434"/>
      <c r="T80" s="441"/>
    </row>
    <row r="81" spans="1:20" s="97" customFormat="1" ht="27" customHeight="1">
      <c r="A81" s="2035" t="s">
        <v>10</v>
      </c>
      <c r="B81" s="2036"/>
      <c r="C81" s="2036"/>
      <c r="D81" s="2036"/>
      <c r="E81" s="2036"/>
      <c r="F81" s="2036"/>
      <c r="G81" s="2036"/>
      <c r="H81" s="2037"/>
      <c r="I81" s="127">
        <f>SUM(I76:I80)</f>
        <v>42241.68</v>
      </c>
      <c r="J81" s="116">
        <f>SUM(J76:J80)</f>
        <v>58618331</v>
      </c>
      <c r="K81" s="116">
        <f>SUM(K76:K80)</f>
        <v>56148113</v>
      </c>
      <c r="L81" s="260">
        <f>SUM(L76:L80)</f>
        <v>2470218</v>
      </c>
      <c r="M81" s="366"/>
      <c r="N81" s="434"/>
      <c r="O81" s="434"/>
      <c r="P81" s="434"/>
      <c r="R81" s="434"/>
      <c r="S81" s="434"/>
      <c r="T81" s="441"/>
    </row>
    <row r="82" spans="1:20" s="97" customFormat="1" ht="27" customHeight="1">
      <c r="A82" s="2010" t="s">
        <v>3108</v>
      </c>
      <c r="B82" s="510" t="s">
        <v>3119</v>
      </c>
      <c r="C82" s="619" t="s">
        <v>3246</v>
      </c>
      <c r="D82" s="460" t="s">
        <v>3120</v>
      </c>
      <c r="E82" s="460"/>
      <c r="F82" s="455">
        <v>45871</v>
      </c>
      <c r="G82" s="455"/>
      <c r="H82" s="488">
        <v>9.2278000000000002</v>
      </c>
      <c r="I82" s="468">
        <v>5731370</v>
      </c>
      <c r="J82" s="458">
        <f t="shared" ref="J82" si="30">ROUNDDOWN(I82*H82,0)</f>
        <v>52887936</v>
      </c>
      <c r="K82" s="458">
        <f>J82</f>
        <v>52887936</v>
      </c>
      <c r="L82" s="464"/>
      <c r="M82" s="366"/>
      <c r="N82" s="434"/>
      <c r="O82" s="434"/>
      <c r="P82" s="434"/>
      <c r="R82" s="434"/>
      <c r="S82" s="434"/>
      <c r="T82" s="441"/>
    </row>
    <row r="83" spans="1:20" s="97" customFormat="1" ht="27" customHeight="1">
      <c r="A83" s="2011"/>
      <c r="B83" s="146" t="s">
        <v>3213</v>
      </c>
      <c r="C83" s="89" t="s">
        <v>3246</v>
      </c>
      <c r="D83" s="146" t="s">
        <v>3214</v>
      </c>
      <c r="E83" s="136"/>
      <c r="F83" s="90">
        <v>45896</v>
      </c>
      <c r="G83" s="90"/>
      <c r="H83" s="397">
        <v>9.4351000000000003</v>
      </c>
      <c r="I83" s="177">
        <v>17641966</v>
      </c>
      <c r="J83" s="93">
        <f t="shared" ref="J83:J85" si="31">ROUNDDOWN(I83*H83,0)</f>
        <v>166453713</v>
      </c>
      <c r="K83" s="93">
        <f>J83</f>
        <v>166453713</v>
      </c>
      <c r="L83" s="263"/>
      <c r="M83" s="364"/>
      <c r="S83" s="434"/>
      <c r="T83" s="441"/>
    </row>
    <row r="84" spans="1:20" s="97" customFormat="1" ht="27" customHeight="1">
      <c r="A84" s="2011"/>
      <c r="B84" s="146" t="s">
        <v>3215</v>
      </c>
      <c r="C84" s="146" t="s">
        <v>3247</v>
      </c>
      <c r="D84" s="146" t="s">
        <v>3216</v>
      </c>
      <c r="E84" s="136"/>
      <c r="F84" s="90">
        <v>45877</v>
      </c>
      <c r="G84" s="90"/>
      <c r="H84" s="176">
        <v>9.4250000000000007</v>
      </c>
      <c r="I84" s="177">
        <v>436452</v>
      </c>
      <c r="J84" s="93">
        <f t="shared" si="31"/>
        <v>4113560</v>
      </c>
      <c r="K84" s="93">
        <f t="shared" ref="K84:K92" si="32">J84</f>
        <v>4113560</v>
      </c>
      <c r="L84" s="263"/>
      <c r="M84" s="402"/>
      <c r="S84" s="434"/>
      <c r="T84" s="441"/>
    </row>
    <row r="85" spans="1:20" s="97" customFormat="1" ht="27" customHeight="1">
      <c r="A85" s="2019"/>
      <c r="B85" s="552" t="s">
        <v>3217</v>
      </c>
      <c r="C85" s="552" t="s">
        <v>3244</v>
      </c>
      <c r="D85" s="552" t="s">
        <v>3218</v>
      </c>
      <c r="E85" s="550"/>
      <c r="F85" s="550">
        <v>45901</v>
      </c>
      <c r="G85" s="550"/>
      <c r="H85" s="558">
        <v>9.4305000000000003</v>
      </c>
      <c r="I85" s="559">
        <v>18126300</v>
      </c>
      <c r="J85" s="530">
        <f t="shared" si="31"/>
        <v>170940072</v>
      </c>
      <c r="K85" s="530"/>
      <c r="L85" s="548">
        <f>J85</f>
        <v>170940072</v>
      </c>
      <c r="S85" s="434"/>
      <c r="T85" s="441"/>
    </row>
    <row r="86" spans="1:20" s="97" customFormat="1" ht="27" customHeight="1">
      <c r="A86" s="361" t="s">
        <v>10</v>
      </c>
      <c r="B86" s="113"/>
      <c r="C86" s="113"/>
      <c r="D86" s="113"/>
      <c r="E86" s="113"/>
      <c r="F86" s="113"/>
      <c r="G86" s="113"/>
      <c r="H86" s="114"/>
      <c r="I86" s="398">
        <f>SUM(I82:I85)</f>
        <v>41936088</v>
      </c>
      <c r="J86" s="116">
        <f>SUM(J82:J85)</f>
        <v>394395281</v>
      </c>
      <c r="K86" s="116">
        <f>SUM(K82:K85)</f>
        <v>223455209</v>
      </c>
      <c r="L86" s="260">
        <f>SUM(L82:L85)</f>
        <v>170940072</v>
      </c>
      <c r="S86" s="434"/>
      <c r="T86" s="441"/>
    </row>
    <row r="87" spans="1:20" s="97" customFormat="1" ht="27" customHeight="1">
      <c r="A87" s="2010" t="s">
        <v>3107</v>
      </c>
      <c r="B87" s="174" t="s">
        <v>3219</v>
      </c>
      <c r="C87" s="174" t="s">
        <v>3244</v>
      </c>
      <c r="D87" s="174" t="s">
        <v>3225</v>
      </c>
      <c r="E87" s="146"/>
      <c r="F87" s="146">
        <v>45879</v>
      </c>
      <c r="G87" s="607"/>
      <c r="H87" s="176">
        <v>9.4250000000000007</v>
      </c>
      <c r="I87" s="177">
        <v>246661</v>
      </c>
      <c r="J87" s="93">
        <f t="shared" ref="J87:J92" si="33">ROUNDDOWN(I87*H87,0)</f>
        <v>2324779</v>
      </c>
      <c r="K87" s="93">
        <f t="shared" si="32"/>
        <v>2324779</v>
      </c>
      <c r="L87" s="256"/>
      <c r="S87" s="434"/>
      <c r="T87" s="441"/>
    </row>
    <row r="88" spans="1:20" s="97" customFormat="1" ht="27" customHeight="1">
      <c r="A88" s="2011"/>
      <c r="B88" s="174" t="s">
        <v>3220</v>
      </c>
      <c r="C88" s="174" t="s">
        <v>3244</v>
      </c>
      <c r="D88" s="174" t="s">
        <v>3226</v>
      </c>
      <c r="E88" s="146"/>
      <c r="F88" s="146">
        <v>45888</v>
      </c>
      <c r="G88" s="607"/>
      <c r="H88" s="176">
        <v>9.3638999999999992</v>
      </c>
      <c r="I88" s="177">
        <v>246661</v>
      </c>
      <c r="J88" s="93">
        <f t="shared" si="33"/>
        <v>2309708</v>
      </c>
      <c r="K88" s="93">
        <f t="shared" si="32"/>
        <v>2309708</v>
      </c>
      <c r="L88" s="256"/>
      <c r="S88" s="434"/>
      <c r="T88" s="441"/>
    </row>
    <row r="89" spans="1:20" s="97" customFormat="1" ht="27" customHeight="1">
      <c r="A89" s="2011"/>
      <c r="B89" s="174" t="s">
        <v>3221</v>
      </c>
      <c r="C89" s="174" t="s">
        <v>3244</v>
      </c>
      <c r="D89" s="174" t="s">
        <v>3227</v>
      </c>
      <c r="E89" s="146"/>
      <c r="F89" s="146">
        <v>45890</v>
      </c>
      <c r="G89" s="607"/>
      <c r="H89" s="176">
        <v>9.4812999999999992</v>
      </c>
      <c r="I89" s="177">
        <v>493322</v>
      </c>
      <c r="J89" s="93">
        <f t="shared" si="33"/>
        <v>4677333</v>
      </c>
      <c r="K89" s="93">
        <f t="shared" si="32"/>
        <v>4677333</v>
      </c>
      <c r="L89" s="256"/>
      <c r="S89" s="434"/>
      <c r="T89" s="441"/>
    </row>
    <row r="90" spans="1:20" s="97" customFormat="1" ht="27" customHeight="1">
      <c r="A90" s="2011"/>
      <c r="B90" s="174" t="s">
        <v>3222</v>
      </c>
      <c r="C90" s="174" t="s">
        <v>3244</v>
      </c>
      <c r="D90" s="174" t="s">
        <v>3228</v>
      </c>
      <c r="E90" s="146"/>
      <c r="F90" s="146">
        <v>45895</v>
      </c>
      <c r="G90" s="607"/>
      <c r="H90" s="176">
        <v>9.3792000000000009</v>
      </c>
      <c r="I90" s="177">
        <v>246661</v>
      </c>
      <c r="J90" s="93">
        <f t="shared" si="33"/>
        <v>2313482</v>
      </c>
      <c r="K90" s="93">
        <f t="shared" si="32"/>
        <v>2313482</v>
      </c>
      <c r="L90" s="256"/>
      <c r="S90" s="434"/>
      <c r="T90" s="441"/>
    </row>
    <row r="91" spans="1:20" s="97" customFormat="1" ht="27" customHeight="1">
      <c r="A91" s="2011"/>
      <c r="B91" s="174" t="s">
        <v>3223</v>
      </c>
      <c r="C91" s="174" t="s">
        <v>3244</v>
      </c>
      <c r="D91" s="174" t="s">
        <v>3229</v>
      </c>
      <c r="E91" s="146"/>
      <c r="F91" s="146">
        <v>45897</v>
      </c>
      <c r="G91" s="607"/>
      <c r="H91" s="176">
        <v>9.4751999999999992</v>
      </c>
      <c r="I91" s="177">
        <v>493322</v>
      </c>
      <c r="J91" s="93">
        <f t="shared" si="33"/>
        <v>4674324</v>
      </c>
      <c r="K91" s="93">
        <f t="shared" si="32"/>
        <v>4674324</v>
      </c>
      <c r="L91" s="256"/>
      <c r="S91" s="434"/>
      <c r="T91" s="441"/>
    </row>
    <row r="92" spans="1:20" s="97" customFormat="1" ht="27" customHeight="1">
      <c r="A92" s="2019"/>
      <c r="B92" s="174" t="s">
        <v>3224</v>
      </c>
      <c r="C92" s="174" t="s">
        <v>3244</v>
      </c>
      <c r="D92" s="174" t="s">
        <v>3230</v>
      </c>
      <c r="E92" s="146"/>
      <c r="F92" s="146">
        <v>45900</v>
      </c>
      <c r="G92" s="607"/>
      <c r="H92" s="176">
        <v>9.4479000000000006</v>
      </c>
      <c r="I92" s="177">
        <v>246661</v>
      </c>
      <c r="J92" s="93">
        <f t="shared" si="33"/>
        <v>2330428</v>
      </c>
      <c r="K92" s="93">
        <f t="shared" si="32"/>
        <v>2330428</v>
      </c>
      <c r="L92" s="256"/>
      <c r="S92" s="434"/>
      <c r="T92" s="441"/>
    </row>
    <row r="93" spans="1:20" s="97" customFormat="1" ht="27" customHeight="1">
      <c r="A93" s="600"/>
      <c r="B93" s="113"/>
      <c r="C93" s="148"/>
      <c r="D93" s="148"/>
      <c r="E93" s="148"/>
      <c r="F93" s="148"/>
      <c r="G93" s="148"/>
      <c r="H93" s="114"/>
      <c r="I93" s="605">
        <f>SUM(I87:I92)</f>
        <v>1973288</v>
      </c>
      <c r="J93" s="151">
        <f>SUM(J87:J92)</f>
        <v>18630054</v>
      </c>
      <c r="K93" s="151">
        <f>SUM(K87:K92)</f>
        <v>18630054</v>
      </c>
      <c r="L93" s="633">
        <f>SUM(L87:L87)</f>
        <v>0</v>
      </c>
      <c r="S93" s="434"/>
      <c r="T93" s="441"/>
    </row>
    <row r="94" spans="1:20" s="97" customFormat="1" ht="38.4">
      <c r="A94" s="541" t="s">
        <v>3109</v>
      </c>
      <c r="B94" s="174" t="s">
        <v>3231</v>
      </c>
      <c r="C94" s="339" t="s">
        <v>3244</v>
      </c>
      <c r="D94" s="136" t="s">
        <v>3231</v>
      </c>
      <c r="E94" s="136"/>
      <c r="F94" s="136" t="s">
        <v>3231</v>
      </c>
      <c r="G94" s="136"/>
      <c r="H94" s="166">
        <f>VLOOKUP(F94,환율!A:B,2,0)</f>
        <v>0</v>
      </c>
      <c r="I94" s="341"/>
      <c r="J94" s="542">
        <f t="shared" ref="J94" si="34">ROUNDDOWN(I94*H94,0)</f>
        <v>0</v>
      </c>
      <c r="K94" s="542">
        <f>J94</f>
        <v>0</v>
      </c>
      <c r="L94" s="254"/>
      <c r="S94" s="434"/>
      <c r="T94" s="441"/>
    </row>
    <row r="95" spans="1:20" s="97" customFormat="1" ht="27" customHeight="1">
      <c r="A95" s="361" t="s">
        <v>10</v>
      </c>
      <c r="B95" s="113"/>
      <c r="C95" s="113"/>
      <c r="D95" s="113"/>
      <c r="E95" s="113"/>
      <c r="F95" s="113"/>
      <c r="G95" s="113"/>
      <c r="H95" s="114"/>
      <c r="I95" s="127">
        <f>SUM(I94)</f>
        <v>0</v>
      </c>
      <c r="J95" s="116">
        <f>SUM(J94)</f>
        <v>0</v>
      </c>
      <c r="K95" s="116">
        <f>SUM(K94)</f>
        <v>0</v>
      </c>
      <c r="L95" s="260">
        <f>SUM(L94)</f>
        <v>0</v>
      </c>
      <c r="S95" s="434"/>
      <c r="T95" s="441"/>
    </row>
    <row r="96" spans="1:20" s="97" customFormat="1" ht="27" customHeight="1">
      <c r="A96" s="2111" t="s">
        <v>3110</v>
      </c>
      <c r="B96" s="301" t="s">
        <v>3234</v>
      </c>
      <c r="C96" s="332" t="s">
        <v>3244</v>
      </c>
      <c r="D96" s="303"/>
      <c r="E96" s="303"/>
      <c r="F96" s="303">
        <v>45876</v>
      </c>
      <c r="G96" s="303"/>
      <c r="H96" s="304">
        <f>VLOOKUP(F96,환율!A:B,2,0)</f>
        <v>1389.5</v>
      </c>
      <c r="I96" s="334"/>
      <c r="J96" s="335">
        <v>21526400</v>
      </c>
      <c r="K96" s="335">
        <f>J96</f>
        <v>21526400</v>
      </c>
      <c r="L96" s="337"/>
      <c r="S96" s="434"/>
      <c r="T96" s="441"/>
    </row>
    <row r="97" spans="1:20" s="97" customFormat="1" ht="27" customHeight="1">
      <c r="A97" s="2113"/>
      <c r="B97" s="301" t="s">
        <v>3235</v>
      </c>
      <c r="C97" s="332" t="s">
        <v>3244</v>
      </c>
      <c r="D97" s="303"/>
      <c r="E97" s="303"/>
      <c r="F97" s="303">
        <v>45898</v>
      </c>
      <c r="G97" s="303"/>
      <c r="H97" s="304">
        <f>VLOOKUP(F97,환율!A:B,2,0)</f>
        <v>1388.6</v>
      </c>
      <c r="I97" s="334"/>
      <c r="J97" s="335">
        <v>21526400</v>
      </c>
      <c r="K97" s="335">
        <f t="shared" ref="K97" si="35">J97</f>
        <v>21526400</v>
      </c>
      <c r="L97" s="337"/>
      <c r="S97" s="434"/>
      <c r="T97" s="441"/>
    </row>
    <row r="98" spans="1:20" s="496" customFormat="1" ht="27" customHeight="1" thickBot="1">
      <c r="A98" s="599" t="s">
        <v>10</v>
      </c>
      <c r="B98" s="266"/>
      <c r="C98" s="266"/>
      <c r="D98" s="266"/>
      <c r="E98" s="266"/>
      <c r="F98" s="266"/>
      <c r="G98" s="266"/>
      <c r="H98" s="267"/>
      <c r="I98" s="268"/>
      <c r="J98" s="269">
        <f>SUM(J96:J97)</f>
        <v>43052800</v>
      </c>
      <c r="K98" s="269">
        <f>SUM(K96:K97)</f>
        <v>43052800</v>
      </c>
      <c r="L98" s="506">
        <f>SUM(L96:L97)</f>
        <v>0</v>
      </c>
      <c r="M98" s="493"/>
      <c r="N98" s="434"/>
      <c r="O98" s="434"/>
      <c r="P98" s="434"/>
      <c r="Q98" s="434"/>
      <c r="R98" s="434"/>
      <c r="S98" s="494"/>
      <c r="T98" s="495"/>
    </row>
    <row r="99" spans="1:20" s="496" customFormat="1" ht="27" customHeight="1" thickBot="1">
      <c r="A99" s="601" t="s">
        <v>1176</v>
      </c>
      <c r="B99" s="597"/>
      <c r="C99" s="597"/>
      <c r="D99" s="597"/>
      <c r="E99" s="597"/>
      <c r="F99" s="598"/>
      <c r="G99" s="532"/>
      <c r="H99" s="2095" t="s">
        <v>2334</v>
      </c>
      <c r="I99" s="193" t="s">
        <v>17</v>
      </c>
      <c r="J99" s="194">
        <f>+J101-J100</f>
        <v>5141780986</v>
      </c>
      <c r="K99" s="473">
        <f>K101-K100</f>
        <v>3699321240</v>
      </c>
      <c r="L99" s="474">
        <f>L101-L100</f>
        <v>1442459746</v>
      </c>
      <c r="M99" s="493"/>
      <c r="N99" s="434"/>
      <c r="O99" s="434"/>
      <c r="P99" s="434"/>
      <c r="Q99" s="434"/>
      <c r="R99" s="434"/>
      <c r="S99" s="494"/>
      <c r="T99" s="495"/>
    </row>
    <row r="100" spans="1:20" s="496" customFormat="1" ht="27" customHeight="1">
      <c r="A100" s="239" t="s">
        <v>20</v>
      </c>
      <c r="B100" s="195" t="s">
        <v>21</v>
      </c>
      <c r="C100" s="196"/>
      <c r="D100" s="196" t="s">
        <v>20</v>
      </c>
      <c r="E100" s="314"/>
      <c r="F100" s="197" t="s">
        <v>21</v>
      </c>
      <c r="G100" s="533"/>
      <c r="H100" s="2096"/>
      <c r="I100" s="198" t="s">
        <v>18</v>
      </c>
      <c r="J100" s="210">
        <v>0</v>
      </c>
      <c r="K100" s="210">
        <f>J100</f>
        <v>0</v>
      </c>
      <c r="L100" s="219">
        <v>0</v>
      </c>
      <c r="M100" s="493"/>
      <c r="N100" s="434"/>
      <c r="O100" s="434"/>
      <c r="P100" s="434"/>
      <c r="Q100" s="434"/>
      <c r="R100" s="434"/>
      <c r="S100" s="494"/>
      <c r="T100" s="495"/>
    </row>
    <row r="101" spans="1:20" s="496" customFormat="1" ht="27" customHeight="1" thickBot="1">
      <c r="A101" s="240" t="s">
        <v>9</v>
      </c>
      <c r="B101" s="199">
        <f>L20</f>
        <v>626588680</v>
      </c>
      <c r="C101" s="199"/>
      <c r="D101" s="200" t="s">
        <v>721</v>
      </c>
      <c r="E101" s="315"/>
      <c r="F101" s="201">
        <v>0</v>
      </c>
      <c r="G101" s="534"/>
      <c r="H101" s="2097"/>
      <c r="I101" s="202" t="s">
        <v>19</v>
      </c>
      <c r="J101" s="203">
        <f>SUM(J98,J95,J86,J81,J75,J68,J66,J64,J59,J56,J39,J20,J93)</f>
        <v>5141780986</v>
      </c>
      <c r="K101" s="203">
        <f>I108+J108</f>
        <v>3699321240</v>
      </c>
      <c r="L101" s="475">
        <f>SUM(L20,L39,L56,L59,L64,L66,L68,L75,L81,L86,L98)+L95+L93</f>
        <v>1442459746</v>
      </c>
      <c r="M101" s="622" t="b">
        <f>J101-K101=L101</f>
        <v>1</v>
      </c>
      <c r="N101" s="636"/>
      <c r="O101" s="434"/>
      <c r="P101" s="434"/>
      <c r="Q101" s="434"/>
      <c r="R101" s="434"/>
      <c r="S101" s="494"/>
      <c r="T101" s="495"/>
    </row>
    <row r="102" spans="1:20" s="496" customFormat="1" ht="27" customHeight="1">
      <c r="A102" s="240" t="s">
        <v>11</v>
      </c>
      <c r="B102" s="199">
        <f>L39</f>
        <v>54803218</v>
      </c>
      <c r="C102" s="199"/>
      <c r="D102" s="200" t="s">
        <v>2950</v>
      </c>
      <c r="E102" s="315"/>
      <c r="F102" s="201">
        <f>L68</f>
        <v>0</v>
      </c>
      <c r="G102" s="535"/>
      <c r="H102" s="296" t="s">
        <v>20</v>
      </c>
      <c r="I102" s="297" t="s">
        <v>3243</v>
      </c>
      <c r="J102" s="298" t="s">
        <v>161</v>
      </c>
      <c r="K102" s="298" t="s">
        <v>162</v>
      </c>
      <c r="L102" s="234" t="s">
        <v>32</v>
      </c>
      <c r="M102" s="493"/>
      <c r="N102" s="636"/>
      <c r="O102" s="434"/>
      <c r="P102" s="434"/>
      <c r="Q102" s="434"/>
      <c r="R102" s="434"/>
      <c r="S102" s="494"/>
      <c r="T102" s="495"/>
    </row>
    <row r="103" spans="1:20" s="496" customFormat="1" ht="27" customHeight="1">
      <c r="A103" s="241" t="s">
        <v>114</v>
      </c>
      <c r="B103" s="199">
        <f>L56</f>
        <v>516925209</v>
      </c>
      <c r="C103" s="199"/>
      <c r="D103" s="293" t="s">
        <v>14</v>
      </c>
      <c r="E103" s="316"/>
      <c r="F103" s="294">
        <f>L75</f>
        <v>0</v>
      </c>
      <c r="G103" s="536"/>
      <c r="H103" s="211" t="s">
        <v>22</v>
      </c>
      <c r="I103" s="199">
        <f>K82</f>
        <v>52887936</v>
      </c>
      <c r="J103" s="199">
        <f>SUM(K83:K84,K87:K92)</f>
        <v>189197327</v>
      </c>
      <c r="K103" s="199">
        <f>L86</f>
        <v>170940072</v>
      </c>
      <c r="L103" s="201">
        <f>SUM(I103:J103)</f>
        <v>242085263</v>
      </c>
      <c r="M103" s="493"/>
      <c r="N103" s="434"/>
      <c r="O103" s="434"/>
      <c r="P103" s="434"/>
      <c r="Q103" s="434"/>
      <c r="R103" s="434"/>
      <c r="S103" s="494"/>
      <c r="T103" s="495"/>
    </row>
    <row r="104" spans="1:20" s="97" customFormat="1" ht="27" customHeight="1">
      <c r="A104" s="241" t="s">
        <v>153</v>
      </c>
      <c r="B104" s="199">
        <v>0</v>
      </c>
      <c r="C104" s="199"/>
      <c r="D104" s="293" t="s">
        <v>15</v>
      </c>
      <c r="E104" s="317"/>
      <c r="F104" s="295">
        <f>L81</f>
        <v>2470218</v>
      </c>
      <c r="G104" s="537"/>
      <c r="H104" s="211" t="s">
        <v>23</v>
      </c>
      <c r="I104" s="199">
        <f>SUM(J21:J25,J40:J41,J60:J61)</f>
        <v>367840374</v>
      </c>
      <c r="J104" s="199">
        <f>SUM(J26:J35,J42:J47,J57:J58,J62,J67)</f>
        <v>1083435562</v>
      </c>
      <c r="K104" s="199">
        <f>SUM(L39,L56,L64,L68)</f>
        <v>642460776</v>
      </c>
      <c r="L104" s="201">
        <f>SUM(I104:J104)</f>
        <v>1451275936</v>
      </c>
      <c r="M104" s="402"/>
      <c r="N104" s="438"/>
      <c r="O104" s="434"/>
      <c r="P104" s="434"/>
      <c r="Q104" s="434"/>
      <c r="R104" s="434"/>
    </row>
    <row r="105" spans="1:20" s="97" customFormat="1" ht="27" customHeight="1">
      <c r="A105" s="241" t="s">
        <v>719</v>
      </c>
      <c r="B105" s="199">
        <v>0</v>
      </c>
      <c r="C105" s="199"/>
      <c r="D105" s="293" t="s">
        <v>53</v>
      </c>
      <c r="E105" s="316"/>
      <c r="F105" s="294">
        <f>L66</f>
        <v>0</v>
      </c>
      <c r="G105" s="536"/>
      <c r="H105" s="211" t="s">
        <v>24</v>
      </c>
      <c r="I105" s="199">
        <f>SUM(J12:J13)</f>
        <v>633217816</v>
      </c>
      <c r="J105" s="199">
        <f>SUM(J14:J17)</f>
        <v>1200330031</v>
      </c>
      <c r="K105" s="199">
        <f>SUM(L20)</f>
        <v>626588680</v>
      </c>
      <c r="L105" s="201">
        <f>SUM(I105:J105)</f>
        <v>1833547847</v>
      </c>
      <c r="M105" s="401"/>
      <c r="N105" s="441"/>
    </row>
    <row r="106" spans="1:20" s="97" customFormat="1" ht="27" customHeight="1">
      <c r="A106" s="241" t="s">
        <v>2951</v>
      </c>
      <c r="B106" s="199">
        <f>L64</f>
        <v>70732349</v>
      </c>
      <c r="C106" s="199"/>
      <c r="D106" s="200" t="s">
        <v>252</v>
      </c>
      <c r="E106" s="216"/>
      <c r="F106" s="294">
        <f>L86</f>
        <v>170940072</v>
      </c>
      <c r="G106" s="538"/>
      <c r="H106" s="211" t="s">
        <v>723</v>
      </c>
      <c r="I106" s="199">
        <v>0</v>
      </c>
      <c r="J106" s="199">
        <f>SUM(J69:J74,J76:J79)</f>
        <v>129359394</v>
      </c>
      <c r="K106" s="199">
        <f>SUM(J80)</f>
        <v>2470218</v>
      </c>
      <c r="L106" s="201">
        <f>SUM(I106:J106)</f>
        <v>129359394</v>
      </c>
      <c r="M106" s="401"/>
      <c r="N106" s="441"/>
    </row>
    <row r="107" spans="1:20" s="97" customFormat="1" ht="27" customHeight="1" thickBot="1">
      <c r="A107" s="215" t="s">
        <v>2646</v>
      </c>
      <c r="B107" s="213">
        <f>L95</f>
        <v>0</v>
      </c>
      <c r="C107" s="213"/>
      <c r="D107" s="214"/>
      <c r="E107" s="318"/>
      <c r="F107" s="242"/>
      <c r="G107" s="539"/>
      <c r="H107" s="299" t="s">
        <v>1177</v>
      </c>
      <c r="I107" s="311">
        <v>0</v>
      </c>
      <c r="J107" s="311">
        <f>J98</f>
        <v>43052800</v>
      </c>
      <c r="K107" s="311">
        <v>0</v>
      </c>
      <c r="L107" s="312">
        <f>SUM(I107:J107)</f>
        <v>43052800</v>
      </c>
      <c r="M107" s="364" t="b">
        <f>K108=F108</f>
        <v>1</v>
      </c>
      <c r="N107" s="441"/>
      <c r="O107" s="403"/>
      <c r="P107" s="403"/>
      <c r="Q107" s="403"/>
      <c r="R107" s="403"/>
    </row>
    <row r="108" spans="1:20" s="97" customFormat="1" ht="27" customHeight="1" thickTop="1" thickBot="1">
      <c r="A108" s="243"/>
      <c r="B108" s="244" t="s">
        <v>49</v>
      </c>
      <c r="C108" s="244"/>
      <c r="D108" s="245"/>
      <c r="E108" s="244"/>
      <c r="F108" s="246">
        <f>SUM(B101:B107,F101:F107)</f>
        <v>1442459746</v>
      </c>
      <c r="G108" s="540"/>
      <c r="H108" s="236" t="s">
        <v>16</v>
      </c>
      <c r="I108" s="237">
        <f>SUM(I103:I107)</f>
        <v>1053946126</v>
      </c>
      <c r="J108" s="237">
        <f>SUM(J103:J107)</f>
        <v>2645375114</v>
      </c>
      <c r="K108" s="237">
        <f>SUM(K103:K107)</f>
        <v>1442459746</v>
      </c>
      <c r="L108" s="238">
        <f>+I108+J108</f>
        <v>3699321240</v>
      </c>
      <c r="M108" s="364" t="b">
        <f>K101=J108+I108</f>
        <v>1</v>
      </c>
      <c r="N108" s="441"/>
      <c r="O108" s="403"/>
      <c r="P108" s="403"/>
      <c r="Q108" s="403"/>
    </row>
    <row r="109" spans="1:20" s="97" customFormat="1" ht="27" customHeight="1" thickBot="1">
      <c r="A109"/>
      <c r="B109"/>
      <c r="C109"/>
      <c r="D109"/>
      <c r="E109"/>
      <c r="F109"/>
      <c r="G109"/>
      <c r="H109" s="2047" t="s">
        <v>1685</v>
      </c>
      <c r="I109" s="2048"/>
      <c r="J109" s="2048"/>
      <c r="K109" s="2049"/>
      <c r="L109" s="404">
        <f>L108-L107</f>
        <v>3656268440</v>
      </c>
      <c r="M109" s="366"/>
      <c r="N109" s="441"/>
      <c r="O109" s="403"/>
      <c r="P109" s="403"/>
      <c r="Q109" s="403"/>
    </row>
    <row r="110" spans="1:20" s="97" customFormat="1" ht="27" customHeight="1">
      <c r="A110"/>
      <c r="B110" s="291"/>
      <c r="C110" s="291"/>
      <c r="D110" s="290"/>
      <c r="E110" s="290"/>
      <c r="F110" s="26"/>
      <c r="G110" s="26"/>
      <c r="H110" s="292"/>
      <c r="I110" s="47"/>
      <c r="J110" s="412"/>
      <c r="K110" s="412" t="s">
        <v>3255</v>
      </c>
      <c r="L110" s="13">
        <v>3656268440</v>
      </c>
      <c r="M110" s="175"/>
      <c r="N110" s="441"/>
      <c r="O110" s="403"/>
      <c r="P110" s="403"/>
      <c r="Q110" s="403"/>
    </row>
    <row r="111" spans="1:20" s="126" customFormat="1" ht="27" customHeight="1">
      <c r="A111"/>
      <c r="B111"/>
      <c r="C111"/>
      <c r="D111" s="290"/>
      <c r="E111" s="290"/>
      <c r="F111" s="26"/>
      <c r="G111" s="26"/>
      <c r="H111" s="292"/>
      <c r="I111" s="47"/>
      <c r="J111" s="412"/>
      <c r="K111"/>
      <c r="L111" s="412" t="b">
        <f>L109=L110</f>
        <v>1</v>
      </c>
      <c r="M111" s="175"/>
      <c r="N111" s="443"/>
      <c r="O111" s="403"/>
      <c r="P111" s="403"/>
      <c r="Q111" s="403"/>
      <c r="R111" s="97"/>
    </row>
    <row r="112" spans="1:20" s="126" customFormat="1" ht="27" customHeight="1">
      <c r="A112"/>
      <c r="B112"/>
      <c r="C112"/>
      <c r="D112" s="290"/>
      <c r="E112" s="290"/>
      <c r="F112" s="26"/>
      <c r="G112" s="26"/>
      <c r="H112" s="292"/>
      <c r="I112" s="47"/>
      <c r="J112" s="26"/>
      <c r="K112"/>
      <c r="L112" s="26"/>
      <c r="M112" s="366"/>
      <c r="N112" s="443"/>
      <c r="O112" s="403"/>
      <c r="P112" s="403"/>
      <c r="Q112" s="403"/>
      <c r="R112" s="97"/>
    </row>
    <row r="113" spans="1:20" s="126" customFormat="1" ht="27" customHeight="1">
      <c r="A113"/>
      <c r="B113"/>
      <c r="C113"/>
      <c r="D113" s="290"/>
      <c r="E113" s="290"/>
      <c r="F113" s="26"/>
      <c r="G113" s="26"/>
      <c r="H113" s="292"/>
      <c r="I113" s="47"/>
      <c r="J113" s="26"/>
      <c r="K113"/>
      <c r="L113" s="26"/>
      <c r="M113" s="364"/>
      <c r="N113" s="443"/>
      <c r="P113" s="205"/>
      <c r="Q113" s="205"/>
    </row>
    <row r="114" spans="1:20" s="126" customFormat="1" ht="27" customHeight="1">
      <c r="A114"/>
      <c r="B114"/>
      <c r="C114"/>
      <c r="D114" s="290"/>
      <c r="E114" s="290"/>
      <c r="F114"/>
      <c r="G114"/>
      <c r="H114" s="13"/>
      <c r="I114" s="47"/>
      <c r="J114" s="26"/>
      <c r="K114"/>
      <c r="L114" s="26"/>
      <c r="M114" s="364"/>
      <c r="N114" s="443"/>
    </row>
    <row r="115" spans="1:20" s="19" customFormat="1" ht="27" customHeight="1">
      <c r="A115"/>
      <c r="B115"/>
      <c r="C115"/>
      <c r="D115"/>
      <c r="E115"/>
      <c r="F115"/>
      <c r="G115"/>
      <c r="H115" s="13"/>
      <c r="I115" s="47"/>
      <c r="J115"/>
      <c r="K115"/>
      <c r="L115"/>
      <c r="M115" s="410"/>
      <c r="N115" s="443"/>
      <c r="O115" s="15"/>
    </row>
    <row r="116" spans="1:20">
      <c r="J116" s="47"/>
      <c r="L116" s="26"/>
      <c r="N116" s="441"/>
      <c r="O116" s="26"/>
      <c r="P116"/>
      <c r="Q116"/>
      <c r="R116"/>
      <c r="S116"/>
      <c r="T116"/>
    </row>
    <row r="117" spans="1:20" s="24" customFormat="1">
      <c r="A117"/>
      <c r="B117"/>
      <c r="C117"/>
      <c r="D117"/>
      <c r="E117"/>
      <c r="F117"/>
      <c r="G117"/>
      <c r="H117"/>
      <c r="I117" s="47"/>
      <c r="J117"/>
      <c r="K117"/>
      <c r="L117"/>
      <c r="N117" s="445"/>
    </row>
    <row r="118" spans="1:20" s="24" customFormat="1">
      <c r="A118"/>
      <c r="B118"/>
      <c r="C118"/>
      <c r="D118"/>
      <c r="E118"/>
      <c r="F118"/>
      <c r="G118"/>
      <c r="H118"/>
      <c r="I118" s="47"/>
      <c r="J118"/>
      <c r="K118"/>
      <c r="L118" s="26"/>
      <c r="N118" s="445"/>
    </row>
    <row r="119" spans="1:20" s="24" customFormat="1">
      <c r="A119"/>
      <c r="B119"/>
      <c r="C119"/>
      <c r="D119"/>
      <c r="E119"/>
      <c r="F119"/>
      <c r="G119"/>
      <c r="H119"/>
      <c r="I119" s="47"/>
      <c r="J119" s="26"/>
      <c r="K119"/>
      <c r="L119"/>
      <c r="O119" s="434"/>
      <c r="P119" s="440"/>
      <c r="Q119" s="440"/>
      <c r="R119" s="440"/>
      <c r="S119" s="440"/>
      <c r="T119" s="445"/>
    </row>
    <row r="120" spans="1:20" s="24" customFormat="1">
      <c r="A120"/>
      <c r="B120"/>
      <c r="C120"/>
      <c r="D120"/>
      <c r="E120"/>
      <c r="F120"/>
      <c r="G120"/>
      <c r="H120"/>
      <c r="I120" s="47"/>
      <c r="J120"/>
      <c r="K120"/>
      <c r="L120" s="26"/>
      <c r="O120" s="434"/>
      <c r="P120" s="440"/>
      <c r="Q120" s="440"/>
      <c r="R120" s="440"/>
      <c r="S120" s="440"/>
      <c r="T120" s="445"/>
    </row>
    <row r="121" spans="1:20" s="24" customFormat="1">
      <c r="A121"/>
      <c r="B121"/>
      <c r="C121"/>
      <c r="D121"/>
      <c r="E121"/>
      <c r="F121"/>
      <c r="G121"/>
      <c r="H121"/>
      <c r="I121" s="47"/>
      <c r="J121"/>
      <c r="K121"/>
      <c r="L121"/>
      <c r="O121" s="434"/>
      <c r="P121" s="440"/>
      <c r="Q121" s="440"/>
      <c r="R121" s="440"/>
      <c r="S121" s="440"/>
      <c r="T121" s="445"/>
    </row>
  </sheetData>
  <autoFilter ref="A10:H112" xr:uid="{00000000-0009-0000-0000-000059000000}"/>
  <mergeCells count="39">
    <mergeCell ref="A69:A74"/>
    <mergeCell ref="A64:H64"/>
    <mergeCell ref="A75:H75"/>
    <mergeCell ref="H109:K109"/>
    <mergeCell ref="A76:A80"/>
    <mergeCell ref="A81:H81"/>
    <mergeCell ref="A82:A85"/>
    <mergeCell ref="A87:A92"/>
    <mergeCell ref="A96:A97"/>
    <mergeCell ref="H99:H101"/>
    <mergeCell ref="A59:H59"/>
    <mergeCell ref="A60:A63"/>
    <mergeCell ref="A66:H66"/>
    <mergeCell ref="A68:H68"/>
    <mergeCell ref="A40:A55"/>
    <mergeCell ref="A56:H56"/>
    <mergeCell ref="A57:A58"/>
    <mergeCell ref="A5:I9"/>
    <mergeCell ref="O5:O9"/>
    <mergeCell ref="A39:H39"/>
    <mergeCell ref="A10:A11"/>
    <mergeCell ref="B10:B11"/>
    <mergeCell ref="C10:C11"/>
    <mergeCell ref="D10:D11"/>
    <mergeCell ref="E10:E11"/>
    <mergeCell ref="F10:F11"/>
    <mergeCell ref="H10:H11"/>
    <mergeCell ref="I10:L10"/>
    <mergeCell ref="A12:A19"/>
    <mergeCell ref="A20:H20"/>
    <mergeCell ref="A21:A35"/>
    <mergeCell ref="P5:P9"/>
    <mergeCell ref="Q5:Q9"/>
    <mergeCell ref="R5:R9"/>
    <mergeCell ref="N3:N9"/>
    <mergeCell ref="O3:O4"/>
    <mergeCell ref="P3:P4"/>
    <mergeCell ref="Q3:Q4"/>
    <mergeCell ref="R3:R4"/>
  </mergeCells>
  <phoneticPr fontId="2" type="noConversion"/>
  <conditionalFormatting sqref="A12:A13 B12:L19 B21:L38 B40:L55 B60:L61 B62:H63 J62:L63 I62:I64 B69:L74 B82:L85 B87:L92">
    <cfRule type="expression" dxfId="706" priority="50">
      <formula>#REF!="*01월*"</formula>
    </cfRule>
  </conditionalFormatting>
  <conditionalFormatting sqref="A20">
    <cfRule type="expression" dxfId="705" priority="51">
      <formula>#REF!="*01월*"</formula>
    </cfRule>
  </conditionalFormatting>
  <conditionalFormatting sqref="A39">
    <cfRule type="expression" dxfId="704" priority="56">
      <formula>#REF!="*01월*"</formula>
    </cfRule>
  </conditionalFormatting>
  <conditionalFormatting sqref="A56:A57 A59:A62">
    <cfRule type="expression" dxfId="703" priority="41">
      <formula>#REF!="*01월*"</formula>
    </cfRule>
  </conditionalFormatting>
  <conditionalFormatting sqref="A64 J64:L64 A66 I66:K66 B73:B74 D74:E74 D96:G97 B100:L108 H109:H113">
    <cfRule type="expression" dxfId="702" priority="26">
      <formula>$F66="*01월*"</formula>
    </cfRule>
  </conditionalFormatting>
  <conditionalFormatting sqref="A65 K68:L68 B69:C69 F69:G69 B69:B73">
    <cfRule type="expression" dxfId="701" priority="19">
      <formula>$F66="*01월*"</formula>
    </cfRule>
  </conditionalFormatting>
  <conditionalFormatting sqref="A68">
    <cfRule type="expression" dxfId="700" priority="49">
      <formula>#REF!="*01월*"</formula>
    </cfRule>
  </conditionalFormatting>
  <conditionalFormatting sqref="A75">
    <cfRule type="expression" dxfId="699" priority="45">
      <formula>#REF!="*01월*"</formula>
    </cfRule>
  </conditionalFormatting>
  <conditionalFormatting sqref="A76:A77 D87:E89">
    <cfRule type="expression" dxfId="698" priority="1081">
      <formula>$F83="*01월*"</formula>
    </cfRule>
  </conditionalFormatting>
  <conditionalFormatting sqref="A81:A82">
    <cfRule type="expression" dxfId="697" priority="44">
      <formula>#REF!="*01월*"</formula>
    </cfRule>
  </conditionalFormatting>
  <conditionalFormatting sqref="A86 I86:K86 A90">
    <cfRule type="expression" dxfId="696" priority="80">
      <formula>$F98="*01월*"</formula>
    </cfRule>
  </conditionalFormatting>
  <conditionalFormatting sqref="A87:A89">
    <cfRule type="expression" dxfId="695" priority="1097">
      <formula>$F100="*01월*"</formula>
    </cfRule>
  </conditionalFormatting>
  <conditionalFormatting sqref="A91">
    <cfRule type="expression" dxfId="694" priority="65">
      <formula>$F101="*01월*"</formula>
    </cfRule>
  </conditionalFormatting>
  <conditionalFormatting sqref="A96">
    <cfRule type="expression" dxfId="693" priority="63">
      <formula>$F98="*01월*"</formula>
    </cfRule>
  </conditionalFormatting>
  <conditionalFormatting sqref="A98:A108">
    <cfRule type="expression" dxfId="692" priority="59">
      <formula>$F100="*01월*"</formula>
    </cfRule>
  </conditionalFormatting>
  <conditionalFormatting sqref="A11:B11 D11:L11">
    <cfRule type="expression" dxfId="691" priority="66">
      <formula>#REF!="*01월*"</formula>
    </cfRule>
  </conditionalFormatting>
  <conditionalFormatting sqref="A10:L10 D71:E72 L78 K80 D91:E91">
    <cfRule type="expression" dxfId="690" priority="14">
      <formula>$F14="*01월*"</formula>
    </cfRule>
  </conditionalFormatting>
  <conditionalFormatting sqref="A67:L67">
    <cfRule type="expression" dxfId="689" priority="3">
      <formula>#REF!="*01월*"</formula>
    </cfRule>
  </conditionalFormatting>
  <conditionalFormatting sqref="B94:C94">
    <cfRule type="expression" dxfId="688" priority="20">
      <formula>#REF!="*01월*"</formula>
    </cfRule>
  </conditionalFormatting>
  <conditionalFormatting sqref="B96:C97">
    <cfRule type="expression" dxfId="687" priority="15">
      <formula>#REF!="*01월*"</formula>
    </cfRule>
  </conditionalFormatting>
  <conditionalFormatting sqref="B57:L58">
    <cfRule type="expression" dxfId="686" priority="27">
      <formula>#REF!="*01월*"</formula>
    </cfRule>
  </conditionalFormatting>
  <conditionalFormatting sqref="B65:L65">
    <cfRule type="expression" dxfId="685" priority="2">
      <formula>#REF!="*01월*"</formula>
    </cfRule>
  </conditionalFormatting>
  <conditionalFormatting sqref="C76:E79 K76:K79">
    <cfRule type="expression" dxfId="684" priority="61">
      <formula>#REF!="*01월*"</formula>
    </cfRule>
  </conditionalFormatting>
  <conditionalFormatting sqref="D69:E70">
    <cfRule type="expression" dxfId="683" priority="79">
      <formula>#REF!="*01월*"</formula>
    </cfRule>
  </conditionalFormatting>
  <conditionalFormatting sqref="D73:E73 L79 B80:E80">
    <cfRule type="expression" dxfId="682" priority="47">
      <formula>$F76="*01월*"</formula>
    </cfRule>
  </conditionalFormatting>
  <conditionalFormatting sqref="D74:E74 K75:L75 A78 D90:E90 A93 I93:L93 L98">
    <cfRule type="expression" dxfId="681" priority="43">
      <formula>$F80="*01월*"</formula>
    </cfRule>
  </conditionalFormatting>
  <conditionalFormatting sqref="D92:E92">
    <cfRule type="expression" dxfId="680" priority="40">
      <formula>$F95="*01월*"</formula>
    </cfRule>
  </conditionalFormatting>
  <conditionalFormatting sqref="D110:E114">
    <cfRule type="expression" dxfId="679" priority="46">
      <formula>$F112="*01월*"</formula>
    </cfRule>
  </conditionalFormatting>
  <conditionalFormatting sqref="D94:G94">
    <cfRule type="expression" dxfId="678" priority="22">
      <formula>$F99="*01월*"</formula>
    </cfRule>
  </conditionalFormatting>
  <conditionalFormatting sqref="F21:G21">
    <cfRule type="expression" dxfId="677" priority="11">
      <formula>$F28="*01월*"</formula>
    </cfRule>
  </conditionalFormatting>
  <conditionalFormatting sqref="F22:G22">
    <cfRule type="expression" dxfId="676" priority="12">
      <formula>#REF!="*01월*"</formula>
    </cfRule>
    <cfRule type="expression" dxfId="675" priority="13">
      <formula>$F39="*01월*"</formula>
    </cfRule>
  </conditionalFormatting>
  <conditionalFormatting sqref="F23:G23 F32:G38">
    <cfRule type="expression" dxfId="674" priority="67">
      <formula>$F39="*01월*"</formula>
    </cfRule>
  </conditionalFormatting>
  <conditionalFormatting sqref="F24:G26 F28:G28 F30:G34">
    <cfRule type="expression" dxfId="673" priority="74">
      <formula>$F45="*01월*"</formula>
    </cfRule>
  </conditionalFormatting>
  <conditionalFormatting sqref="F25:G26 F28:G33">
    <cfRule type="expression" dxfId="672" priority="52">
      <formula>$F47="*01월*"</formula>
    </cfRule>
  </conditionalFormatting>
  <conditionalFormatting sqref="F27:G36">
    <cfRule type="expression" dxfId="671" priority="1007">
      <formula>$F46="*01월*"</formula>
    </cfRule>
  </conditionalFormatting>
  <conditionalFormatting sqref="F28:G28 F30:G37">
    <cfRule type="expression" dxfId="670" priority="1065">
      <formula>$F46="*01월*"</formula>
    </cfRule>
  </conditionalFormatting>
  <conditionalFormatting sqref="F29:G30 F32:G35">
    <cfRule type="expression" dxfId="669" priority="73">
      <formula>$F49="*01월*"</formula>
    </cfRule>
  </conditionalFormatting>
  <conditionalFormatting sqref="F31:G31 F35:G36">
    <cfRule type="expression" dxfId="668" priority="4">
      <formula>$F43="*01월*"</formula>
    </cfRule>
  </conditionalFormatting>
  <conditionalFormatting sqref="F31:G31">
    <cfRule type="expression" dxfId="667" priority="77">
      <formula>$F55="*01월*"</formula>
    </cfRule>
  </conditionalFormatting>
  <conditionalFormatting sqref="F32:G32 F34:G38">
    <cfRule type="expression" dxfId="666" priority="1087">
      <formula>$F49="*01월*"</formula>
    </cfRule>
  </conditionalFormatting>
  <conditionalFormatting sqref="F32:G32">
    <cfRule type="expression" dxfId="665" priority="54">
      <formula>$F55="*01월*"</formula>
    </cfRule>
  </conditionalFormatting>
  <conditionalFormatting sqref="F32:G38">
    <cfRule type="expression" dxfId="664" priority="5">
      <formula>#REF!="*01월*"</formula>
    </cfRule>
  </conditionalFormatting>
  <conditionalFormatting sqref="F33:G38">
    <cfRule type="expression" dxfId="663" priority="57">
      <formula>$F48="*01월*"</formula>
    </cfRule>
  </conditionalFormatting>
  <conditionalFormatting sqref="F37:G37">
    <cfRule type="expression" dxfId="662" priority="64">
      <formula>$F48="*01월*"</formula>
    </cfRule>
  </conditionalFormatting>
  <conditionalFormatting sqref="F37:G38">
    <cfRule type="expression" dxfId="661" priority="978">
      <formula>$F51="*01월*"</formula>
    </cfRule>
  </conditionalFormatting>
  <conditionalFormatting sqref="F38:G38">
    <cfRule type="expression" dxfId="660" priority="1113">
      <formula>$F51="*01월*"</formula>
    </cfRule>
    <cfRule type="expression" dxfId="659" priority="1114">
      <formula>$F48="*01월*"</formula>
    </cfRule>
  </conditionalFormatting>
  <conditionalFormatting sqref="F76:I80">
    <cfRule type="expression" dxfId="658" priority="10">
      <formula>#REF!="*01월*"</formula>
    </cfRule>
  </conditionalFormatting>
  <conditionalFormatting sqref="H94:I94">
    <cfRule type="expression" dxfId="657" priority="34">
      <formula>#REF!="*01월*"</formula>
    </cfRule>
  </conditionalFormatting>
  <conditionalFormatting sqref="H96:I97">
    <cfRule type="expression" dxfId="656" priority="16">
      <formula>#REF!="*01월*"</formula>
    </cfRule>
  </conditionalFormatting>
  <conditionalFormatting sqref="H99:L99">
    <cfRule type="expression" dxfId="655" priority="36">
      <formula>$F101="*01월*"</formula>
    </cfRule>
  </conditionalFormatting>
  <conditionalFormatting sqref="I75">
    <cfRule type="expression" dxfId="654" priority="1070">
      <formula>$F81="*01월*"</formula>
    </cfRule>
  </conditionalFormatting>
  <conditionalFormatting sqref="I68:J68">
    <cfRule type="expression" dxfId="653" priority="30">
      <formula>#REF!="*01월*"</formula>
    </cfRule>
  </conditionalFormatting>
  <conditionalFormatting sqref="I98:K98">
    <cfRule type="expression" dxfId="652" priority="48">
      <formula>$F100="*01월*"</formula>
    </cfRule>
  </conditionalFormatting>
  <conditionalFormatting sqref="I20:L20">
    <cfRule type="expression" dxfId="651" priority="38">
      <formula>#REF!="*01월*"</formula>
    </cfRule>
  </conditionalFormatting>
  <conditionalFormatting sqref="I39:L39">
    <cfRule type="expression" dxfId="650" priority="37">
      <formula>#REF!="*01월*"</formula>
    </cfRule>
  </conditionalFormatting>
  <conditionalFormatting sqref="I56:L56">
    <cfRule type="expression" dxfId="649" priority="28">
      <formula>#REF!="*01월*"</formula>
    </cfRule>
  </conditionalFormatting>
  <conditionalFormatting sqref="I59:L59">
    <cfRule type="expression" dxfId="648" priority="18">
      <formula>#REF!="*01월*"</formula>
    </cfRule>
  </conditionalFormatting>
  <conditionalFormatting sqref="I81:L81">
    <cfRule type="expression" dxfId="647" priority="39">
      <formula>$F84="*01월*"</formula>
    </cfRule>
  </conditionalFormatting>
  <conditionalFormatting sqref="J75">
    <cfRule type="expression" dxfId="646" priority="29">
      <formula>#REF!="*01월*"</formula>
    </cfRule>
  </conditionalFormatting>
  <conditionalFormatting sqref="J76:J79">
    <cfRule type="expression" dxfId="645" priority="33">
      <formula>$F81="*01월*"</formula>
    </cfRule>
  </conditionalFormatting>
  <conditionalFormatting sqref="J80 L80">
    <cfRule type="expression" dxfId="644" priority="1091">
      <formula>#REF!="*01월*"</formula>
    </cfRule>
  </conditionalFormatting>
  <conditionalFormatting sqref="J94:K94 A94:A95 J95:L95">
    <cfRule type="expression" dxfId="643" priority="81">
      <formula>$F99="*01월*"</formula>
    </cfRule>
  </conditionalFormatting>
  <conditionalFormatting sqref="J96:L97">
    <cfRule type="expression" dxfId="642" priority="53">
      <formula>$F98="*01월*"</formula>
    </cfRule>
  </conditionalFormatting>
  <conditionalFormatting sqref="L66 B70:C70 F70:G70 B71:B74 D73:E73">
    <cfRule type="expression" dxfId="641" priority="1068">
      <formula>#REF!="*01월*"</formula>
    </cfRule>
  </conditionalFormatting>
  <conditionalFormatting sqref="L76:L77 B76:B79 A79">
    <cfRule type="expression" dxfId="640" priority="9">
      <formula>$F81="*01월*"</formula>
    </cfRule>
  </conditionalFormatting>
  <conditionalFormatting sqref="L86 I95">
    <cfRule type="expression" dxfId="639" priority="62">
      <formula>#REF!="*01월*"</formula>
    </cfRule>
  </conditionalFormatting>
  <conditionalFormatting sqref="L94">
    <cfRule type="expression" dxfId="638" priority="60">
      <formula>#REF!="*01월*"</formula>
    </cfRule>
  </conditionalFormatting>
  <conditionalFormatting sqref="L109">
    <cfRule type="expression" dxfId="637" priority="42">
      <formula>$F111="*01월*"</formula>
    </cfRule>
  </conditionalFormatting>
  <printOptions horizontalCentered="1"/>
  <pageMargins left="0" right="0" top="0.70866141732283472" bottom="0.23622047244094491" header="0" footer="0"/>
  <pageSetup paperSize="9" scale="44" fitToHeight="0" orientation="portrait" r:id="rId1"/>
  <rowBreaks count="1" manualBreakCount="1">
    <brk id="68" max="11" man="1"/>
  </rowBreaks>
  <colBreaks count="1" manualBreakCount="1">
    <brk id="11" max="1048575" man="1"/>
  </colBreaks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pageSetUpPr fitToPage="1"/>
  </sheetPr>
  <dimension ref="A2:T127"/>
  <sheetViews>
    <sheetView view="pageBreakPreview" zoomScale="70" zoomScaleNormal="70" zoomScaleSheetLayoutView="70" workbookViewId="0">
      <pane xSplit="1" ySplit="11" topLeftCell="B39" activePane="bottomRight" state="frozen"/>
      <selection pane="topRight" activeCell="B1" sqref="B1"/>
      <selection pane="bottomLeft" activeCell="A12" sqref="A12"/>
      <selection pane="bottomRight" activeCell="I52" sqref="I52"/>
    </sheetView>
  </sheetViews>
  <sheetFormatPr defaultRowHeight="25.2"/>
  <cols>
    <col min="1" max="1" width="18.69921875" customWidth="1"/>
    <col min="2" max="2" width="22.8984375" customWidth="1"/>
    <col min="3" max="3" width="22.8984375" hidden="1" customWidth="1"/>
    <col min="4" max="4" width="29.09765625" customWidth="1"/>
    <col min="5" max="5" width="29.09765625" hidden="1" customWidth="1"/>
    <col min="6" max="6" width="21" customWidth="1"/>
    <col min="7" max="7" width="21" hidden="1" customWidth="1"/>
    <col min="8" max="8" width="18.69921875" customWidth="1"/>
    <col min="9" max="9" width="25.69921875" style="78" customWidth="1"/>
    <col min="10" max="10" width="26.5" customWidth="1"/>
    <col min="11" max="11" width="25.09765625" customWidth="1"/>
    <col min="12" max="12" width="29.19921875" customWidth="1"/>
    <col min="13" max="13" width="14.8984375" style="24" customWidth="1"/>
    <col min="14" max="14" width="26.8984375" style="24" bestFit="1" customWidth="1"/>
    <col min="15" max="19" width="17.09765625" style="434" customWidth="1"/>
    <col min="20" max="20" width="9" style="441"/>
  </cols>
  <sheetData>
    <row r="2" spans="1:20" ht="25.8" thickBot="1">
      <c r="F2" s="507"/>
      <c r="G2" s="507"/>
      <c r="I2" s="55"/>
      <c r="J2" s="434"/>
      <c r="K2" s="434"/>
      <c r="L2" s="434"/>
      <c r="M2" s="434"/>
      <c r="N2"/>
      <c r="O2"/>
      <c r="P2"/>
      <c r="Q2"/>
      <c r="R2"/>
      <c r="S2"/>
      <c r="T2"/>
    </row>
    <row r="3" spans="1:20" ht="21.75" customHeight="1" thickTop="1">
      <c r="F3" s="507"/>
      <c r="N3" s="2058" t="s">
        <v>2041</v>
      </c>
      <c r="O3" s="2082" t="s">
        <v>2034</v>
      </c>
      <c r="P3" s="2084" t="s">
        <v>2035</v>
      </c>
      <c r="Q3" s="2084" t="s">
        <v>2063</v>
      </c>
      <c r="R3" s="2086" t="s">
        <v>2036</v>
      </c>
      <c r="S3" s="441"/>
      <c r="T3"/>
    </row>
    <row r="4" spans="1:20" ht="19.5" customHeight="1">
      <c r="N4" s="2080"/>
      <c r="O4" s="2083"/>
      <c r="P4" s="2085"/>
      <c r="Q4" s="2085"/>
      <c r="R4" s="2087"/>
      <c r="S4" s="441"/>
      <c r="T4"/>
    </row>
    <row r="5" spans="1:20" ht="19.5" customHeight="1">
      <c r="A5" s="2020" t="s">
        <v>3257</v>
      </c>
      <c r="B5" s="2020"/>
      <c r="C5" s="2020"/>
      <c r="D5" s="2020"/>
      <c r="E5" s="2020"/>
      <c r="F5" s="2020"/>
      <c r="G5" s="2020"/>
      <c r="H5" s="2020"/>
      <c r="I5" s="2020"/>
      <c r="J5" s="1"/>
      <c r="K5" s="1"/>
      <c r="L5" s="1"/>
      <c r="N5" s="2080"/>
      <c r="O5" s="2091"/>
      <c r="P5" s="2088"/>
      <c r="Q5" s="2088"/>
      <c r="R5" s="2077"/>
      <c r="S5" s="441"/>
      <c r="T5"/>
    </row>
    <row r="6" spans="1:20" ht="19.5" customHeight="1">
      <c r="A6" s="2020"/>
      <c r="B6" s="2020"/>
      <c r="C6" s="2020"/>
      <c r="D6" s="2020"/>
      <c r="E6" s="2020"/>
      <c r="F6" s="2020"/>
      <c r="G6" s="2020"/>
      <c r="H6" s="2020"/>
      <c r="I6" s="2020"/>
      <c r="J6" s="1"/>
      <c r="K6" s="1"/>
      <c r="L6" s="1"/>
      <c r="N6" s="2080"/>
      <c r="O6" s="2092"/>
      <c r="P6" s="2089"/>
      <c r="Q6" s="2089"/>
      <c r="R6" s="2078"/>
      <c r="S6" s="441"/>
      <c r="T6"/>
    </row>
    <row r="7" spans="1:20" ht="19.5" customHeight="1">
      <c r="A7" s="2020"/>
      <c r="B7" s="2020"/>
      <c r="C7" s="2020"/>
      <c r="D7" s="2020"/>
      <c r="E7" s="2020"/>
      <c r="F7" s="2020"/>
      <c r="G7" s="2020"/>
      <c r="H7" s="2020"/>
      <c r="I7" s="2020"/>
      <c r="J7" s="1"/>
      <c r="K7" s="1"/>
      <c r="L7" s="1"/>
      <c r="N7" s="2080"/>
      <c r="O7" s="2092"/>
      <c r="P7" s="2089"/>
      <c r="Q7" s="2089"/>
      <c r="R7" s="2078"/>
      <c r="S7" s="441"/>
      <c r="T7"/>
    </row>
    <row r="8" spans="1:20" ht="19.5" customHeight="1">
      <c r="A8" s="2020"/>
      <c r="B8" s="2020"/>
      <c r="C8" s="2020"/>
      <c r="D8" s="2020"/>
      <c r="E8" s="2020"/>
      <c r="F8" s="2020"/>
      <c r="G8" s="2020"/>
      <c r="H8" s="2020"/>
      <c r="I8" s="2020"/>
      <c r="J8" s="2"/>
      <c r="K8" s="2"/>
      <c r="L8" s="2"/>
      <c r="N8" s="2080"/>
      <c r="O8" s="2092"/>
      <c r="P8" s="2089"/>
      <c r="Q8" s="2089"/>
      <c r="R8" s="2078"/>
      <c r="S8" s="441"/>
      <c r="T8"/>
    </row>
    <row r="9" spans="1:20" ht="19.5" customHeight="1" thickBot="1">
      <c r="A9" s="2052"/>
      <c r="B9" s="2052"/>
      <c r="C9" s="2052"/>
      <c r="D9" s="2052"/>
      <c r="E9" s="2052"/>
      <c r="F9" s="2052"/>
      <c r="G9" s="2052"/>
      <c r="H9" s="2052"/>
      <c r="I9" s="2052"/>
      <c r="J9" s="2"/>
      <c r="K9" s="2"/>
      <c r="L9" s="2"/>
      <c r="N9" s="2081"/>
      <c r="O9" s="2093"/>
      <c r="P9" s="2090"/>
      <c r="Q9" s="2090"/>
      <c r="R9" s="2079"/>
      <c r="S9" s="441"/>
      <c r="T9"/>
    </row>
    <row r="10" spans="1:20" ht="23.25" customHeight="1">
      <c r="A10" s="2021" t="s">
        <v>0</v>
      </c>
      <c r="B10" s="2107" t="s">
        <v>1</v>
      </c>
      <c r="C10" s="2107" t="s">
        <v>2655</v>
      </c>
      <c r="D10" s="2114" t="s">
        <v>2</v>
      </c>
      <c r="E10" s="2114" t="s">
        <v>1222</v>
      </c>
      <c r="F10" s="2114" t="s">
        <v>3</v>
      </c>
      <c r="G10" s="523"/>
      <c r="H10" s="2116" t="s">
        <v>4</v>
      </c>
      <c r="I10" s="2104" t="s">
        <v>2352</v>
      </c>
      <c r="J10" s="2105"/>
      <c r="K10" s="2105"/>
      <c r="L10" s="2106"/>
    </row>
    <row r="11" spans="1:20" ht="23.25" customHeight="1">
      <c r="A11" s="2022"/>
      <c r="B11" s="2108"/>
      <c r="C11" s="2108"/>
      <c r="D11" s="2115"/>
      <c r="E11" s="2115"/>
      <c r="F11" s="2115"/>
      <c r="G11" s="522" t="s">
        <v>2499</v>
      </c>
      <c r="H11" s="2117"/>
      <c r="I11" s="641" t="s">
        <v>6</v>
      </c>
      <c r="J11" s="3" t="s">
        <v>7</v>
      </c>
      <c r="K11" s="476" t="s">
        <v>2479</v>
      </c>
      <c r="L11" s="271" t="s">
        <v>2336</v>
      </c>
      <c r="M11" s="24" t="s">
        <v>2528</v>
      </c>
      <c r="N11" s="434" t="s">
        <v>33</v>
      </c>
      <c r="O11" s="434" t="s">
        <v>2522</v>
      </c>
      <c r="P11" s="434" t="s">
        <v>2358</v>
      </c>
      <c r="Q11" s="434" t="s">
        <v>2815</v>
      </c>
      <c r="R11" s="434" t="s">
        <v>44</v>
      </c>
    </row>
    <row r="12" spans="1:20" ht="27" customHeight="1">
      <c r="A12" s="2011" t="s">
        <v>3098</v>
      </c>
      <c r="B12" s="509" t="s">
        <v>3248</v>
      </c>
      <c r="C12" s="509" t="s">
        <v>3391</v>
      </c>
      <c r="D12" s="454" t="s">
        <v>3249</v>
      </c>
      <c r="E12" s="454"/>
      <c r="F12" s="455">
        <v>45908</v>
      </c>
      <c r="G12" s="455"/>
      <c r="H12" s="456">
        <f>VLOOKUP(F12,환율!A:B,2,0)</f>
        <v>1391.8</v>
      </c>
      <c r="I12" s="478">
        <v>392354.51</v>
      </c>
      <c r="J12" s="458">
        <f t="shared" ref="J12:J13" si="0">ROUNDDOWN(I12*H12,0)</f>
        <v>546079007</v>
      </c>
      <c r="K12" s="458">
        <f t="shared" ref="K12:K17" si="1">J12</f>
        <v>546079007</v>
      </c>
      <c r="L12" s="464"/>
      <c r="N12" s="434"/>
    </row>
    <row r="13" spans="1:20" ht="27" customHeight="1">
      <c r="A13" s="2011"/>
      <c r="B13" s="509" t="s">
        <v>3258</v>
      </c>
      <c r="C13" s="509" t="s">
        <v>3390</v>
      </c>
      <c r="D13" s="454" t="s">
        <v>2504</v>
      </c>
      <c r="E13" s="454"/>
      <c r="F13" s="455">
        <v>45908</v>
      </c>
      <c r="G13" s="455"/>
      <c r="H13" s="456">
        <f>VLOOKUP(F13,환율!A:B,2,0)</f>
        <v>1391.8</v>
      </c>
      <c r="I13" s="478">
        <v>57845.72</v>
      </c>
      <c r="J13" s="458">
        <f t="shared" si="0"/>
        <v>80509673</v>
      </c>
      <c r="K13" s="458">
        <f t="shared" si="1"/>
        <v>80509673</v>
      </c>
      <c r="L13" s="464"/>
      <c r="N13" s="434"/>
    </row>
    <row r="14" spans="1:20" s="97" customFormat="1" ht="27" customHeight="1">
      <c r="A14" s="2011"/>
      <c r="B14" s="155" t="s">
        <v>3272</v>
      </c>
      <c r="C14" s="155" t="s">
        <v>3391</v>
      </c>
      <c r="D14" s="89" t="s">
        <v>3273</v>
      </c>
      <c r="E14" s="89"/>
      <c r="F14" s="90">
        <v>45921</v>
      </c>
      <c r="G14" s="90"/>
      <c r="H14" s="91">
        <f>VLOOKUP(F14,환율!A:B,2,0)</f>
        <v>1384.6</v>
      </c>
      <c r="I14" s="118">
        <v>391862.46</v>
      </c>
      <c r="J14" s="93">
        <f t="shared" ref="J14:J20" si="2">ROUNDDOWN(I14*H14,0)</f>
        <v>542572762</v>
      </c>
      <c r="K14" s="93">
        <f t="shared" si="1"/>
        <v>542572762</v>
      </c>
      <c r="L14" s="254"/>
      <c r="M14" s="364"/>
      <c r="N14" s="434"/>
      <c r="O14" s="434"/>
      <c r="P14" s="434"/>
      <c r="Q14" s="434"/>
      <c r="R14" s="434"/>
      <c r="S14" s="434"/>
      <c r="T14" s="441"/>
    </row>
    <row r="15" spans="1:20" s="97" customFormat="1" ht="27" customHeight="1">
      <c r="A15" s="2011"/>
      <c r="B15" s="155" t="s">
        <v>3274</v>
      </c>
      <c r="C15" s="155" t="s">
        <v>3390</v>
      </c>
      <c r="D15" s="89" t="s">
        <v>3275</v>
      </c>
      <c r="E15" s="89"/>
      <c r="F15" s="90">
        <v>45921</v>
      </c>
      <c r="G15" s="90"/>
      <c r="H15" s="91">
        <f>VLOOKUP(F15,환율!A:B,2,0)</f>
        <v>1384.6</v>
      </c>
      <c r="I15" s="118">
        <v>57736.02</v>
      </c>
      <c r="J15" s="93">
        <f t="shared" si="2"/>
        <v>79941293</v>
      </c>
      <c r="K15" s="93">
        <f t="shared" si="1"/>
        <v>79941293</v>
      </c>
      <c r="L15" s="254"/>
      <c r="M15" s="364"/>
      <c r="N15" s="434"/>
      <c r="O15" s="434"/>
      <c r="P15" s="434"/>
      <c r="Q15" s="434"/>
      <c r="R15" s="434"/>
      <c r="S15" s="434"/>
      <c r="T15" s="441"/>
    </row>
    <row r="16" spans="1:20" s="97" customFormat="1" ht="27" customHeight="1">
      <c r="A16" s="2011"/>
      <c r="B16" s="640" t="s">
        <v>3388</v>
      </c>
      <c r="C16" s="640" t="s">
        <v>3390</v>
      </c>
      <c r="D16" s="107"/>
      <c r="E16" s="107"/>
      <c r="F16" s="108">
        <v>45901</v>
      </c>
      <c r="G16" s="108"/>
      <c r="H16" s="109">
        <f>VLOOKUP(F16,환율!A:B,2,0)</f>
        <v>1387.7</v>
      </c>
      <c r="I16" s="227">
        <v>37700</v>
      </c>
      <c r="J16" s="111">
        <f t="shared" si="2"/>
        <v>52316290</v>
      </c>
      <c r="K16" s="111">
        <f t="shared" si="1"/>
        <v>52316290</v>
      </c>
      <c r="L16" s="273"/>
      <c r="M16" s="364"/>
      <c r="N16" s="434"/>
      <c r="O16" s="434"/>
      <c r="P16" s="434"/>
      <c r="Q16" s="434"/>
      <c r="R16" s="434"/>
      <c r="S16" s="434"/>
      <c r="T16" s="441"/>
    </row>
    <row r="17" spans="1:20" s="97" customFormat="1" ht="27" customHeight="1">
      <c r="A17" s="2011"/>
      <c r="B17" s="640" t="s">
        <v>3389</v>
      </c>
      <c r="C17" s="640" t="s">
        <v>3390</v>
      </c>
      <c r="D17" s="107"/>
      <c r="E17" s="107"/>
      <c r="F17" s="108">
        <v>45901</v>
      </c>
      <c r="G17" s="108"/>
      <c r="H17" s="109">
        <f>VLOOKUP(F17,환율!A:B,2,0)</f>
        <v>1387.7</v>
      </c>
      <c r="I17" s="227">
        <v>42700</v>
      </c>
      <c r="J17" s="111">
        <f t="shared" si="2"/>
        <v>59254790</v>
      </c>
      <c r="K17" s="111">
        <f t="shared" si="1"/>
        <v>59254790</v>
      </c>
      <c r="L17" s="273"/>
      <c r="M17" s="364"/>
      <c r="N17" s="434"/>
      <c r="O17" s="434"/>
      <c r="P17" s="434"/>
      <c r="Q17" s="434"/>
      <c r="R17" s="434"/>
      <c r="S17" s="434"/>
      <c r="T17" s="441"/>
    </row>
    <row r="18" spans="1:20" s="97" customFormat="1" ht="27" customHeight="1">
      <c r="A18" s="2011"/>
      <c r="B18" s="640" t="s">
        <v>3387</v>
      </c>
      <c r="C18" s="640" t="s">
        <v>3390</v>
      </c>
      <c r="D18" s="107"/>
      <c r="E18" s="107"/>
      <c r="F18" s="108">
        <v>45925</v>
      </c>
      <c r="G18" s="108"/>
      <c r="H18" s="109">
        <f>VLOOKUP(F18,환율!A:B,2,0)</f>
        <v>1394.9</v>
      </c>
      <c r="I18" s="227">
        <v>9000</v>
      </c>
      <c r="J18" s="111">
        <f t="shared" ref="J18" si="3">ROUNDDOWN(I18*H18,0)</f>
        <v>12554100</v>
      </c>
      <c r="K18" s="111">
        <f t="shared" ref="K18" si="4">J18</f>
        <v>12554100</v>
      </c>
      <c r="L18" s="273"/>
      <c r="M18" s="364"/>
      <c r="N18" s="434"/>
      <c r="O18" s="434"/>
      <c r="P18" s="434"/>
      <c r="Q18" s="434"/>
      <c r="R18" s="434"/>
      <c r="S18" s="434"/>
      <c r="T18" s="441"/>
    </row>
    <row r="19" spans="1:20" s="97" customFormat="1" ht="27" customHeight="1">
      <c r="A19" s="2011"/>
      <c r="B19" s="546" t="s">
        <v>3276</v>
      </c>
      <c r="C19" s="546" t="s">
        <v>2504</v>
      </c>
      <c r="D19" s="547"/>
      <c r="E19" s="547"/>
      <c r="F19" s="527">
        <v>45936</v>
      </c>
      <c r="G19" s="527"/>
      <c r="H19" s="528">
        <f>VLOOKUP(F19,환율!A:B,2,0)</f>
        <v>1406</v>
      </c>
      <c r="I19" s="554">
        <v>417084.48</v>
      </c>
      <c r="J19" s="530">
        <f t="shared" si="2"/>
        <v>586420778</v>
      </c>
      <c r="K19" s="530"/>
      <c r="L19" s="548">
        <f>J19</f>
        <v>586420778</v>
      </c>
      <c r="M19" s="364"/>
      <c r="N19" s="434"/>
      <c r="O19" s="434"/>
      <c r="P19" s="434"/>
      <c r="Q19" s="434"/>
      <c r="R19" s="434"/>
      <c r="S19" s="434"/>
      <c r="T19" s="441"/>
    </row>
    <row r="20" spans="1:20" s="97" customFormat="1" ht="27" customHeight="1">
      <c r="A20" s="2019"/>
      <c r="B20" s="546" t="s">
        <v>3277</v>
      </c>
      <c r="C20" s="546" t="s">
        <v>38</v>
      </c>
      <c r="D20" s="547" t="s">
        <v>3275</v>
      </c>
      <c r="E20" s="547"/>
      <c r="F20" s="527">
        <v>45936</v>
      </c>
      <c r="G20" s="527"/>
      <c r="H20" s="528">
        <f>VLOOKUP(F20,환율!A:B,2,0)</f>
        <v>1406</v>
      </c>
      <c r="I20" s="554">
        <v>61452.168393393935</v>
      </c>
      <c r="J20" s="530">
        <f t="shared" si="2"/>
        <v>86401748</v>
      </c>
      <c r="K20" s="530"/>
      <c r="L20" s="548">
        <f>J20</f>
        <v>86401748</v>
      </c>
      <c r="M20" s="401"/>
      <c r="N20" s="434"/>
      <c r="O20" s="434"/>
      <c r="P20" s="434"/>
      <c r="Q20" s="434"/>
      <c r="R20" s="434"/>
      <c r="S20" s="434"/>
      <c r="T20" s="441"/>
    </row>
    <row r="21" spans="1:20" s="97" customFormat="1" ht="27" customHeight="1">
      <c r="A21" s="2035" t="s">
        <v>10</v>
      </c>
      <c r="B21" s="2036"/>
      <c r="C21" s="2036"/>
      <c r="D21" s="2036"/>
      <c r="E21" s="2036"/>
      <c r="F21" s="2036"/>
      <c r="G21" s="2036"/>
      <c r="H21" s="2037"/>
      <c r="I21" s="642">
        <f>SUM(I12:I20)</f>
        <v>1467735.3583933939</v>
      </c>
      <c r="J21" s="116">
        <f>SUM(J12:J20)</f>
        <v>2046050441</v>
      </c>
      <c r="K21" s="116">
        <f>SUM(K12:K20)</f>
        <v>1373227915</v>
      </c>
      <c r="L21" s="260">
        <f>SUM(L12:L20)</f>
        <v>672822526</v>
      </c>
      <c r="M21" s="364"/>
      <c r="N21" s="434"/>
      <c r="O21" s="434"/>
      <c r="P21" s="434"/>
      <c r="Q21" s="434"/>
      <c r="R21" s="434"/>
      <c r="S21" s="434"/>
      <c r="T21" s="441"/>
    </row>
    <row r="22" spans="1:20" s="97" customFormat="1" ht="27" customHeight="1">
      <c r="A22" s="2010" t="s">
        <v>3099</v>
      </c>
      <c r="B22" s="509" t="s">
        <v>3136</v>
      </c>
      <c r="C22" s="509" t="s">
        <v>3391</v>
      </c>
      <c r="D22" s="454" t="s">
        <v>3147</v>
      </c>
      <c r="E22" s="477"/>
      <c r="F22" s="465">
        <v>45904</v>
      </c>
      <c r="G22" s="465"/>
      <c r="H22" s="456">
        <f>VLOOKUP(F22,환율!A:B,2,0)</f>
        <v>1393.8</v>
      </c>
      <c r="I22" s="462">
        <v>20459.04</v>
      </c>
      <c r="J22" s="458">
        <f t="shared" ref="J22:J24" si="5">ROUNDDOWN(I22*H22,0)</f>
        <v>28515809</v>
      </c>
      <c r="K22" s="458">
        <f>J22</f>
        <v>28515809</v>
      </c>
      <c r="L22" s="464"/>
      <c r="M22" s="364"/>
      <c r="N22" s="434"/>
      <c r="O22" s="434"/>
      <c r="P22" s="434"/>
      <c r="Q22" s="434"/>
      <c r="R22" s="434"/>
      <c r="S22" s="434"/>
      <c r="T22" s="441"/>
    </row>
    <row r="23" spans="1:20" s="120" customFormat="1" ht="27" customHeight="1">
      <c r="A23" s="2011"/>
      <c r="B23" s="509" t="s">
        <v>3138</v>
      </c>
      <c r="C23" s="509" t="s">
        <v>3391</v>
      </c>
      <c r="D23" s="454" t="s">
        <v>3149</v>
      </c>
      <c r="E23" s="477"/>
      <c r="F23" s="465">
        <v>45906</v>
      </c>
      <c r="G23" s="465"/>
      <c r="H23" s="456">
        <f>VLOOKUP(F23,환율!A:B,2,0)</f>
        <v>1392.7</v>
      </c>
      <c r="I23" s="462">
        <v>11550</v>
      </c>
      <c r="J23" s="458">
        <f t="shared" si="5"/>
        <v>16085685</v>
      </c>
      <c r="K23" s="458">
        <f>J23</f>
        <v>16085685</v>
      </c>
      <c r="L23" s="464"/>
      <c r="M23" s="365"/>
      <c r="N23" s="434"/>
      <c r="O23" s="434"/>
      <c r="P23" s="434"/>
      <c r="Q23" s="434"/>
      <c r="R23" s="434"/>
      <c r="S23" s="435"/>
      <c r="T23" s="442"/>
    </row>
    <row r="24" spans="1:20" s="120" customFormat="1" ht="27" customHeight="1">
      <c r="A24" s="2011"/>
      <c r="B24" s="509" t="s">
        <v>3141</v>
      </c>
      <c r="C24" s="509" t="s">
        <v>3391</v>
      </c>
      <c r="D24" s="454" t="s">
        <v>3154</v>
      </c>
      <c r="E24" s="477"/>
      <c r="F24" s="465">
        <v>45902</v>
      </c>
      <c r="G24" s="465"/>
      <c r="H24" s="456">
        <f>VLOOKUP(F24,환율!A:B,2,0)</f>
        <v>1392.4</v>
      </c>
      <c r="I24" s="462">
        <v>7326.72</v>
      </c>
      <c r="J24" s="458">
        <f t="shared" si="5"/>
        <v>10201724</v>
      </c>
      <c r="K24" s="458">
        <f>J24</f>
        <v>10201724</v>
      </c>
      <c r="L24" s="464"/>
      <c r="M24" s="365"/>
      <c r="S24" s="435"/>
      <c r="T24" s="442"/>
    </row>
    <row r="25" spans="1:20" s="120" customFormat="1" ht="27" customHeight="1">
      <c r="A25" s="2011"/>
      <c r="B25" s="155" t="s">
        <v>3362</v>
      </c>
      <c r="C25" s="155" t="s">
        <v>3391</v>
      </c>
      <c r="D25" s="155" t="s">
        <v>3370</v>
      </c>
      <c r="E25" s="319"/>
      <c r="F25" s="136">
        <v>45911</v>
      </c>
      <c r="G25" s="136"/>
      <c r="H25" s="163">
        <f>VLOOKUP(F25,환율!A:B,2,0)</f>
        <v>1387.6</v>
      </c>
      <c r="I25" s="131">
        <v>38455.199999999997</v>
      </c>
      <c r="J25" s="164">
        <f t="shared" ref="J25:J28" si="6">ROUNDDOWN(I25*H25,0)</f>
        <v>53360435</v>
      </c>
      <c r="K25" s="164">
        <f t="shared" ref="K25:K28" si="7">J25</f>
        <v>53360435</v>
      </c>
      <c r="L25" s="396"/>
      <c r="M25" s="365"/>
      <c r="S25" s="435"/>
      <c r="T25" s="442"/>
    </row>
    <row r="26" spans="1:20" s="120" customFormat="1" ht="27" customHeight="1">
      <c r="A26" s="2011"/>
      <c r="B26" s="155" t="s">
        <v>3363</v>
      </c>
      <c r="C26" s="155" t="s">
        <v>3391</v>
      </c>
      <c r="D26" s="89" t="s">
        <v>3371</v>
      </c>
      <c r="E26" s="392"/>
      <c r="F26" s="130">
        <v>45910</v>
      </c>
      <c r="G26" s="130"/>
      <c r="H26" s="163">
        <f>VLOOKUP(F26,환율!A:B,2,0)</f>
        <v>1386.6</v>
      </c>
      <c r="I26" s="131">
        <v>32072.880000000001</v>
      </c>
      <c r="J26" s="164">
        <f t="shared" si="6"/>
        <v>44472255</v>
      </c>
      <c r="K26" s="164">
        <f t="shared" si="7"/>
        <v>44472255</v>
      </c>
      <c r="L26" s="396"/>
      <c r="M26" s="365"/>
      <c r="S26" s="435"/>
      <c r="T26" s="442"/>
    </row>
    <row r="27" spans="1:20" s="120" customFormat="1" ht="27" customHeight="1">
      <c r="A27" s="2011"/>
      <c r="B27" s="155" t="s">
        <v>3364</v>
      </c>
      <c r="C27" s="155" t="s">
        <v>3391</v>
      </c>
      <c r="D27" s="89" t="s">
        <v>3372</v>
      </c>
      <c r="E27" s="319"/>
      <c r="F27" s="136">
        <v>45922</v>
      </c>
      <c r="G27" s="136"/>
      <c r="H27" s="163">
        <f>VLOOKUP(F27,환율!A:B,2,0)</f>
        <v>1393.6</v>
      </c>
      <c r="I27" s="131">
        <v>79454.880000000005</v>
      </c>
      <c r="J27" s="164">
        <f t="shared" si="6"/>
        <v>110728320</v>
      </c>
      <c r="K27" s="164">
        <f t="shared" si="7"/>
        <v>110728320</v>
      </c>
      <c r="L27" s="254"/>
      <c r="M27" s="365"/>
      <c r="S27" s="435"/>
      <c r="T27" s="442"/>
    </row>
    <row r="28" spans="1:20" s="120" customFormat="1" ht="27" customHeight="1">
      <c r="A28" s="2011"/>
      <c r="B28" s="155" t="s">
        <v>3366</v>
      </c>
      <c r="C28" s="155" t="s">
        <v>3391</v>
      </c>
      <c r="D28" s="89" t="s">
        <v>3373</v>
      </c>
      <c r="E28" s="319"/>
      <c r="F28" s="136">
        <v>45929</v>
      </c>
      <c r="G28" s="136"/>
      <c r="H28" s="163">
        <f>VLOOKUP(F28,환율!A:B,2,0)</f>
        <v>1411.6</v>
      </c>
      <c r="I28" s="131">
        <v>23616</v>
      </c>
      <c r="J28" s="164">
        <f t="shared" si="6"/>
        <v>33336345</v>
      </c>
      <c r="K28" s="164">
        <f t="shared" si="7"/>
        <v>33336345</v>
      </c>
      <c r="L28" s="254"/>
      <c r="M28" s="365"/>
      <c r="S28" s="435"/>
      <c r="T28" s="442"/>
    </row>
    <row r="29" spans="1:20" s="120" customFormat="1" ht="27" customHeight="1">
      <c r="A29" s="2011"/>
      <c r="B29" s="155" t="s">
        <v>3367</v>
      </c>
      <c r="C29" s="155" t="s">
        <v>3391</v>
      </c>
      <c r="D29" s="89" t="s">
        <v>3374</v>
      </c>
      <c r="E29" s="319"/>
      <c r="F29" s="136">
        <v>45911</v>
      </c>
      <c r="G29" s="136"/>
      <c r="H29" s="91">
        <f>VLOOKUP(F29,환율!A:B,2,0)</f>
        <v>1387.6</v>
      </c>
      <c r="I29" s="134">
        <v>185.5</v>
      </c>
      <c r="J29" s="93">
        <f>ROUNDDOWN(I29*H29,0)</f>
        <v>257399</v>
      </c>
      <c r="K29" s="93">
        <f>J29</f>
        <v>257399</v>
      </c>
      <c r="L29" s="254"/>
      <c r="M29" s="365"/>
      <c r="S29" s="435"/>
      <c r="T29" s="442"/>
    </row>
    <row r="30" spans="1:20" s="120" customFormat="1" ht="27" customHeight="1">
      <c r="A30" s="2011"/>
      <c r="B30" s="155" t="s">
        <v>3368</v>
      </c>
      <c r="C30" s="155" t="s">
        <v>3391</v>
      </c>
      <c r="D30" s="89" t="s">
        <v>3375</v>
      </c>
      <c r="E30" s="319"/>
      <c r="F30" s="136">
        <v>45911</v>
      </c>
      <c r="G30" s="136"/>
      <c r="H30" s="91">
        <f>VLOOKUP(F30,환율!A:B,2,0)</f>
        <v>1387.6</v>
      </c>
      <c r="I30" s="134">
        <v>179.25</v>
      </c>
      <c r="J30" s="93">
        <f t="shared" ref="J30:J31" si="8">ROUNDDOWN(I30*H30,0)</f>
        <v>248727</v>
      </c>
      <c r="K30" s="93">
        <f t="shared" ref="K30:K31" si="9">J30</f>
        <v>248727</v>
      </c>
      <c r="L30" s="254"/>
      <c r="M30" s="365"/>
      <c r="S30" s="435"/>
      <c r="T30" s="442"/>
    </row>
    <row r="31" spans="1:20" s="120" customFormat="1" ht="27" customHeight="1">
      <c r="A31" s="2011"/>
      <c r="B31" s="155" t="s">
        <v>3369</v>
      </c>
      <c r="C31" s="155" t="s">
        <v>3391</v>
      </c>
      <c r="D31" s="89" t="s">
        <v>3376</v>
      </c>
      <c r="E31" s="319"/>
      <c r="F31" s="136">
        <v>45911</v>
      </c>
      <c r="G31" s="136"/>
      <c r="H31" s="91">
        <f>VLOOKUP(F31,환율!A:B,2,0)</f>
        <v>1387.6</v>
      </c>
      <c r="I31" s="134">
        <v>583</v>
      </c>
      <c r="J31" s="93">
        <f t="shared" si="8"/>
        <v>808970</v>
      </c>
      <c r="K31" s="93">
        <f t="shared" si="9"/>
        <v>808970</v>
      </c>
      <c r="L31" s="254"/>
      <c r="M31" s="365"/>
      <c r="S31" s="435"/>
      <c r="T31" s="442"/>
    </row>
    <row r="32" spans="1:20" s="120" customFormat="1" ht="27" customHeight="1">
      <c r="A32" s="2011"/>
      <c r="B32" s="155" t="s">
        <v>3380</v>
      </c>
      <c r="C32" s="155" t="s">
        <v>3391</v>
      </c>
      <c r="D32" s="89" t="s">
        <v>3378</v>
      </c>
      <c r="E32" s="319"/>
      <c r="F32" s="136">
        <v>45915</v>
      </c>
      <c r="G32" s="136"/>
      <c r="H32" s="91">
        <f>VLOOKUP(F32,환율!A:B,2,0)</f>
        <v>1388.7</v>
      </c>
      <c r="I32" s="134">
        <v>14653.44</v>
      </c>
      <c r="J32" s="93">
        <f t="shared" ref="J32:J33" si="10">ROUNDDOWN(I32*H32,0)</f>
        <v>20349232</v>
      </c>
      <c r="K32" s="93">
        <f t="shared" ref="K32" si="11">J32</f>
        <v>20349232</v>
      </c>
      <c r="L32" s="254"/>
      <c r="M32" s="365"/>
      <c r="S32" s="435"/>
      <c r="T32" s="442"/>
    </row>
    <row r="33" spans="1:20" s="120" customFormat="1" ht="27" customHeight="1">
      <c r="A33" s="2011"/>
      <c r="B33" s="546" t="s">
        <v>3365</v>
      </c>
      <c r="C33" s="546" t="s">
        <v>3390</v>
      </c>
      <c r="D33" s="547" t="s">
        <v>3379</v>
      </c>
      <c r="E33" s="549"/>
      <c r="F33" s="550">
        <v>45936</v>
      </c>
      <c r="G33" s="550"/>
      <c r="H33" s="528">
        <f>VLOOKUP(F33,환율!A:B,2,0)</f>
        <v>1406</v>
      </c>
      <c r="I33" s="551">
        <v>50313.599999999999</v>
      </c>
      <c r="J33" s="530">
        <f t="shared" si="10"/>
        <v>70740921</v>
      </c>
      <c r="K33" s="530"/>
      <c r="L33" s="548">
        <f>J33</f>
        <v>70740921</v>
      </c>
      <c r="M33" s="365"/>
      <c r="S33" s="435"/>
      <c r="T33" s="442"/>
    </row>
    <row r="34" spans="1:20" s="97" customFormat="1" ht="27" customHeight="1">
      <c r="A34" s="2035" t="s">
        <v>10</v>
      </c>
      <c r="B34" s="2036"/>
      <c r="C34" s="2036"/>
      <c r="D34" s="2036"/>
      <c r="E34" s="2036"/>
      <c r="F34" s="2036"/>
      <c r="G34" s="2036"/>
      <c r="H34" s="2037"/>
      <c r="I34" s="643">
        <f>SUM(I22:I33)</f>
        <v>278849.51</v>
      </c>
      <c r="J34" s="116">
        <f>SUM(J22:J33)</f>
        <v>389105822</v>
      </c>
      <c r="K34" s="116">
        <f>SUM(K22:K33)</f>
        <v>318364901</v>
      </c>
      <c r="L34" s="116">
        <f>SUM(L22:L33)</f>
        <v>70740921</v>
      </c>
      <c r="M34" s="364"/>
      <c r="N34" s="434"/>
      <c r="O34" s="434"/>
      <c r="P34" s="434"/>
      <c r="Q34" s="434"/>
      <c r="R34" s="434"/>
      <c r="S34" s="434"/>
      <c r="T34" s="441"/>
    </row>
    <row r="35" spans="1:20" s="97" customFormat="1" ht="27" customHeight="1">
      <c r="A35" s="2010" t="s">
        <v>3100</v>
      </c>
      <c r="B35" s="510" t="s">
        <v>3163</v>
      </c>
      <c r="C35" s="561" t="s">
        <v>3390</v>
      </c>
      <c r="D35" s="460" t="s">
        <v>3259</v>
      </c>
      <c r="E35" s="460"/>
      <c r="F35" s="465">
        <v>45904</v>
      </c>
      <c r="G35" s="465"/>
      <c r="H35" s="456">
        <f>VLOOKUP(F35,환율!A:B,2,0)</f>
        <v>1393.8</v>
      </c>
      <c r="I35" s="462">
        <v>86031.039999999994</v>
      </c>
      <c r="J35" s="458">
        <f t="shared" ref="J35:J42" si="12">ROUNDDOWN(I35*H35,0)</f>
        <v>119910063</v>
      </c>
      <c r="K35" s="458">
        <f>J35</f>
        <v>119910063</v>
      </c>
      <c r="L35" s="464"/>
      <c r="M35" s="364"/>
      <c r="S35" s="434"/>
      <c r="T35" s="441"/>
    </row>
    <row r="36" spans="1:20" s="97" customFormat="1" ht="27" customHeight="1">
      <c r="A36" s="2011"/>
      <c r="B36" s="510" t="s">
        <v>3164</v>
      </c>
      <c r="C36" s="561" t="s">
        <v>3390</v>
      </c>
      <c r="D36" s="460" t="s">
        <v>3260</v>
      </c>
      <c r="E36" s="460"/>
      <c r="F36" s="465">
        <v>45904</v>
      </c>
      <c r="G36" s="465"/>
      <c r="H36" s="456">
        <f>VLOOKUP(F36,환율!A:B,2,0)</f>
        <v>1393.8</v>
      </c>
      <c r="I36" s="462">
        <v>77109.2</v>
      </c>
      <c r="J36" s="458">
        <f t="shared" si="12"/>
        <v>107474802</v>
      </c>
      <c r="K36" s="458">
        <f>J36</f>
        <v>107474802</v>
      </c>
      <c r="L36" s="464"/>
      <c r="M36" s="364"/>
      <c r="S36" s="434"/>
      <c r="T36" s="441"/>
    </row>
    <row r="37" spans="1:20" s="97" customFormat="1" ht="27" customHeight="1">
      <c r="A37" s="2011"/>
      <c r="B37" s="510" t="s">
        <v>3165</v>
      </c>
      <c r="C37" s="561" t="s">
        <v>3390</v>
      </c>
      <c r="D37" s="460" t="s">
        <v>3261</v>
      </c>
      <c r="E37" s="460"/>
      <c r="F37" s="455">
        <v>45904</v>
      </c>
      <c r="G37" s="455"/>
      <c r="H37" s="456">
        <f>VLOOKUP(F37,환율!A:B,2,0)</f>
        <v>1393.8</v>
      </c>
      <c r="I37" s="462">
        <v>5567.04</v>
      </c>
      <c r="J37" s="458">
        <f t="shared" si="12"/>
        <v>7759340</v>
      </c>
      <c r="K37" s="458">
        <f t="shared" ref="K37:K42" si="13">J37</f>
        <v>7759340</v>
      </c>
      <c r="L37" s="464"/>
      <c r="M37" s="364"/>
      <c r="S37" s="434"/>
      <c r="T37" s="441"/>
    </row>
    <row r="38" spans="1:20" s="97" customFormat="1" ht="27" customHeight="1">
      <c r="A38" s="2011"/>
      <c r="B38" s="510" t="s">
        <v>3166</v>
      </c>
      <c r="C38" s="561" t="s">
        <v>3390</v>
      </c>
      <c r="D38" s="460" t="s">
        <v>3262</v>
      </c>
      <c r="E38" s="460"/>
      <c r="F38" s="455">
        <v>45904</v>
      </c>
      <c r="G38" s="455"/>
      <c r="H38" s="456">
        <f>VLOOKUP(F38,환율!A:B,2,0)</f>
        <v>1393.8</v>
      </c>
      <c r="I38" s="462">
        <v>50341.14</v>
      </c>
      <c r="J38" s="458">
        <f t="shared" si="12"/>
        <v>70165480</v>
      </c>
      <c r="K38" s="458">
        <f t="shared" si="13"/>
        <v>70165480</v>
      </c>
      <c r="L38" s="464"/>
      <c r="M38" s="364"/>
      <c r="S38" s="434"/>
      <c r="T38" s="441"/>
    </row>
    <row r="39" spans="1:20" s="97" customFormat="1" ht="27" customHeight="1">
      <c r="A39" s="2011"/>
      <c r="B39" s="510" t="s">
        <v>3167</v>
      </c>
      <c r="C39" s="561" t="s">
        <v>3390</v>
      </c>
      <c r="D39" s="460" t="s">
        <v>3263</v>
      </c>
      <c r="E39" s="460"/>
      <c r="F39" s="455">
        <v>45904</v>
      </c>
      <c r="G39" s="455"/>
      <c r="H39" s="456">
        <f>VLOOKUP(F39,환율!A:B,2,0)</f>
        <v>1393.8</v>
      </c>
      <c r="I39" s="462">
        <v>2364</v>
      </c>
      <c r="J39" s="458">
        <f t="shared" si="12"/>
        <v>3294943</v>
      </c>
      <c r="K39" s="458">
        <f t="shared" si="13"/>
        <v>3294943</v>
      </c>
      <c r="L39" s="464"/>
      <c r="M39" s="364"/>
      <c r="S39" s="434"/>
      <c r="T39" s="441"/>
    </row>
    <row r="40" spans="1:20" s="126" customFormat="1" ht="27" customHeight="1">
      <c r="A40" s="2011"/>
      <c r="B40" s="510" t="s">
        <v>3168</v>
      </c>
      <c r="C40" s="619" t="s">
        <v>3390</v>
      </c>
      <c r="D40" s="460" t="s">
        <v>3264</v>
      </c>
      <c r="E40" s="460"/>
      <c r="F40" s="455">
        <v>45913</v>
      </c>
      <c r="G40" s="455"/>
      <c r="H40" s="456">
        <f>VLOOKUP(F40,환율!A:B,2,0)</f>
        <v>1389.4</v>
      </c>
      <c r="I40" s="462">
        <v>3295.96</v>
      </c>
      <c r="J40" s="458">
        <f t="shared" si="12"/>
        <v>4579406</v>
      </c>
      <c r="K40" s="458">
        <f t="shared" si="13"/>
        <v>4579406</v>
      </c>
      <c r="L40" s="464"/>
      <c r="M40" s="401"/>
      <c r="N40" s="97"/>
      <c r="O40" s="97"/>
      <c r="P40" s="97"/>
      <c r="Q40" s="97"/>
      <c r="R40" s="97"/>
      <c r="S40" s="436"/>
      <c r="T40" s="443"/>
    </row>
    <row r="41" spans="1:20" s="126" customFormat="1" ht="27" customHeight="1">
      <c r="A41" s="2011"/>
      <c r="B41" s="510" t="s">
        <v>3169</v>
      </c>
      <c r="C41" s="561" t="s">
        <v>3390</v>
      </c>
      <c r="D41" s="460" t="s">
        <v>3265</v>
      </c>
      <c r="E41" s="460"/>
      <c r="F41" s="465">
        <v>45904</v>
      </c>
      <c r="G41" s="465"/>
      <c r="H41" s="456">
        <f>VLOOKUP(F41,환율!A:B,2,0)</f>
        <v>1393.8</v>
      </c>
      <c r="I41" s="462">
        <v>128650.68</v>
      </c>
      <c r="J41" s="458">
        <f t="shared" si="12"/>
        <v>179313317</v>
      </c>
      <c r="K41" s="458">
        <f t="shared" si="13"/>
        <v>179313317</v>
      </c>
      <c r="L41" s="464"/>
      <c r="M41" s="401"/>
      <c r="N41" s="97"/>
      <c r="O41" s="97"/>
      <c r="P41" s="97"/>
      <c r="Q41" s="97"/>
      <c r="R41" s="97"/>
      <c r="S41" s="436"/>
      <c r="T41" s="443"/>
    </row>
    <row r="42" spans="1:20" s="126" customFormat="1" ht="27" customHeight="1">
      <c r="A42" s="2011"/>
      <c r="B42" s="510" t="s">
        <v>3170</v>
      </c>
      <c r="C42" s="561" t="s">
        <v>3390</v>
      </c>
      <c r="D42" s="460" t="s">
        <v>3381</v>
      </c>
      <c r="E42" s="460"/>
      <c r="F42" s="465">
        <v>45922</v>
      </c>
      <c r="G42" s="465"/>
      <c r="H42" s="456">
        <f>VLOOKUP(F42,환율!A:B,2,0)</f>
        <v>1393.6</v>
      </c>
      <c r="I42" s="462">
        <v>17701.599999999999</v>
      </c>
      <c r="J42" s="458">
        <f t="shared" si="12"/>
        <v>24668949</v>
      </c>
      <c r="K42" s="458">
        <f t="shared" si="13"/>
        <v>24668949</v>
      </c>
      <c r="L42" s="464"/>
      <c r="M42" s="401"/>
      <c r="N42" s="97"/>
      <c r="O42" s="97"/>
      <c r="P42" s="97"/>
      <c r="Q42" s="97"/>
      <c r="R42" s="97"/>
      <c r="S42" s="436"/>
      <c r="T42" s="443"/>
    </row>
    <row r="43" spans="1:20" s="126" customFormat="1" ht="27" customHeight="1">
      <c r="A43" s="2011"/>
      <c r="B43" s="513" t="s">
        <v>3278</v>
      </c>
      <c r="C43" s="563" t="s">
        <v>3390</v>
      </c>
      <c r="D43" s="129" t="s">
        <v>3279</v>
      </c>
      <c r="E43" s="129"/>
      <c r="F43" s="136">
        <v>45914</v>
      </c>
      <c r="G43" s="90"/>
      <c r="H43" s="91">
        <f>VLOOKUP(F43,환율!A:B,2,0)</f>
        <v>1389.4</v>
      </c>
      <c r="I43" s="134">
        <v>28837.48</v>
      </c>
      <c r="J43" s="93">
        <f t="shared" ref="J43:J54" si="14">ROUNDDOWN(I43*H43,0)</f>
        <v>40066794</v>
      </c>
      <c r="K43" s="93">
        <f>J43</f>
        <v>40066794</v>
      </c>
      <c r="L43" s="254"/>
      <c r="M43" s="401"/>
      <c r="N43" s="97"/>
      <c r="O43" s="97"/>
      <c r="P43" s="97"/>
      <c r="Q43" s="97"/>
      <c r="R43" s="97"/>
      <c r="S43" s="436"/>
      <c r="T43" s="443"/>
    </row>
    <row r="44" spans="1:20" s="126" customFormat="1" ht="27" customHeight="1">
      <c r="A44" s="2011"/>
      <c r="B44" s="513" t="s">
        <v>3280</v>
      </c>
      <c r="C44" s="563" t="s">
        <v>3390</v>
      </c>
      <c r="D44" s="129" t="s">
        <v>3284</v>
      </c>
      <c r="E44" s="129"/>
      <c r="F44" s="90">
        <v>45914</v>
      </c>
      <c r="G44" s="90"/>
      <c r="H44" s="91">
        <f>VLOOKUP(F44,환율!A:B,2,0)</f>
        <v>1389.4</v>
      </c>
      <c r="I44" s="134">
        <v>77184.600000000006</v>
      </c>
      <c r="J44" s="93">
        <f t="shared" si="14"/>
        <v>107240283</v>
      </c>
      <c r="K44" s="93">
        <f t="shared" ref="K44:K47" si="15">J44</f>
        <v>107240283</v>
      </c>
      <c r="L44" s="254"/>
      <c r="M44" s="364"/>
      <c r="N44" s="97"/>
      <c r="O44" s="97"/>
      <c r="P44" s="97"/>
      <c r="Q44" s="97"/>
      <c r="R44" s="97"/>
      <c r="S44" s="436"/>
      <c r="T44" s="443"/>
    </row>
    <row r="45" spans="1:20" s="126" customFormat="1" ht="27" customHeight="1">
      <c r="A45" s="2011"/>
      <c r="B45" s="513" t="s">
        <v>3281</v>
      </c>
      <c r="C45" s="563" t="s">
        <v>3390</v>
      </c>
      <c r="D45" s="129" t="s">
        <v>3285</v>
      </c>
      <c r="E45" s="129"/>
      <c r="F45" s="90">
        <v>45913</v>
      </c>
      <c r="G45" s="90"/>
      <c r="H45" s="91">
        <f>VLOOKUP(F45,환율!A:B,2,0)</f>
        <v>1389.4</v>
      </c>
      <c r="I45" s="134">
        <v>33175.4</v>
      </c>
      <c r="J45" s="93">
        <f t="shared" si="14"/>
        <v>46093900</v>
      </c>
      <c r="K45" s="93">
        <f t="shared" si="15"/>
        <v>46093900</v>
      </c>
      <c r="L45" s="254"/>
      <c r="M45" s="364"/>
      <c r="N45" s="97"/>
      <c r="O45" s="97"/>
      <c r="P45" s="97"/>
      <c r="Q45" s="97"/>
      <c r="R45" s="97"/>
      <c r="S45" s="436"/>
      <c r="T45" s="443"/>
    </row>
    <row r="46" spans="1:20" s="126" customFormat="1" ht="27" customHeight="1">
      <c r="A46" s="2011"/>
      <c r="B46" s="513" t="s">
        <v>3282</v>
      </c>
      <c r="C46" s="563" t="s">
        <v>3390</v>
      </c>
      <c r="D46" s="129" t="s">
        <v>3286</v>
      </c>
      <c r="E46" s="129"/>
      <c r="F46" s="90">
        <v>45921</v>
      </c>
      <c r="G46" s="90"/>
      <c r="H46" s="91">
        <f>VLOOKUP(F46,환율!A:B,2,0)</f>
        <v>1384.6</v>
      </c>
      <c r="I46" s="134">
        <v>55718.080000000002</v>
      </c>
      <c r="J46" s="93">
        <f t="shared" si="14"/>
        <v>77147253</v>
      </c>
      <c r="K46" s="93">
        <f t="shared" si="15"/>
        <v>77147253</v>
      </c>
      <c r="L46" s="254"/>
      <c r="M46" s="364"/>
      <c r="N46" s="97"/>
      <c r="O46" s="97"/>
      <c r="P46" s="97"/>
      <c r="Q46" s="97"/>
      <c r="R46" s="97"/>
      <c r="S46" s="436"/>
      <c r="T46" s="443"/>
    </row>
    <row r="47" spans="1:20" s="126" customFormat="1" ht="27" customHeight="1">
      <c r="A47" s="2011"/>
      <c r="B47" s="513" t="s">
        <v>3288</v>
      </c>
      <c r="C47" s="563" t="s">
        <v>3390</v>
      </c>
      <c r="D47" s="129" t="s">
        <v>3295</v>
      </c>
      <c r="E47" s="129"/>
      <c r="F47" s="90">
        <v>45922</v>
      </c>
      <c r="G47" s="90"/>
      <c r="H47" s="91">
        <f>VLOOKUP(F47,환율!A:B,2,0)</f>
        <v>1393.6</v>
      </c>
      <c r="I47" s="134">
        <v>73424.12</v>
      </c>
      <c r="J47" s="93">
        <f t="shared" si="14"/>
        <v>102323853</v>
      </c>
      <c r="K47" s="93">
        <f t="shared" si="15"/>
        <v>102323853</v>
      </c>
      <c r="L47" s="254"/>
      <c r="M47" s="364"/>
      <c r="N47" s="97"/>
      <c r="O47" s="97"/>
      <c r="P47" s="97"/>
      <c r="Q47" s="97"/>
      <c r="R47" s="97"/>
      <c r="S47" s="436"/>
      <c r="T47" s="443"/>
    </row>
    <row r="48" spans="1:20" s="126" customFormat="1" ht="27" customHeight="1">
      <c r="A48" s="2011"/>
      <c r="B48" s="513" t="s">
        <v>3289</v>
      </c>
      <c r="C48" s="563" t="s">
        <v>3390</v>
      </c>
      <c r="D48" s="129" t="s">
        <v>3296</v>
      </c>
      <c r="E48" s="129"/>
      <c r="F48" s="90">
        <v>45927</v>
      </c>
      <c r="G48" s="90"/>
      <c r="H48" s="91">
        <f>VLOOKUP(F48,환율!A:B,2,0)</f>
        <v>1400.4</v>
      </c>
      <c r="I48" s="134">
        <v>107836.56</v>
      </c>
      <c r="J48" s="93">
        <f t="shared" ref="J48:J53" si="16">ROUNDDOWN(I48*H48,0)</f>
        <v>151014318</v>
      </c>
      <c r="K48" s="93">
        <f t="shared" ref="K48" si="17">J48</f>
        <v>151014318</v>
      </c>
      <c r="L48" s="254"/>
      <c r="M48" s="364"/>
      <c r="N48" s="97"/>
      <c r="O48" s="97"/>
      <c r="P48" s="97"/>
      <c r="Q48" s="97"/>
      <c r="R48" s="97"/>
      <c r="S48" s="436"/>
      <c r="T48" s="443"/>
    </row>
    <row r="49" spans="1:20" s="126" customFormat="1" ht="27" customHeight="1">
      <c r="A49" s="2011"/>
      <c r="B49" s="556" t="s">
        <v>3283</v>
      </c>
      <c r="C49" s="564" t="s">
        <v>3390</v>
      </c>
      <c r="D49" s="557" t="s">
        <v>3287</v>
      </c>
      <c r="E49" s="557"/>
      <c r="F49" s="527">
        <v>45943</v>
      </c>
      <c r="G49" s="527"/>
      <c r="H49" s="528">
        <f>VLOOKUP(F49,환율!A:B,2,0)</f>
        <v>1420.5</v>
      </c>
      <c r="I49" s="551">
        <v>45774.400000000001</v>
      </c>
      <c r="J49" s="530">
        <f t="shared" si="16"/>
        <v>65022535</v>
      </c>
      <c r="K49" s="530"/>
      <c r="L49" s="548">
        <f t="shared" ref="L49" si="18">J49</f>
        <v>65022535</v>
      </c>
      <c r="M49" s="364"/>
      <c r="N49" s="97"/>
      <c r="O49" s="97"/>
      <c r="P49" s="97"/>
      <c r="Q49" s="97"/>
      <c r="R49" s="97"/>
      <c r="S49" s="436"/>
      <c r="T49" s="443"/>
    </row>
    <row r="50" spans="1:20" s="126" customFormat="1" ht="27" customHeight="1">
      <c r="A50" s="2011"/>
      <c r="B50" s="556" t="s">
        <v>3290</v>
      </c>
      <c r="C50" s="564" t="s">
        <v>3390</v>
      </c>
      <c r="D50" s="557" t="s">
        <v>3297</v>
      </c>
      <c r="E50" s="557"/>
      <c r="F50" s="527">
        <v>45935</v>
      </c>
      <c r="G50" s="527"/>
      <c r="H50" s="528">
        <f>VLOOKUP(F50,환율!A:B,2,0)</f>
        <v>1406</v>
      </c>
      <c r="I50" s="551">
        <v>55227.6</v>
      </c>
      <c r="J50" s="530">
        <f t="shared" ref="J50:J51" si="19">ROUNDDOWN(I50*H50,0)</f>
        <v>77650005</v>
      </c>
      <c r="K50" s="530"/>
      <c r="L50" s="548">
        <f>J50</f>
        <v>77650005</v>
      </c>
      <c r="M50" s="364"/>
      <c r="N50" s="97"/>
      <c r="O50" s="97"/>
      <c r="P50" s="97"/>
      <c r="Q50" s="97"/>
      <c r="R50" s="97"/>
      <c r="S50" s="436"/>
      <c r="T50" s="443"/>
    </row>
    <row r="51" spans="1:20" s="126" customFormat="1" ht="27" customHeight="1">
      <c r="A51" s="2011"/>
      <c r="B51" s="556" t="s">
        <v>3291</v>
      </c>
      <c r="C51" s="564" t="s">
        <v>3390</v>
      </c>
      <c r="D51" s="557" t="s">
        <v>3298</v>
      </c>
      <c r="E51" s="557"/>
      <c r="F51" s="527">
        <v>45937</v>
      </c>
      <c r="G51" s="527"/>
      <c r="H51" s="528">
        <f>VLOOKUP(F51,환율!A:B,2,0)</f>
        <v>1406</v>
      </c>
      <c r="I51" s="551">
        <v>33258.400000000001</v>
      </c>
      <c r="J51" s="530">
        <f t="shared" si="19"/>
        <v>46761310</v>
      </c>
      <c r="K51" s="530"/>
      <c r="L51" s="548">
        <f t="shared" ref="L51" si="20">J51</f>
        <v>46761310</v>
      </c>
      <c r="M51" s="364"/>
      <c r="N51" s="97"/>
      <c r="O51" s="97"/>
      <c r="P51" s="97"/>
      <c r="Q51" s="97"/>
      <c r="R51" s="97"/>
      <c r="S51" s="436"/>
      <c r="T51" s="443"/>
    </row>
    <row r="52" spans="1:20" s="126" customFormat="1" ht="27" customHeight="1">
      <c r="A52" s="2011"/>
      <c r="B52" s="556" t="s">
        <v>3292</v>
      </c>
      <c r="C52" s="564" t="s">
        <v>3390</v>
      </c>
      <c r="D52" s="557" t="s">
        <v>3299</v>
      </c>
      <c r="E52" s="557"/>
      <c r="F52" s="527">
        <v>45939</v>
      </c>
      <c r="G52" s="527"/>
      <c r="H52" s="528">
        <f>VLOOKUP(F52,환율!A:B,2,0)</f>
        <v>1406</v>
      </c>
      <c r="I52" s="551">
        <v>95027.28</v>
      </c>
      <c r="J52" s="530">
        <f t="shared" si="16"/>
        <v>133608355</v>
      </c>
      <c r="K52" s="530"/>
      <c r="L52" s="548">
        <f t="shared" ref="L52:L54" si="21">J52</f>
        <v>133608355</v>
      </c>
      <c r="M52" s="364"/>
      <c r="N52" s="97"/>
      <c r="O52" s="97"/>
      <c r="P52" s="97"/>
      <c r="Q52" s="97"/>
      <c r="R52" s="97"/>
      <c r="S52" s="436"/>
      <c r="T52" s="443"/>
    </row>
    <row r="53" spans="1:20" s="126" customFormat="1" ht="27" customHeight="1">
      <c r="A53" s="2011"/>
      <c r="B53" s="556" t="s">
        <v>3293</v>
      </c>
      <c r="C53" s="564" t="s">
        <v>3390</v>
      </c>
      <c r="D53" s="557" t="s">
        <v>3300</v>
      </c>
      <c r="E53" s="557"/>
      <c r="F53" s="527">
        <v>45941</v>
      </c>
      <c r="G53" s="527"/>
      <c r="H53" s="528">
        <f>VLOOKUP(F53,환율!A:B,2,0)</f>
        <v>1401.9</v>
      </c>
      <c r="I53" s="551">
        <v>39485.800000000003</v>
      </c>
      <c r="J53" s="530">
        <f t="shared" si="16"/>
        <v>55355143</v>
      </c>
      <c r="K53" s="530"/>
      <c r="L53" s="548">
        <f t="shared" si="21"/>
        <v>55355143</v>
      </c>
      <c r="M53" s="364"/>
      <c r="N53" s="97"/>
      <c r="O53" s="97"/>
      <c r="P53" s="97"/>
      <c r="Q53" s="97"/>
      <c r="R53" s="97"/>
      <c r="S53" s="436"/>
      <c r="T53" s="443"/>
    </row>
    <row r="54" spans="1:20" s="126" customFormat="1" ht="27" customHeight="1">
      <c r="A54" s="2011"/>
      <c r="B54" s="556" t="s">
        <v>3294</v>
      </c>
      <c r="C54" s="564" t="s">
        <v>3390</v>
      </c>
      <c r="D54" s="557" t="s">
        <v>3301</v>
      </c>
      <c r="E54" s="557"/>
      <c r="F54" s="527">
        <v>45941</v>
      </c>
      <c r="G54" s="527"/>
      <c r="H54" s="528">
        <f>VLOOKUP(F54,환율!A:B,2,0)</f>
        <v>1401.9</v>
      </c>
      <c r="I54" s="551">
        <v>59400</v>
      </c>
      <c r="J54" s="530">
        <f t="shared" si="14"/>
        <v>83272860</v>
      </c>
      <c r="K54" s="530"/>
      <c r="L54" s="548">
        <f t="shared" si="21"/>
        <v>83272860</v>
      </c>
      <c r="M54" s="364"/>
      <c r="N54" s="97"/>
      <c r="O54" s="97"/>
      <c r="P54" s="97"/>
      <c r="Q54" s="97"/>
      <c r="R54" s="97"/>
      <c r="S54" s="436"/>
      <c r="T54" s="443"/>
    </row>
    <row r="55" spans="1:20" s="97" customFormat="1" ht="27" customHeight="1">
      <c r="A55" s="2035" t="s">
        <v>10</v>
      </c>
      <c r="B55" s="2036"/>
      <c r="C55" s="2036"/>
      <c r="D55" s="2036"/>
      <c r="E55" s="2036"/>
      <c r="F55" s="2036"/>
      <c r="G55" s="2036"/>
      <c r="H55" s="2037"/>
      <c r="I55" s="643">
        <f>SUM(I35:I54)</f>
        <v>1075410.3799999999</v>
      </c>
      <c r="J55" s="116">
        <f>SUM(J35:J54)</f>
        <v>1502722909</v>
      </c>
      <c r="K55" s="116">
        <f>SUM(K35:K54)</f>
        <v>1041052701</v>
      </c>
      <c r="L55" s="260">
        <f>SUM(L35:L54)</f>
        <v>461670208</v>
      </c>
      <c r="M55" s="364"/>
      <c r="N55" s="434"/>
      <c r="O55" s="434"/>
      <c r="P55" s="434"/>
      <c r="Q55" s="434"/>
      <c r="R55" s="434"/>
      <c r="S55" s="434"/>
      <c r="T55" s="441"/>
    </row>
    <row r="56" spans="1:20" s="97" customFormat="1" ht="27" customHeight="1">
      <c r="A56" s="2010" t="s">
        <v>3101</v>
      </c>
      <c r="B56" s="513" t="s">
        <v>3303</v>
      </c>
      <c r="C56" s="513" t="s">
        <v>3391</v>
      </c>
      <c r="D56" s="513" t="s">
        <v>3302</v>
      </c>
      <c r="E56" s="89"/>
      <c r="F56" s="89">
        <v>45905</v>
      </c>
      <c r="G56" s="89"/>
      <c r="H56" s="91">
        <f>VLOOKUP(F56,환율!A:B,2,0)</f>
        <v>1392.7</v>
      </c>
      <c r="I56" s="118">
        <v>63269.279999999999</v>
      </c>
      <c r="J56" s="93">
        <f t="shared" ref="J56:J57" si="22">ROUNDDOWN(I56*H56,0)</f>
        <v>88115126</v>
      </c>
      <c r="K56" s="93">
        <f>J56</f>
        <v>88115126</v>
      </c>
      <c r="L56" s="254"/>
      <c r="M56" s="364"/>
      <c r="S56" s="434"/>
      <c r="T56" s="441"/>
    </row>
    <row r="57" spans="1:20" s="97" customFormat="1" ht="27" customHeight="1">
      <c r="A57" s="2019"/>
      <c r="B57" s="513" t="s">
        <v>3304</v>
      </c>
      <c r="C57" s="513" t="s">
        <v>3391</v>
      </c>
      <c r="D57" s="513" t="s">
        <v>3305</v>
      </c>
      <c r="E57" s="89"/>
      <c r="F57" s="89">
        <v>45926</v>
      </c>
      <c r="G57" s="89"/>
      <c r="H57" s="91">
        <f>VLOOKUP(F57,환율!A:B,2,0)</f>
        <v>1400.4</v>
      </c>
      <c r="I57" s="118">
        <v>120700.8</v>
      </c>
      <c r="J57" s="93">
        <f t="shared" si="22"/>
        <v>169029400</v>
      </c>
      <c r="K57" s="93">
        <f>J57</f>
        <v>169029400</v>
      </c>
      <c r="L57" s="254"/>
      <c r="M57" s="364"/>
      <c r="S57" s="434"/>
      <c r="T57" s="441"/>
    </row>
    <row r="58" spans="1:20" s="97" customFormat="1" ht="27" customHeight="1">
      <c r="A58" s="2035" t="s">
        <v>10</v>
      </c>
      <c r="B58" s="2036"/>
      <c r="C58" s="2036"/>
      <c r="D58" s="2036"/>
      <c r="E58" s="2036"/>
      <c r="F58" s="2036"/>
      <c r="G58" s="2036"/>
      <c r="H58" s="2037"/>
      <c r="I58" s="643">
        <f>SUM(I56:I57)</f>
        <v>183970.08000000002</v>
      </c>
      <c r="J58" s="116">
        <f>SUM(J56:J57)</f>
        <v>257144526</v>
      </c>
      <c r="K58" s="116">
        <f>SUM(K56:K57)</f>
        <v>257144526</v>
      </c>
      <c r="L58" s="260">
        <f>SUM(L56:L57)</f>
        <v>0</v>
      </c>
      <c r="M58" s="364"/>
      <c r="N58" s="434"/>
      <c r="O58" s="434"/>
      <c r="P58" s="434"/>
      <c r="Q58" s="434"/>
      <c r="R58" s="434"/>
      <c r="S58" s="434"/>
      <c r="T58" s="441"/>
    </row>
    <row r="59" spans="1:20" s="97" customFormat="1" ht="27" customHeight="1">
      <c r="A59" s="2010" t="s">
        <v>3102</v>
      </c>
      <c r="B59" s="510" t="s">
        <v>3266</v>
      </c>
      <c r="C59" s="619" t="s">
        <v>3391</v>
      </c>
      <c r="D59" s="460" t="s">
        <v>3267</v>
      </c>
      <c r="E59" s="460"/>
      <c r="F59" s="455">
        <v>45907</v>
      </c>
      <c r="G59" s="455"/>
      <c r="H59" s="456">
        <f>VLOOKUP(F59,환율!A:B,2,0)</f>
        <v>1392.7</v>
      </c>
      <c r="I59" s="462"/>
      <c r="J59" s="458">
        <v>70732349</v>
      </c>
      <c r="K59" s="458">
        <f>J59</f>
        <v>70732349</v>
      </c>
      <c r="L59" s="464"/>
      <c r="M59" s="401"/>
      <c r="S59" s="434"/>
      <c r="T59" s="441"/>
    </row>
    <row r="60" spans="1:20" s="97" customFormat="1" ht="27" customHeight="1">
      <c r="A60" s="2011"/>
      <c r="B60" s="524" t="s">
        <v>3306</v>
      </c>
      <c r="C60" s="524" t="s">
        <v>3390</v>
      </c>
      <c r="D60" s="524" t="s">
        <v>3307</v>
      </c>
      <c r="E60" s="552"/>
      <c r="F60" s="547">
        <v>45934</v>
      </c>
      <c r="G60" s="547"/>
      <c r="H60" s="528">
        <f>VLOOKUP(F60,환율!A:B,2,0)</f>
        <v>1406</v>
      </c>
      <c r="I60" s="554"/>
      <c r="J60" s="530">
        <v>35664542</v>
      </c>
      <c r="K60" s="530"/>
      <c r="L60" s="548">
        <f>J60</f>
        <v>35664542</v>
      </c>
      <c r="M60" s="401"/>
      <c r="S60" s="434"/>
      <c r="T60" s="441"/>
    </row>
    <row r="61" spans="1:20" s="97" customFormat="1" ht="27" customHeight="1">
      <c r="A61" s="2019"/>
      <c r="B61" s="524" t="s">
        <v>3308</v>
      </c>
      <c r="C61" s="524" t="s">
        <v>3390</v>
      </c>
      <c r="D61" s="524"/>
      <c r="E61" s="552"/>
      <c r="F61" s="547">
        <v>45934</v>
      </c>
      <c r="G61" s="547"/>
      <c r="H61" s="528">
        <f>VLOOKUP(F61,환율!A:B,2,0)</f>
        <v>1406</v>
      </c>
      <c r="I61" s="554"/>
      <c r="J61" s="530">
        <v>108853914</v>
      </c>
      <c r="K61" s="530"/>
      <c r="L61" s="548">
        <f>J61</f>
        <v>108853914</v>
      </c>
      <c r="M61" s="401"/>
      <c r="S61" s="434"/>
      <c r="T61" s="441"/>
    </row>
    <row r="62" spans="1:20" s="97" customFormat="1" ht="27" customHeight="1">
      <c r="A62" s="2035" t="s">
        <v>10</v>
      </c>
      <c r="B62" s="2036"/>
      <c r="C62" s="2036"/>
      <c r="D62" s="2036"/>
      <c r="E62" s="2036"/>
      <c r="F62" s="2036"/>
      <c r="G62" s="2036"/>
      <c r="H62" s="2037"/>
      <c r="I62" s="643">
        <f>SUM(I59:I59)</f>
        <v>0</v>
      </c>
      <c r="J62" s="116">
        <f>SUM(J59:J61)</f>
        <v>215250805</v>
      </c>
      <c r="K62" s="116">
        <f>SUM(K59:K61)</f>
        <v>70732349</v>
      </c>
      <c r="L62" s="260">
        <f>SUM(L59:L61)</f>
        <v>144518456</v>
      </c>
      <c r="M62" s="364"/>
      <c r="N62" s="434"/>
      <c r="O62" s="434"/>
      <c r="P62" s="434"/>
      <c r="R62" s="434"/>
      <c r="S62" s="434"/>
      <c r="T62" s="441"/>
    </row>
    <row r="63" spans="1:20" s="97" customFormat="1" ht="38.4">
      <c r="A63" s="362" t="s">
        <v>3103</v>
      </c>
      <c r="B63" s="638" t="s">
        <v>3386</v>
      </c>
      <c r="C63" s="639" t="s">
        <v>38</v>
      </c>
      <c r="D63" s="325" t="s">
        <v>38</v>
      </c>
      <c r="E63" s="325"/>
      <c r="F63" s="108">
        <v>45925</v>
      </c>
      <c r="G63" s="108"/>
      <c r="H63" s="109">
        <f>VLOOKUP(F63,환율!A:B,2,0)</f>
        <v>1394.9</v>
      </c>
      <c r="I63" s="326">
        <v>16400</v>
      </c>
      <c r="J63" s="111">
        <f>ROUNDDOWN(I63*H63,0)</f>
        <v>22876360</v>
      </c>
      <c r="K63" s="111">
        <f>J63</f>
        <v>22876360</v>
      </c>
      <c r="L63" s="273"/>
      <c r="M63" s="364"/>
      <c r="N63" s="434"/>
      <c r="O63" s="434"/>
      <c r="P63" s="434"/>
      <c r="R63" s="434"/>
      <c r="S63" s="434"/>
      <c r="T63" s="441"/>
    </row>
    <row r="64" spans="1:20" s="97" customFormat="1" ht="27" customHeight="1">
      <c r="A64" s="2035" t="s">
        <v>10</v>
      </c>
      <c r="B64" s="2036"/>
      <c r="C64" s="2036"/>
      <c r="D64" s="2036"/>
      <c r="E64" s="2036"/>
      <c r="F64" s="2036"/>
      <c r="G64" s="2036"/>
      <c r="H64" s="2037"/>
      <c r="I64" s="643">
        <f>SUM(I63:I63)</f>
        <v>16400</v>
      </c>
      <c r="J64" s="116">
        <f>SUM(J63:J63)</f>
        <v>22876360</v>
      </c>
      <c r="K64" s="116">
        <f>SUM(K63:K63)</f>
        <v>22876360</v>
      </c>
      <c r="L64" s="260">
        <f>SUM(L63:L63)</f>
        <v>0</v>
      </c>
      <c r="M64" s="364"/>
      <c r="N64" s="434"/>
      <c r="O64" s="434"/>
      <c r="P64" s="434"/>
      <c r="R64" s="434"/>
      <c r="S64" s="434"/>
      <c r="T64" s="441"/>
    </row>
    <row r="65" spans="1:20" s="97" customFormat="1" ht="37.5" customHeight="1">
      <c r="A65" s="637" t="s">
        <v>3104</v>
      </c>
      <c r="B65" s="556" t="s">
        <v>3309</v>
      </c>
      <c r="C65" s="608" t="s">
        <v>38</v>
      </c>
      <c r="D65" s="557" t="s">
        <v>3310</v>
      </c>
      <c r="E65" s="557"/>
      <c r="F65" s="527">
        <v>45936</v>
      </c>
      <c r="G65" s="527"/>
      <c r="H65" s="528">
        <f>VLOOKUP(F65,환율!A:B,2,0)</f>
        <v>1406</v>
      </c>
      <c r="I65" s="551">
        <v>6269.76</v>
      </c>
      <c r="J65" s="530">
        <f t="shared" ref="J65" si="23">ROUNDDOWN(I65*H65,0)</f>
        <v>8815282</v>
      </c>
      <c r="K65" s="530"/>
      <c r="L65" s="548">
        <f>J65</f>
        <v>8815282</v>
      </c>
      <c r="M65" s="401"/>
      <c r="S65" s="434"/>
      <c r="T65" s="441"/>
    </row>
    <row r="66" spans="1:20" s="97" customFormat="1" ht="27" customHeight="1">
      <c r="A66" s="2035" t="s">
        <v>10</v>
      </c>
      <c r="B66" s="2036"/>
      <c r="C66" s="2036"/>
      <c r="D66" s="2036"/>
      <c r="E66" s="2036"/>
      <c r="F66" s="2036"/>
      <c r="G66" s="2036"/>
      <c r="H66" s="2037"/>
      <c r="I66" s="643">
        <f>SUM(I65:I65)</f>
        <v>6269.76</v>
      </c>
      <c r="J66" s="116">
        <f>SUM(J65:J65)</f>
        <v>8815282</v>
      </c>
      <c r="K66" s="116">
        <f>SUM(K65:K65)</f>
        <v>0</v>
      </c>
      <c r="L66" s="260">
        <f>SUM(L65:L65)</f>
        <v>8815282</v>
      </c>
      <c r="M66" s="364"/>
      <c r="N66" s="434"/>
      <c r="O66" s="434"/>
      <c r="P66" s="434"/>
      <c r="R66" s="434"/>
      <c r="S66" s="434"/>
      <c r="T66" s="441"/>
    </row>
    <row r="67" spans="1:20" s="97" customFormat="1" ht="27" customHeight="1">
      <c r="A67" s="2010" t="s">
        <v>3208</v>
      </c>
      <c r="B67" s="174" t="s">
        <v>3311</v>
      </c>
      <c r="C67" s="173" t="s">
        <v>3390</v>
      </c>
      <c r="D67" s="173" t="s">
        <v>3320</v>
      </c>
      <c r="E67" s="288"/>
      <c r="F67" s="136">
        <v>45904</v>
      </c>
      <c r="G67" s="222"/>
      <c r="H67" s="91">
        <f>VLOOKUP(F67,환율!A:B,2,0)</f>
        <v>1393.8</v>
      </c>
      <c r="I67" s="118">
        <v>1291.08</v>
      </c>
      <c r="J67" s="93">
        <f t="shared" ref="J67:J76" si="24">ROUNDDOWN(I67*H67,0)</f>
        <v>1799507</v>
      </c>
      <c r="K67" s="93">
        <f t="shared" ref="K67:K76" si="25">J67</f>
        <v>1799507</v>
      </c>
      <c r="L67" s="254"/>
      <c r="M67" s="364"/>
      <c r="S67" s="434"/>
      <c r="T67" s="441"/>
    </row>
    <row r="68" spans="1:20" s="97" customFormat="1" ht="27" customHeight="1">
      <c r="A68" s="2011"/>
      <c r="B68" s="174" t="s">
        <v>3312</v>
      </c>
      <c r="C68" s="173" t="s">
        <v>3390</v>
      </c>
      <c r="D68" s="173" t="s">
        <v>3321</v>
      </c>
      <c r="E68" s="288"/>
      <c r="F68" s="136">
        <v>45901</v>
      </c>
      <c r="G68" s="222"/>
      <c r="H68" s="91">
        <f>VLOOKUP(F68,환율!A:B,2,0)</f>
        <v>1387.7</v>
      </c>
      <c r="I68" s="118">
        <v>553.32000000000005</v>
      </c>
      <c r="J68" s="93">
        <f t="shared" si="24"/>
        <v>767842</v>
      </c>
      <c r="K68" s="93">
        <f t="shared" si="25"/>
        <v>767842</v>
      </c>
      <c r="L68" s="255"/>
      <c r="M68" s="403"/>
      <c r="S68" s="434"/>
      <c r="T68" s="441"/>
    </row>
    <row r="69" spans="1:20" s="97" customFormat="1" ht="27" customHeight="1">
      <c r="A69" s="2011"/>
      <c r="B69" s="174" t="s">
        <v>3313</v>
      </c>
      <c r="C69" s="173" t="s">
        <v>3390</v>
      </c>
      <c r="D69" s="173" t="s">
        <v>3322</v>
      </c>
      <c r="E69" s="288"/>
      <c r="F69" s="136">
        <v>45906</v>
      </c>
      <c r="G69" s="222"/>
      <c r="H69" s="91">
        <f>VLOOKUP(F69,환율!A:B,2,0)</f>
        <v>1392.7</v>
      </c>
      <c r="I69" s="118">
        <v>841.88</v>
      </c>
      <c r="J69" s="93">
        <f t="shared" si="24"/>
        <v>1172486</v>
      </c>
      <c r="K69" s="93">
        <f t="shared" si="25"/>
        <v>1172486</v>
      </c>
      <c r="L69" s="255"/>
      <c r="M69" s="403"/>
      <c r="S69" s="434"/>
      <c r="T69" s="441"/>
    </row>
    <row r="70" spans="1:20" s="97" customFormat="1" ht="27" customHeight="1">
      <c r="A70" s="2011"/>
      <c r="B70" s="174" t="s">
        <v>3314</v>
      </c>
      <c r="C70" s="173" t="s">
        <v>3390</v>
      </c>
      <c r="D70" s="173" t="s">
        <v>3323</v>
      </c>
      <c r="E70" s="288"/>
      <c r="F70" s="136">
        <v>45923</v>
      </c>
      <c r="G70" s="222"/>
      <c r="H70" s="91">
        <f>VLOOKUP(F70,환율!A:B,2,0)</f>
        <v>1394</v>
      </c>
      <c r="I70" s="118">
        <v>1673.45</v>
      </c>
      <c r="J70" s="93">
        <f t="shared" ref="J70:J72" si="26">ROUNDDOWN(I70*H70,0)</f>
        <v>2332789</v>
      </c>
      <c r="K70" s="93">
        <f t="shared" ref="K70:K72" si="27">J70</f>
        <v>2332789</v>
      </c>
      <c r="L70" s="255"/>
      <c r="M70" s="403"/>
      <c r="S70" s="434"/>
      <c r="T70" s="441"/>
    </row>
    <row r="71" spans="1:20" s="97" customFormat="1" ht="27" customHeight="1">
      <c r="A71" s="2011"/>
      <c r="B71" s="174" t="s">
        <v>3315</v>
      </c>
      <c r="C71" s="173" t="s">
        <v>3390</v>
      </c>
      <c r="D71" s="173" t="s">
        <v>3324</v>
      </c>
      <c r="E71" s="288"/>
      <c r="F71" s="136">
        <v>45903</v>
      </c>
      <c r="G71" s="222"/>
      <c r="H71" s="91">
        <f>VLOOKUP(F71,환율!A:B,2,0)</f>
        <v>1392.2</v>
      </c>
      <c r="I71" s="118">
        <v>3086</v>
      </c>
      <c r="J71" s="93">
        <f t="shared" si="26"/>
        <v>4296329</v>
      </c>
      <c r="K71" s="93">
        <f t="shared" si="27"/>
        <v>4296329</v>
      </c>
      <c r="L71" s="255"/>
      <c r="M71" s="403"/>
      <c r="S71" s="434"/>
      <c r="T71" s="441"/>
    </row>
    <row r="72" spans="1:20" s="97" customFormat="1" ht="27" customHeight="1">
      <c r="A72" s="2011"/>
      <c r="B72" s="174" t="s">
        <v>3316</v>
      </c>
      <c r="C72" s="173" t="s">
        <v>3390</v>
      </c>
      <c r="D72" s="173" t="s">
        <v>3325</v>
      </c>
      <c r="E72" s="288"/>
      <c r="F72" s="136">
        <v>45914</v>
      </c>
      <c r="G72" s="222"/>
      <c r="H72" s="91">
        <f>VLOOKUP(F72,환율!A:B,2,0)</f>
        <v>1389.4</v>
      </c>
      <c r="I72" s="118">
        <v>5127.62</v>
      </c>
      <c r="J72" s="93">
        <f t="shared" si="26"/>
        <v>7124315</v>
      </c>
      <c r="K72" s="93">
        <f t="shared" si="27"/>
        <v>7124315</v>
      </c>
      <c r="L72" s="255"/>
      <c r="M72" s="403"/>
      <c r="S72" s="434"/>
      <c r="T72" s="441"/>
    </row>
    <row r="73" spans="1:20" s="97" customFormat="1" ht="27" customHeight="1">
      <c r="A73" s="2011"/>
      <c r="B73" s="174" t="s">
        <v>3317</v>
      </c>
      <c r="C73" s="173" t="s">
        <v>3390</v>
      </c>
      <c r="D73" s="173" t="s">
        <v>3326</v>
      </c>
      <c r="E73" s="288"/>
      <c r="F73" s="136">
        <v>45912</v>
      </c>
      <c r="G73" s="222"/>
      <c r="H73" s="91">
        <f>VLOOKUP(F73,환율!A:B,2,0)</f>
        <v>1389.4</v>
      </c>
      <c r="I73" s="118">
        <v>16923</v>
      </c>
      <c r="J73" s="93">
        <f t="shared" si="24"/>
        <v>23512816</v>
      </c>
      <c r="K73" s="93">
        <f t="shared" si="25"/>
        <v>23512816</v>
      </c>
      <c r="L73" s="255"/>
      <c r="M73" s="403"/>
      <c r="S73" s="434"/>
      <c r="T73" s="441"/>
    </row>
    <row r="74" spans="1:20" s="97" customFormat="1" ht="27" customHeight="1">
      <c r="A74" s="2011"/>
      <c r="B74" s="174" t="s">
        <v>3318</v>
      </c>
      <c r="C74" s="173" t="s">
        <v>3390</v>
      </c>
      <c r="D74" s="173" t="s">
        <v>3383</v>
      </c>
      <c r="E74" s="288"/>
      <c r="F74" s="136">
        <v>45926</v>
      </c>
      <c r="G74" s="222"/>
      <c r="H74" s="91">
        <f>VLOOKUP(F74,환율!A:B,2,0)</f>
        <v>1400.4</v>
      </c>
      <c r="I74" s="118">
        <v>2156.5</v>
      </c>
      <c r="J74" s="93">
        <f t="shared" ref="J74:J75" si="28">ROUNDDOWN(I74*H74,0)</f>
        <v>3019962</v>
      </c>
      <c r="K74" s="93">
        <f t="shared" ref="K74:K75" si="29">J74</f>
        <v>3019962</v>
      </c>
      <c r="L74" s="255"/>
      <c r="M74" s="403"/>
      <c r="S74" s="434"/>
      <c r="T74" s="441"/>
    </row>
    <row r="75" spans="1:20" s="97" customFormat="1" ht="27" customHeight="1">
      <c r="A75" s="2011"/>
      <c r="B75" s="174" t="s">
        <v>3319</v>
      </c>
      <c r="C75" s="173" t="s">
        <v>3390</v>
      </c>
      <c r="D75" s="173" t="s">
        <v>3384</v>
      </c>
      <c r="E75" s="288"/>
      <c r="F75" s="136">
        <v>45930</v>
      </c>
      <c r="G75" s="222"/>
      <c r="H75" s="91">
        <f>VLOOKUP(F75,환율!A:B,2,0)</f>
        <v>1402.2</v>
      </c>
      <c r="I75" s="118">
        <v>4443.5200000000004</v>
      </c>
      <c r="J75" s="93">
        <f t="shared" si="28"/>
        <v>6230703</v>
      </c>
      <c r="K75" s="93">
        <f t="shared" si="29"/>
        <v>6230703</v>
      </c>
      <c r="L75" s="255"/>
      <c r="M75" s="403"/>
      <c r="S75" s="434"/>
      <c r="T75" s="441"/>
    </row>
    <row r="76" spans="1:20" s="97" customFormat="1" ht="27" customHeight="1">
      <c r="A76" s="2019"/>
      <c r="B76" s="174" t="s">
        <v>3382</v>
      </c>
      <c r="C76" s="173" t="s">
        <v>3390</v>
      </c>
      <c r="D76" s="173" t="s">
        <v>3385</v>
      </c>
      <c r="E76" s="288"/>
      <c r="F76" s="136">
        <v>45929</v>
      </c>
      <c r="G76" s="222"/>
      <c r="H76" s="91">
        <f>VLOOKUP(F76,환율!A:B,2,0)</f>
        <v>1411.6</v>
      </c>
      <c r="I76" s="118">
        <v>898.72</v>
      </c>
      <c r="J76" s="93">
        <f t="shared" si="24"/>
        <v>1268633</v>
      </c>
      <c r="K76" s="93">
        <f t="shared" si="25"/>
        <v>1268633</v>
      </c>
      <c r="L76" s="255"/>
      <c r="M76" s="403"/>
      <c r="S76" s="434"/>
      <c r="T76" s="441"/>
    </row>
    <row r="77" spans="1:20" s="97" customFormat="1" ht="27" customHeight="1">
      <c r="A77" s="2035" t="s">
        <v>10</v>
      </c>
      <c r="B77" s="2036"/>
      <c r="C77" s="2036"/>
      <c r="D77" s="2036"/>
      <c r="E77" s="2036"/>
      <c r="F77" s="2036"/>
      <c r="G77" s="2036"/>
      <c r="H77" s="2037"/>
      <c r="I77" s="643">
        <f>SUM(I67:I76)</f>
        <v>36995.089999999997</v>
      </c>
      <c r="J77" s="160">
        <f>SUM(J67:J76)</f>
        <v>51525382</v>
      </c>
      <c r="K77" s="116">
        <f>SUM(K67:K76)</f>
        <v>51525382</v>
      </c>
      <c r="L77" s="260">
        <f>SUM(L67:L76)</f>
        <v>0</v>
      </c>
      <c r="M77" s="364"/>
      <c r="N77" s="434"/>
      <c r="O77" s="434"/>
      <c r="P77" s="434"/>
      <c r="R77" s="434"/>
      <c r="S77" s="434"/>
      <c r="T77" s="441"/>
    </row>
    <row r="78" spans="1:20" s="97" customFormat="1" ht="27" customHeight="1">
      <c r="A78" s="2010" t="s">
        <v>3106</v>
      </c>
      <c r="B78" s="514" t="s">
        <v>3268</v>
      </c>
      <c r="C78" s="487" t="s">
        <v>3391</v>
      </c>
      <c r="D78" s="487" t="s">
        <v>3269</v>
      </c>
      <c r="E78" s="482"/>
      <c r="F78" s="465">
        <v>45905</v>
      </c>
      <c r="G78" s="465"/>
      <c r="H78" s="456">
        <f>VLOOKUP(F78,환율!A:B,2,0)</f>
        <v>1392.7</v>
      </c>
      <c r="I78" s="478">
        <v>1773.69</v>
      </c>
      <c r="J78" s="458">
        <f t="shared" ref="J78" si="30">ROUNDDOWN(I78*H78,0)</f>
        <v>2470218</v>
      </c>
      <c r="K78" s="458">
        <f>J78</f>
        <v>2470218</v>
      </c>
      <c r="L78" s="464"/>
      <c r="M78" s="401"/>
      <c r="N78" s="434"/>
      <c r="O78" s="434"/>
      <c r="P78" s="434"/>
      <c r="R78" s="434"/>
      <c r="S78" s="434"/>
      <c r="T78" s="441"/>
    </row>
    <row r="79" spans="1:20" s="97" customFormat="1" ht="27" customHeight="1">
      <c r="A79" s="2019"/>
      <c r="B79" s="174" t="s">
        <v>3327</v>
      </c>
      <c r="C79" s="145" t="s">
        <v>3391</v>
      </c>
      <c r="D79" s="145" t="s">
        <v>3328</v>
      </c>
      <c r="E79" s="288"/>
      <c r="F79" s="136">
        <v>45916</v>
      </c>
      <c r="G79" s="136"/>
      <c r="H79" s="91">
        <f>VLOOKUP(F79,환율!A:B,2,0)</f>
        <v>1389.5</v>
      </c>
      <c r="I79" s="118">
        <v>34366.03</v>
      </c>
      <c r="J79" s="93">
        <f t="shared" ref="J79" si="31">ROUNDDOWN(I79*H79,0)</f>
        <v>47751598</v>
      </c>
      <c r="K79" s="93">
        <f t="shared" ref="K79" si="32">J79</f>
        <v>47751598</v>
      </c>
      <c r="L79" s="254"/>
      <c r="M79" s="401"/>
      <c r="N79" s="434"/>
      <c r="O79" s="434"/>
      <c r="P79" s="434"/>
      <c r="R79" s="434"/>
      <c r="S79" s="434"/>
      <c r="T79" s="441"/>
    </row>
    <row r="80" spans="1:20" s="97" customFormat="1" ht="27" customHeight="1">
      <c r="A80" s="2035" t="s">
        <v>10</v>
      </c>
      <c r="B80" s="2036"/>
      <c r="C80" s="2036"/>
      <c r="D80" s="2036"/>
      <c r="E80" s="2036"/>
      <c r="F80" s="2036"/>
      <c r="G80" s="2036"/>
      <c r="H80" s="2037"/>
      <c r="I80" s="643">
        <f>SUM(I78:I79)</f>
        <v>36139.72</v>
      </c>
      <c r="J80" s="116">
        <f>SUM(J78:J79)</f>
        <v>50221816</v>
      </c>
      <c r="K80" s="116">
        <f>SUM(K78:K79)</f>
        <v>50221816</v>
      </c>
      <c r="L80" s="260">
        <f>SUM(L78:L79)</f>
        <v>0</v>
      </c>
      <c r="M80" s="366"/>
      <c r="N80" s="434"/>
      <c r="O80" s="434"/>
      <c r="P80" s="434"/>
      <c r="R80" s="434"/>
      <c r="S80" s="434"/>
      <c r="T80" s="441"/>
    </row>
    <row r="81" spans="1:20" s="97" customFormat="1" ht="27" customHeight="1">
      <c r="A81" s="2010" t="s">
        <v>3108</v>
      </c>
      <c r="B81" s="510" t="s">
        <v>3270</v>
      </c>
      <c r="C81" s="619" t="s">
        <v>3391</v>
      </c>
      <c r="D81" s="460" t="s">
        <v>3271</v>
      </c>
      <c r="E81" s="460"/>
      <c r="F81" s="455">
        <v>45901</v>
      </c>
      <c r="G81" s="455"/>
      <c r="H81" s="488">
        <v>9.4305000000000003</v>
      </c>
      <c r="I81" s="468">
        <v>18126300</v>
      </c>
      <c r="J81" s="458">
        <f t="shared" ref="J81" si="33">ROUNDDOWN(I81*H81,0)</f>
        <v>170940072</v>
      </c>
      <c r="K81" s="458">
        <f>J81</f>
        <v>170940072</v>
      </c>
      <c r="L81" s="464"/>
      <c r="M81" s="366"/>
      <c r="N81" s="434"/>
      <c r="O81" s="434"/>
      <c r="P81" s="434"/>
      <c r="R81" s="434"/>
      <c r="S81" s="434"/>
      <c r="T81" s="441"/>
    </row>
    <row r="82" spans="1:20" s="97" customFormat="1" ht="27" customHeight="1">
      <c r="A82" s="2011"/>
      <c r="B82" s="146" t="s">
        <v>3329</v>
      </c>
      <c r="C82" s="89" t="s">
        <v>3391</v>
      </c>
      <c r="D82" s="146" t="s">
        <v>3330</v>
      </c>
      <c r="E82" s="136"/>
      <c r="F82" s="90">
        <v>45914</v>
      </c>
      <c r="G82" s="90"/>
      <c r="H82" s="397">
        <v>9.4379000000000008</v>
      </c>
      <c r="I82" s="177">
        <v>22107220</v>
      </c>
      <c r="J82" s="93">
        <f t="shared" ref="J82:J84" si="34">ROUNDDOWN(I82*H82,0)</f>
        <v>208645731</v>
      </c>
      <c r="K82" s="93">
        <f>J82</f>
        <v>208645731</v>
      </c>
      <c r="L82" s="263"/>
      <c r="M82" s="364"/>
      <c r="S82" s="434"/>
      <c r="T82" s="441"/>
    </row>
    <row r="83" spans="1:20" s="97" customFormat="1" ht="27" customHeight="1">
      <c r="A83" s="2011"/>
      <c r="B83" s="552" t="s">
        <v>3331</v>
      </c>
      <c r="C83" s="552" t="s">
        <v>38</v>
      </c>
      <c r="D83" s="552" t="s">
        <v>3333</v>
      </c>
      <c r="E83" s="550"/>
      <c r="F83" s="527">
        <v>45931</v>
      </c>
      <c r="G83" s="527"/>
      <c r="H83" s="558">
        <v>9.4925999999999995</v>
      </c>
      <c r="I83" s="559">
        <v>16865230</v>
      </c>
      <c r="J83" s="530">
        <f t="shared" si="34"/>
        <v>160094882</v>
      </c>
      <c r="K83" s="530"/>
      <c r="L83" s="530">
        <f>J83</f>
        <v>160094882</v>
      </c>
      <c r="M83" s="402"/>
      <c r="S83" s="434"/>
      <c r="T83" s="441"/>
    </row>
    <row r="84" spans="1:20" s="97" customFormat="1" ht="27" customHeight="1">
      <c r="A84" s="2019"/>
      <c r="B84" s="552" t="s">
        <v>3332</v>
      </c>
      <c r="C84" s="552" t="s">
        <v>38</v>
      </c>
      <c r="D84" s="552" t="s">
        <v>3334</v>
      </c>
      <c r="E84" s="550"/>
      <c r="F84" s="550">
        <v>45938</v>
      </c>
      <c r="G84" s="550"/>
      <c r="H84" s="558">
        <v>9.5642999999999994</v>
      </c>
      <c r="I84" s="559">
        <v>20398620</v>
      </c>
      <c r="J84" s="530">
        <f t="shared" si="34"/>
        <v>195098521</v>
      </c>
      <c r="K84" s="530"/>
      <c r="L84" s="548">
        <f>J84</f>
        <v>195098521</v>
      </c>
      <c r="S84" s="434"/>
      <c r="T84" s="441"/>
    </row>
    <row r="85" spans="1:20" s="97" customFormat="1" ht="27" customHeight="1">
      <c r="A85" s="361" t="s">
        <v>10</v>
      </c>
      <c r="B85" s="113"/>
      <c r="C85" s="113"/>
      <c r="D85" s="113"/>
      <c r="E85" s="113"/>
      <c r="F85" s="113"/>
      <c r="G85" s="113"/>
      <c r="H85" s="114"/>
      <c r="I85" s="644">
        <f>SUM(I81:I84)</f>
        <v>77497370</v>
      </c>
      <c r="J85" s="116">
        <f>SUM(J81:J84)</f>
        <v>734779206</v>
      </c>
      <c r="K85" s="116">
        <f>SUM(K81:K84)</f>
        <v>379585803</v>
      </c>
      <c r="L85" s="260">
        <f>SUM(L81:L84)</f>
        <v>355193403</v>
      </c>
      <c r="S85" s="434"/>
      <c r="T85" s="441"/>
    </row>
    <row r="86" spans="1:20" s="97" customFormat="1" ht="27" customHeight="1">
      <c r="A86" s="2010" t="s">
        <v>3107</v>
      </c>
      <c r="B86" s="174" t="s">
        <v>3335</v>
      </c>
      <c r="C86" s="174" t="s">
        <v>3390</v>
      </c>
      <c r="D86" s="174" t="s">
        <v>3347</v>
      </c>
      <c r="E86" s="146"/>
      <c r="F86" s="146">
        <v>45902</v>
      </c>
      <c r="G86" s="607"/>
      <c r="H86" s="176">
        <v>9.4625000000000004</v>
      </c>
      <c r="I86" s="177">
        <v>246661</v>
      </c>
      <c r="J86" s="93">
        <f t="shared" ref="J86:J97" si="35">ROUNDDOWN(I86*H86,0)</f>
        <v>2334029</v>
      </c>
      <c r="K86" s="93">
        <f t="shared" ref="K86:K97" si="36">J86</f>
        <v>2334029</v>
      </c>
      <c r="L86" s="256"/>
      <c r="S86" s="434"/>
      <c r="T86" s="441"/>
    </row>
    <row r="87" spans="1:20" s="97" customFormat="1" ht="27" customHeight="1">
      <c r="A87" s="2011"/>
      <c r="B87" s="174" t="s">
        <v>3336</v>
      </c>
      <c r="C87" s="174" t="s">
        <v>3390</v>
      </c>
      <c r="D87" s="174" t="s">
        <v>3348</v>
      </c>
      <c r="E87" s="146"/>
      <c r="F87" s="146">
        <v>45907</v>
      </c>
      <c r="G87" s="607"/>
      <c r="H87" s="176">
        <v>9.3788</v>
      </c>
      <c r="I87" s="177">
        <v>246661</v>
      </c>
      <c r="J87" s="93">
        <f t="shared" ref="J87:J94" si="37">ROUNDDOWN(I87*H87,0)</f>
        <v>2313384</v>
      </c>
      <c r="K87" s="93">
        <f t="shared" ref="K87:K94" si="38">J87</f>
        <v>2313384</v>
      </c>
      <c r="L87" s="256"/>
      <c r="S87" s="434"/>
      <c r="T87" s="441"/>
    </row>
    <row r="88" spans="1:20" s="97" customFormat="1" ht="27" customHeight="1">
      <c r="A88" s="2011"/>
      <c r="B88" s="174" t="s">
        <v>3337</v>
      </c>
      <c r="C88" s="174" t="s">
        <v>3390</v>
      </c>
      <c r="D88" s="174" t="s">
        <v>3349</v>
      </c>
      <c r="E88" s="146"/>
      <c r="F88" s="146">
        <v>45909</v>
      </c>
      <c r="G88" s="607"/>
      <c r="H88" s="176">
        <v>9.4324999999999992</v>
      </c>
      <c r="I88" s="177">
        <v>246661</v>
      </c>
      <c r="J88" s="93">
        <f t="shared" si="37"/>
        <v>2326629</v>
      </c>
      <c r="K88" s="93">
        <f t="shared" si="38"/>
        <v>2326629</v>
      </c>
      <c r="L88" s="256"/>
      <c r="S88" s="434"/>
      <c r="T88" s="441"/>
    </row>
    <row r="89" spans="1:20" s="97" customFormat="1" ht="27" customHeight="1">
      <c r="A89" s="2011"/>
      <c r="B89" s="174" t="s">
        <v>3338</v>
      </c>
      <c r="C89" s="174" t="s">
        <v>3390</v>
      </c>
      <c r="D89" s="174" t="s">
        <v>3350</v>
      </c>
      <c r="E89" s="146"/>
      <c r="F89" s="146">
        <v>45911</v>
      </c>
      <c r="G89" s="607"/>
      <c r="H89" s="176">
        <v>9.4169999999999998</v>
      </c>
      <c r="I89" s="177">
        <v>986644</v>
      </c>
      <c r="J89" s="93">
        <f t="shared" si="37"/>
        <v>9291226</v>
      </c>
      <c r="K89" s="93">
        <f t="shared" si="38"/>
        <v>9291226</v>
      </c>
      <c r="L89" s="256"/>
      <c r="S89" s="434"/>
      <c r="T89" s="441"/>
    </row>
    <row r="90" spans="1:20" s="97" customFormat="1" ht="27" customHeight="1">
      <c r="A90" s="2011"/>
      <c r="B90" s="174" t="s">
        <v>3339</v>
      </c>
      <c r="C90" s="174" t="s">
        <v>3390</v>
      </c>
      <c r="D90" s="174" t="s">
        <v>3351</v>
      </c>
      <c r="E90" s="146"/>
      <c r="F90" s="146">
        <v>45914</v>
      </c>
      <c r="G90" s="607"/>
      <c r="H90" s="176">
        <v>9.4379000000000008</v>
      </c>
      <c r="I90" s="177">
        <v>1233305</v>
      </c>
      <c r="J90" s="93">
        <f t="shared" si="37"/>
        <v>11639809</v>
      </c>
      <c r="K90" s="93">
        <f t="shared" si="38"/>
        <v>11639809</v>
      </c>
      <c r="L90" s="256"/>
      <c r="S90" s="434"/>
      <c r="T90" s="441"/>
    </row>
    <row r="91" spans="1:20" s="97" customFormat="1" ht="27" customHeight="1">
      <c r="A91" s="2011"/>
      <c r="B91" s="174" t="s">
        <v>3340</v>
      </c>
      <c r="C91" s="174" t="s">
        <v>3390</v>
      </c>
      <c r="D91" s="174" t="s">
        <v>3352</v>
      </c>
      <c r="E91" s="146"/>
      <c r="F91" s="146">
        <v>45918</v>
      </c>
      <c r="G91" s="607"/>
      <c r="H91" s="176">
        <v>9.3983000000000008</v>
      </c>
      <c r="I91" s="177">
        <v>493322</v>
      </c>
      <c r="J91" s="93">
        <f t="shared" si="37"/>
        <v>4636388</v>
      </c>
      <c r="K91" s="93">
        <f t="shared" si="38"/>
        <v>4636388</v>
      </c>
      <c r="L91" s="256"/>
      <c r="S91" s="434"/>
      <c r="T91" s="441"/>
    </row>
    <row r="92" spans="1:20" s="97" customFormat="1" ht="27" customHeight="1">
      <c r="A92" s="2011"/>
      <c r="B92" s="174" t="s">
        <v>3341</v>
      </c>
      <c r="C92" s="174" t="s">
        <v>3390</v>
      </c>
      <c r="D92" s="174" t="s">
        <v>3353</v>
      </c>
      <c r="E92" s="146"/>
      <c r="F92" s="146">
        <v>45918</v>
      </c>
      <c r="G92" s="607"/>
      <c r="H92" s="176">
        <v>9.3983000000000008</v>
      </c>
      <c r="I92" s="177">
        <v>493322</v>
      </c>
      <c r="J92" s="93">
        <f t="shared" si="37"/>
        <v>4636388</v>
      </c>
      <c r="K92" s="93">
        <f t="shared" si="38"/>
        <v>4636388</v>
      </c>
      <c r="L92" s="256"/>
      <c r="S92" s="434"/>
      <c r="T92" s="441"/>
    </row>
    <row r="93" spans="1:20" s="97" customFormat="1" ht="27" customHeight="1">
      <c r="A93" s="2011"/>
      <c r="B93" s="174" t="s">
        <v>3342</v>
      </c>
      <c r="C93" s="174" t="s">
        <v>3390</v>
      </c>
      <c r="D93" s="174" t="s">
        <v>3354</v>
      </c>
      <c r="E93" s="146"/>
      <c r="F93" s="146">
        <v>45921</v>
      </c>
      <c r="G93" s="607"/>
      <c r="H93" s="176">
        <v>9.3575999999999997</v>
      </c>
      <c r="I93" s="177">
        <v>739983</v>
      </c>
      <c r="J93" s="93">
        <f t="shared" si="37"/>
        <v>6924464</v>
      </c>
      <c r="K93" s="93">
        <f t="shared" si="38"/>
        <v>6924464</v>
      </c>
      <c r="L93" s="256"/>
      <c r="S93" s="434"/>
      <c r="T93" s="441"/>
    </row>
    <row r="94" spans="1:20" s="97" customFormat="1" ht="27" customHeight="1">
      <c r="A94" s="2011"/>
      <c r="B94" s="174" t="s">
        <v>3343</v>
      </c>
      <c r="C94" s="174" t="s">
        <v>3390</v>
      </c>
      <c r="D94" s="174" t="s">
        <v>3355</v>
      </c>
      <c r="E94" s="146"/>
      <c r="F94" s="146">
        <v>45923</v>
      </c>
      <c r="G94" s="607"/>
      <c r="H94" s="176">
        <v>9.4367999999999999</v>
      </c>
      <c r="I94" s="177">
        <v>739983</v>
      </c>
      <c r="J94" s="93">
        <f t="shared" si="37"/>
        <v>6983071</v>
      </c>
      <c r="K94" s="93">
        <f t="shared" si="38"/>
        <v>6983071</v>
      </c>
      <c r="L94" s="256"/>
      <c r="S94" s="434"/>
      <c r="T94" s="441"/>
    </row>
    <row r="95" spans="1:20" s="97" customFormat="1" ht="27" customHeight="1">
      <c r="A95" s="2011"/>
      <c r="B95" s="174" t="s">
        <v>3344</v>
      </c>
      <c r="C95" s="174" t="s">
        <v>3390</v>
      </c>
      <c r="D95" s="174" t="s">
        <v>3356</v>
      </c>
      <c r="E95" s="146"/>
      <c r="F95" s="146">
        <v>45925</v>
      </c>
      <c r="G95" s="607"/>
      <c r="H95" s="176">
        <v>9.3731000000000009</v>
      </c>
      <c r="I95" s="177">
        <v>1233305</v>
      </c>
      <c r="J95" s="93">
        <f t="shared" si="35"/>
        <v>11559891</v>
      </c>
      <c r="K95" s="93">
        <f t="shared" si="36"/>
        <v>11559891</v>
      </c>
      <c r="L95" s="256"/>
      <c r="S95" s="434"/>
      <c r="T95" s="441"/>
    </row>
    <row r="96" spans="1:20" s="97" customFormat="1" ht="27" customHeight="1">
      <c r="A96" s="2011"/>
      <c r="B96" s="174" t="s">
        <v>3345</v>
      </c>
      <c r="C96" s="174" t="s">
        <v>3390</v>
      </c>
      <c r="D96" s="174" t="s">
        <v>3357</v>
      </c>
      <c r="E96" s="146"/>
      <c r="F96" s="146">
        <v>45928</v>
      </c>
      <c r="G96" s="607"/>
      <c r="H96" s="176">
        <v>9.3519000000000005</v>
      </c>
      <c r="I96" s="177">
        <v>986644</v>
      </c>
      <c r="J96" s="93">
        <f t="shared" si="35"/>
        <v>9226996</v>
      </c>
      <c r="K96" s="93">
        <f t="shared" si="36"/>
        <v>9226996</v>
      </c>
      <c r="L96" s="256"/>
      <c r="S96" s="434"/>
      <c r="T96" s="441"/>
    </row>
    <row r="97" spans="1:20" s="97" customFormat="1" ht="27" customHeight="1">
      <c r="A97" s="2019"/>
      <c r="B97" s="174" t="s">
        <v>3346</v>
      </c>
      <c r="C97" s="174" t="s">
        <v>3390</v>
      </c>
      <c r="D97" s="174" t="s">
        <v>3358</v>
      </c>
      <c r="E97" s="146"/>
      <c r="F97" s="146">
        <v>45930</v>
      </c>
      <c r="G97" s="607"/>
      <c r="H97" s="176">
        <v>9.4373000000000005</v>
      </c>
      <c r="I97" s="177">
        <v>739983</v>
      </c>
      <c r="J97" s="93">
        <f t="shared" si="35"/>
        <v>6983441</v>
      </c>
      <c r="K97" s="93">
        <f t="shared" si="36"/>
        <v>6983441</v>
      </c>
      <c r="L97" s="256"/>
      <c r="S97" s="434"/>
      <c r="T97" s="441"/>
    </row>
    <row r="98" spans="1:20" s="97" customFormat="1" ht="27" customHeight="1">
      <c r="A98" s="600"/>
      <c r="B98" s="113"/>
      <c r="C98" s="148"/>
      <c r="D98" s="148"/>
      <c r="E98" s="148"/>
      <c r="F98" s="148"/>
      <c r="G98" s="148"/>
      <c r="H98" s="114"/>
      <c r="I98" s="645">
        <f>SUM(I86:I97)</f>
        <v>8386474</v>
      </c>
      <c r="J98" s="151">
        <f>SUM(J86:J97)</f>
        <v>78855716</v>
      </c>
      <c r="K98" s="151">
        <f>SUM(K86:K97)</f>
        <v>78855716</v>
      </c>
      <c r="L98" s="633">
        <f>SUM(L86:L86)</f>
        <v>0</v>
      </c>
      <c r="S98" s="434"/>
      <c r="T98" s="441"/>
    </row>
    <row r="99" spans="1:20" s="97" customFormat="1" ht="38.4">
      <c r="A99" s="541" t="s">
        <v>3109</v>
      </c>
      <c r="B99" s="174" t="s">
        <v>38</v>
      </c>
      <c r="C99" s="339" t="s">
        <v>38</v>
      </c>
      <c r="D99" s="136" t="s">
        <v>38</v>
      </c>
      <c r="E99" s="136"/>
      <c r="F99" s="136" t="s">
        <v>38</v>
      </c>
      <c r="G99" s="136"/>
      <c r="H99" s="166">
        <f>VLOOKUP(F99,환율!A:B,2,0)</f>
        <v>0</v>
      </c>
      <c r="I99" s="341"/>
      <c r="J99" s="542">
        <f t="shared" ref="J99" si="39">ROUNDDOWN(I99*H99,0)</f>
        <v>0</v>
      </c>
      <c r="K99" s="542">
        <f>J99</f>
        <v>0</v>
      </c>
      <c r="L99" s="254"/>
      <c r="S99" s="434"/>
      <c r="T99" s="441"/>
    </row>
    <row r="100" spans="1:20" s="97" customFormat="1" ht="27" customHeight="1">
      <c r="A100" s="361" t="s">
        <v>10</v>
      </c>
      <c r="B100" s="113"/>
      <c r="C100" s="113"/>
      <c r="D100" s="113"/>
      <c r="E100" s="113"/>
      <c r="F100" s="113"/>
      <c r="G100" s="113"/>
      <c r="H100" s="114"/>
      <c r="I100" s="643">
        <f>SUM(I99)</f>
        <v>0</v>
      </c>
      <c r="J100" s="116">
        <f>SUM(J99)</f>
        <v>0</v>
      </c>
      <c r="K100" s="116">
        <f>SUM(K99)</f>
        <v>0</v>
      </c>
      <c r="L100" s="260">
        <f>SUM(L99)</f>
        <v>0</v>
      </c>
      <c r="S100" s="434"/>
      <c r="T100" s="441"/>
    </row>
    <row r="101" spans="1:20" s="97" customFormat="1" ht="27" customHeight="1">
      <c r="A101" s="2111" t="s">
        <v>3110</v>
      </c>
      <c r="B101" s="301" t="s">
        <v>3359</v>
      </c>
      <c r="C101" s="332" t="s">
        <v>38</v>
      </c>
      <c r="D101" s="303"/>
      <c r="E101" s="303"/>
      <c r="F101" s="303">
        <v>45911</v>
      </c>
      <c r="G101" s="303"/>
      <c r="H101" s="304">
        <f>VLOOKUP(F101,환율!A:B,2,0)</f>
        <v>1387.6</v>
      </c>
      <c r="I101" s="341"/>
      <c r="J101" s="335">
        <v>21526400</v>
      </c>
      <c r="K101" s="335">
        <f>J101</f>
        <v>21526400</v>
      </c>
      <c r="L101" s="337"/>
      <c r="S101" s="434"/>
      <c r="T101" s="441"/>
    </row>
    <row r="102" spans="1:20" s="97" customFormat="1" ht="27" customHeight="1">
      <c r="A102" s="2112"/>
      <c r="B102" s="301" t="s">
        <v>3360</v>
      </c>
      <c r="C102" s="332" t="s">
        <v>38</v>
      </c>
      <c r="D102" s="303"/>
      <c r="E102" s="303"/>
      <c r="F102" s="303">
        <v>45912</v>
      </c>
      <c r="G102" s="303"/>
      <c r="H102" s="304">
        <f>VLOOKUP(F102,환율!A:B,2,0)</f>
        <v>1389.4</v>
      </c>
      <c r="I102" s="341"/>
      <c r="J102" s="335">
        <v>21526400</v>
      </c>
      <c r="K102" s="335">
        <f t="shared" ref="K102:K103" si="40">J102</f>
        <v>21526400</v>
      </c>
      <c r="L102" s="337"/>
      <c r="S102" s="434"/>
      <c r="T102" s="441"/>
    </row>
    <row r="103" spans="1:20" s="97" customFormat="1" ht="27" customHeight="1">
      <c r="A103" s="2112"/>
      <c r="B103" s="301" t="s">
        <v>3361</v>
      </c>
      <c r="C103" s="332" t="s">
        <v>38</v>
      </c>
      <c r="D103" s="303"/>
      <c r="E103" s="303"/>
      <c r="F103" s="303">
        <v>45924</v>
      </c>
      <c r="G103" s="303"/>
      <c r="H103" s="304">
        <f>VLOOKUP(F103,환율!A:B,2,0)</f>
        <v>1393.8</v>
      </c>
      <c r="I103" s="341"/>
      <c r="J103" s="335">
        <v>21526400</v>
      </c>
      <c r="K103" s="335">
        <f t="shared" si="40"/>
        <v>21526400</v>
      </c>
      <c r="L103" s="337"/>
      <c r="S103" s="434"/>
      <c r="T103" s="441"/>
    </row>
    <row r="104" spans="1:20" s="496" customFormat="1" ht="27" customHeight="1" thickBot="1">
      <c r="A104" s="599" t="s">
        <v>10</v>
      </c>
      <c r="B104" s="266"/>
      <c r="C104" s="266"/>
      <c r="D104" s="266"/>
      <c r="E104" s="266"/>
      <c r="F104" s="266"/>
      <c r="G104" s="266"/>
      <c r="H104" s="267"/>
      <c r="I104" s="646"/>
      <c r="J104" s="269">
        <f>SUM(J101:J103)</f>
        <v>64579200</v>
      </c>
      <c r="K104" s="269">
        <f>SUM(K101:K103)</f>
        <v>64579200</v>
      </c>
      <c r="L104" s="506">
        <f>SUM(L101:L103)</f>
        <v>0</v>
      </c>
      <c r="M104" s="493"/>
      <c r="N104" s="434"/>
      <c r="O104" s="434"/>
      <c r="P104" s="434"/>
      <c r="Q104" s="434"/>
      <c r="R104" s="434"/>
      <c r="S104" s="494"/>
      <c r="T104" s="495"/>
    </row>
    <row r="105" spans="1:20" s="496" customFormat="1" ht="27" customHeight="1" thickBot="1">
      <c r="A105" s="601" t="s">
        <v>1176</v>
      </c>
      <c r="B105" s="597"/>
      <c r="C105" s="597"/>
      <c r="D105" s="597"/>
      <c r="E105" s="597"/>
      <c r="F105" s="598"/>
      <c r="G105" s="532"/>
      <c r="H105" s="2095" t="s">
        <v>2334</v>
      </c>
      <c r="I105" s="647" t="s">
        <v>17</v>
      </c>
      <c r="J105" s="194">
        <f>+J107-J106</f>
        <v>5274925925</v>
      </c>
      <c r="K105" s="210">
        <f>K107-K106</f>
        <v>3561165129</v>
      </c>
      <c r="L105" s="210">
        <f>L107-L106</f>
        <v>1713760796</v>
      </c>
      <c r="M105" s="493"/>
      <c r="N105" s="434"/>
      <c r="O105" s="434"/>
      <c r="P105" s="434"/>
      <c r="Q105" s="434"/>
      <c r="R105" s="434"/>
      <c r="S105" s="494"/>
      <c r="T105" s="495"/>
    </row>
    <row r="106" spans="1:20" s="496" customFormat="1" ht="27" customHeight="1">
      <c r="A106" s="239" t="s">
        <v>20</v>
      </c>
      <c r="B106" s="195" t="s">
        <v>21</v>
      </c>
      <c r="C106" s="196"/>
      <c r="D106" s="196" t="s">
        <v>20</v>
      </c>
      <c r="E106" s="314"/>
      <c r="F106" s="197" t="s">
        <v>21</v>
      </c>
      <c r="G106" s="533"/>
      <c r="H106" s="2096"/>
      <c r="I106" s="648" t="s">
        <v>18</v>
      </c>
      <c r="J106" s="210">
        <f>SUM(J16:J18,J63)</f>
        <v>147001540</v>
      </c>
      <c r="K106" s="210">
        <f>J106</f>
        <v>147001540</v>
      </c>
      <c r="L106" s="219">
        <v>0</v>
      </c>
      <c r="M106" s="493"/>
      <c r="N106" s="434"/>
      <c r="O106" s="434"/>
      <c r="P106" s="434"/>
      <c r="Q106" s="434"/>
      <c r="R106" s="434"/>
      <c r="S106" s="494"/>
      <c r="T106" s="495"/>
    </row>
    <row r="107" spans="1:20" s="496" customFormat="1" ht="27" customHeight="1" thickBot="1">
      <c r="A107" s="240" t="s">
        <v>9</v>
      </c>
      <c r="B107" s="199">
        <f>L21</f>
        <v>672822526</v>
      </c>
      <c r="C107" s="199"/>
      <c r="D107" s="200" t="s">
        <v>721</v>
      </c>
      <c r="E107" s="315"/>
      <c r="F107" s="201">
        <v>0</v>
      </c>
      <c r="G107" s="534"/>
      <c r="H107" s="2097"/>
      <c r="I107" s="649" t="s">
        <v>19</v>
      </c>
      <c r="J107" s="210">
        <f>SUM(J104,J100,J85,J80,J77,J66,J64,J62,J58,J55,J34,J21,J98)</f>
        <v>5421927465</v>
      </c>
      <c r="K107" s="221">
        <f>I114+J114</f>
        <v>3708166669</v>
      </c>
      <c r="L107" s="210">
        <f>SUM(L21,L34,L55,L58,L62,L64,L66,L77,L80,L85,L104)+L100+L98</f>
        <v>1713760796</v>
      </c>
      <c r="M107" s="622" t="b">
        <f>J107-K107=L107</f>
        <v>1</v>
      </c>
      <c r="N107" s="636"/>
      <c r="O107" s="434"/>
      <c r="P107" s="434"/>
      <c r="Q107" s="434"/>
      <c r="R107" s="434"/>
      <c r="S107" s="494"/>
      <c r="T107" s="495"/>
    </row>
    <row r="108" spans="1:20" s="496" customFormat="1" ht="27" customHeight="1">
      <c r="A108" s="240" t="s">
        <v>11</v>
      </c>
      <c r="B108" s="199">
        <f>L34</f>
        <v>70740921</v>
      </c>
      <c r="C108" s="199"/>
      <c r="D108" s="200" t="s">
        <v>2950</v>
      </c>
      <c r="E108" s="315"/>
      <c r="F108" s="201">
        <f>L66</f>
        <v>8815282</v>
      </c>
      <c r="G108" s="535"/>
      <c r="H108" s="296" t="s">
        <v>20</v>
      </c>
      <c r="I108" s="650" t="s">
        <v>3377</v>
      </c>
      <c r="J108" s="298" t="s">
        <v>170</v>
      </c>
      <c r="K108" s="298" t="s">
        <v>171</v>
      </c>
      <c r="L108" s="234" t="s">
        <v>32</v>
      </c>
      <c r="M108" s="493"/>
      <c r="N108" s="636"/>
      <c r="O108" s="434"/>
      <c r="P108" s="434"/>
      <c r="Q108" s="434"/>
      <c r="R108" s="434"/>
      <c r="S108" s="494"/>
      <c r="T108" s="495"/>
    </row>
    <row r="109" spans="1:20" s="496" customFormat="1" ht="27" customHeight="1">
      <c r="A109" s="241" t="s">
        <v>114</v>
      </c>
      <c r="B109" s="199">
        <f>L55</f>
        <v>461670208</v>
      </c>
      <c r="C109" s="199"/>
      <c r="D109" s="293" t="s">
        <v>14</v>
      </c>
      <c r="E109" s="316"/>
      <c r="F109" s="294">
        <f>L77</f>
        <v>0</v>
      </c>
      <c r="G109" s="536"/>
      <c r="H109" s="211" t="s">
        <v>22</v>
      </c>
      <c r="I109" s="651">
        <f>SUM(J81)</f>
        <v>170940072</v>
      </c>
      <c r="J109" s="199">
        <f>SUM(J82,J86:J97)</f>
        <v>287501447</v>
      </c>
      <c r="K109" s="199">
        <f>SUM(J83:J84)</f>
        <v>355193403</v>
      </c>
      <c r="L109" s="201">
        <f>SUM(I109:J109)</f>
        <v>458441519</v>
      </c>
      <c r="M109" s="493"/>
      <c r="N109" s="434"/>
      <c r="O109" s="434"/>
      <c r="P109" s="434"/>
      <c r="Q109" s="434"/>
      <c r="R109" s="434"/>
      <c r="S109" s="494"/>
      <c r="T109" s="495"/>
    </row>
    <row r="110" spans="1:20" s="97" customFormat="1" ht="27" customHeight="1">
      <c r="A110" s="241" t="s">
        <v>153</v>
      </c>
      <c r="B110" s="199">
        <v>0</v>
      </c>
      <c r="C110" s="199"/>
      <c r="D110" s="293" t="s">
        <v>15</v>
      </c>
      <c r="E110" s="317"/>
      <c r="F110" s="295">
        <f>L80</f>
        <v>0</v>
      </c>
      <c r="G110" s="537"/>
      <c r="H110" s="211" t="s">
        <v>23</v>
      </c>
      <c r="I110" s="651">
        <f>SUM(J22:J24,J35:J42,J59)</f>
        <v>642701867</v>
      </c>
      <c r="J110" s="199">
        <f>SUM(J25:J32,J43:J48,J56:J57)</f>
        <v>1044592610</v>
      </c>
      <c r="K110" s="199">
        <f>SUM(J49:J54,J60:J61,J65,J33)</f>
        <v>685744867</v>
      </c>
      <c r="L110" s="201">
        <f>SUM(I110:J110)</f>
        <v>1687294477</v>
      </c>
      <c r="M110" s="402"/>
      <c r="N110" s="438"/>
      <c r="O110" s="434"/>
      <c r="P110" s="434"/>
      <c r="Q110" s="434"/>
      <c r="R110" s="434"/>
    </row>
    <row r="111" spans="1:20" s="97" customFormat="1" ht="27" customHeight="1">
      <c r="A111" s="241" t="s">
        <v>719</v>
      </c>
      <c r="B111" s="199">
        <v>0</v>
      </c>
      <c r="C111" s="199"/>
      <c r="D111" s="293" t="s">
        <v>53</v>
      </c>
      <c r="E111" s="316"/>
      <c r="F111" s="294">
        <f>L64</f>
        <v>0</v>
      </c>
      <c r="G111" s="536"/>
      <c r="H111" s="211" t="s">
        <v>24</v>
      </c>
      <c r="I111" s="651">
        <f>SUM(J12:J13,)</f>
        <v>626588680</v>
      </c>
      <c r="J111" s="199">
        <f>SUM(J14:J18)</f>
        <v>746639235</v>
      </c>
      <c r="K111" s="199">
        <f>SUM(L19:L20)</f>
        <v>672822526</v>
      </c>
      <c r="L111" s="201">
        <f>SUM(I111:J111)</f>
        <v>1373227915</v>
      </c>
      <c r="M111" s="401"/>
      <c r="N111" s="441"/>
    </row>
    <row r="112" spans="1:20" s="97" customFormat="1" ht="27" customHeight="1">
      <c r="A112" s="241" t="s">
        <v>2951</v>
      </c>
      <c r="B112" s="199">
        <f>L62</f>
        <v>144518456</v>
      </c>
      <c r="C112" s="199"/>
      <c r="D112" s="200" t="s">
        <v>252</v>
      </c>
      <c r="E112" s="216"/>
      <c r="F112" s="294">
        <f>L85</f>
        <v>355193403</v>
      </c>
      <c r="G112" s="538"/>
      <c r="H112" s="211" t="s">
        <v>723</v>
      </c>
      <c r="I112" s="651">
        <f>SUM(J78)</f>
        <v>2470218</v>
      </c>
      <c r="J112" s="199">
        <f>SUM(J67:J76,J79,J64)</f>
        <v>122153340</v>
      </c>
      <c r="K112" s="199">
        <v>0</v>
      </c>
      <c r="L112" s="201">
        <f>SUM(I112:J112)</f>
        <v>124623558</v>
      </c>
      <c r="M112" s="401"/>
      <c r="N112" s="441"/>
    </row>
    <row r="113" spans="1:20" s="97" customFormat="1" ht="27" customHeight="1" thickBot="1">
      <c r="A113" s="215" t="s">
        <v>2646</v>
      </c>
      <c r="B113" s="213">
        <f>L100</f>
        <v>0</v>
      </c>
      <c r="C113" s="213"/>
      <c r="D113" s="214"/>
      <c r="E113" s="318"/>
      <c r="F113" s="242"/>
      <c r="G113" s="539"/>
      <c r="H113" s="299" t="s">
        <v>1177</v>
      </c>
      <c r="I113" s="652">
        <v>0</v>
      </c>
      <c r="J113" s="311">
        <f>J104</f>
        <v>64579200</v>
      </c>
      <c r="K113" s="311">
        <v>0</v>
      </c>
      <c r="L113" s="312">
        <f>SUM(I113:J113)</f>
        <v>64579200</v>
      </c>
      <c r="M113" s="364" t="b">
        <f>K114=F114</f>
        <v>1</v>
      </c>
      <c r="N113" s="441"/>
      <c r="O113" s="403"/>
      <c r="P113" s="403"/>
      <c r="Q113" s="403"/>
    </row>
    <row r="114" spans="1:20" s="97" customFormat="1" ht="27" customHeight="1" thickTop="1" thickBot="1">
      <c r="A114" s="243"/>
      <c r="B114" s="244" t="s">
        <v>49</v>
      </c>
      <c r="C114" s="244"/>
      <c r="D114" s="245"/>
      <c r="E114" s="244"/>
      <c r="F114" s="246">
        <f>SUM(B107:B113,F107:F113)</f>
        <v>1713760796</v>
      </c>
      <c r="G114" s="540"/>
      <c r="H114" s="236" t="s">
        <v>16</v>
      </c>
      <c r="I114" s="653">
        <f>SUM(I109:I113)</f>
        <v>1442700837</v>
      </c>
      <c r="J114" s="237">
        <f>SUM(J109:J113)</f>
        <v>2265465832</v>
      </c>
      <c r="K114" s="210">
        <f>SUM(K109:K113)</f>
        <v>1713760796</v>
      </c>
      <c r="L114" s="238">
        <f>+I114+J114</f>
        <v>3708166669</v>
      </c>
      <c r="M114" s="364" t="b">
        <f>K107=J114+I114</f>
        <v>1</v>
      </c>
      <c r="N114" s="441"/>
      <c r="O114" s="403"/>
      <c r="P114" s="403"/>
      <c r="Q114" s="403"/>
    </row>
    <row r="115" spans="1:20" s="97" customFormat="1" ht="27" customHeight="1" thickBot="1">
      <c r="A115"/>
      <c r="B115"/>
      <c r="C115"/>
      <c r="D115"/>
      <c r="E115"/>
      <c r="F115"/>
      <c r="G115"/>
      <c r="H115" s="2047" t="s">
        <v>1685</v>
      </c>
      <c r="I115" s="2048"/>
      <c r="J115" s="2048"/>
      <c r="K115" s="2049"/>
      <c r="L115" s="404">
        <f>L114-L113</f>
        <v>3643587469</v>
      </c>
      <c r="M115" s="366"/>
      <c r="N115" s="441"/>
      <c r="O115" s="403"/>
      <c r="P115" s="403"/>
      <c r="Q115" s="403"/>
    </row>
    <row r="116" spans="1:20" s="97" customFormat="1" ht="27" customHeight="1">
      <c r="A116"/>
      <c r="B116" s="291"/>
      <c r="C116" s="291"/>
      <c r="D116" s="290"/>
      <c r="E116" s="290"/>
      <c r="F116" s="26"/>
      <c r="G116" s="26"/>
      <c r="H116" s="292"/>
      <c r="I116" s="78"/>
      <c r="J116" s="412"/>
      <c r="K116" s="412" t="s">
        <v>3255</v>
      </c>
      <c r="L116" s="13">
        <v>3643587469</v>
      </c>
      <c r="M116" s="175"/>
      <c r="N116" s="441"/>
      <c r="O116" s="403"/>
      <c r="P116" s="403"/>
      <c r="Q116" s="403"/>
    </row>
    <row r="117" spans="1:20" s="126" customFormat="1" ht="27" customHeight="1">
      <c r="A117"/>
      <c r="B117"/>
      <c r="C117"/>
      <c r="D117" s="290"/>
      <c r="E117" s="290"/>
      <c r="F117" s="26"/>
      <c r="G117" s="26"/>
      <c r="H117" s="292"/>
      <c r="I117" s="78"/>
      <c r="J117" s="412"/>
      <c r="K117"/>
      <c r="L117" s="412" t="b">
        <f>L115=L116</f>
        <v>1</v>
      </c>
      <c r="M117" s="175"/>
      <c r="N117" s="443"/>
      <c r="O117" s="403"/>
      <c r="P117" s="403"/>
      <c r="Q117" s="403"/>
      <c r="R117" s="97"/>
    </row>
    <row r="118" spans="1:20" s="126" customFormat="1" ht="27" customHeight="1">
      <c r="A118"/>
      <c r="B118"/>
      <c r="C118"/>
      <c r="D118" s="290"/>
      <c r="E118" s="290"/>
      <c r="F118" s="26"/>
      <c r="G118" s="26"/>
      <c r="H118" s="292"/>
      <c r="I118" s="78"/>
      <c r="J118" s="26"/>
      <c r="K118"/>
      <c r="L118" s="26"/>
      <c r="M118" s="366"/>
      <c r="N118" s="443"/>
      <c r="O118" s="403"/>
      <c r="P118" s="403"/>
      <c r="Q118" s="403"/>
      <c r="R118" s="97"/>
    </row>
    <row r="119" spans="1:20" s="126" customFormat="1" ht="27" customHeight="1">
      <c r="A119"/>
      <c r="B119"/>
      <c r="C119"/>
      <c r="D119" s="290"/>
      <c r="E119" s="290"/>
      <c r="F119" s="26"/>
      <c r="G119" s="26"/>
      <c r="H119" s="292"/>
      <c r="I119" s="78"/>
      <c r="J119" s="26"/>
      <c r="K119"/>
      <c r="L119" s="26"/>
      <c r="M119" s="364"/>
      <c r="N119" s="443"/>
      <c r="P119" s="205"/>
      <c r="Q119" s="205"/>
    </row>
    <row r="120" spans="1:20" s="126" customFormat="1" ht="27" customHeight="1">
      <c r="A120"/>
      <c r="B120"/>
      <c r="C120"/>
      <c r="D120" s="290"/>
      <c r="E120" s="290"/>
      <c r="F120"/>
      <c r="G120"/>
      <c r="H120" s="13"/>
      <c r="I120" s="78"/>
      <c r="J120" s="26"/>
      <c r="K120"/>
      <c r="L120" s="26"/>
      <c r="M120" s="364"/>
      <c r="N120" s="443"/>
    </row>
    <row r="121" spans="1:20" s="19" customFormat="1" ht="27" customHeight="1">
      <c r="A121"/>
      <c r="B121"/>
      <c r="C121"/>
      <c r="D121"/>
      <c r="E121"/>
      <c r="F121"/>
      <c r="G121"/>
      <c r="H121" s="13"/>
      <c r="I121" s="78"/>
      <c r="J121"/>
      <c r="K121"/>
      <c r="L121"/>
      <c r="M121" s="410"/>
      <c r="N121" s="443"/>
      <c r="O121" s="15"/>
    </row>
    <row r="122" spans="1:20">
      <c r="J122" s="47"/>
      <c r="L122" s="26"/>
      <c r="N122" s="441"/>
      <c r="O122" s="26"/>
      <c r="P122"/>
      <c r="Q122"/>
      <c r="R122"/>
      <c r="S122"/>
      <c r="T122"/>
    </row>
    <row r="123" spans="1:20" s="24" customFormat="1">
      <c r="A123"/>
      <c r="B123"/>
      <c r="C123"/>
      <c r="D123"/>
      <c r="E123"/>
      <c r="F123"/>
      <c r="G123"/>
      <c r="H123"/>
      <c r="I123" s="78"/>
      <c r="J123"/>
      <c r="K123"/>
      <c r="L123"/>
      <c r="N123" s="445"/>
    </row>
    <row r="124" spans="1:20" s="24" customFormat="1">
      <c r="A124"/>
      <c r="B124"/>
      <c r="C124"/>
      <c r="D124"/>
      <c r="E124"/>
      <c r="F124"/>
      <c r="G124"/>
      <c r="H124"/>
      <c r="I124" s="78"/>
      <c r="J124"/>
      <c r="K124"/>
      <c r="L124" s="26"/>
      <c r="N124" s="445"/>
    </row>
    <row r="125" spans="1:20" s="24" customFormat="1">
      <c r="A125"/>
      <c r="B125"/>
      <c r="C125"/>
      <c r="D125"/>
      <c r="E125"/>
      <c r="F125"/>
      <c r="G125"/>
      <c r="H125"/>
      <c r="I125" s="78"/>
      <c r="J125" s="26"/>
      <c r="K125"/>
      <c r="L125"/>
      <c r="O125" s="434"/>
      <c r="P125" s="440"/>
      <c r="Q125" s="440"/>
      <c r="R125" s="440"/>
      <c r="S125" s="440"/>
      <c r="T125" s="445"/>
    </row>
    <row r="126" spans="1:20" s="24" customFormat="1">
      <c r="A126"/>
      <c r="B126"/>
      <c r="C126"/>
      <c r="D126"/>
      <c r="E126"/>
      <c r="F126"/>
      <c r="G126"/>
      <c r="H126"/>
      <c r="I126" s="78"/>
      <c r="J126"/>
      <c r="K126"/>
      <c r="L126" s="26"/>
      <c r="O126" s="434"/>
      <c r="P126" s="440"/>
      <c r="Q126" s="440"/>
      <c r="R126" s="440"/>
      <c r="S126" s="440"/>
      <c r="T126" s="445"/>
    </row>
    <row r="127" spans="1:20" s="24" customFormat="1">
      <c r="A127"/>
      <c r="B127"/>
      <c r="C127"/>
      <c r="D127"/>
      <c r="E127"/>
      <c r="F127"/>
      <c r="G127"/>
      <c r="H127"/>
      <c r="I127" s="78"/>
      <c r="J127"/>
      <c r="K127"/>
      <c r="L127"/>
      <c r="O127" s="434"/>
      <c r="P127" s="440"/>
      <c r="Q127" s="440"/>
      <c r="R127" s="440"/>
      <c r="S127" s="440"/>
      <c r="T127" s="445"/>
    </row>
  </sheetData>
  <autoFilter ref="A10:H118" xr:uid="{00000000-0009-0000-0000-00005A000000}"/>
  <mergeCells count="39">
    <mergeCell ref="A5:I9"/>
    <mergeCell ref="O5:O9"/>
    <mergeCell ref="P5:P9"/>
    <mergeCell ref="Q5:Q9"/>
    <mergeCell ref="R5:R9"/>
    <mergeCell ref="N3:N9"/>
    <mergeCell ref="O3:O4"/>
    <mergeCell ref="P3:P4"/>
    <mergeCell ref="Q3:Q4"/>
    <mergeCell ref="R3:R4"/>
    <mergeCell ref="A34:H34"/>
    <mergeCell ref="A10:A11"/>
    <mergeCell ref="B10:B11"/>
    <mergeCell ref="C10:C11"/>
    <mergeCell ref="D10:D11"/>
    <mergeCell ref="E10:E11"/>
    <mergeCell ref="F10:F11"/>
    <mergeCell ref="H10:H11"/>
    <mergeCell ref="I10:L10"/>
    <mergeCell ref="A12:A20"/>
    <mergeCell ref="A21:H21"/>
    <mergeCell ref="A22:A33"/>
    <mergeCell ref="A80:H80"/>
    <mergeCell ref="A35:A54"/>
    <mergeCell ref="A55:H55"/>
    <mergeCell ref="A56:A57"/>
    <mergeCell ref="A58:H58"/>
    <mergeCell ref="A59:A61"/>
    <mergeCell ref="A62:H62"/>
    <mergeCell ref="A78:A79"/>
    <mergeCell ref="A64:H64"/>
    <mergeCell ref="A66:H66"/>
    <mergeCell ref="A67:A76"/>
    <mergeCell ref="A77:H77"/>
    <mergeCell ref="A81:A84"/>
    <mergeCell ref="A86:A97"/>
    <mergeCell ref="A101:A103"/>
    <mergeCell ref="H105:H107"/>
    <mergeCell ref="H115:K115"/>
  </mergeCells>
  <phoneticPr fontId="2" type="noConversion"/>
  <conditionalFormatting sqref="A12:A13 B12:L20 B22:L33 B35:L54 A58:A60 B59:L59 B60:H61 J60:L61 I60:I62 B67:L76 B81:L84 B86:L97">
    <cfRule type="expression" dxfId="636" priority="40">
      <formula>#REF!="*01월*"</formula>
    </cfRule>
  </conditionalFormatting>
  <conditionalFormatting sqref="A21">
    <cfRule type="expression" dxfId="635" priority="41">
      <formula>#REF!="*01월*"</formula>
    </cfRule>
  </conditionalFormatting>
  <conditionalFormatting sqref="A34">
    <cfRule type="expression" dxfId="634" priority="45">
      <formula>#REF!="*01월*"</formula>
    </cfRule>
  </conditionalFormatting>
  <conditionalFormatting sqref="A55:A56">
    <cfRule type="expression" dxfId="633" priority="31">
      <formula>#REF!="*01월*"</formula>
    </cfRule>
  </conditionalFormatting>
  <conditionalFormatting sqref="A62 J62:L62 A64 I64:K64 B73:B76 D76:E76 B78:B79 A103:A114 B106:L114 H115:H119">
    <cfRule type="expression" dxfId="632" priority="19">
      <formula>$F64="*01월*"</formula>
    </cfRule>
  </conditionalFormatting>
  <conditionalFormatting sqref="A63 K66:L66 B67:C67 F67:G67 B68:B72 B75:B76">
    <cfRule type="expression" dxfId="631" priority="16">
      <formula>$F64="*01월*"</formula>
    </cfRule>
  </conditionalFormatting>
  <conditionalFormatting sqref="A66">
    <cfRule type="expression" dxfId="630" priority="39">
      <formula>#REF!="*01월*"</formula>
    </cfRule>
  </conditionalFormatting>
  <conditionalFormatting sqref="A77">
    <cfRule type="expression" dxfId="629" priority="35">
      <formula>#REF!="*01월*"</formula>
    </cfRule>
  </conditionalFormatting>
  <conditionalFormatting sqref="A80:A81">
    <cfRule type="expression" dxfId="628" priority="34">
      <formula>#REF!="*01월*"</formula>
    </cfRule>
  </conditionalFormatting>
  <conditionalFormatting sqref="A86:A89">
    <cfRule type="expression" dxfId="627" priority="1239">
      <formula>$F106="*01월*"</formula>
    </cfRule>
  </conditionalFormatting>
  <conditionalFormatting sqref="A11:B11 D11:L11">
    <cfRule type="expression" dxfId="626" priority="54">
      <formula>#REF!="*01월*"</formula>
    </cfRule>
  </conditionalFormatting>
  <conditionalFormatting sqref="A10:L10 B69 B71 A78 D96:E96">
    <cfRule type="expression" dxfId="625" priority="12">
      <formula>$F14="*01월*"</formula>
    </cfRule>
  </conditionalFormatting>
  <conditionalFormatting sqref="A65:L65">
    <cfRule type="expression" dxfId="624" priority="4">
      <formula>#REF!="*01월*"</formula>
    </cfRule>
  </conditionalFormatting>
  <conditionalFormatting sqref="B72 A101:A102">
    <cfRule type="expression" dxfId="623" priority="1270">
      <formula>$F75="*01월*"</formula>
    </cfRule>
  </conditionalFormatting>
  <conditionalFormatting sqref="B99:C99">
    <cfRule type="expression" dxfId="622" priority="17">
      <formula>#REF!="*01월*"</formula>
    </cfRule>
  </conditionalFormatting>
  <conditionalFormatting sqref="B101:C103">
    <cfRule type="expression" dxfId="621" priority="13">
      <formula>#REF!="*01월*"</formula>
    </cfRule>
  </conditionalFormatting>
  <conditionalFormatting sqref="B56:L57">
    <cfRule type="expression" dxfId="620" priority="20">
      <formula>#REF!="*01월*"</formula>
    </cfRule>
  </conditionalFormatting>
  <conditionalFormatting sqref="B63:L63">
    <cfRule type="expression" dxfId="619" priority="3">
      <formula>#REF!="*01월*"</formula>
    </cfRule>
  </conditionalFormatting>
  <conditionalFormatting sqref="C78:I79">
    <cfRule type="expression" dxfId="618" priority="8">
      <formula>#REF!="*01월*"</formula>
    </cfRule>
  </conditionalFormatting>
  <conditionalFormatting sqref="D67:E68">
    <cfRule type="expression" dxfId="617" priority="59">
      <formula>#REF!="*01월*"</formula>
    </cfRule>
  </conditionalFormatting>
  <conditionalFormatting sqref="D69:E71">
    <cfRule type="expression" dxfId="616" priority="1280">
      <formula>$F77="*01월*"</formula>
    </cfRule>
  </conditionalFormatting>
  <conditionalFormatting sqref="D71:E71 A98">
    <cfRule type="expression" dxfId="615" priority="1162">
      <formula>$F78="*01월*"</formula>
    </cfRule>
  </conditionalFormatting>
  <conditionalFormatting sqref="D72:E72 D89:E94">
    <cfRule type="expression" dxfId="614" priority="1142">
      <formula>#REF!="*01월*"</formula>
    </cfRule>
  </conditionalFormatting>
  <conditionalFormatting sqref="D72:E72">
    <cfRule type="expression" dxfId="613" priority="18">
      <formula>$F78="*01월*"</formula>
    </cfRule>
  </conditionalFormatting>
  <conditionalFormatting sqref="D75:E75 K77:L77">
    <cfRule type="expression" dxfId="612" priority="37">
      <formula>$F78="*01월*"</formula>
    </cfRule>
  </conditionalFormatting>
  <conditionalFormatting sqref="D95:E95 D99:G99 A99:A100 J100:L100 L104">
    <cfRule type="expression" dxfId="611" priority="33">
      <formula>$F101="*01월*"</formula>
    </cfRule>
  </conditionalFormatting>
  <conditionalFormatting sqref="D97:E97">
    <cfRule type="expression" dxfId="610" priority="30">
      <formula>$F100="*01월*"</formula>
    </cfRule>
  </conditionalFormatting>
  <conditionalFormatting sqref="D116:E120">
    <cfRule type="expression" dxfId="609" priority="36">
      <formula>$F118="*01월*"</formula>
    </cfRule>
  </conditionalFormatting>
  <conditionalFormatting sqref="D101:G103 J101:L103">
    <cfRule type="expression" dxfId="608" priority="51">
      <formula>$F104="*01월*"</formula>
    </cfRule>
  </conditionalFormatting>
  <conditionalFormatting sqref="F22:G22 B70:B72 D73:E74">
    <cfRule type="expression" dxfId="607" priority="9">
      <formula>$F27="*01월*"</formula>
    </cfRule>
  </conditionalFormatting>
  <conditionalFormatting sqref="F23:G23">
    <cfRule type="expression" dxfId="606" priority="10">
      <formula>#REF!="*01월*"</formula>
    </cfRule>
    <cfRule type="expression" dxfId="605" priority="11">
      <formula>$F34="*01월*"</formula>
    </cfRule>
  </conditionalFormatting>
  <conditionalFormatting sqref="F24:G24">
    <cfRule type="expression" dxfId="604" priority="1271">
      <formula>$F34="*01월*"</formula>
    </cfRule>
  </conditionalFormatting>
  <conditionalFormatting sqref="F25:G25">
    <cfRule type="expression" dxfId="603" priority="42">
      <formula>$F43="*01월*"</formula>
    </cfRule>
    <cfRule type="expression" dxfId="602" priority="57">
      <formula>$F42="*01월*"</formula>
    </cfRule>
  </conditionalFormatting>
  <conditionalFormatting sqref="F26:G33 A94">
    <cfRule type="expression" dxfId="601" priority="70">
      <formula>$F41="*01월*"</formula>
    </cfRule>
  </conditionalFormatting>
  <conditionalFormatting sqref="F27:G27">
    <cfRule type="expression" dxfId="600" priority="64">
      <formula>$F41="*01월*"</formula>
    </cfRule>
  </conditionalFormatting>
  <conditionalFormatting sqref="F27:G28 F30:G32 A92">
    <cfRule type="expression" dxfId="599" priority="1144">
      <formula>$F44="*01월*"</formula>
    </cfRule>
  </conditionalFormatting>
  <conditionalFormatting sqref="F27:G30 A91">
    <cfRule type="expression" dxfId="598" priority="1264">
      <formula>$F45="*01월*"</formula>
    </cfRule>
  </conditionalFormatting>
  <conditionalFormatting sqref="F28:G29 A85 A90">
    <cfRule type="expression" dxfId="597" priority="63">
      <formula>$F47="*01월*"</formula>
    </cfRule>
  </conditionalFormatting>
  <conditionalFormatting sqref="F28:G32 A93">
    <cfRule type="expression" dxfId="596" priority="1161">
      <formula>$F44="*01월*"</formula>
    </cfRule>
  </conditionalFormatting>
  <conditionalFormatting sqref="F29:G29">
    <cfRule type="expression" dxfId="595" priority="5">
      <formula>$F38="*01월*"</formula>
    </cfRule>
  </conditionalFormatting>
  <conditionalFormatting sqref="F29:G33">
    <cfRule type="expression" dxfId="594" priority="6">
      <formula>#REF!="*01월*"</formula>
    </cfRule>
  </conditionalFormatting>
  <conditionalFormatting sqref="F30:G30">
    <cfRule type="expression" dxfId="593" priority="1120">
      <formula>$F54="*01월*"</formula>
    </cfRule>
    <cfRule type="expression" dxfId="592" priority="68">
      <formula>$F44="*01월*"</formula>
    </cfRule>
  </conditionalFormatting>
  <conditionalFormatting sqref="F30:G33 D86:E88 A95">
    <cfRule type="expression" dxfId="591" priority="60">
      <formula>$F43="*01월*"</formula>
    </cfRule>
  </conditionalFormatting>
  <conditionalFormatting sqref="F31:G32">
    <cfRule type="expression" dxfId="590" priority="1134">
      <formula>$F54="*01월*"</formula>
    </cfRule>
  </conditionalFormatting>
  <conditionalFormatting sqref="F31:G33">
    <cfRule type="expression" dxfId="589" priority="55">
      <formula>$F43="*01월*"</formula>
    </cfRule>
  </conditionalFormatting>
  <conditionalFormatting sqref="F33:G33 A96">
    <cfRule type="expression" dxfId="588" priority="53">
      <formula>$F44="*01월*"</formula>
    </cfRule>
  </conditionalFormatting>
  <conditionalFormatting sqref="F33:G33 D90:E94">
    <cfRule type="expression" dxfId="587" priority="62">
      <formula>$F47="*01월*"</formula>
    </cfRule>
  </conditionalFormatting>
  <conditionalFormatting sqref="F33:G33">
    <cfRule type="expression" dxfId="586" priority="1136">
      <formula>$F54="*01월*"</formula>
    </cfRule>
  </conditionalFormatting>
  <conditionalFormatting sqref="H99:I99">
    <cfRule type="expression" dxfId="585" priority="25">
      <formula>#REF!="*01월*"</formula>
    </cfRule>
  </conditionalFormatting>
  <conditionalFormatting sqref="H101:I103">
    <cfRule type="expression" dxfId="584" priority="14">
      <formula>#REF!="*01월*"</formula>
    </cfRule>
  </conditionalFormatting>
  <conditionalFormatting sqref="H105:L105">
    <cfRule type="expression" dxfId="583" priority="1">
      <formula>$F107="*01월*"</formula>
    </cfRule>
  </conditionalFormatting>
  <conditionalFormatting sqref="I77">
    <cfRule type="expression" dxfId="582" priority="66">
      <formula>$F80="*01월*"</formula>
    </cfRule>
  </conditionalFormatting>
  <conditionalFormatting sqref="I66:J66">
    <cfRule type="expression" dxfId="581" priority="23">
      <formula>#REF!="*01월*"</formula>
    </cfRule>
  </conditionalFormatting>
  <conditionalFormatting sqref="I85:K85">
    <cfRule type="expression" dxfId="580" priority="1252">
      <formula>$F104="*01월*"</formula>
    </cfRule>
  </conditionalFormatting>
  <conditionalFormatting sqref="I104:K104">
    <cfRule type="expression" dxfId="579" priority="38">
      <formula>$F106="*01월*"</formula>
    </cfRule>
  </conditionalFormatting>
  <conditionalFormatting sqref="I21:L21">
    <cfRule type="expression" dxfId="578" priority="28">
      <formula>#REF!="*01월*"</formula>
    </cfRule>
  </conditionalFormatting>
  <conditionalFormatting sqref="I34:L34">
    <cfRule type="expression" dxfId="577" priority="27">
      <formula>#REF!="*01월*"</formula>
    </cfRule>
  </conditionalFormatting>
  <conditionalFormatting sqref="I55:L55">
    <cfRule type="expression" dxfId="576" priority="21">
      <formula>#REF!="*01월*"</formula>
    </cfRule>
  </conditionalFormatting>
  <conditionalFormatting sqref="I58:L58">
    <cfRule type="expression" dxfId="575" priority="15">
      <formula>#REF!="*01월*"</formula>
    </cfRule>
  </conditionalFormatting>
  <conditionalFormatting sqref="I80:L80">
    <cfRule type="expression" dxfId="574" priority="29">
      <formula>$F83="*01월*"</formula>
    </cfRule>
  </conditionalFormatting>
  <conditionalFormatting sqref="I98:L98">
    <cfRule type="expression" dxfId="573" priority="67">
      <formula>$F105="*01월*"</formula>
    </cfRule>
  </conditionalFormatting>
  <conditionalFormatting sqref="J77">
    <cfRule type="expression" dxfId="572" priority="22">
      <formula>#REF!="*01월*"</formula>
    </cfRule>
  </conditionalFormatting>
  <conditionalFormatting sqref="J78:J79">
    <cfRule type="expression" dxfId="571" priority="24">
      <formula>$F80="*01월*"</formula>
    </cfRule>
  </conditionalFormatting>
  <conditionalFormatting sqref="J99:K99">
    <cfRule type="expression" dxfId="570" priority="61">
      <formula>$F105="*01월*"</formula>
    </cfRule>
  </conditionalFormatting>
  <conditionalFormatting sqref="K78:K79">
    <cfRule type="expression" dxfId="569" priority="49">
      <formula>#REF!="*01월*"</formula>
    </cfRule>
  </conditionalFormatting>
  <conditionalFormatting sqref="L64 B68:C68 F68:G68 B69:B76 D75:E76">
    <cfRule type="expression" dxfId="568" priority="65">
      <formula>#REF!="*01월*"</formula>
    </cfRule>
  </conditionalFormatting>
  <conditionalFormatting sqref="L78:L79">
    <cfRule type="expression" dxfId="567" priority="7">
      <formula>$F80="*01월*"</formula>
    </cfRule>
  </conditionalFormatting>
  <conditionalFormatting sqref="L85 I100">
    <cfRule type="expression" dxfId="566" priority="50">
      <formula>#REF!="*01월*"</formula>
    </cfRule>
  </conditionalFormatting>
  <conditionalFormatting sqref="L99">
    <cfRule type="expression" dxfId="565" priority="48">
      <formula>#REF!="*01월*"</formula>
    </cfRule>
  </conditionalFormatting>
  <conditionalFormatting sqref="L115">
    <cfRule type="expression" dxfId="564" priority="32">
      <formula>$F117="*01월*"</formula>
    </cfRule>
  </conditionalFormatting>
  <printOptions horizontalCentered="1"/>
  <pageMargins left="0" right="0" top="0.70866141732283472" bottom="0.23622047244094491" header="0" footer="0"/>
  <pageSetup paperSize="9" scale="44" fitToHeight="0" orientation="portrait" r:id="rId1"/>
  <rowBreaks count="1" manualBreakCount="1">
    <brk id="66" max="11" man="1"/>
  </rowBreaks>
  <colBreaks count="1" manualBreakCount="1">
    <brk id="11" max="1048575" man="1"/>
  </colBreaks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pageSetUpPr fitToPage="1"/>
  </sheetPr>
  <dimension ref="A2:U114"/>
  <sheetViews>
    <sheetView view="pageBreakPreview" zoomScale="70" zoomScaleNormal="70" zoomScaleSheetLayoutView="70" workbookViewId="0">
      <pane xSplit="1" ySplit="11" topLeftCell="B30" activePane="bottomRight" state="frozen"/>
      <selection pane="topRight" activeCell="B1" sqref="B1"/>
      <selection pane="bottomLeft" activeCell="A12" sqref="A12"/>
      <selection pane="bottomRight" activeCell="I38" sqref="I38"/>
    </sheetView>
  </sheetViews>
  <sheetFormatPr defaultRowHeight="25.2"/>
  <cols>
    <col min="1" max="1" width="18.69921875" customWidth="1"/>
    <col min="2" max="2" width="22.8984375" customWidth="1"/>
    <col min="3" max="3" width="22.8984375" hidden="1" customWidth="1"/>
    <col min="4" max="4" width="29.09765625" customWidth="1"/>
    <col min="5" max="5" width="29.09765625" hidden="1" customWidth="1"/>
    <col min="6" max="6" width="21" customWidth="1"/>
    <col min="7" max="7" width="21" hidden="1" customWidth="1"/>
    <col min="8" max="8" width="18.69921875" customWidth="1"/>
    <col min="9" max="9" width="25.69921875" style="78" customWidth="1"/>
    <col min="10" max="10" width="26.5" customWidth="1"/>
    <col min="11" max="11" width="25.09765625" customWidth="1"/>
    <col min="12" max="12" width="29.19921875" customWidth="1"/>
    <col min="13" max="13" width="29.19921875" style="19" customWidth="1"/>
    <col min="14" max="14" width="14.8984375" style="24" customWidth="1"/>
    <col min="15" max="15" width="26.8984375" style="24" bestFit="1" customWidth="1"/>
    <col min="16" max="20" width="17.09765625" style="434" customWidth="1"/>
    <col min="21" max="21" width="9" style="441"/>
  </cols>
  <sheetData>
    <row r="2" spans="1:21" ht="25.8" thickBot="1">
      <c r="F2" s="507"/>
      <c r="G2" s="507"/>
      <c r="I2" s="55"/>
      <c r="J2" s="434"/>
      <c r="K2" s="434"/>
      <c r="L2" s="434"/>
      <c r="M2" s="436"/>
      <c r="N2" s="434"/>
      <c r="O2"/>
      <c r="P2"/>
      <c r="Q2"/>
      <c r="R2"/>
      <c r="S2"/>
      <c r="T2"/>
      <c r="U2"/>
    </row>
    <row r="3" spans="1:21" ht="21.75" customHeight="1" thickTop="1">
      <c r="F3" s="507"/>
      <c r="O3" s="2058" t="s">
        <v>2041</v>
      </c>
      <c r="P3" s="2082" t="s">
        <v>2034</v>
      </c>
      <c r="Q3" s="2084" t="s">
        <v>2035</v>
      </c>
      <c r="R3" s="2084" t="s">
        <v>2063</v>
      </c>
      <c r="S3" s="2086" t="s">
        <v>2036</v>
      </c>
      <c r="T3" s="441"/>
      <c r="U3"/>
    </row>
    <row r="4" spans="1:21" ht="19.5" customHeight="1">
      <c r="O4" s="2080"/>
      <c r="P4" s="2083"/>
      <c r="Q4" s="2085"/>
      <c r="R4" s="2085"/>
      <c r="S4" s="2087"/>
      <c r="T4" s="441"/>
      <c r="U4"/>
    </row>
    <row r="5" spans="1:21" ht="19.5" customHeight="1">
      <c r="A5" s="2020" t="s">
        <v>3392</v>
      </c>
      <c r="B5" s="2020"/>
      <c r="C5" s="2020"/>
      <c r="D5" s="2020"/>
      <c r="E5" s="2020"/>
      <c r="F5" s="2020"/>
      <c r="G5" s="2020"/>
      <c r="H5" s="2020"/>
      <c r="I5" s="2020"/>
      <c r="J5" s="1"/>
      <c r="K5" s="1"/>
      <c r="L5" s="1"/>
      <c r="M5" s="661"/>
      <c r="O5" s="2080"/>
      <c r="P5" s="2091"/>
      <c r="Q5" s="2088"/>
      <c r="R5" s="2088"/>
      <c r="S5" s="2077"/>
      <c r="T5" s="441"/>
      <c r="U5"/>
    </row>
    <row r="6" spans="1:21" ht="19.5" customHeight="1">
      <c r="A6" s="2020"/>
      <c r="B6" s="2020"/>
      <c r="C6" s="2020"/>
      <c r="D6" s="2020"/>
      <c r="E6" s="2020"/>
      <c r="F6" s="2020"/>
      <c r="G6" s="2020"/>
      <c r="H6" s="2020"/>
      <c r="I6" s="2020"/>
      <c r="J6" s="1"/>
      <c r="K6" s="1"/>
      <c r="L6" s="1"/>
      <c r="M6" s="661"/>
      <c r="O6" s="2080"/>
      <c r="P6" s="2092"/>
      <c r="Q6" s="2089"/>
      <c r="R6" s="2089"/>
      <c r="S6" s="2078"/>
      <c r="T6" s="441"/>
      <c r="U6"/>
    </row>
    <row r="7" spans="1:21" ht="19.5" customHeight="1">
      <c r="A7" s="2020"/>
      <c r="B7" s="2020"/>
      <c r="C7" s="2020"/>
      <c r="D7" s="2020"/>
      <c r="E7" s="2020"/>
      <c r="F7" s="2020"/>
      <c r="G7" s="2020"/>
      <c r="H7" s="2020"/>
      <c r="I7" s="2020"/>
      <c r="J7" s="1"/>
      <c r="K7" s="1"/>
      <c r="L7" s="1"/>
      <c r="M7" s="661"/>
      <c r="O7" s="2080"/>
      <c r="P7" s="2092"/>
      <c r="Q7" s="2089"/>
      <c r="R7" s="2089"/>
      <c r="S7" s="2078"/>
      <c r="T7" s="441"/>
      <c r="U7"/>
    </row>
    <row r="8" spans="1:21" ht="19.5" customHeight="1">
      <c r="A8" s="2020"/>
      <c r="B8" s="2020"/>
      <c r="C8" s="2020"/>
      <c r="D8" s="2020"/>
      <c r="E8" s="2020"/>
      <c r="F8" s="2020"/>
      <c r="G8" s="2020"/>
      <c r="H8" s="2020"/>
      <c r="I8" s="2020"/>
      <c r="J8" s="2"/>
      <c r="K8" s="2"/>
      <c r="L8" s="2"/>
      <c r="M8" s="662"/>
      <c r="O8" s="2080"/>
      <c r="P8" s="2092"/>
      <c r="Q8" s="2089"/>
      <c r="R8" s="2089"/>
      <c r="S8" s="2078"/>
      <c r="T8" s="441"/>
      <c r="U8"/>
    </row>
    <row r="9" spans="1:21" ht="19.5" customHeight="1" thickBot="1">
      <c r="A9" s="2052"/>
      <c r="B9" s="2052"/>
      <c r="C9" s="2052"/>
      <c r="D9" s="2052"/>
      <c r="E9" s="2052"/>
      <c r="F9" s="2052"/>
      <c r="G9" s="2052"/>
      <c r="H9" s="2052"/>
      <c r="I9" s="2052"/>
      <c r="J9" s="2"/>
      <c r="K9" s="2"/>
      <c r="L9" s="2"/>
      <c r="M9" s="662"/>
      <c r="O9" s="2081"/>
      <c r="P9" s="2093"/>
      <c r="Q9" s="2090"/>
      <c r="R9" s="2090"/>
      <c r="S9" s="2079"/>
      <c r="T9" s="441"/>
      <c r="U9"/>
    </row>
    <row r="10" spans="1:21" ht="23.25" customHeight="1">
      <c r="A10" s="2021" t="s">
        <v>0</v>
      </c>
      <c r="B10" s="2107" t="s">
        <v>1</v>
      </c>
      <c r="C10" s="2107" t="s">
        <v>2655</v>
      </c>
      <c r="D10" s="2114" t="s">
        <v>2</v>
      </c>
      <c r="E10" s="2114" t="s">
        <v>1222</v>
      </c>
      <c r="F10" s="2114" t="s">
        <v>3</v>
      </c>
      <c r="G10" s="523"/>
      <c r="H10" s="2116" t="s">
        <v>4</v>
      </c>
      <c r="I10" s="2104" t="s">
        <v>2352</v>
      </c>
      <c r="J10" s="2105"/>
      <c r="K10" s="2105"/>
      <c r="L10" s="2106"/>
      <c r="M10" s="658"/>
    </row>
    <row r="11" spans="1:21" ht="23.25" customHeight="1">
      <c r="A11" s="2022"/>
      <c r="B11" s="2108"/>
      <c r="C11" s="2108"/>
      <c r="D11" s="2115"/>
      <c r="E11" s="2115"/>
      <c r="F11" s="2115"/>
      <c r="G11" s="522" t="s">
        <v>2499</v>
      </c>
      <c r="H11" s="2117"/>
      <c r="I11" s="641" t="s">
        <v>6</v>
      </c>
      <c r="J11" s="3" t="s">
        <v>7</v>
      </c>
      <c r="K11" s="476" t="s">
        <v>2479</v>
      </c>
      <c r="L11" s="271" t="s">
        <v>2336</v>
      </c>
      <c r="M11" s="659" t="s">
        <v>3447</v>
      </c>
      <c r="N11" s="24" t="s">
        <v>2528</v>
      </c>
      <c r="O11" s="434" t="s">
        <v>33</v>
      </c>
      <c r="P11" s="434" t="s">
        <v>2522</v>
      </c>
      <c r="Q11" s="434" t="s">
        <v>2358</v>
      </c>
      <c r="R11" s="434" t="s">
        <v>2815</v>
      </c>
      <c r="S11" s="434" t="s">
        <v>44</v>
      </c>
    </row>
    <row r="12" spans="1:21" ht="27" customHeight="1">
      <c r="A12" s="2011" t="s">
        <v>3098</v>
      </c>
      <c r="B12" s="509" t="s">
        <v>3393</v>
      </c>
      <c r="C12" s="509" t="s">
        <v>3502</v>
      </c>
      <c r="D12" s="454" t="s">
        <v>3405</v>
      </c>
      <c r="E12" s="454"/>
      <c r="F12" s="455">
        <v>45936</v>
      </c>
      <c r="G12" s="455"/>
      <c r="H12" s="456">
        <f>VLOOKUP(F12,환율!A:B,2,0)</f>
        <v>1406</v>
      </c>
      <c r="I12" s="478">
        <v>417084.48</v>
      </c>
      <c r="J12" s="458">
        <f t="shared" ref="J12:J19" si="0">ROUNDDOWN(I12*H12,0)</f>
        <v>586420778</v>
      </c>
      <c r="K12" s="458">
        <f t="shared" ref="K12:K17" si="1">J12</f>
        <v>586420778</v>
      </c>
      <c r="L12" s="464"/>
      <c r="M12" s="663" t="s">
        <v>3448</v>
      </c>
      <c r="O12" s="434"/>
    </row>
    <row r="13" spans="1:21" ht="27" customHeight="1">
      <c r="A13" s="2011"/>
      <c r="B13" s="509" t="s">
        <v>3394</v>
      </c>
      <c r="C13" s="509" t="s">
        <v>3501</v>
      </c>
      <c r="D13" s="454" t="s">
        <v>2504</v>
      </c>
      <c r="E13" s="454"/>
      <c r="F13" s="455">
        <v>45936</v>
      </c>
      <c r="G13" s="455"/>
      <c r="H13" s="456">
        <f>VLOOKUP(F13,환율!A:B,2,0)</f>
        <v>1406</v>
      </c>
      <c r="I13" s="478">
        <v>101746.32</v>
      </c>
      <c r="J13" s="458">
        <f t="shared" si="0"/>
        <v>143055325</v>
      </c>
      <c r="K13" s="458">
        <f t="shared" si="1"/>
        <v>143055325</v>
      </c>
      <c r="L13" s="464"/>
      <c r="M13" s="663" t="s">
        <v>3448</v>
      </c>
      <c r="O13" s="434"/>
    </row>
    <row r="14" spans="1:21" s="97" customFormat="1" ht="27" customHeight="1">
      <c r="A14" s="2011"/>
      <c r="B14" s="155" t="s">
        <v>3409</v>
      </c>
      <c r="C14" s="155" t="s">
        <v>3502</v>
      </c>
      <c r="D14" s="89" t="s">
        <v>3413</v>
      </c>
      <c r="E14" s="89"/>
      <c r="F14" s="90">
        <v>45939</v>
      </c>
      <c r="G14" s="90"/>
      <c r="H14" s="91">
        <f>VLOOKUP(F14,환율!A:B,2,0)</f>
        <v>1406</v>
      </c>
      <c r="I14" s="118">
        <v>382925.62</v>
      </c>
      <c r="J14" s="93">
        <f t="shared" si="0"/>
        <v>538393421</v>
      </c>
      <c r="K14" s="93">
        <f t="shared" si="1"/>
        <v>538393421</v>
      </c>
      <c r="L14" s="254"/>
      <c r="M14" s="664" t="s">
        <v>3459</v>
      </c>
      <c r="N14" s="364"/>
      <c r="O14" s="434"/>
      <c r="P14" s="434"/>
      <c r="Q14" s="434"/>
      <c r="R14" s="434"/>
      <c r="S14" s="434"/>
      <c r="T14" s="434"/>
      <c r="U14" s="441"/>
    </row>
    <row r="15" spans="1:21" s="97" customFormat="1" ht="27" customHeight="1">
      <c r="A15" s="2011"/>
      <c r="B15" s="155" t="s">
        <v>3411</v>
      </c>
      <c r="C15" s="155" t="s">
        <v>3501</v>
      </c>
      <c r="D15" s="89" t="s">
        <v>3407</v>
      </c>
      <c r="E15" s="89"/>
      <c r="F15" s="90">
        <v>45939</v>
      </c>
      <c r="G15" s="90"/>
      <c r="H15" s="91">
        <f>VLOOKUP(F15,환율!A:B,2,0)</f>
        <v>1406</v>
      </c>
      <c r="I15" s="118">
        <v>93197.119999999995</v>
      </c>
      <c r="J15" s="93">
        <f t="shared" si="0"/>
        <v>131035150</v>
      </c>
      <c r="K15" s="93">
        <f t="shared" si="1"/>
        <v>131035150</v>
      </c>
      <c r="L15" s="254"/>
      <c r="M15" s="664" t="s">
        <v>3459</v>
      </c>
      <c r="N15" s="401">
        <f>J15+J17</f>
        <v>271628794</v>
      </c>
      <c r="O15" s="434"/>
      <c r="P15" s="434"/>
      <c r="Q15" s="434"/>
      <c r="R15" s="434"/>
      <c r="S15" s="434"/>
      <c r="T15" s="434"/>
      <c r="U15" s="441"/>
    </row>
    <row r="16" spans="1:21" s="97" customFormat="1" ht="27" customHeight="1">
      <c r="A16" s="2011"/>
      <c r="B16" s="155" t="s">
        <v>3410</v>
      </c>
      <c r="C16" s="155" t="s">
        <v>3502</v>
      </c>
      <c r="D16" s="89" t="s">
        <v>3414</v>
      </c>
      <c r="E16" s="89"/>
      <c r="F16" s="90">
        <v>45957</v>
      </c>
      <c r="G16" s="90"/>
      <c r="H16" s="91">
        <f>VLOOKUP(F16,환율!A:B,2,0)</f>
        <v>1436.1</v>
      </c>
      <c r="I16" s="118">
        <v>401788.75</v>
      </c>
      <c r="J16" s="93">
        <f t="shared" si="0"/>
        <v>577008823</v>
      </c>
      <c r="K16" s="93">
        <f t="shared" si="1"/>
        <v>577008823</v>
      </c>
      <c r="L16" s="254"/>
      <c r="M16" s="664" t="s">
        <v>3459</v>
      </c>
      <c r="N16" s="401">
        <f>+J13</f>
        <v>143055325</v>
      </c>
      <c r="O16" s="434"/>
      <c r="P16" s="434"/>
      <c r="Q16" s="434"/>
      <c r="R16" s="434"/>
      <c r="S16" s="434"/>
      <c r="T16" s="434"/>
      <c r="U16" s="441"/>
    </row>
    <row r="17" spans="1:21" s="97" customFormat="1" ht="27" customHeight="1">
      <c r="A17" s="2011"/>
      <c r="B17" s="155" t="s">
        <v>3412</v>
      </c>
      <c r="C17" s="155" t="s">
        <v>3501</v>
      </c>
      <c r="D17" s="89" t="s">
        <v>3407</v>
      </c>
      <c r="E17" s="89"/>
      <c r="F17" s="90">
        <v>45957</v>
      </c>
      <c r="G17" s="90"/>
      <c r="H17" s="91">
        <f>VLOOKUP(F17,환율!A:B,2,0)</f>
        <v>1436.1</v>
      </c>
      <c r="I17" s="118">
        <v>97899.62</v>
      </c>
      <c r="J17" s="93">
        <f t="shared" si="0"/>
        <v>140593644</v>
      </c>
      <c r="K17" s="93">
        <f t="shared" si="1"/>
        <v>140593644</v>
      </c>
      <c r="L17" s="254"/>
      <c r="M17" s="664" t="s">
        <v>3459</v>
      </c>
      <c r="N17" s="364"/>
      <c r="O17" s="434"/>
      <c r="P17" s="434"/>
      <c r="Q17" s="434"/>
      <c r="R17" s="434"/>
      <c r="S17" s="434"/>
      <c r="T17" s="434"/>
      <c r="U17" s="441"/>
    </row>
    <row r="18" spans="1:21" s="97" customFormat="1" ht="27" customHeight="1">
      <c r="A18" s="2011"/>
      <c r="B18" s="546" t="s">
        <v>3406</v>
      </c>
      <c r="C18" s="546" t="s">
        <v>3501</v>
      </c>
      <c r="D18" s="547"/>
      <c r="E18" s="547"/>
      <c r="F18" s="527">
        <v>45966</v>
      </c>
      <c r="G18" s="527"/>
      <c r="H18" s="528">
        <f>VLOOKUP(F18,환율!A:B,2,0)</f>
        <v>1437.7</v>
      </c>
      <c r="I18" s="554">
        <v>393868.28</v>
      </c>
      <c r="J18" s="530">
        <f t="shared" si="0"/>
        <v>566264426</v>
      </c>
      <c r="K18" s="530"/>
      <c r="L18" s="548">
        <f>J18</f>
        <v>566264426</v>
      </c>
      <c r="M18" s="665"/>
      <c r="N18" s="364"/>
      <c r="O18" s="434"/>
      <c r="P18" s="434"/>
      <c r="Q18" s="434"/>
      <c r="R18" s="434"/>
      <c r="S18" s="434"/>
      <c r="T18" s="434"/>
      <c r="U18" s="441"/>
    </row>
    <row r="19" spans="1:21" s="97" customFormat="1" ht="27" customHeight="1">
      <c r="A19" s="2019"/>
      <c r="B19" s="546" t="s">
        <v>3408</v>
      </c>
      <c r="C19" s="546" t="s">
        <v>3501</v>
      </c>
      <c r="D19" s="547" t="s">
        <v>3407</v>
      </c>
      <c r="E19" s="547"/>
      <c r="F19" s="527">
        <v>45966</v>
      </c>
      <c r="G19" s="527"/>
      <c r="H19" s="528">
        <f>VLOOKUP(F19,환율!A:B,2,0)</f>
        <v>1437.7</v>
      </c>
      <c r="I19" s="554">
        <v>57649.682973342002</v>
      </c>
      <c r="J19" s="530">
        <f t="shared" si="0"/>
        <v>82882949</v>
      </c>
      <c r="K19" s="530"/>
      <c r="L19" s="548">
        <f>J19</f>
        <v>82882949</v>
      </c>
      <c r="M19" s="665"/>
      <c r="N19" s="401"/>
      <c r="O19" s="434"/>
      <c r="P19" s="434"/>
      <c r="Q19" s="434"/>
      <c r="R19" s="434"/>
      <c r="S19" s="434"/>
      <c r="T19" s="434"/>
      <c r="U19" s="441"/>
    </row>
    <row r="20" spans="1:21" s="97" customFormat="1" ht="27" customHeight="1">
      <c r="A20" s="2035" t="s">
        <v>10</v>
      </c>
      <c r="B20" s="2036"/>
      <c r="C20" s="2036"/>
      <c r="D20" s="2036"/>
      <c r="E20" s="2036"/>
      <c r="F20" s="2036"/>
      <c r="G20" s="2036"/>
      <c r="H20" s="2037"/>
      <c r="I20" s="642">
        <f>SUM(I12:I19)</f>
        <v>1946159.8729733422</v>
      </c>
      <c r="J20" s="116">
        <f>SUM(J12:J19)</f>
        <v>2765654516</v>
      </c>
      <c r="K20" s="116">
        <f>SUM(K12:K19)</f>
        <v>2116507141</v>
      </c>
      <c r="L20" s="260">
        <f>SUM(L12:L19)</f>
        <v>649147375</v>
      </c>
      <c r="M20" s="666"/>
      <c r="N20" s="364"/>
      <c r="O20" s="434"/>
      <c r="P20" s="434"/>
      <c r="Q20" s="434"/>
      <c r="R20" s="434"/>
      <c r="S20" s="434"/>
      <c r="T20" s="434"/>
      <c r="U20" s="441"/>
    </row>
    <row r="21" spans="1:21" s="97" customFormat="1" ht="27" customHeight="1">
      <c r="A21" s="2010" t="s">
        <v>3099</v>
      </c>
      <c r="B21" s="509" t="s">
        <v>3365</v>
      </c>
      <c r="C21" s="509" t="s">
        <v>3502</v>
      </c>
      <c r="D21" s="454" t="s">
        <v>3379</v>
      </c>
      <c r="E21" s="477"/>
      <c r="F21" s="465">
        <v>45936</v>
      </c>
      <c r="G21" s="465"/>
      <c r="H21" s="456">
        <f>VLOOKUP(F21,환율!A:B,2,0)</f>
        <v>1406</v>
      </c>
      <c r="I21" s="462">
        <v>50313.599999999999</v>
      </c>
      <c r="J21" s="458">
        <f t="shared" ref="J21" si="2">ROUNDDOWN(I21*H21,0)</f>
        <v>70740921</v>
      </c>
      <c r="K21" s="458">
        <f>J21</f>
        <v>70740921</v>
      </c>
      <c r="L21" s="464"/>
      <c r="M21" s="663" t="s">
        <v>3448</v>
      </c>
      <c r="N21" s="364"/>
      <c r="O21" s="434"/>
      <c r="P21" s="434"/>
      <c r="Q21" s="434"/>
      <c r="R21" s="434"/>
      <c r="S21" s="434"/>
      <c r="T21" s="434"/>
      <c r="U21" s="441"/>
    </row>
    <row r="22" spans="1:21" s="120" customFormat="1" ht="27" customHeight="1">
      <c r="A22" s="2011"/>
      <c r="B22" s="155" t="s">
        <v>3420</v>
      </c>
      <c r="C22" s="155" t="s">
        <v>3502</v>
      </c>
      <c r="D22" s="89" t="s">
        <v>3449</v>
      </c>
      <c r="E22" s="319"/>
      <c r="F22" s="136">
        <v>45950</v>
      </c>
      <c r="G22" s="136"/>
      <c r="H22" s="91">
        <f>VLOOKUP(F22,환율!A:B,2,0)</f>
        <v>1419.5</v>
      </c>
      <c r="I22" s="134">
        <v>41924.160000000003</v>
      </c>
      <c r="J22" s="93">
        <f t="shared" ref="J22:J27" si="3">ROUNDDOWN(I22*H22,0)</f>
        <v>59511345</v>
      </c>
      <c r="K22" s="93">
        <f>J22</f>
        <v>59511345</v>
      </c>
      <c r="L22" s="254"/>
      <c r="M22" s="664" t="s">
        <v>3448</v>
      </c>
      <c r="N22" s="365"/>
      <c r="O22" s="434"/>
      <c r="P22" s="434"/>
      <c r="Q22" s="434"/>
      <c r="R22" s="434"/>
      <c r="S22" s="434"/>
      <c r="T22" s="435"/>
      <c r="U22" s="442"/>
    </row>
    <row r="23" spans="1:21" s="120" customFormat="1" ht="27" customHeight="1">
      <c r="A23" s="2011"/>
      <c r="B23" s="155" t="s">
        <v>3421</v>
      </c>
      <c r="C23" s="155" t="s">
        <v>3502</v>
      </c>
      <c r="D23" s="89" t="s">
        <v>3450</v>
      </c>
      <c r="E23" s="319"/>
      <c r="F23" s="136">
        <v>45953</v>
      </c>
      <c r="G23" s="136"/>
      <c r="H23" s="91">
        <f>VLOOKUP(F23,환율!A:B,2,0)</f>
        <v>1430.1</v>
      </c>
      <c r="I23" s="134">
        <v>46168.32</v>
      </c>
      <c r="J23" s="93">
        <f t="shared" si="3"/>
        <v>66025314</v>
      </c>
      <c r="K23" s="93">
        <f>J23</f>
        <v>66025314</v>
      </c>
      <c r="L23" s="254"/>
      <c r="M23" s="664" t="s">
        <v>3448</v>
      </c>
      <c r="N23" s="365"/>
      <c r="T23" s="435"/>
      <c r="U23" s="442"/>
    </row>
    <row r="24" spans="1:21" s="120" customFormat="1" ht="27" customHeight="1">
      <c r="A24" s="2011"/>
      <c r="B24" s="155" t="s">
        <v>3422</v>
      </c>
      <c r="C24" s="155" t="s">
        <v>3502</v>
      </c>
      <c r="D24" s="155" t="s">
        <v>3451</v>
      </c>
      <c r="E24" s="319"/>
      <c r="F24" s="136">
        <v>45960</v>
      </c>
      <c r="G24" s="136"/>
      <c r="H24" s="163">
        <f>VLOOKUP(F24,환율!A:B,2,0)</f>
        <v>1433</v>
      </c>
      <c r="I24" s="131">
        <v>61800.480000000003</v>
      </c>
      <c r="J24" s="164">
        <f t="shared" si="3"/>
        <v>88560087</v>
      </c>
      <c r="K24" s="164">
        <f t="shared" ref="K24:K27" si="4">J24</f>
        <v>88560087</v>
      </c>
      <c r="L24" s="396"/>
      <c r="M24" s="667" t="s">
        <v>3448</v>
      </c>
      <c r="N24" s="365"/>
      <c r="T24" s="435"/>
      <c r="U24" s="442"/>
    </row>
    <row r="25" spans="1:21" s="120" customFormat="1" ht="27" customHeight="1">
      <c r="A25" s="2011"/>
      <c r="B25" s="155" t="s">
        <v>3423</v>
      </c>
      <c r="C25" s="155" t="s">
        <v>3502</v>
      </c>
      <c r="D25" s="89" t="s">
        <v>3452</v>
      </c>
      <c r="E25" s="392"/>
      <c r="F25" s="130">
        <v>45950</v>
      </c>
      <c r="G25" s="130"/>
      <c r="H25" s="163">
        <f>VLOOKUP(F25,환율!A:B,2,0)</f>
        <v>1419.5</v>
      </c>
      <c r="I25" s="131">
        <v>119.5</v>
      </c>
      <c r="J25" s="164">
        <f t="shared" si="3"/>
        <v>169630</v>
      </c>
      <c r="K25" s="164">
        <f t="shared" si="4"/>
        <v>169630</v>
      </c>
      <c r="L25" s="396"/>
      <c r="M25" s="667" t="s">
        <v>3448</v>
      </c>
      <c r="N25" s="365"/>
      <c r="T25" s="435"/>
      <c r="U25" s="442"/>
    </row>
    <row r="26" spans="1:21" s="120" customFormat="1" ht="27" customHeight="1">
      <c r="A26" s="2011"/>
      <c r="B26" s="155" t="s">
        <v>3424</v>
      </c>
      <c r="C26" s="155" t="s">
        <v>3502</v>
      </c>
      <c r="D26" s="89" t="s">
        <v>3453</v>
      </c>
      <c r="E26" s="319"/>
      <c r="F26" s="136">
        <v>45950</v>
      </c>
      <c r="G26" s="136"/>
      <c r="H26" s="163">
        <f>VLOOKUP(F26,환율!A:B,2,0)</f>
        <v>1419.5</v>
      </c>
      <c r="I26" s="131">
        <v>119.5</v>
      </c>
      <c r="J26" s="164">
        <f t="shared" si="3"/>
        <v>169630</v>
      </c>
      <c r="K26" s="164">
        <f t="shared" si="4"/>
        <v>169630</v>
      </c>
      <c r="L26" s="254"/>
      <c r="M26" s="664" t="s">
        <v>3448</v>
      </c>
      <c r="N26" s="365"/>
      <c r="T26" s="435"/>
      <c r="U26" s="442"/>
    </row>
    <row r="27" spans="1:21" s="120" customFormat="1" ht="27" customHeight="1">
      <c r="A27" s="2011"/>
      <c r="B27" s="155" t="s">
        <v>3425</v>
      </c>
      <c r="C27" s="155" t="s">
        <v>3502</v>
      </c>
      <c r="D27" s="89" t="s">
        <v>3454</v>
      </c>
      <c r="E27" s="319"/>
      <c r="F27" s="136">
        <v>45959</v>
      </c>
      <c r="G27" s="136"/>
      <c r="H27" s="163">
        <f>VLOOKUP(F27,환율!A:B,2,0)</f>
        <v>1434.3</v>
      </c>
      <c r="I27" s="131">
        <v>27406.080000000002</v>
      </c>
      <c r="J27" s="164">
        <f t="shared" si="3"/>
        <v>39308540</v>
      </c>
      <c r="K27" s="164">
        <f t="shared" si="4"/>
        <v>39308540</v>
      </c>
      <c r="L27" s="254"/>
      <c r="M27" s="664" t="s">
        <v>3448</v>
      </c>
      <c r="N27" s="365"/>
      <c r="T27" s="435"/>
      <c r="U27" s="442"/>
    </row>
    <row r="28" spans="1:21" s="120" customFormat="1" ht="27" customHeight="1">
      <c r="A28" s="2011"/>
      <c r="B28" s="546" t="s">
        <v>3418</v>
      </c>
      <c r="C28" s="546" t="s">
        <v>3501</v>
      </c>
      <c r="D28" s="547" t="s">
        <v>3419</v>
      </c>
      <c r="E28" s="549"/>
      <c r="F28" s="550">
        <v>45967</v>
      </c>
      <c r="G28" s="550"/>
      <c r="H28" s="528">
        <f>VLOOKUP(F28,환율!A:B,2,0)</f>
        <v>1447</v>
      </c>
      <c r="I28" s="551">
        <v>42234</v>
      </c>
      <c r="J28" s="530">
        <f t="shared" ref="J28" si="5">ROUNDDOWN(I28*H28,0)</f>
        <v>61112598</v>
      </c>
      <c r="K28" s="530"/>
      <c r="L28" s="548">
        <f>J28</f>
        <v>61112598</v>
      </c>
      <c r="M28" s="665"/>
      <c r="N28" s="365"/>
      <c r="T28" s="435"/>
      <c r="U28" s="442"/>
    </row>
    <row r="29" spans="1:21" s="97" customFormat="1" ht="27" customHeight="1">
      <c r="A29" s="2035" t="s">
        <v>10</v>
      </c>
      <c r="B29" s="2036"/>
      <c r="C29" s="2036"/>
      <c r="D29" s="2036"/>
      <c r="E29" s="2036"/>
      <c r="F29" s="2036"/>
      <c r="G29" s="2036"/>
      <c r="H29" s="2037"/>
      <c r="I29" s="643">
        <f>SUM(I21:I28)</f>
        <v>270085.64</v>
      </c>
      <c r="J29" s="116">
        <f>SUM(J21:J28)</f>
        <v>385598065</v>
      </c>
      <c r="K29" s="116">
        <f>SUM(K21:K28)</f>
        <v>324485467</v>
      </c>
      <c r="L29" s="116">
        <f>SUM(L21:L28)</f>
        <v>61112598</v>
      </c>
      <c r="M29" s="666"/>
      <c r="N29" s="364"/>
      <c r="O29" s="434"/>
      <c r="P29" s="434"/>
      <c r="Q29" s="434"/>
      <c r="R29" s="434"/>
      <c r="S29" s="434"/>
      <c r="T29" s="434"/>
      <c r="U29" s="441"/>
    </row>
    <row r="30" spans="1:21" s="97" customFormat="1" ht="27" customHeight="1">
      <c r="A30" s="2010" t="s">
        <v>3100</v>
      </c>
      <c r="B30" s="510" t="s">
        <v>3283</v>
      </c>
      <c r="C30" s="561" t="s">
        <v>3501</v>
      </c>
      <c r="D30" s="460" t="s">
        <v>3287</v>
      </c>
      <c r="E30" s="460"/>
      <c r="F30" s="465">
        <v>45943</v>
      </c>
      <c r="G30" s="465"/>
      <c r="H30" s="456">
        <f>VLOOKUP(F30,환율!A:B,2,0)</f>
        <v>1420.5</v>
      </c>
      <c r="I30" s="462">
        <v>45774.400000000001</v>
      </c>
      <c r="J30" s="458">
        <f t="shared" ref="J30:J35" si="6">ROUNDDOWN(I30*H30,0)</f>
        <v>65022535</v>
      </c>
      <c r="K30" s="458">
        <f>J30</f>
        <v>65022535</v>
      </c>
      <c r="L30" s="464"/>
      <c r="M30" s="663" t="s">
        <v>3448</v>
      </c>
      <c r="N30" s="364"/>
      <c r="T30" s="434"/>
      <c r="U30" s="441"/>
    </row>
    <row r="31" spans="1:21" s="97" customFormat="1" ht="27" customHeight="1">
      <c r="A31" s="2011"/>
      <c r="B31" s="510" t="s">
        <v>3290</v>
      </c>
      <c r="C31" s="561" t="s">
        <v>3501</v>
      </c>
      <c r="D31" s="460" t="s">
        <v>3297</v>
      </c>
      <c r="E31" s="460"/>
      <c r="F31" s="465">
        <v>45943</v>
      </c>
      <c r="G31" s="465"/>
      <c r="H31" s="456">
        <f>VLOOKUP(F31,환율!A:B,2,0)</f>
        <v>1420.5</v>
      </c>
      <c r="I31" s="462">
        <v>55227.6</v>
      </c>
      <c r="J31" s="458">
        <f t="shared" si="6"/>
        <v>78450805</v>
      </c>
      <c r="K31" s="458">
        <f>J31</f>
        <v>78450805</v>
      </c>
      <c r="L31" s="464"/>
      <c r="M31" s="663" t="s">
        <v>3448</v>
      </c>
      <c r="N31" s="364"/>
      <c r="T31" s="434"/>
      <c r="U31" s="441"/>
    </row>
    <row r="32" spans="1:21" s="97" customFormat="1" ht="27" customHeight="1">
      <c r="A32" s="2011"/>
      <c r="B32" s="510" t="s">
        <v>3291</v>
      </c>
      <c r="C32" s="561" t="s">
        <v>3501</v>
      </c>
      <c r="D32" s="460" t="s">
        <v>3298</v>
      </c>
      <c r="E32" s="460"/>
      <c r="F32" s="455">
        <v>45938</v>
      </c>
      <c r="G32" s="455"/>
      <c r="H32" s="456">
        <f>VLOOKUP(F32,환율!A:B,2,0)</f>
        <v>1406</v>
      </c>
      <c r="I32" s="462">
        <v>33258.400000000001</v>
      </c>
      <c r="J32" s="458">
        <f t="shared" si="6"/>
        <v>46761310</v>
      </c>
      <c r="K32" s="458">
        <f t="shared" ref="K32:K37" si="7">J32</f>
        <v>46761310</v>
      </c>
      <c r="L32" s="464"/>
      <c r="M32" s="663" t="s">
        <v>3448</v>
      </c>
      <c r="N32" s="364"/>
      <c r="T32" s="434"/>
      <c r="U32" s="441"/>
    </row>
    <row r="33" spans="1:21" s="97" customFormat="1" ht="27" customHeight="1">
      <c r="A33" s="2011"/>
      <c r="B33" s="510" t="s">
        <v>3292</v>
      </c>
      <c r="C33" s="561" t="s">
        <v>3501</v>
      </c>
      <c r="D33" s="460" t="s">
        <v>3395</v>
      </c>
      <c r="E33" s="460"/>
      <c r="F33" s="455">
        <v>45942</v>
      </c>
      <c r="G33" s="455"/>
      <c r="H33" s="456">
        <f>VLOOKUP(F33,환율!A:B,2,0)</f>
        <v>1401.9</v>
      </c>
      <c r="I33" s="462">
        <v>95027.28</v>
      </c>
      <c r="J33" s="458">
        <f t="shared" si="6"/>
        <v>133218743</v>
      </c>
      <c r="K33" s="458">
        <f t="shared" si="7"/>
        <v>133218743</v>
      </c>
      <c r="L33" s="464"/>
      <c r="M33" s="663" t="s">
        <v>3448</v>
      </c>
      <c r="N33" s="364"/>
      <c r="T33" s="434"/>
      <c r="U33" s="441"/>
    </row>
    <row r="34" spans="1:21" s="97" customFormat="1" ht="27" customHeight="1">
      <c r="A34" s="2011"/>
      <c r="B34" s="510" t="s">
        <v>3293</v>
      </c>
      <c r="C34" s="561" t="s">
        <v>3501</v>
      </c>
      <c r="D34" s="460" t="s">
        <v>3396</v>
      </c>
      <c r="E34" s="460"/>
      <c r="F34" s="455">
        <v>45943</v>
      </c>
      <c r="G34" s="455"/>
      <c r="H34" s="456">
        <f>VLOOKUP(F34,환율!A:B,2,0)</f>
        <v>1420.5</v>
      </c>
      <c r="I34" s="462">
        <v>39485.800000000003</v>
      </c>
      <c r="J34" s="458">
        <f t="shared" si="6"/>
        <v>56089578</v>
      </c>
      <c r="K34" s="458">
        <f t="shared" si="7"/>
        <v>56089578</v>
      </c>
      <c r="L34" s="464"/>
      <c r="M34" s="663" t="s">
        <v>3448</v>
      </c>
      <c r="N34" s="364"/>
      <c r="T34" s="434"/>
      <c r="U34" s="441"/>
    </row>
    <row r="35" spans="1:21" s="126" customFormat="1" ht="27" customHeight="1">
      <c r="A35" s="2011"/>
      <c r="B35" s="510" t="s">
        <v>3294</v>
      </c>
      <c r="C35" s="619" t="s">
        <v>3501</v>
      </c>
      <c r="D35" s="460" t="s">
        <v>3397</v>
      </c>
      <c r="E35" s="460"/>
      <c r="F35" s="455">
        <v>45943</v>
      </c>
      <c r="G35" s="455"/>
      <c r="H35" s="456">
        <f>VLOOKUP(F35,환율!A:B,2,0)</f>
        <v>1420.5</v>
      </c>
      <c r="I35" s="462">
        <v>59400</v>
      </c>
      <c r="J35" s="458">
        <f t="shared" si="6"/>
        <v>84377700</v>
      </c>
      <c r="K35" s="458">
        <f t="shared" si="7"/>
        <v>84377700</v>
      </c>
      <c r="L35" s="464"/>
      <c r="M35" s="663" t="s">
        <v>3448</v>
      </c>
      <c r="N35" s="401"/>
      <c r="O35" s="97"/>
      <c r="P35" s="97"/>
      <c r="Q35" s="97"/>
      <c r="R35" s="97"/>
      <c r="S35" s="97"/>
      <c r="T35" s="436"/>
      <c r="U35" s="443"/>
    </row>
    <row r="36" spans="1:21" s="126" customFormat="1" ht="27" customHeight="1">
      <c r="A36" s="2011"/>
      <c r="B36" s="513" t="s">
        <v>3428</v>
      </c>
      <c r="C36" s="563" t="s">
        <v>3501</v>
      </c>
      <c r="D36" s="129" t="s">
        <v>3455</v>
      </c>
      <c r="E36" s="129"/>
      <c r="F36" s="136">
        <v>45951</v>
      </c>
      <c r="G36" s="136"/>
      <c r="H36" s="91">
        <f>VLOOKUP(F36,환율!A:B,2,0)</f>
        <v>1420.2</v>
      </c>
      <c r="I36" s="134">
        <v>113880.84</v>
      </c>
      <c r="J36" s="93">
        <f t="shared" ref="J36:J48" si="8">ROUNDDOWN(I36*H36,0)</f>
        <v>161733568</v>
      </c>
      <c r="K36" s="93">
        <f t="shared" si="7"/>
        <v>161733568</v>
      </c>
      <c r="L36" s="254"/>
      <c r="M36" s="664" t="s">
        <v>3448</v>
      </c>
      <c r="N36" s="401"/>
      <c r="O36" s="97"/>
      <c r="P36" s="97"/>
      <c r="Q36" s="97"/>
      <c r="R36" s="97"/>
      <c r="S36" s="97"/>
      <c r="T36" s="436"/>
      <c r="U36" s="443"/>
    </row>
    <row r="37" spans="1:21" s="126" customFormat="1" ht="27" customHeight="1">
      <c r="A37" s="2011"/>
      <c r="B37" s="513" t="s">
        <v>3429</v>
      </c>
      <c r="C37" s="563" t="s">
        <v>3501</v>
      </c>
      <c r="D37" s="129" t="s">
        <v>3456</v>
      </c>
      <c r="E37" s="129"/>
      <c r="F37" s="136">
        <v>45960</v>
      </c>
      <c r="G37" s="136"/>
      <c r="H37" s="91">
        <f>VLOOKUP(F37,환율!A:B,2,0)</f>
        <v>1433</v>
      </c>
      <c r="I37" s="134">
        <v>120207.4</v>
      </c>
      <c r="J37" s="93">
        <f t="shared" si="8"/>
        <v>172257204</v>
      </c>
      <c r="K37" s="93">
        <f t="shared" si="7"/>
        <v>172257204</v>
      </c>
      <c r="L37" s="254"/>
      <c r="M37" s="664" t="s">
        <v>3448</v>
      </c>
      <c r="N37" s="401"/>
      <c r="O37" s="97"/>
      <c r="P37" s="97"/>
      <c r="Q37" s="97"/>
      <c r="R37" s="97"/>
      <c r="S37" s="97"/>
      <c r="T37" s="436"/>
      <c r="U37" s="443"/>
    </row>
    <row r="38" spans="1:21" s="126" customFormat="1" ht="27" customHeight="1">
      <c r="A38" s="2011"/>
      <c r="B38" s="513" t="s">
        <v>3430</v>
      </c>
      <c r="C38" s="563" t="s">
        <v>3501</v>
      </c>
      <c r="D38" s="129" t="s">
        <v>3457</v>
      </c>
      <c r="E38" s="129"/>
      <c r="F38" s="136">
        <v>45960</v>
      </c>
      <c r="G38" s="136"/>
      <c r="H38" s="91">
        <f>VLOOKUP(F38,환율!A:B,2,0)</f>
        <v>1433</v>
      </c>
      <c r="I38" s="134">
        <v>5567.04</v>
      </c>
      <c r="J38" s="93">
        <f t="shared" ref="J38:J39" si="9">ROUNDDOWN(I38*H38,0)</f>
        <v>7977568</v>
      </c>
      <c r="K38" s="93">
        <f t="shared" ref="K38:K39" si="10">J38</f>
        <v>7977568</v>
      </c>
      <c r="L38" s="254"/>
      <c r="M38" s="664" t="s">
        <v>3448</v>
      </c>
      <c r="N38" s="401"/>
      <c r="O38" s="97"/>
      <c r="P38" s="97"/>
      <c r="Q38" s="97"/>
      <c r="R38" s="97"/>
      <c r="S38" s="97"/>
      <c r="T38" s="436"/>
      <c r="U38" s="443"/>
    </row>
    <row r="39" spans="1:21" s="126" customFormat="1" ht="27" customHeight="1">
      <c r="A39" s="2011"/>
      <c r="B39" s="513" t="s">
        <v>3431</v>
      </c>
      <c r="C39" s="563" t="s">
        <v>3501</v>
      </c>
      <c r="D39" s="129" t="s">
        <v>3479</v>
      </c>
      <c r="E39" s="129"/>
      <c r="F39" s="136">
        <v>45944</v>
      </c>
      <c r="G39" s="136"/>
      <c r="H39" s="91">
        <f>VLOOKUP(F39,환율!A:B,2,0)</f>
        <v>1427.7</v>
      </c>
      <c r="I39" s="134">
        <v>3679.2</v>
      </c>
      <c r="J39" s="93">
        <f t="shared" si="9"/>
        <v>5252793</v>
      </c>
      <c r="K39" s="93">
        <f t="shared" si="10"/>
        <v>5252793</v>
      </c>
      <c r="L39" s="254"/>
      <c r="M39" s="664" t="s">
        <v>730</v>
      </c>
      <c r="N39" s="401"/>
      <c r="O39" s="97"/>
      <c r="P39" s="97"/>
      <c r="Q39" s="97"/>
      <c r="R39" s="97"/>
      <c r="S39" s="97"/>
      <c r="T39" s="436"/>
      <c r="U39" s="443"/>
    </row>
    <row r="40" spans="1:21" s="126" customFormat="1" ht="27" customHeight="1">
      <c r="A40" s="2011"/>
      <c r="B40" s="654" t="s">
        <v>3415</v>
      </c>
      <c r="C40" s="654" t="s">
        <v>3501</v>
      </c>
      <c r="D40" s="379" t="s">
        <v>2504</v>
      </c>
      <c r="E40" s="380"/>
      <c r="F40" s="421">
        <v>45946</v>
      </c>
      <c r="G40" s="421"/>
      <c r="H40" s="382">
        <f>VLOOKUP(F40,환율!A:B,2,0)</f>
        <v>1424.4</v>
      </c>
      <c r="I40" s="655">
        <v>7500</v>
      </c>
      <c r="J40" s="384">
        <f t="shared" si="8"/>
        <v>10683000</v>
      </c>
      <c r="K40" s="384">
        <f t="shared" ref="K40:K42" si="11">J40</f>
        <v>10683000</v>
      </c>
      <c r="L40" s="386"/>
      <c r="M40" s="668" t="s">
        <v>3481</v>
      </c>
      <c r="N40" s="364"/>
      <c r="O40" s="97"/>
      <c r="P40" s="97"/>
      <c r="Q40" s="97"/>
      <c r="R40" s="97"/>
      <c r="S40" s="97"/>
      <c r="T40" s="436"/>
      <c r="U40" s="443"/>
    </row>
    <row r="41" spans="1:21" s="126" customFormat="1" ht="27" customHeight="1">
      <c r="A41" s="2011"/>
      <c r="B41" s="654" t="s">
        <v>3416</v>
      </c>
      <c r="C41" s="654" t="s">
        <v>3501</v>
      </c>
      <c r="D41" s="379" t="s">
        <v>2504</v>
      </c>
      <c r="E41" s="380"/>
      <c r="F41" s="421">
        <v>45946</v>
      </c>
      <c r="G41" s="421"/>
      <c r="H41" s="382">
        <f>VLOOKUP(F41,환율!A:B,2,0)</f>
        <v>1424.4</v>
      </c>
      <c r="I41" s="655">
        <v>7500</v>
      </c>
      <c r="J41" s="384">
        <f t="shared" si="8"/>
        <v>10683000</v>
      </c>
      <c r="K41" s="384">
        <f t="shared" si="11"/>
        <v>10683000</v>
      </c>
      <c r="L41" s="386"/>
      <c r="M41" s="668" t="s">
        <v>3481</v>
      </c>
      <c r="N41" s="364"/>
      <c r="O41" s="97"/>
      <c r="P41" s="97"/>
      <c r="Q41" s="97"/>
      <c r="R41" s="97"/>
      <c r="S41" s="97"/>
      <c r="T41" s="436"/>
      <c r="U41" s="443"/>
    </row>
    <row r="42" spans="1:21" s="126" customFormat="1" ht="27" customHeight="1">
      <c r="A42" s="2011"/>
      <c r="B42" s="654" t="s">
        <v>3417</v>
      </c>
      <c r="C42" s="654" t="s">
        <v>3501</v>
      </c>
      <c r="D42" s="379" t="s">
        <v>2504</v>
      </c>
      <c r="E42" s="380"/>
      <c r="F42" s="421">
        <v>45946</v>
      </c>
      <c r="G42" s="421"/>
      <c r="H42" s="382">
        <f>VLOOKUP(F42,환율!A:B,2,0)</f>
        <v>1424.4</v>
      </c>
      <c r="I42" s="655">
        <v>9900</v>
      </c>
      <c r="J42" s="384">
        <f t="shared" si="8"/>
        <v>14101560</v>
      </c>
      <c r="K42" s="384">
        <f t="shared" si="11"/>
        <v>14101560</v>
      </c>
      <c r="L42" s="386"/>
      <c r="M42" s="668" t="s">
        <v>3481</v>
      </c>
      <c r="N42" s="364"/>
      <c r="O42" s="97"/>
      <c r="P42" s="97"/>
      <c r="Q42" s="97"/>
      <c r="R42" s="97"/>
      <c r="S42" s="97"/>
      <c r="T42" s="436"/>
      <c r="U42" s="443"/>
    </row>
    <row r="43" spans="1:21" s="126" customFormat="1" ht="27" customHeight="1">
      <c r="A43" s="2011"/>
      <c r="B43" s="556" t="s">
        <v>3478</v>
      </c>
      <c r="C43" s="564" t="s">
        <v>3501</v>
      </c>
      <c r="D43" s="557"/>
      <c r="E43" s="557"/>
      <c r="F43" s="527">
        <v>45963</v>
      </c>
      <c r="G43" s="527"/>
      <c r="H43" s="528">
        <f>VLOOKUP(F43,환율!A:B,2,0)</f>
        <v>1423.2</v>
      </c>
      <c r="I43" s="551">
        <v>4752</v>
      </c>
      <c r="J43" s="530">
        <f t="shared" ref="J43" si="12">ROUNDDOWN(I43*H43,0)</f>
        <v>6763046</v>
      </c>
      <c r="K43" s="530"/>
      <c r="L43" s="548">
        <f t="shared" ref="L43:L44" si="13">J43</f>
        <v>6763046</v>
      </c>
      <c r="M43" s="668"/>
      <c r="N43" s="364"/>
      <c r="O43" s="97"/>
      <c r="P43" s="97"/>
      <c r="Q43" s="97"/>
      <c r="R43" s="97"/>
      <c r="S43" s="97"/>
      <c r="T43" s="436"/>
      <c r="U43" s="443"/>
    </row>
    <row r="44" spans="1:21" s="126" customFormat="1" ht="27" customHeight="1">
      <c r="A44" s="2011"/>
      <c r="B44" s="556" t="s">
        <v>3426</v>
      </c>
      <c r="C44" s="564" t="s">
        <v>3501</v>
      </c>
      <c r="D44" s="557" t="s">
        <v>3427</v>
      </c>
      <c r="E44" s="557"/>
      <c r="F44" s="527">
        <v>45963</v>
      </c>
      <c r="G44" s="527"/>
      <c r="H44" s="528">
        <f>VLOOKUP(F44,환율!A:B,2,0)</f>
        <v>1423.2</v>
      </c>
      <c r="I44" s="551">
        <v>3774</v>
      </c>
      <c r="J44" s="530">
        <f t="shared" si="8"/>
        <v>5371156</v>
      </c>
      <c r="K44" s="530"/>
      <c r="L44" s="548">
        <f t="shared" si="13"/>
        <v>5371156</v>
      </c>
      <c r="M44" s="665"/>
      <c r="N44" s="364"/>
      <c r="O44" s="97"/>
      <c r="P44" s="97"/>
      <c r="Q44" s="97"/>
      <c r="R44" s="97"/>
      <c r="S44" s="97"/>
      <c r="T44" s="436"/>
      <c r="U44" s="443"/>
    </row>
    <row r="45" spans="1:21" s="126" customFormat="1" ht="27" customHeight="1">
      <c r="A45" s="2011"/>
      <c r="B45" s="556" t="s">
        <v>3432</v>
      </c>
      <c r="C45" s="564" t="s">
        <v>3501</v>
      </c>
      <c r="D45" s="557" t="s">
        <v>3433</v>
      </c>
      <c r="E45" s="557"/>
      <c r="F45" s="527">
        <v>45963</v>
      </c>
      <c r="G45" s="527"/>
      <c r="H45" s="528">
        <f>VLOOKUP(F45,환율!A:B,2,0)</f>
        <v>1423.2</v>
      </c>
      <c r="I45" s="551">
        <v>72970.399999999994</v>
      </c>
      <c r="J45" s="530">
        <f t="shared" si="8"/>
        <v>103851473</v>
      </c>
      <c r="K45" s="530"/>
      <c r="L45" s="548">
        <f>J45</f>
        <v>103851473</v>
      </c>
      <c r="M45" s="665"/>
      <c r="N45" s="364"/>
      <c r="O45" s="97"/>
      <c r="P45" s="97"/>
      <c r="Q45" s="97"/>
      <c r="R45" s="97"/>
      <c r="S45" s="97"/>
      <c r="T45" s="436"/>
      <c r="U45" s="443"/>
    </row>
    <row r="46" spans="1:21" s="126" customFormat="1" ht="27" customHeight="1">
      <c r="A46" s="2011"/>
      <c r="B46" s="556" t="s">
        <v>3434</v>
      </c>
      <c r="C46" s="564" t="s">
        <v>3501</v>
      </c>
      <c r="D46" s="557" t="s">
        <v>3435</v>
      </c>
      <c r="E46" s="557"/>
      <c r="F46" s="527">
        <v>45963</v>
      </c>
      <c r="G46" s="527"/>
      <c r="H46" s="528">
        <f>VLOOKUP(F46,환율!A:B,2,0)</f>
        <v>1423.2</v>
      </c>
      <c r="I46" s="551">
        <v>19826.8</v>
      </c>
      <c r="J46" s="530">
        <f t="shared" si="8"/>
        <v>28217501</v>
      </c>
      <c r="K46" s="530"/>
      <c r="L46" s="548">
        <f t="shared" ref="L46:L48" si="14">J46</f>
        <v>28217501</v>
      </c>
      <c r="M46" s="665"/>
      <c r="N46" s="364"/>
      <c r="O46" s="97"/>
      <c r="P46" s="97"/>
      <c r="Q46" s="97"/>
      <c r="R46" s="97"/>
      <c r="S46" s="97"/>
      <c r="T46" s="436"/>
      <c r="U46" s="443"/>
    </row>
    <row r="47" spans="1:21" s="126" customFormat="1" ht="27" customHeight="1">
      <c r="A47" s="2011"/>
      <c r="B47" s="556" t="s">
        <v>3436</v>
      </c>
      <c r="C47" s="564" t="s">
        <v>3501</v>
      </c>
      <c r="D47" s="557" t="s">
        <v>3437</v>
      </c>
      <c r="E47" s="557"/>
      <c r="F47" s="527">
        <v>45963</v>
      </c>
      <c r="G47" s="527"/>
      <c r="H47" s="528">
        <f>VLOOKUP(F47,환율!A:B,2,0)</f>
        <v>1423.2</v>
      </c>
      <c r="I47" s="551">
        <v>81481.600000000006</v>
      </c>
      <c r="J47" s="530">
        <f t="shared" si="8"/>
        <v>115964613</v>
      </c>
      <c r="K47" s="530"/>
      <c r="L47" s="548">
        <f t="shared" si="14"/>
        <v>115964613</v>
      </c>
      <c r="M47" s="665"/>
      <c r="N47" s="364"/>
      <c r="O47" s="97"/>
      <c r="P47" s="97"/>
      <c r="Q47" s="97"/>
      <c r="R47" s="97"/>
      <c r="S47" s="97"/>
      <c r="T47" s="436"/>
      <c r="U47" s="443"/>
    </row>
    <row r="48" spans="1:21" s="126" customFormat="1" ht="27" customHeight="1">
      <c r="A48" s="2011"/>
      <c r="B48" s="556" t="s">
        <v>3438</v>
      </c>
      <c r="C48" s="564" t="s">
        <v>3501</v>
      </c>
      <c r="D48" s="557"/>
      <c r="E48" s="557"/>
      <c r="F48" s="527">
        <v>45963</v>
      </c>
      <c r="G48" s="527"/>
      <c r="H48" s="528">
        <f>VLOOKUP(F48,환율!A:B,2,0)</f>
        <v>1423.2</v>
      </c>
      <c r="I48" s="551">
        <v>56794.46</v>
      </c>
      <c r="J48" s="530">
        <f t="shared" si="8"/>
        <v>80829875</v>
      </c>
      <c r="K48" s="530"/>
      <c r="L48" s="548">
        <f t="shared" si="14"/>
        <v>80829875</v>
      </c>
      <c r="M48" s="665"/>
      <c r="N48" s="364"/>
      <c r="O48" s="97"/>
      <c r="P48" s="97"/>
      <c r="Q48" s="97"/>
      <c r="R48" s="97"/>
      <c r="S48" s="97"/>
      <c r="T48" s="436"/>
      <c r="U48" s="443"/>
    </row>
    <row r="49" spans="1:21" s="126" customFormat="1" ht="27" customHeight="1">
      <c r="A49" s="2011"/>
      <c r="B49" s="556" t="s">
        <v>3439</v>
      </c>
      <c r="C49" s="564" t="s">
        <v>3501</v>
      </c>
      <c r="D49" s="557" t="s">
        <v>3440</v>
      </c>
      <c r="E49" s="557"/>
      <c r="F49" s="527">
        <v>45965</v>
      </c>
      <c r="G49" s="527"/>
      <c r="H49" s="528">
        <f>VLOOKUP(F49,환율!A:B,2,0)</f>
        <v>1429</v>
      </c>
      <c r="I49" s="551">
        <v>58584.44</v>
      </c>
      <c r="J49" s="530">
        <f t="shared" ref="J49" si="15">ROUNDDOWN(I49*H49,0)</f>
        <v>83717164</v>
      </c>
      <c r="K49" s="530"/>
      <c r="L49" s="548">
        <f t="shared" ref="L49" si="16">J49</f>
        <v>83717164</v>
      </c>
      <c r="M49" s="665"/>
      <c r="N49" s="364"/>
      <c r="O49" s="97"/>
      <c r="P49" s="97"/>
      <c r="Q49" s="97"/>
      <c r="R49" s="97"/>
      <c r="S49" s="97"/>
      <c r="T49" s="436"/>
      <c r="U49" s="443"/>
    </row>
    <row r="50" spans="1:21" s="126" customFormat="1" ht="27" customHeight="1">
      <c r="A50" s="2011"/>
      <c r="B50" s="556" t="s">
        <v>3441</v>
      </c>
      <c r="C50" s="564" t="s">
        <v>3501</v>
      </c>
      <c r="D50" s="557" t="s">
        <v>3442</v>
      </c>
      <c r="E50" s="557"/>
      <c r="F50" s="527">
        <v>45963</v>
      </c>
      <c r="G50" s="527"/>
      <c r="H50" s="528">
        <f>VLOOKUP(F50,환율!A:B,2,0)</f>
        <v>1423.2</v>
      </c>
      <c r="I50" s="551">
        <v>8394.9599999999991</v>
      </c>
      <c r="J50" s="530">
        <f t="shared" ref="J50:J51" si="17">ROUNDDOWN(I50*H50,0)</f>
        <v>11947707</v>
      </c>
      <c r="K50" s="530"/>
      <c r="L50" s="548">
        <f t="shared" ref="L50:L51" si="18">J50</f>
        <v>11947707</v>
      </c>
      <c r="M50" s="665"/>
      <c r="N50" s="364"/>
      <c r="O50" s="97"/>
      <c r="P50" s="97"/>
      <c r="Q50" s="97"/>
      <c r="R50" s="97"/>
      <c r="S50" s="97"/>
      <c r="T50" s="436"/>
      <c r="U50" s="443"/>
    </row>
    <row r="51" spans="1:21" s="126" customFormat="1" ht="27" customHeight="1">
      <c r="A51" s="2011"/>
      <c r="B51" s="556" t="s">
        <v>3458</v>
      </c>
      <c r="C51" s="564" t="s">
        <v>3501</v>
      </c>
      <c r="D51" s="557"/>
      <c r="E51" s="557"/>
      <c r="F51" s="527">
        <v>45963</v>
      </c>
      <c r="G51" s="527"/>
      <c r="H51" s="528">
        <f>VLOOKUP(F51,환율!A:B,2,0)</f>
        <v>1423.2</v>
      </c>
      <c r="I51" s="551">
        <v>54000</v>
      </c>
      <c r="J51" s="530">
        <f t="shared" si="17"/>
        <v>76852800</v>
      </c>
      <c r="K51" s="530"/>
      <c r="L51" s="548">
        <f t="shared" si="18"/>
        <v>76852800</v>
      </c>
      <c r="M51" s="665"/>
      <c r="N51" s="364"/>
      <c r="O51" s="97"/>
      <c r="P51" s="97"/>
      <c r="Q51" s="97"/>
      <c r="R51" s="97"/>
      <c r="S51" s="97"/>
      <c r="T51" s="436"/>
      <c r="U51" s="443"/>
    </row>
    <row r="52" spans="1:21" s="97" customFormat="1" ht="27" customHeight="1">
      <c r="A52" s="2035" t="s">
        <v>10</v>
      </c>
      <c r="B52" s="2036"/>
      <c r="C52" s="2036"/>
      <c r="D52" s="2036"/>
      <c r="E52" s="2036"/>
      <c r="F52" s="2036"/>
      <c r="G52" s="2036"/>
      <c r="H52" s="2037"/>
      <c r="I52" s="643">
        <f>SUM(I30:I51)</f>
        <v>956986.61999999988</v>
      </c>
      <c r="J52" s="116">
        <f>SUM(J30:J51)</f>
        <v>1360124699</v>
      </c>
      <c r="K52" s="116">
        <f>SUM(K30:K51)</f>
        <v>846609364</v>
      </c>
      <c r="L52" s="260">
        <f>SUM(L30:L51)</f>
        <v>513515335</v>
      </c>
      <c r="M52" s="666"/>
      <c r="N52" s="364"/>
      <c r="O52" s="434"/>
      <c r="P52" s="434"/>
      <c r="Q52" s="434"/>
      <c r="R52" s="434"/>
      <c r="S52" s="434"/>
      <c r="T52" s="434"/>
      <c r="U52" s="441"/>
    </row>
    <row r="53" spans="1:21" s="97" customFormat="1" ht="27" customHeight="1">
      <c r="A53" s="2010" t="s">
        <v>3101</v>
      </c>
      <c r="B53" s="513" t="s">
        <v>3460</v>
      </c>
      <c r="C53" s="513" t="s">
        <v>3502</v>
      </c>
      <c r="D53" s="513" t="s">
        <v>3462</v>
      </c>
      <c r="E53" s="89"/>
      <c r="F53" s="89">
        <v>45942</v>
      </c>
      <c r="G53" s="89"/>
      <c r="H53" s="91">
        <f>VLOOKUP(F53,환율!A:B,2,0)</f>
        <v>1401.9</v>
      </c>
      <c r="I53" s="118">
        <v>1345.96</v>
      </c>
      <c r="J53" s="93">
        <f t="shared" ref="J53:J54" si="19">ROUNDDOWN(I53*H53,0)</f>
        <v>1886901</v>
      </c>
      <c r="K53" s="93">
        <f>J53</f>
        <v>1886901</v>
      </c>
      <c r="L53" s="254"/>
      <c r="M53" s="664" t="s">
        <v>3459</v>
      </c>
      <c r="N53" s="364"/>
      <c r="T53" s="434"/>
      <c r="U53" s="441"/>
    </row>
    <row r="54" spans="1:21" s="97" customFormat="1" ht="27" customHeight="1">
      <c r="A54" s="2019"/>
      <c r="B54" s="513" t="s">
        <v>3461</v>
      </c>
      <c r="C54" s="513" t="s">
        <v>3502</v>
      </c>
      <c r="D54" s="513" t="s">
        <v>3463</v>
      </c>
      <c r="E54" s="89"/>
      <c r="F54" s="89">
        <v>45957</v>
      </c>
      <c r="G54" s="89"/>
      <c r="H54" s="91">
        <f>VLOOKUP(F54,환율!A:B,2,0)</f>
        <v>1436.1</v>
      </c>
      <c r="I54" s="118">
        <v>125088.48</v>
      </c>
      <c r="J54" s="93">
        <f t="shared" si="19"/>
        <v>179639566</v>
      </c>
      <c r="K54" s="93">
        <f>J54</f>
        <v>179639566</v>
      </c>
      <c r="L54" s="254"/>
      <c r="M54" s="664" t="s">
        <v>3459</v>
      </c>
      <c r="N54" s="364"/>
      <c r="T54" s="434"/>
      <c r="U54" s="441"/>
    </row>
    <row r="55" spans="1:21" s="97" customFormat="1" ht="27" customHeight="1">
      <c r="A55" s="2035" t="s">
        <v>10</v>
      </c>
      <c r="B55" s="2036"/>
      <c r="C55" s="2036"/>
      <c r="D55" s="2036"/>
      <c r="E55" s="2036"/>
      <c r="F55" s="2036"/>
      <c r="G55" s="2036"/>
      <c r="H55" s="2037"/>
      <c r="I55" s="643">
        <f>SUM(I53:I54)</f>
        <v>126434.44</v>
      </c>
      <c r="J55" s="116">
        <f>SUM(J53:J54)</f>
        <v>181526467</v>
      </c>
      <c r="K55" s="116">
        <f>SUM(K53:K54)</f>
        <v>181526467</v>
      </c>
      <c r="L55" s="260">
        <f>SUM(L53:L54)</f>
        <v>0</v>
      </c>
      <c r="M55" s="666"/>
      <c r="N55" s="364"/>
      <c r="O55" s="434"/>
      <c r="P55" s="434"/>
      <c r="Q55" s="434"/>
      <c r="R55" s="434"/>
      <c r="S55" s="434"/>
      <c r="T55" s="434"/>
      <c r="U55" s="441"/>
    </row>
    <row r="56" spans="1:21" s="97" customFormat="1" ht="27" customHeight="1">
      <c r="A56" s="2010" t="s">
        <v>3102</v>
      </c>
      <c r="B56" s="510" t="s">
        <v>3398</v>
      </c>
      <c r="C56" s="619" t="s">
        <v>3502</v>
      </c>
      <c r="D56" s="460" t="s">
        <v>3399</v>
      </c>
      <c r="E56" s="460"/>
      <c r="F56" s="455">
        <v>45934</v>
      </c>
      <c r="G56" s="455"/>
      <c r="H56" s="456">
        <f>VLOOKUP(F56,환율!A:B,2,0)</f>
        <v>1406</v>
      </c>
      <c r="I56" s="462"/>
      <c r="J56" s="458">
        <v>35664542</v>
      </c>
      <c r="K56" s="458">
        <f>J56</f>
        <v>35664542</v>
      </c>
      <c r="L56" s="464"/>
      <c r="M56" s="663" t="s">
        <v>3459</v>
      </c>
      <c r="N56" s="401"/>
      <c r="T56" s="434"/>
      <c r="U56" s="441"/>
    </row>
    <row r="57" spans="1:21" s="97" customFormat="1" ht="27" customHeight="1">
      <c r="A57" s="2011"/>
      <c r="B57" s="514" t="s">
        <v>3400</v>
      </c>
      <c r="C57" s="509" t="s">
        <v>3502</v>
      </c>
      <c r="D57" s="514" t="s">
        <v>3480</v>
      </c>
      <c r="E57" s="466"/>
      <c r="F57" s="454">
        <v>45949</v>
      </c>
      <c r="G57" s="454"/>
      <c r="H57" s="456">
        <f>VLOOKUP(F57,환율!A:B,2,0)</f>
        <v>1419.1</v>
      </c>
      <c r="I57" s="478"/>
      <c r="J57" s="458">
        <v>108853914</v>
      </c>
      <c r="K57" s="458">
        <f>J57</f>
        <v>108853914</v>
      </c>
      <c r="L57" s="464"/>
      <c r="M57" s="663" t="s">
        <v>730</v>
      </c>
      <c r="N57" s="401"/>
      <c r="T57" s="434"/>
      <c r="U57" s="441"/>
    </row>
    <row r="58" spans="1:21" s="97" customFormat="1" ht="27" customHeight="1">
      <c r="A58" s="2011"/>
      <c r="B58" s="174" t="s">
        <v>3474</v>
      </c>
      <c r="C58" s="174" t="s">
        <v>3502</v>
      </c>
      <c r="D58" s="174" t="s">
        <v>3477</v>
      </c>
      <c r="E58" s="146"/>
      <c r="F58" s="89">
        <v>45946</v>
      </c>
      <c r="G58" s="89"/>
      <c r="H58" s="91">
        <f>VLOOKUP(F58,환율!A:B,2,0)</f>
        <v>1424.4</v>
      </c>
      <c r="I58" s="118"/>
      <c r="J58" s="93">
        <v>24926404</v>
      </c>
      <c r="K58" s="93">
        <f>J58</f>
        <v>24926404</v>
      </c>
      <c r="L58" s="254"/>
      <c r="M58" s="663" t="s">
        <v>730</v>
      </c>
      <c r="N58" s="401"/>
      <c r="T58" s="434"/>
      <c r="U58" s="441"/>
    </row>
    <row r="59" spans="1:21" s="97" customFormat="1" ht="27" customHeight="1">
      <c r="A59" s="2011"/>
      <c r="B59" s="174" t="s">
        <v>3475</v>
      </c>
      <c r="C59" s="174" t="s">
        <v>3502</v>
      </c>
      <c r="D59" s="174" t="s">
        <v>3473</v>
      </c>
      <c r="E59" s="146"/>
      <c r="F59" s="89">
        <v>45957</v>
      </c>
      <c r="G59" s="89"/>
      <c r="H59" s="91">
        <f>VLOOKUP(F59,환율!A:B,2,0)</f>
        <v>1436.1</v>
      </c>
      <c r="I59" s="118"/>
      <c r="J59" s="93">
        <v>90509758</v>
      </c>
      <c r="K59" s="93">
        <f>J59</f>
        <v>90509758</v>
      </c>
      <c r="L59" s="254"/>
      <c r="M59" s="663" t="s">
        <v>730</v>
      </c>
      <c r="N59" s="401"/>
      <c r="T59" s="434"/>
      <c r="U59" s="441"/>
    </row>
    <row r="60" spans="1:21" s="97" customFormat="1" ht="27" customHeight="1">
      <c r="A60" s="2011"/>
      <c r="B60" s="524" t="s">
        <v>3476</v>
      </c>
      <c r="C60" s="524" t="s">
        <v>3501</v>
      </c>
      <c r="D60" s="524"/>
      <c r="E60" s="552"/>
      <c r="F60" s="547">
        <v>45966</v>
      </c>
      <c r="G60" s="547"/>
      <c r="H60" s="528">
        <f>VLOOKUP(F60,환율!A:B,2,0)</f>
        <v>1437.7</v>
      </c>
      <c r="I60" s="554"/>
      <c r="J60" s="530">
        <v>16090362</v>
      </c>
      <c r="K60" s="530"/>
      <c r="L60" s="548">
        <f>J60</f>
        <v>16090362</v>
      </c>
      <c r="M60" s="663"/>
      <c r="N60" s="401"/>
      <c r="T60" s="434"/>
      <c r="U60" s="441"/>
    </row>
    <row r="61" spans="1:21" s="97" customFormat="1" ht="27" customHeight="1">
      <c r="A61" s="2011"/>
      <c r="B61" s="524" t="s">
        <v>3500</v>
      </c>
      <c r="C61" s="524" t="s">
        <v>3501</v>
      </c>
      <c r="D61" s="524"/>
      <c r="E61" s="552"/>
      <c r="F61" s="547">
        <v>45966</v>
      </c>
      <c r="G61" s="547"/>
      <c r="H61" s="528">
        <f>VLOOKUP(F61,환율!A:B,2,0)</f>
        <v>1437.7</v>
      </c>
      <c r="I61" s="554"/>
      <c r="J61" s="530">
        <v>16240660</v>
      </c>
      <c r="K61" s="530"/>
      <c r="L61" s="548">
        <f>J61</f>
        <v>16240660</v>
      </c>
      <c r="M61" s="663"/>
      <c r="N61" s="401"/>
      <c r="T61" s="434"/>
      <c r="U61" s="441"/>
    </row>
    <row r="62" spans="1:21" s="97" customFormat="1" ht="27" customHeight="1">
      <c r="A62" s="2035" t="s">
        <v>10</v>
      </c>
      <c r="B62" s="2036"/>
      <c r="C62" s="2036"/>
      <c r="D62" s="2036"/>
      <c r="E62" s="2036"/>
      <c r="F62" s="2036"/>
      <c r="G62" s="2036"/>
      <c r="H62" s="2037"/>
      <c r="I62" s="643">
        <f>SUM(I56:I56)</f>
        <v>0</v>
      </c>
      <c r="J62" s="116">
        <f>SUM(J56:J61)</f>
        <v>292285640</v>
      </c>
      <c r="K62" s="116">
        <f>SUM(K56:K61)</f>
        <v>259954618</v>
      </c>
      <c r="L62" s="260">
        <f>SUM(L56:L61)</f>
        <v>32331022</v>
      </c>
      <c r="M62" s="666"/>
      <c r="N62" s="364"/>
      <c r="O62" s="434"/>
      <c r="P62" s="434"/>
      <c r="Q62" s="434"/>
      <c r="S62" s="434"/>
      <c r="T62" s="434"/>
      <c r="U62" s="441"/>
    </row>
    <row r="63" spans="1:21" s="97" customFormat="1" ht="38.4">
      <c r="A63" s="362" t="s">
        <v>3103</v>
      </c>
      <c r="B63" s="656" t="s">
        <v>3443</v>
      </c>
      <c r="C63" s="608" t="s">
        <v>38</v>
      </c>
      <c r="D63" s="557"/>
      <c r="E63" s="557"/>
      <c r="F63" s="527">
        <v>45966</v>
      </c>
      <c r="G63" s="527"/>
      <c r="H63" s="528">
        <f>VLOOKUP(F63,환율!A:B,2,0)</f>
        <v>1437.7</v>
      </c>
      <c r="I63" s="551">
        <v>52204.9</v>
      </c>
      <c r="J63" s="530">
        <f>ROUNDDOWN(I63*H63,0)</f>
        <v>75054984</v>
      </c>
      <c r="K63" s="530"/>
      <c r="L63" s="548">
        <f>J63</f>
        <v>75054984</v>
      </c>
      <c r="M63" s="665"/>
      <c r="N63" s="364"/>
      <c r="O63" s="434"/>
      <c r="P63" s="434"/>
      <c r="Q63" s="434"/>
      <c r="S63" s="434"/>
      <c r="T63" s="434"/>
      <c r="U63" s="441"/>
    </row>
    <row r="64" spans="1:21" s="97" customFormat="1" ht="27" customHeight="1">
      <c r="A64" s="2035" t="s">
        <v>10</v>
      </c>
      <c r="B64" s="2036"/>
      <c r="C64" s="2036"/>
      <c r="D64" s="2036"/>
      <c r="E64" s="2036"/>
      <c r="F64" s="2036"/>
      <c r="G64" s="2036"/>
      <c r="H64" s="2037"/>
      <c r="I64" s="643">
        <f>SUM(I63:I63)</f>
        <v>52204.9</v>
      </c>
      <c r="J64" s="116">
        <f>SUM(J63:J63)</f>
        <v>75054984</v>
      </c>
      <c r="K64" s="116">
        <f>SUM(K63:K63)</f>
        <v>0</v>
      </c>
      <c r="L64" s="260">
        <f>SUM(L63:L63)</f>
        <v>75054984</v>
      </c>
      <c r="M64" s="666"/>
      <c r="N64" s="364"/>
      <c r="O64" s="434"/>
      <c r="P64" s="434"/>
      <c r="Q64" s="434"/>
      <c r="S64" s="434"/>
      <c r="T64" s="434"/>
      <c r="U64" s="441"/>
    </row>
    <row r="65" spans="1:21" s="97" customFormat="1" ht="37.5" customHeight="1">
      <c r="A65" s="2010" t="s">
        <v>3104</v>
      </c>
      <c r="B65" s="510" t="s">
        <v>3309</v>
      </c>
      <c r="C65" s="619" t="s">
        <v>3502</v>
      </c>
      <c r="D65" s="460" t="s">
        <v>3310</v>
      </c>
      <c r="E65" s="460"/>
      <c r="F65" s="455">
        <v>45936</v>
      </c>
      <c r="G65" s="455"/>
      <c r="H65" s="456">
        <f>VLOOKUP(F65,환율!A:B,2,0)</f>
        <v>1406</v>
      </c>
      <c r="I65" s="462">
        <v>6269.76</v>
      </c>
      <c r="J65" s="458">
        <f t="shared" ref="J65" si="20">ROUNDDOWN(I65*H65,0)</f>
        <v>8815282</v>
      </c>
      <c r="K65" s="458">
        <f>J65</f>
        <v>8815282</v>
      </c>
      <c r="L65" s="464"/>
      <c r="M65" s="663" t="s">
        <v>3459</v>
      </c>
      <c r="N65" s="401"/>
      <c r="T65" s="434"/>
      <c r="U65" s="441"/>
    </row>
    <row r="66" spans="1:21" s="97" customFormat="1" ht="37.5" customHeight="1">
      <c r="A66" s="2019"/>
      <c r="B66" s="556" t="s">
        <v>3444</v>
      </c>
      <c r="C66" s="657" t="s">
        <v>3501</v>
      </c>
      <c r="D66" s="552" t="s">
        <v>3445</v>
      </c>
      <c r="E66" s="552"/>
      <c r="F66" s="547">
        <v>45966</v>
      </c>
      <c r="G66" s="547"/>
      <c r="H66" s="528">
        <f>VLOOKUP(F66,환율!A:B,2,0)</f>
        <v>1437.7</v>
      </c>
      <c r="I66" s="554">
        <v>8722.5</v>
      </c>
      <c r="J66" s="530">
        <f t="shared" ref="J66" si="21">ROUNDDOWN(I66*H66,0)</f>
        <v>12540338</v>
      </c>
      <c r="K66" s="530"/>
      <c r="L66" s="530">
        <f>J66</f>
        <v>12540338</v>
      </c>
      <c r="M66" s="665"/>
      <c r="N66" s="401"/>
      <c r="T66" s="434"/>
      <c r="U66" s="441"/>
    </row>
    <row r="67" spans="1:21" s="97" customFormat="1" ht="27" customHeight="1">
      <c r="A67" s="2035" t="s">
        <v>10</v>
      </c>
      <c r="B67" s="2036"/>
      <c r="C67" s="2036"/>
      <c r="D67" s="2036"/>
      <c r="E67" s="2036"/>
      <c r="F67" s="2036"/>
      <c r="G67" s="2036"/>
      <c r="H67" s="2037"/>
      <c r="I67" s="643">
        <f>SUM(I65:I66)</f>
        <v>14992.26</v>
      </c>
      <c r="J67" s="116">
        <f>SUM(J65:J66)</f>
        <v>21355620</v>
      </c>
      <c r="K67" s="116">
        <f>SUM(K65:K66)</f>
        <v>8815282</v>
      </c>
      <c r="L67" s="260">
        <f>SUM(L65:L66)</f>
        <v>12540338</v>
      </c>
      <c r="M67" s="669"/>
      <c r="N67" s="364"/>
      <c r="O67" s="434"/>
      <c r="P67" s="434"/>
      <c r="Q67" s="434"/>
      <c r="S67" s="434"/>
      <c r="T67" s="434"/>
      <c r="U67" s="441"/>
    </row>
    <row r="68" spans="1:21" s="97" customFormat="1" ht="27" customHeight="1">
      <c r="A68" s="2010" t="s">
        <v>3208</v>
      </c>
      <c r="B68" s="174" t="s">
        <v>3446</v>
      </c>
      <c r="C68" s="173" t="s">
        <v>3501</v>
      </c>
      <c r="D68" s="173" t="s">
        <v>3467</v>
      </c>
      <c r="E68" s="288"/>
      <c r="F68" s="136">
        <v>45945</v>
      </c>
      <c r="G68" s="222"/>
      <c r="H68" s="91">
        <f>VLOOKUP(F68,환율!A:B,2,0)</f>
        <v>1428.4</v>
      </c>
      <c r="I68" s="118">
        <v>2037.57</v>
      </c>
      <c r="J68" s="93">
        <f t="shared" ref="J68:J71" si="22">ROUNDDOWN(I68*H68,0)</f>
        <v>2910464</v>
      </c>
      <c r="K68" s="93">
        <f t="shared" ref="K68:K71" si="23">J68</f>
        <v>2910464</v>
      </c>
      <c r="L68" s="254"/>
      <c r="M68" s="664" t="s">
        <v>3459</v>
      </c>
      <c r="N68" s="364"/>
      <c r="T68" s="434"/>
      <c r="U68" s="441"/>
    </row>
    <row r="69" spans="1:21" s="97" customFormat="1" ht="27" customHeight="1">
      <c r="A69" s="2011"/>
      <c r="B69" s="174" t="s">
        <v>3464</v>
      </c>
      <c r="C69" s="173" t="s">
        <v>3501</v>
      </c>
      <c r="D69" s="173" t="s">
        <v>3468</v>
      </c>
      <c r="E69" s="288"/>
      <c r="F69" s="136">
        <v>45940</v>
      </c>
      <c r="G69" s="222"/>
      <c r="H69" s="91">
        <f>VLOOKUP(F69,환율!A:B,2,0)</f>
        <v>1401.9</v>
      </c>
      <c r="I69" s="118">
        <v>1583.2</v>
      </c>
      <c r="J69" s="93">
        <f t="shared" si="22"/>
        <v>2219488</v>
      </c>
      <c r="K69" s="93">
        <f t="shared" si="23"/>
        <v>2219488</v>
      </c>
      <c r="L69" s="255"/>
      <c r="M69" s="664" t="s">
        <v>3459</v>
      </c>
      <c r="N69" s="403"/>
      <c r="T69" s="434"/>
      <c r="U69" s="441"/>
    </row>
    <row r="70" spans="1:21" s="97" customFormat="1" ht="27" customHeight="1">
      <c r="A70" s="2011"/>
      <c r="B70" s="174" t="s">
        <v>3465</v>
      </c>
      <c r="C70" s="173" t="s">
        <v>3501</v>
      </c>
      <c r="D70" s="173" t="s">
        <v>3469</v>
      </c>
      <c r="E70" s="288"/>
      <c r="F70" s="136">
        <v>45940</v>
      </c>
      <c r="G70" s="222"/>
      <c r="H70" s="91">
        <f>VLOOKUP(F70,환율!A:B,2,0)</f>
        <v>1401.9</v>
      </c>
      <c r="I70" s="118">
        <v>1881.92</v>
      </c>
      <c r="J70" s="93">
        <f t="shared" si="22"/>
        <v>2638263</v>
      </c>
      <c r="K70" s="93">
        <f t="shared" si="23"/>
        <v>2638263</v>
      </c>
      <c r="L70" s="255"/>
      <c r="M70" s="664" t="s">
        <v>3459</v>
      </c>
      <c r="N70" s="403"/>
      <c r="T70" s="434"/>
      <c r="U70" s="441"/>
    </row>
    <row r="71" spans="1:21" s="97" customFormat="1" ht="27" customHeight="1">
      <c r="A71" s="2011"/>
      <c r="B71" s="174" t="s">
        <v>3466</v>
      </c>
      <c r="C71" s="173" t="s">
        <v>3501</v>
      </c>
      <c r="D71" s="173" t="s">
        <v>3470</v>
      </c>
      <c r="E71" s="288"/>
      <c r="F71" s="136">
        <v>45940</v>
      </c>
      <c r="G71" s="222"/>
      <c r="H71" s="91">
        <f>VLOOKUP(F71,환율!A:B,2,0)</f>
        <v>1401.9</v>
      </c>
      <c r="I71" s="118">
        <v>31031.5</v>
      </c>
      <c r="J71" s="93">
        <f t="shared" si="22"/>
        <v>43503059</v>
      </c>
      <c r="K71" s="93">
        <f t="shared" si="23"/>
        <v>43503059</v>
      </c>
      <c r="L71" s="255"/>
      <c r="M71" s="664" t="s">
        <v>3459</v>
      </c>
      <c r="N71" s="403"/>
      <c r="T71" s="434"/>
      <c r="U71" s="441"/>
    </row>
    <row r="72" spans="1:21" s="97" customFormat="1" ht="27" customHeight="1">
      <c r="A72" s="2035" t="s">
        <v>10</v>
      </c>
      <c r="B72" s="2036"/>
      <c r="C72" s="2036"/>
      <c r="D72" s="2036"/>
      <c r="E72" s="2036"/>
      <c r="F72" s="2036"/>
      <c r="G72" s="2036"/>
      <c r="H72" s="2037"/>
      <c r="I72" s="643">
        <f>SUM(I68:I71)</f>
        <v>36534.19</v>
      </c>
      <c r="J72" s="160">
        <f>SUM(J68:J71)</f>
        <v>51271274</v>
      </c>
      <c r="K72" s="116">
        <f>SUM(K68:K71)</f>
        <v>51271274</v>
      </c>
      <c r="L72" s="260">
        <f>SUM(L68:L71)</f>
        <v>0</v>
      </c>
      <c r="M72" s="666"/>
      <c r="N72" s="364"/>
      <c r="O72" s="434"/>
      <c r="P72" s="434"/>
      <c r="Q72" s="434"/>
      <c r="S72" s="434"/>
      <c r="T72" s="434"/>
      <c r="U72" s="441"/>
    </row>
    <row r="73" spans="1:21" s="97" customFormat="1" ht="38.4">
      <c r="A73" s="261" t="s">
        <v>3106</v>
      </c>
      <c r="B73" s="174"/>
      <c r="C73" s="145"/>
      <c r="D73" s="145"/>
      <c r="E73" s="288"/>
      <c r="F73" s="136"/>
      <c r="G73" s="136"/>
      <c r="H73" s="91" t="e">
        <f>VLOOKUP(F73,환율!A:B,2,0)</f>
        <v>#N/A</v>
      </c>
      <c r="I73" s="118"/>
      <c r="J73" s="93" t="e">
        <f t="shared" ref="J73" si="24">ROUNDDOWN(I73*H73,0)</f>
        <v>#N/A</v>
      </c>
      <c r="K73" s="93" t="e">
        <f t="shared" ref="K73" si="25">J73</f>
        <v>#N/A</v>
      </c>
      <c r="L73" s="254"/>
      <c r="M73" s="664" t="s">
        <v>3471</v>
      </c>
      <c r="N73" s="401"/>
      <c r="O73" s="434"/>
      <c r="P73" s="434"/>
      <c r="Q73" s="434"/>
      <c r="S73" s="434"/>
      <c r="T73" s="434"/>
      <c r="U73" s="441"/>
    </row>
    <row r="74" spans="1:21" s="97" customFormat="1" ht="27" customHeight="1">
      <c r="A74" s="2035" t="s">
        <v>10</v>
      </c>
      <c r="B74" s="2036"/>
      <c r="C74" s="2036"/>
      <c r="D74" s="2036"/>
      <c r="E74" s="2036"/>
      <c r="F74" s="2036"/>
      <c r="G74" s="2036"/>
      <c r="H74" s="2037"/>
      <c r="I74" s="643">
        <f>SUM(I73:I73)</f>
        <v>0</v>
      </c>
      <c r="J74" s="116" t="e">
        <f>SUM(J73:J73)</f>
        <v>#N/A</v>
      </c>
      <c r="K74" s="116" t="e">
        <f>SUM(K73:K73)</f>
        <v>#N/A</v>
      </c>
      <c r="L74" s="260">
        <f>SUM(L73:L73)</f>
        <v>0</v>
      </c>
      <c r="M74" s="666"/>
      <c r="N74" s="366"/>
      <c r="O74" s="434"/>
      <c r="P74" s="434"/>
      <c r="Q74" s="434"/>
      <c r="S74" s="434"/>
      <c r="T74" s="434"/>
      <c r="U74" s="441"/>
    </row>
    <row r="75" spans="1:21" s="97" customFormat="1" ht="27" customHeight="1">
      <c r="A75" s="2010" t="s">
        <v>3108</v>
      </c>
      <c r="B75" s="510" t="s">
        <v>3401</v>
      </c>
      <c r="C75" s="619" t="s">
        <v>3502</v>
      </c>
      <c r="D75" s="460" t="s">
        <v>3402</v>
      </c>
      <c r="E75" s="460"/>
      <c r="F75" s="455">
        <v>45931</v>
      </c>
      <c r="G75" s="455"/>
      <c r="H75" s="488">
        <v>9.4925999999999995</v>
      </c>
      <c r="I75" s="468">
        <v>16832990</v>
      </c>
      <c r="J75" s="458">
        <f t="shared" ref="J75:J76" si="26">ROUNDDOWN(I75*H75,0)</f>
        <v>159788840</v>
      </c>
      <c r="K75" s="458">
        <f>J75</f>
        <v>159788840</v>
      </c>
      <c r="L75" s="464"/>
      <c r="M75" s="663"/>
      <c r="N75" s="366"/>
      <c r="O75" s="434"/>
      <c r="P75" s="434"/>
      <c r="Q75" s="434"/>
      <c r="S75" s="434"/>
      <c r="T75" s="434"/>
      <c r="U75" s="441"/>
    </row>
    <row r="76" spans="1:21" s="97" customFormat="1" ht="27" customHeight="1">
      <c r="A76" s="2011"/>
      <c r="B76" s="466" t="s">
        <v>3403</v>
      </c>
      <c r="C76" s="454" t="s">
        <v>3502</v>
      </c>
      <c r="D76" s="466" t="s">
        <v>3404</v>
      </c>
      <c r="E76" s="465"/>
      <c r="F76" s="455">
        <v>45941</v>
      </c>
      <c r="G76" s="455"/>
      <c r="H76" s="488">
        <v>9.1508000000000003</v>
      </c>
      <c r="I76" s="468">
        <v>20398620</v>
      </c>
      <c r="J76" s="458">
        <f t="shared" si="26"/>
        <v>186663691</v>
      </c>
      <c r="K76" s="458">
        <f>J76</f>
        <v>186663691</v>
      </c>
      <c r="L76" s="489"/>
      <c r="M76" s="677"/>
      <c r="N76" s="364"/>
      <c r="T76" s="434"/>
      <c r="U76" s="441"/>
    </row>
    <row r="77" spans="1:21" s="97" customFormat="1" ht="27" customHeight="1">
      <c r="A77" s="2011"/>
      <c r="B77" s="146" t="s">
        <v>3482</v>
      </c>
      <c r="C77" s="89" t="s">
        <v>3502</v>
      </c>
      <c r="D77" s="146" t="s">
        <v>3484</v>
      </c>
      <c r="E77" s="136"/>
      <c r="F77" s="90">
        <v>45949</v>
      </c>
      <c r="G77" s="90"/>
      <c r="H77" s="176">
        <v>9.4467999999999996</v>
      </c>
      <c r="I77" s="177">
        <v>12354829</v>
      </c>
      <c r="J77" s="93">
        <f t="shared" ref="J77" si="27">ROUNDDOWN(I77*H77,0)</f>
        <v>116713598</v>
      </c>
      <c r="K77" s="93">
        <f>J77</f>
        <v>116713598</v>
      </c>
      <c r="L77" s="93"/>
      <c r="M77" s="664"/>
      <c r="N77" s="402"/>
      <c r="T77" s="434"/>
      <c r="U77" s="441"/>
    </row>
    <row r="78" spans="1:21" s="97" customFormat="1" ht="27" customHeight="1">
      <c r="A78" s="2011"/>
      <c r="B78" s="146" t="s">
        <v>3483</v>
      </c>
      <c r="C78" s="89" t="s">
        <v>730</v>
      </c>
      <c r="D78" s="146" t="s">
        <v>3485</v>
      </c>
      <c r="E78" s="136"/>
      <c r="F78" s="90">
        <v>45957</v>
      </c>
      <c r="G78" s="90"/>
      <c r="H78" s="176">
        <v>9.3777000000000008</v>
      </c>
      <c r="I78" s="177">
        <v>17659390</v>
      </c>
      <c r="J78" s="93">
        <f t="shared" ref="J78:J79" si="28">ROUNDDOWN(I78*H78,0)</f>
        <v>165604461</v>
      </c>
      <c r="K78" s="93">
        <f t="shared" ref="K78" si="29">J78</f>
        <v>165604461</v>
      </c>
      <c r="L78" s="93"/>
      <c r="M78" s="664"/>
      <c r="N78" s="402"/>
      <c r="T78" s="434"/>
      <c r="U78" s="441"/>
    </row>
    <row r="79" spans="1:21" s="97" customFormat="1" ht="27" customHeight="1">
      <c r="A79" s="2011"/>
      <c r="B79" s="552" t="s">
        <v>3486</v>
      </c>
      <c r="C79" s="552" t="s">
        <v>3501</v>
      </c>
      <c r="D79" s="552" t="s">
        <v>3487</v>
      </c>
      <c r="E79" s="550"/>
      <c r="F79" s="527">
        <v>45964</v>
      </c>
      <c r="G79" s="527"/>
      <c r="H79" s="558">
        <v>9.2609999999999992</v>
      </c>
      <c r="I79" s="559">
        <v>18753536</v>
      </c>
      <c r="J79" s="530">
        <f t="shared" si="28"/>
        <v>173676496</v>
      </c>
      <c r="K79" s="530"/>
      <c r="L79" s="530">
        <f>J79</f>
        <v>173676496</v>
      </c>
      <c r="M79" s="664"/>
      <c r="N79" s="402"/>
      <c r="T79" s="434"/>
      <c r="U79" s="441"/>
    </row>
    <row r="80" spans="1:21" s="97" customFormat="1" ht="27" customHeight="1">
      <c r="A80" s="361" t="s">
        <v>10</v>
      </c>
      <c r="B80" s="113"/>
      <c r="C80" s="113"/>
      <c r="D80" s="113"/>
      <c r="E80" s="113"/>
      <c r="F80" s="113"/>
      <c r="G80" s="113"/>
      <c r="H80" s="114"/>
      <c r="I80" s="644">
        <f>SUM(I75:I79)</f>
        <v>85999365</v>
      </c>
      <c r="J80" s="116">
        <f>SUM(J75:J79)</f>
        <v>802447086</v>
      </c>
      <c r="K80" s="116">
        <f>SUM(K75:K79)</f>
        <v>628770590</v>
      </c>
      <c r="L80" s="260">
        <f>SUM(L75:L79)</f>
        <v>173676496</v>
      </c>
      <c r="M80" s="666"/>
      <c r="T80" s="434"/>
      <c r="U80" s="441"/>
    </row>
    <row r="81" spans="1:21" s="97" customFormat="1" ht="27" customHeight="1">
      <c r="A81" s="2010" t="s">
        <v>3107</v>
      </c>
      <c r="B81" s="174" t="s">
        <v>3488</v>
      </c>
      <c r="C81" s="174"/>
      <c r="D81" s="174" t="s">
        <v>3493</v>
      </c>
      <c r="E81" s="146"/>
      <c r="F81" s="146">
        <v>45932</v>
      </c>
      <c r="G81" s="607"/>
      <c r="H81" s="176">
        <v>9.5642999999999994</v>
      </c>
      <c r="I81" s="177">
        <v>1973288</v>
      </c>
      <c r="J81" s="93">
        <f t="shared" ref="J81:J85" si="30">ROUNDDOWN(I81*H81,0)</f>
        <v>18873118</v>
      </c>
      <c r="K81" s="93">
        <f t="shared" ref="K81:K85" si="31">J81</f>
        <v>18873118</v>
      </c>
      <c r="L81" s="256"/>
      <c r="M81" s="670"/>
      <c r="T81" s="434"/>
      <c r="U81" s="441"/>
    </row>
    <row r="82" spans="1:21" s="97" customFormat="1" ht="27" customHeight="1">
      <c r="A82" s="2011"/>
      <c r="B82" s="174" t="s">
        <v>3489</v>
      </c>
      <c r="C82" s="174"/>
      <c r="D82" s="174" t="s">
        <v>3494</v>
      </c>
      <c r="E82" s="146"/>
      <c r="F82" s="146">
        <v>45942</v>
      </c>
      <c r="G82" s="607"/>
      <c r="H82" s="176">
        <v>9.1508000000000003</v>
      </c>
      <c r="I82" s="177">
        <v>1233305</v>
      </c>
      <c r="J82" s="93">
        <f t="shared" si="30"/>
        <v>11285727</v>
      </c>
      <c r="K82" s="93">
        <f t="shared" si="31"/>
        <v>11285727</v>
      </c>
      <c r="L82" s="256"/>
      <c r="M82" s="670"/>
      <c r="T82" s="434"/>
      <c r="U82" s="441"/>
    </row>
    <row r="83" spans="1:21" s="97" customFormat="1" ht="27" customHeight="1">
      <c r="A83" s="2011"/>
      <c r="B83" s="174" t="s">
        <v>3490</v>
      </c>
      <c r="C83" s="174"/>
      <c r="D83" s="174" t="s">
        <v>3495</v>
      </c>
      <c r="E83" s="146"/>
      <c r="F83" s="146">
        <v>45946</v>
      </c>
      <c r="G83" s="607"/>
      <c r="H83" s="176">
        <v>9.4359000000000002</v>
      </c>
      <c r="I83" s="177">
        <v>1233305</v>
      </c>
      <c r="J83" s="93">
        <f t="shared" si="30"/>
        <v>11637342</v>
      </c>
      <c r="K83" s="93">
        <f t="shared" si="31"/>
        <v>11637342</v>
      </c>
      <c r="L83" s="256"/>
      <c r="M83" s="670"/>
      <c r="T83" s="434"/>
      <c r="U83" s="441"/>
    </row>
    <row r="84" spans="1:21" s="97" customFormat="1" ht="27" customHeight="1">
      <c r="A84" s="2011"/>
      <c r="B84" s="174" t="s">
        <v>3491</v>
      </c>
      <c r="C84" s="174"/>
      <c r="D84" s="174" t="s">
        <v>3496</v>
      </c>
      <c r="E84" s="146"/>
      <c r="F84" s="146">
        <v>45951</v>
      </c>
      <c r="G84" s="607"/>
      <c r="H84" s="176">
        <v>9.4190000000000005</v>
      </c>
      <c r="I84" s="177">
        <v>1233305</v>
      </c>
      <c r="J84" s="93">
        <f t="shared" si="30"/>
        <v>11616499</v>
      </c>
      <c r="K84" s="93">
        <f t="shared" si="31"/>
        <v>11616499</v>
      </c>
      <c r="L84" s="256"/>
      <c r="M84" s="670"/>
      <c r="T84" s="434"/>
      <c r="U84" s="441"/>
    </row>
    <row r="85" spans="1:21" s="97" customFormat="1" ht="27" customHeight="1">
      <c r="A85" s="2011"/>
      <c r="B85" s="174" t="s">
        <v>3492</v>
      </c>
      <c r="C85" s="174"/>
      <c r="D85" s="174" t="s">
        <v>3497</v>
      </c>
      <c r="E85" s="146"/>
      <c r="F85" s="146">
        <v>45956</v>
      </c>
      <c r="G85" s="607"/>
      <c r="H85" s="176">
        <v>9.4123000000000001</v>
      </c>
      <c r="I85" s="177">
        <v>4193237</v>
      </c>
      <c r="J85" s="93">
        <f t="shared" si="30"/>
        <v>39468004</v>
      </c>
      <c r="K85" s="93">
        <f t="shared" si="31"/>
        <v>39468004</v>
      </c>
      <c r="L85" s="256"/>
      <c r="M85" s="670"/>
      <c r="T85" s="434"/>
      <c r="U85" s="441"/>
    </row>
    <row r="86" spans="1:21" s="97" customFormat="1" ht="27" customHeight="1">
      <c r="A86" s="600"/>
      <c r="B86" s="113"/>
      <c r="C86" s="148"/>
      <c r="D86" s="148"/>
      <c r="E86" s="148"/>
      <c r="F86" s="148"/>
      <c r="G86" s="148"/>
      <c r="H86" s="114"/>
      <c r="I86" s="645">
        <f>SUM(I81:I85)</f>
        <v>9866440</v>
      </c>
      <c r="J86" s="151">
        <f>SUM(J81:J85)</f>
        <v>92880690</v>
      </c>
      <c r="K86" s="151">
        <f>SUM(K81:K85)</f>
        <v>92880690</v>
      </c>
      <c r="L86" s="633">
        <f>SUM(L81:L81)</f>
        <v>0</v>
      </c>
      <c r="M86" s="666"/>
      <c r="T86" s="434"/>
      <c r="U86" s="441"/>
    </row>
    <row r="87" spans="1:21" s="97" customFormat="1" ht="38.4">
      <c r="A87" s="541" t="s">
        <v>3109</v>
      </c>
      <c r="B87" s="174" t="s">
        <v>38</v>
      </c>
      <c r="C87" s="339" t="s">
        <v>38</v>
      </c>
      <c r="D87" s="136" t="s">
        <v>38</v>
      </c>
      <c r="E87" s="136"/>
      <c r="F87" s="136" t="s">
        <v>38</v>
      </c>
      <c r="G87" s="136"/>
      <c r="H87" s="166">
        <f>VLOOKUP(F87,환율!A:B,2,0)</f>
        <v>0</v>
      </c>
      <c r="I87" s="341"/>
      <c r="J87" s="542">
        <f t="shared" ref="J87" si="32">ROUNDDOWN(I87*H87,0)</f>
        <v>0</v>
      </c>
      <c r="K87" s="542">
        <f>J87</f>
        <v>0</v>
      </c>
      <c r="L87" s="254"/>
      <c r="M87" s="664" t="s">
        <v>3471</v>
      </c>
      <c r="T87" s="434"/>
      <c r="U87" s="441"/>
    </row>
    <row r="88" spans="1:21" s="97" customFormat="1" ht="27" customHeight="1">
      <c r="A88" s="361" t="s">
        <v>10</v>
      </c>
      <c r="B88" s="113"/>
      <c r="C88" s="113"/>
      <c r="D88" s="113"/>
      <c r="E88" s="113"/>
      <c r="F88" s="113"/>
      <c r="G88" s="113"/>
      <c r="H88" s="114"/>
      <c r="I88" s="643">
        <f>SUM(I87)</f>
        <v>0</v>
      </c>
      <c r="J88" s="116">
        <f>SUM(J87)</f>
        <v>0</v>
      </c>
      <c r="K88" s="116">
        <f>SUM(K87)</f>
        <v>0</v>
      </c>
      <c r="L88" s="260">
        <f>SUM(L87)</f>
        <v>0</v>
      </c>
      <c r="M88" s="666"/>
      <c r="T88" s="434"/>
      <c r="U88" s="441"/>
    </row>
    <row r="89" spans="1:21" s="97" customFormat="1" ht="27" customHeight="1">
      <c r="A89" s="2111" t="s">
        <v>3110</v>
      </c>
      <c r="B89" s="301" t="s">
        <v>3498</v>
      </c>
      <c r="C89" s="332" t="s">
        <v>3501</v>
      </c>
      <c r="D89" s="303"/>
      <c r="E89" s="303"/>
      <c r="F89" s="303">
        <v>45914</v>
      </c>
      <c r="G89" s="303"/>
      <c r="H89" s="304">
        <f>VLOOKUP(F89,환율!A:B,2,0)</f>
        <v>1389.4</v>
      </c>
      <c r="I89" s="341"/>
      <c r="J89" s="335">
        <v>21526400</v>
      </c>
      <c r="K89" s="335">
        <f>J89</f>
        <v>21526400</v>
      </c>
      <c r="L89" s="337"/>
      <c r="M89" s="671"/>
      <c r="T89" s="434"/>
      <c r="U89" s="441"/>
    </row>
    <row r="90" spans="1:21" s="97" customFormat="1" ht="27" customHeight="1">
      <c r="A90" s="2112"/>
      <c r="B90" s="301" t="s">
        <v>3499</v>
      </c>
      <c r="C90" s="332" t="s">
        <v>3501</v>
      </c>
      <c r="D90" s="303"/>
      <c r="E90" s="303"/>
      <c r="F90" s="303">
        <v>45914</v>
      </c>
      <c r="G90" s="303"/>
      <c r="H90" s="304">
        <f>VLOOKUP(F90,환율!A:B,2,0)</f>
        <v>1389.4</v>
      </c>
      <c r="I90" s="341"/>
      <c r="J90" s="335">
        <v>21526400</v>
      </c>
      <c r="K90" s="335">
        <f t="shared" ref="K90" si="33">J90</f>
        <v>21526400</v>
      </c>
      <c r="L90" s="337"/>
      <c r="M90" s="671"/>
      <c r="T90" s="434"/>
      <c r="U90" s="441"/>
    </row>
    <row r="91" spans="1:21" s="496" customFormat="1" ht="27" customHeight="1" thickBot="1">
      <c r="A91" s="599" t="s">
        <v>10</v>
      </c>
      <c r="B91" s="266"/>
      <c r="C91" s="266"/>
      <c r="D91" s="266"/>
      <c r="E91" s="266"/>
      <c r="F91" s="266"/>
      <c r="G91" s="266"/>
      <c r="H91" s="267"/>
      <c r="I91" s="646"/>
      <c r="J91" s="269">
        <f>SUM(J89:J90)</f>
        <v>43052800</v>
      </c>
      <c r="K91" s="269">
        <f>SUM(K89:K90)</f>
        <v>43052800</v>
      </c>
      <c r="L91" s="506">
        <f>SUM(L89:L90)</f>
        <v>0</v>
      </c>
      <c r="M91" s="672"/>
      <c r="N91" s="493"/>
      <c r="O91" s="434"/>
      <c r="P91" s="434"/>
      <c r="Q91" s="434"/>
      <c r="R91" s="434"/>
      <c r="S91" s="434"/>
      <c r="T91" s="494"/>
      <c r="U91" s="495"/>
    </row>
    <row r="92" spans="1:21" s="496" customFormat="1" ht="27" customHeight="1" thickBot="1">
      <c r="A92" s="601" t="s">
        <v>1176</v>
      </c>
      <c r="B92" s="597"/>
      <c r="C92" s="597"/>
      <c r="D92" s="597"/>
      <c r="E92" s="597"/>
      <c r="F92" s="598"/>
      <c r="G92" s="532"/>
      <c r="H92" s="2095" t="s">
        <v>2334</v>
      </c>
      <c r="I92" s="647" t="s">
        <v>17</v>
      </c>
      <c r="J92" s="194" t="e">
        <f>+J94-J93</f>
        <v>#N/A</v>
      </c>
      <c r="K92" s="210">
        <f>K94-K93</f>
        <v>3761216242</v>
      </c>
      <c r="L92" s="210">
        <f>L94-L93</f>
        <v>1517378148</v>
      </c>
      <c r="M92" s="673"/>
      <c r="N92" s="493"/>
      <c r="O92" s="434"/>
      <c r="P92" s="434"/>
      <c r="Q92" s="434"/>
      <c r="R92" s="434"/>
      <c r="S92" s="434"/>
      <c r="T92" s="494"/>
      <c r="U92" s="495"/>
    </row>
    <row r="93" spans="1:21" s="496" customFormat="1" ht="27" customHeight="1">
      <c r="A93" s="239" t="s">
        <v>20</v>
      </c>
      <c r="B93" s="195" t="s">
        <v>21</v>
      </c>
      <c r="C93" s="196"/>
      <c r="D93" s="196" t="s">
        <v>20</v>
      </c>
      <c r="E93" s="314"/>
      <c r="F93" s="197" t="s">
        <v>21</v>
      </c>
      <c r="G93" s="533"/>
      <c r="H93" s="2096"/>
      <c r="I93" s="648" t="s">
        <v>18</v>
      </c>
      <c r="J93" s="210">
        <f>SUM(J16:J17,J63)</f>
        <v>792657451</v>
      </c>
      <c r="K93" s="210">
        <f>J93</f>
        <v>792657451</v>
      </c>
      <c r="L93" s="219">
        <v>0</v>
      </c>
      <c r="M93" s="673"/>
      <c r="N93" s="493"/>
      <c r="O93" s="434"/>
      <c r="P93" s="434"/>
      <c r="Q93" s="434"/>
      <c r="R93" s="434"/>
      <c r="S93" s="434"/>
      <c r="T93" s="494"/>
      <c r="U93" s="495"/>
    </row>
    <row r="94" spans="1:21" s="496" customFormat="1" ht="27" customHeight="1" thickBot="1">
      <c r="A94" s="240" t="s">
        <v>9</v>
      </c>
      <c r="B94" s="199">
        <f>L20</f>
        <v>649147375</v>
      </c>
      <c r="C94" s="199"/>
      <c r="D94" s="200" t="s">
        <v>721</v>
      </c>
      <c r="E94" s="315"/>
      <c r="F94" s="201">
        <v>0</v>
      </c>
      <c r="G94" s="534"/>
      <c r="H94" s="2097"/>
      <c r="I94" s="649" t="s">
        <v>19</v>
      </c>
      <c r="J94" s="210" t="e">
        <f>SUM(J91,J88,J80,J74,J72,J67,J64,J62,J55,J52,J29,J20,J86)</f>
        <v>#N/A</v>
      </c>
      <c r="K94" s="221">
        <f>I101+J101</f>
        <v>4553873693</v>
      </c>
      <c r="L94" s="210">
        <f>SUM(L20,L29,L52,L55,L62,L64,L67,L72,L74,L80,L91)+L88+L86</f>
        <v>1517378148</v>
      </c>
      <c r="M94" s="673"/>
      <c r="N94" s="622" t="e">
        <f>J94-K94=L94</f>
        <v>#N/A</v>
      </c>
      <c r="O94" s="636"/>
      <c r="P94" s="434"/>
      <c r="Q94" s="434"/>
      <c r="R94" s="434"/>
      <c r="S94" s="434"/>
      <c r="T94" s="494"/>
      <c r="U94" s="495"/>
    </row>
    <row r="95" spans="1:21" s="496" customFormat="1" ht="27" customHeight="1">
      <c r="A95" s="240" t="s">
        <v>11</v>
      </c>
      <c r="B95" s="199">
        <f>L29</f>
        <v>61112598</v>
      </c>
      <c r="C95" s="199"/>
      <c r="D95" s="200" t="s">
        <v>2950</v>
      </c>
      <c r="E95" s="315"/>
      <c r="F95" s="201">
        <f>L67</f>
        <v>12540338</v>
      </c>
      <c r="G95" s="535"/>
      <c r="H95" s="296" t="s">
        <v>20</v>
      </c>
      <c r="I95" s="650" t="s">
        <v>3472</v>
      </c>
      <c r="J95" s="298" t="s">
        <v>233</v>
      </c>
      <c r="K95" s="298" t="s">
        <v>234</v>
      </c>
      <c r="L95" s="234" t="s">
        <v>32</v>
      </c>
      <c r="M95" s="660"/>
      <c r="N95" s="493"/>
      <c r="O95" s="636"/>
      <c r="P95" s="434"/>
      <c r="Q95" s="434"/>
      <c r="R95" s="434"/>
      <c r="S95" s="434"/>
      <c r="T95" s="494"/>
      <c r="U95" s="495"/>
    </row>
    <row r="96" spans="1:21" s="496" customFormat="1" ht="27" customHeight="1">
      <c r="A96" s="241" t="s">
        <v>114</v>
      </c>
      <c r="B96" s="199">
        <f>L52</f>
        <v>513515335</v>
      </c>
      <c r="C96" s="199"/>
      <c r="D96" s="293" t="s">
        <v>14</v>
      </c>
      <c r="E96" s="316"/>
      <c r="F96" s="294">
        <f>L72</f>
        <v>0</v>
      </c>
      <c r="G96" s="536"/>
      <c r="H96" s="211" t="s">
        <v>22</v>
      </c>
      <c r="I96" s="651">
        <f>SUM(J75:J76)</f>
        <v>346452531</v>
      </c>
      <c r="J96" s="199">
        <f>SUM(J77:J78,J81:J85)</f>
        <v>375198749</v>
      </c>
      <c r="K96" s="199">
        <f>J79</f>
        <v>173676496</v>
      </c>
      <c r="L96" s="201">
        <f>SUM(I96:J96)</f>
        <v>721651280</v>
      </c>
      <c r="M96" s="673"/>
      <c r="N96" s="493"/>
      <c r="O96" s="434"/>
      <c r="P96" s="434"/>
      <c r="Q96" s="434"/>
      <c r="R96" s="434"/>
      <c r="S96" s="434"/>
      <c r="T96" s="494"/>
      <c r="U96" s="495"/>
    </row>
    <row r="97" spans="1:21" s="97" customFormat="1" ht="27" customHeight="1">
      <c r="A97" s="241" t="s">
        <v>153</v>
      </c>
      <c r="B97" s="199">
        <v>0</v>
      </c>
      <c r="C97" s="199"/>
      <c r="D97" s="293" t="s">
        <v>15</v>
      </c>
      <c r="E97" s="317"/>
      <c r="F97" s="295">
        <f>L74</f>
        <v>0</v>
      </c>
      <c r="G97" s="537"/>
      <c r="H97" s="211" t="s">
        <v>23</v>
      </c>
      <c r="I97" s="651">
        <f>SUM(J21,J30:J35,J56:J57,J65)</f>
        <v>687995330</v>
      </c>
      <c r="J97" s="199">
        <f>SUM(J22:J27,J36:J42,J53:J54,J58:J59,)</f>
        <v>933395868</v>
      </c>
      <c r="K97" s="199">
        <f>SUM(L43:L51,L28,J60:J61,L66)</f>
        <v>619499293</v>
      </c>
      <c r="L97" s="201">
        <f>SUM(I97:J97)</f>
        <v>1621391198</v>
      </c>
      <c r="M97" s="673"/>
      <c r="N97" s="402"/>
      <c r="O97" s="438"/>
      <c r="P97" s="434"/>
      <c r="Q97" s="434"/>
      <c r="R97" s="434"/>
      <c r="S97" s="434"/>
    </row>
    <row r="98" spans="1:21" s="97" customFormat="1" ht="27" customHeight="1">
      <c r="A98" s="241" t="s">
        <v>719</v>
      </c>
      <c r="B98" s="199">
        <v>0</v>
      </c>
      <c r="C98" s="199"/>
      <c r="D98" s="293" t="s">
        <v>53</v>
      </c>
      <c r="E98" s="316"/>
      <c r="F98" s="294">
        <f>L64</f>
        <v>75054984</v>
      </c>
      <c r="G98" s="536"/>
      <c r="H98" s="211" t="s">
        <v>24</v>
      </c>
      <c r="I98" s="651">
        <f>SUM(J12:J13)</f>
        <v>729476103</v>
      </c>
      <c r="J98" s="199">
        <f>SUM(J14:J17)</f>
        <v>1387031038</v>
      </c>
      <c r="K98" s="199">
        <f>SUM(J18:J19)</f>
        <v>649147375</v>
      </c>
      <c r="L98" s="201">
        <f>SUM(I98:J98)</f>
        <v>2116507141</v>
      </c>
      <c r="M98" s="673"/>
      <c r="N98" s="401"/>
      <c r="O98" s="441"/>
    </row>
    <row r="99" spans="1:21" s="97" customFormat="1" ht="27" customHeight="1">
      <c r="A99" s="241" t="s">
        <v>2951</v>
      </c>
      <c r="B99" s="199">
        <f>L62</f>
        <v>32331022</v>
      </c>
      <c r="C99" s="199"/>
      <c r="D99" s="200" t="s">
        <v>252</v>
      </c>
      <c r="E99" s="216"/>
      <c r="F99" s="294">
        <f>L80</f>
        <v>173676496</v>
      </c>
      <c r="G99" s="538"/>
      <c r="H99" s="211" t="s">
        <v>723</v>
      </c>
      <c r="I99" s="651">
        <v>0</v>
      </c>
      <c r="J99" s="199">
        <f>SUM(J68:J71,)</f>
        <v>51271274</v>
      </c>
      <c r="K99" s="199">
        <f>SUM(L63)</f>
        <v>75054984</v>
      </c>
      <c r="L99" s="201">
        <f>SUM(I99:J99)</f>
        <v>51271274</v>
      </c>
      <c r="M99" s="673"/>
      <c r="N99" s="401"/>
      <c r="O99" s="441"/>
    </row>
    <row r="100" spans="1:21" s="97" customFormat="1" ht="27" customHeight="1" thickBot="1">
      <c r="A100" s="215" t="s">
        <v>2646</v>
      </c>
      <c r="B100" s="213">
        <f>L88</f>
        <v>0</v>
      </c>
      <c r="C100" s="213"/>
      <c r="D100" s="214"/>
      <c r="E100" s="318"/>
      <c r="F100" s="242"/>
      <c r="G100" s="539"/>
      <c r="H100" s="299" t="s">
        <v>1177</v>
      </c>
      <c r="I100" s="652">
        <v>0</v>
      </c>
      <c r="J100" s="311">
        <f>J91</f>
        <v>43052800</v>
      </c>
      <c r="K100" s="311">
        <v>0</v>
      </c>
      <c r="L100" s="312">
        <f>SUM(I100:J100)</f>
        <v>43052800</v>
      </c>
      <c r="M100" s="674"/>
      <c r="N100" s="364" t="b">
        <f>K101=F101</f>
        <v>1</v>
      </c>
      <c r="O100" s="441"/>
      <c r="P100" s="403"/>
      <c r="Q100" s="403"/>
      <c r="R100" s="403"/>
    </row>
    <row r="101" spans="1:21" s="97" customFormat="1" ht="27" customHeight="1" thickTop="1" thickBot="1">
      <c r="A101" s="243"/>
      <c r="B101" s="244" t="s">
        <v>49</v>
      </c>
      <c r="C101" s="244"/>
      <c r="D101" s="245"/>
      <c r="E101" s="244"/>
      <c r="F101" s="246">
        <f>SUM(B94:B100,F94:F100)</f>
        <v>1517378148</v>
      </c>
      <c r="G101" s="540"/>
      <c r="H101" s="236" t="s">
        <v>16</v>
      </c>
      <c r="I101" s="653">
        <f>SUM(I96:I100)</f>
        <v>1763923964</v>
      </c>
      <c r="J101" s="237">
        <f>SUM(J96:J100)</f>
        <v>2789949729</v>
      </c>
      <c r="K101" s="210">
        <f>SUM(K96:K100)</f>
        <v>1517378148</v>
      </c>
      <c r="L101" s="238">
        <f>+I101+J101</f>
        <v>4553873693</v>
      </c>
      <c r="M101" s="675"/>
      <c r="N101" s="364" t="b">
        <f>K94=J101+I101</f>
        <v>1</v>
      </c>
      <c r="O101" s="441"/>
      <c r="P101" s="403"/>
      <c r="Q101" s="403"/>
      <c r="R101" s="403"/>
    </row>
    <row r="102" spans="1:21" s="97" customFormat="1" ht="27" customHeight="1" thickBot="1">
      <c r="A102"/>
      <c r="B102"/>
      <c r="C102"/>
      <c r="D102"/>
      <c r="E102"/>
      <c r="F102"/>
      <c r="G102"/>
      <c r="H102" s="2047" t="s">
        <v>1685</v>
      </c>
      <c r="I102" s="2048"/>
      <c r="J102" s="2048"/>
      <c r="K102" s="2049"/>
      <c r="L102" s="404">
        <f>L101-L100</f>
        <v>4510820893</v>
      </c>
      <c r="M102" s="675"/>
      <c r="N102" s="366"/>
      <c r="O102" s="441"/>
      <c r="P102" s="403"/>
      <c r="Q102" s="403"/>
      <c r="R102" s="403"/>
    </row>
    <row r="103" spans="1:21" s="97" customFormat="1" ht="27" customHeight="1">
      <c r="A103"/>
      <c r="B103" s="291"/>
      <c r="C103" s="291"/>
      <c r="D103" s="290"/>
      <c r="E103" s="290"/>
      <c r="F103" s="26"/>
      <c r="G103" s="26"/>
      <c r="H103" s="292"/>
      <c r="I103" s="78"/>
      <c r="J103" s="412"/>
      <c r="K103" s="412" t="s">
        <v>3255</v>
      </c>
      <c r="L103" s="13">
        <v>4510820893</v>
      </c>
      <c r="M103" s="83"/>
      <c r="N103" s="175"/>
      <c r="O103" s="441"/>
      <c r="P103" s="403"/>
      <c r="Q103" s="403"/>
      <c r="R103" s="403"/>
    </row>
    <row r="104" spans="1:21" s="126" customFormat="1" ht="27" customHeight="1">
      <c r="A104"/>
      <c r="B104"/>
      <c r="C104"/>
      <c r="D104" s="290"/>
      <c r="E104" s="290"/>
      <c r="F104" s="26"/>
      <c r="G104" s="26"/>
      <c r="H104" s="292"/>
      <c r="I104" s="78"/>
      <c r="J104" s="412"/>
      <c r="K104"/>
      <c r="L104" s="412" t="b">
        <f>L102=L103</f>
        <v>1</v>
      </c>
      <c r="M104" s="676"/>
      <c r="N104" s="175"/>
      <c r="O104" s="443"/>
      <c r="P104" s="403"/>
      <c r="Q104" s="403"/>
      <c r="R104" s="403"/>
      <c r="S104" s="97"/>
    </row>
    <row r="105" spans="1:21" s="126" customFormat="1" ht="27" customHeight="1">
      <c r="A105"/>
      <c r="B105"/>
      <c r="C105"/>
      <c r="D105" s="290"/>
      <c r="E105" s="290"/>
      <c r="F105" s="26"/>
      <c r="G105" s="26"/>
      <c r="H105" s="292"/>
      <c r="I105" s="78"/>
      <c r="J105" s="26"/>
      <c r="K105"/>
      <c r="L105" s="26"/>
      <c r="M105" s="15"/>
      <c r="N105" s="366"/>
      <c r="O105" s="443"/>
      <c r="P105" s="403"/>
      <c r="Q105" s="403"/>
      <c r="R105" s="403"/>
      <c r="S105" s="97"/>
    </row>
    <row r="106" spans="1:21" s="126" customFormat="1" ht="27" customHeight="1">
      <c r="A106"/>
      <c r="B106"/>
      <c r="C106"/>
      <c r="D106" s="290"/>
      <c r="E106" s="290"/>
      <c r="F106" s="26"/>
      <c r="G106" s="26"/>
      <c r="H106" s="292"/>
      <c r="I106" s="78"/>
      <c r="J106" s="26"/>
      <c r="K106"/>
      <c r="L106" s="26"/>
      <c r="M106" s="15"/>
      <c r="N106" s="364"/>
      <c r="O106" s="443"/>
      <c r="Q106" s="205"/>
      <c r="R106" s="205"/>
    </row>
    <row r="107" spans="1:21" s="126" customFormat="1" ht="27" customHeight="1">
      <c r="A107"/>
      <c r="B107"/>
      <c r="C107"/>
      <c r="D107" s="290"/>
      <c r="E107" s="290"/>
      <c r="F107"/>
      <c r="G107"/>
      <c r="H107" s="13"/>
      <c r="I107" s="78"/>
      <c r="J107" s="26"/>
      <c r="K107"/>
      <c r="L107" s="26"/>
      <c r="M107" s="15"/>
      <c r="N107" s="364"/>
      <c r="O107" s="443"/>
    </row>
    <row r="108" spans="1:21" s="19" customFormat="1" ht="27" customHeight="1">
      <c r="A108"/>
      <c r="B108"/>
      <c r="C108"/>
      <c r="D108"/>
      <c r="E108"/>
      <c r="F108"/>
      <c r="G108"/>
      <c r="H108" s="13"/>
      <c r="I108" s="78"/>
      <c r="J108"/>
      <c r="K108"/>
      <c r="L108"/>
      <c r="N108" s="410"/>
      <c r="O108" s="443"/>
      <c r="P108" s="15"/>
    </row>
    <row r="109" spans="1:21">
      <c r="J109" s="47"/>
      <c r="L109" s="26"/>
      <c r="M109" s="15"/>
      <c r="O109" s="441"/>
      <c r="P109" s="26"/>
      <c r="Q109"/>
      <c r="R109"/>
      <c r="S109"/>
      <c r="T109"/>
      <c r="U109"/>
    </row>
    <row r="110" spans="1:21" s="24" customFormat="1">
      <c r="A110"/>
      <c r="B110"/>
      <c r="C110"/>
      <c r="D110"/>
      <c r="E110"/>
      <c r="F110"/>
      <c r="G110"/>
      <c r="H110"/>
      <c r="I110" s="78"/>
      <c r="J110"/>
      <c r="K110"/>
      <c r="L110"/>
      <c r="M110" s="19"/>
      <c r="O110" s="445"/>
    </row>
    <row r="111" spans="1:21" s="24" customFormat="1">
      <c r="A111"/>
      <c r="B111"/>
      <c r="C111"/>
      <c r="D111"/>
      <c r="E111"/>
      <c r="F111"/>
      <c r="G111"/>
      <c r="H111"/>
      <c r="I111" s="78"/>
      <c r="J111"/>
      <c r="K111"/>
      <c r="L111" s="26"/>
      <c r="M111" s="15"/>
      <c r="O111" s="445"/>
    </row>
    <row r="112" spans="1:21" s="24" customFormat="1">
      <c r="A112"/>
      <c r="B112"/>
      <c r="C112"/>
      <c r="D112"/>
      <c r="E112"/>
      <c r="F112"/>
      <c r="G112"/>
      <c r="H112"/>
      <c r="I112" s="78"/>
      <c r="J112" s="26"/>
      <c r="K112"/>
      <c r="L112"/>
      <c r="M112" s="19"/>
      <c r="P112" s="434"/>
      <c r="Q112" s="440"/>
      <c r="R112" s="440"/>
      <c r="S112" s="440"/>
      <c r="T112" s="440"/>
      <c r="U112" s="445"/>
    </row>
    <row r="113" spans="1:21" s="24" customFormat="1">
      <c r="A113"/>
      <c r="B113"/>
      <c r="C113"/>
      <c r="D113"/>
      <c r="E113"/>
      <c r="F113"/>
      <c r="G113"/>
      <c r="H113"/>
      <c r="I113" s="78"/>
      <c r="J113"/>
      <c r="K113"/>
      <c r="L113" s="26"/>
      <c r="M113" s="15"/>
      <c r="P113" s="434"/>
      <c r="Q113" s="440"/>
      <c r="R113" s="440"/>
      <c r="S113" s="440"/>
      <c r="T113" s="440"/>
      <c r="U113" s="445"/>
    </row>
    <row r="114" spans="1:21" s="24" customFormat="1">
      <c r="A114"/>
      <c r="B114"/>
      <c r="C114"/>
      <c r="D114"/>
      <c r="E114"/>
      <c r="F114"/>
      <c r="G114"/>
      <c r="H114"/>
      <c r="I114" s="78"/>
      <c r="J114"/>
      <c r="K114"/>
      <c r="L114"/>
      <c r="M114" s="19"/>
      <c r="P114" s="434"/>
      <c r="Q114" s="440"/>
      <c r="R114" s="440"/>
      <c r="S114" s="440"/>
      <c r="T114" s="440"/>
      <c r="U114" s="445"/>
    </row>
  </sheetData>
  <autoFilter ref="A10:H105" xr:uid="{00000000-0009-0000-0000-00005B000000}"/>
  <mergeCells count="39">
    <mergeCell ref="A75:A79"/>
    <mergeCell ref="A81:A85"/>
    <mergeCell ref="A89:A90"/>
    <mergeCell ref="H92:H94"/>
    <mergeCell ref="H102:K102"/>
    <mergeCell ref="I10:L10"/>
    <mergeCell ref="A12:A19"/>
    <mergeCell ref="A20:H20"/>
    <mergeCell ref="A21:A28"/>
    <mergeCell ref="A74:H74"/>
    <mergeCell ref="A30:A51"/>
    <mergeCell ref="A52:H52"/>
    <mergeCell ref="A53:A54"/>
    <mergeCell ref="A55:H55"/>
    <mergeCell ref="A56:A61"/>
    <mergeCell ref="A62:H62"/>
    <mergeCell ref="A65:A66"/>
    <mergeCell ref="A68:A71"/>
    <mergeCell ref="A64:H64"/>
    <mergeCell ref="A67:H67"/>
    <mergeCell ref="A72:H72"/>
    <mergeCell ref="A29:H29"/>
    <mergeCell ref="A10:A11"/>
    <mergeCell ref="B10:B11"/>
    <mergeCell ref="C10:C11"/>
    <mergeCell ref="D10:D11"/>
    <mergeCell ref="E10:E11"/>
    <mergeCell ref="F10:F11"/>
    <mergeCell ref="H10:H11"/>
    <mergeCell ref="A5:I9"/>
    <mergeCell ref="P5:P9"/>
    <mergeCell ref="Q5:Q9"/>
    <mergeCell ref="R5:R9"/>
    <mergeCell ref="S5:S9"/>
    <mergeCell ref="O3:O9"/>
    <mergeCell ref="P3:P4"/>
    <mergeCell ref="Q3:Q4"/>
    <mergeCell ref="R3:R4"/>
    <mergeCell ref="S3:S4"/>
  </mergeCells>
  <phoneticPr fontId="2" type="noConversion"/>
  <conditionalFormatting sqref="A12:A13 B12:M19 B21:M28 B30:M51 A55:A61 B56:M56 B57:H61 J57:M61 I57:I62 B68:M71 B75:M79 B81:M85">
    <cfRule type="expression" dxfId="563" priority="51">
      <formula>#REF!="*01월*"</formula>
    </cfRule>
  </conditionalFormatting>
  <conditionalFormatting sqref="A20">
    <cfRule type="expression" dxfId="562" priority="52">
      <formula>#REF!="*01월*"</formula>
    </cfRule>
  </conditionalFormatting>
  <conditionalFormatting sqref="A29">
    <cfRule type="expression" dxfId="561" priority="54">
      <formula>#REF!="*01월*"</formula>
    </cfRule>
  </conditionalFormatting>
  <conditionalFormatting sqref="A52:A53">
    <cfRule type="expression" dxfId="560" priority="42">
      <formula>#REF!="*01월*"</formula>
    </cfRule>
  </conditionalFormatting>
  <conditionalFormatting sqref="A62 J62:M62 D70:E71 J89:M90 A89:A101 B93:M101 H102:H106">
    <cfRule type="expression" dxfId="559" priority="31">
      <formula>$F64="*01월*"</formula>
    </cfRule>
  </conditionalFormatting>
  <conditionalFormatting sqref="A63 B68:C68 F68:G68 B69:B70 B73">
    <cfRule type="expression" dxfId="558" priority="28">
      <formula>$F64="*01월*"</formula>
    </cfRule>
  </conditionalFormatting>
  <conditionalFormatting sqref="A64 I64:K64 A73">
    <cfRule type="expression" dxfId="557" priority="84">
      <formula>$F67="*01월*"</formula>
    </cfRule>
  </conditionalFormatting>
  <conditionalFormatting sqref="A67">
    <cfRule type="expression" dxfId="556" priority="50">
      <formula>#REF!="*01월*"</formula>
    </cfRule>
  </conditionalFormatting>
  <conditionalFormatting sqref="A72">
    <cfRule type="expression" dxfId="555" priority="46">
      <formula>#REF!="*01월*"</formula>
    </cfRule>
  </conditionalFormatting>
  <conditionalFormatting sqref="A74:A75">
    <cfRule type="expression" dxfId="554" priority="45">
      <formula>#REF!="*01월*"</formula>
    </cfRule>
  </conditionalFormatting>
  <conditionalFormatting sqref="A80 A85">
    <cfRule type="expression" dxfId="553" priority="67">
      <formula>$F91="*01월*"</formula>
    </cfRule>
  </conditionalFormatting>
  <conditionalFormatting sqref="A81:A84">
    <cfRule type="expression" dxfId="552" priority="81">
      <formula>$F93="*01월*"</formula>
    </cfRule>
  </conditionalFormatting>
  <conditionalFormatting sqref="A86">
    <cfRule type="expression" dxfId="551" priority="80">
      <formula>$F92="*01월*"</formula>
    </cfRule>
  </conditionalFormatting>
  <conditionalFormatting sqref="A11:B11 D11:M11">
    <cfRule type="expression" dxfId="550" priority="60">
      <formula>#REF!="*01월*"</formula>
    </cfRule>
  </conditionalFormatting>
  <conditionalFormatting sqref="A10:M10">
    <cfRule type="expression" dxfId="549" priority="24">
      <formula>$F14="*01월*"</formula>
    </cfRule>
  </conditionalFormatting>
  <conditionalFormatting sqref="A65:M65 B66:M66">
    <cfRule type="expression" dxfId="548" priority="16">
      <formula>#REF!="*01월*"</formula>
    </cfRule>
  </conditionalFormatting>
  <conditionalFormatting sqref="B87:C87">
    <cfRule type="expression" dxfId="547" priority="29">
      <formula>#REF!="*01월*"</formula>
    </cfRule>
  </conditionalFormatting>
  <conditionalFormatting sqref="B89:C90">
    <cfRule type="expression" dxfId="546" priority="25">
      <formula>#REF!="*01월*"</formula>
    </cfRule>
  </conditionalFormatting>
  <conditionalFormatting sqref="B53:M54">
    <cfRule type="expression" dxfId="545" priority="32">
      <formula>#REF!="*01월*"</formula>
    </cfRule>
  </conditionalFormatting>
  <conditionalFormatting sqref="B63:M63">
    <cfRule type="expression" dxfId="544" priority="15">
      <formula>#REF!="*01월*"</formula>
    </cfRule>
  </conditionalFormatting>
  <conditionalFormatting sqref="C73:I73">
    <cfRule type="expression" dxfId="543" priority="20">
      <formula>#REF!="*01월*"</formula>
    </cfRule>
  </conditionalFormatting>
  <conditionalFormatting sqref="D68:E69">
    <cfRule type="expression" dxfId="542" priority="63">
      <formula>#REF!="*01월*"</formula>
    </cfRule>
  </conditionalFormatting>
  <conditionalFormatting sqref="D81:E83">
    <cfRule type="expression" dxfId="541" priority="64">
      <formula>$F87="*01월*"</formula>
    </cfRule>
  </conditionalFormatting>
  <conditionalFormatting sqref="D84:E85">
    <cfRule type="expression" dxfId="540" priority="77">
      <formula>#REF!="*01월*"</formula>
    </cfRule>
  </conditionalFormatting>
  <conditionalFormatting sqref="D85:E85">
    <cfRule type="expression" dxfId="539" priority="66">
      <formula>$F91="*01월*"</formula>
    </cfRule>
  </conditionalFormatting>
  <conditionalFormatting sqref="D103:E107">
    <cfRule type="expression" dxfId="538" priority="47">
      <formula>$F105="*01월*"</formula>
    </cfRule>
  </conditionalFormatting>
  <conditionalFormatting sqref="D89:G90">
    <cfRule type="expression" dxfId="537" priority="58">
      <formula>$F91="*01월*"</formula>
    </cfRule>
  </conditionalFormatting>
  <conditionalFormatting sqref="F21:G21 D87:G87 A87:A88 J88:M88">
    <cfRule type="expression" dxfId="536" priority="21">
      <formula>$F26="*01월*"</formula>
    </cfRule>
  </conditionalFormatting>
  <conditionalFormatting sqref="F22:G22">
    <cfRule type="expression" dxfId="535" priority="23">
      <formula>$F29="*01월*"</formula>
    </cfRule>
    <cfRule type="expression" dxfId="534" priority="22">
      <formula>#REF!="*01월*"</formula>
    </cfRule>
  </conditionalFormatting>
  <conditionalFormatting sqref="F23:G23">
    <cfRule type="expression" dxfId="533" priority="85">
      <formula>$F29="*01월*"</formula>
    </cfRule>
  </conditionalFormatting>
  <conditionalFormatting sqref="F24:G24">
    <cfRule type="expression" dxfId="532" priority="1351">
      <formula>#REF!="*01월*"</formula>
    </cfRule>
    <cfRule type="expression" dxfId="531" priority="1352">
      <formula>$F37="*01월*"</formula>
    </cfRule>
  </conditionalFormatting>
  <conditionalFormatting sqref="F25:G26">
    <cfRule type="expression" dxfId="530" priority="59">
      <formula>$F36="*01월*"</formula>
    </cfRule>
  </conditionalFormatting>
  <conditionalFormatting sqref="F26:G26">
    <cfRule type="expression" dxfId="529" priority="68">
      <formula>$F36="*01월*"</formula>
    </cfRule>
  </conditionalFormatting>
  <conditionalFormatting sqref="F26:G28">
    <cfRule type="expression" dxfId="528" priority="1287">
      <formula>#REF!="*01월*"</formula>
    </cfRule>
  </conditionalFormatting>
  <conditionalFormatting sqref="F27:G28">
    <cfRule type="expression" dxfId="527" priority="1345">
      <formula>$F40="*01월*"</formula>
    </cfRule>
    <cfRule type="expression" dxfId="526" priority="1350">
      <formula>$F41="*01월*"</formula>
    </cfRule>
  </conditionalFormatting>
  <conditionalFormatting sqref="F28:G28">
    <cfRule type="expression" dxfId="525" priority="1348">
      <formula>$F40="*01월*"</formula>
    </cfRule>
  </conditionalFormatting>
  <conditionalFormatting sqref="F40:G40">
    <cfRule type="expression" dxfId="524" priority="1365">
      <formula>$F57="*01월*"</formula>
    </cfRule>
    <cfRule type="expression" dxfId="523" priority="1366">
      <formula>$F71="*01월*"</formula>
    </cfRule>
    <cfRule type="expression" dxfId="522" priority="1367">
      <formula>$F64="*01월*"</formula>
    </cfRule>
  </conditionalFormatting>
  <conditionalFormatting sqref="F40:G41">
    <cfRule type="expression" dxfId="521" priority="1371">
      <formula>$F56="*01월*"</formula>
    </cfRule>
  </conditionalFormatting>
  <conditionalFormatting sqref="F40:G43">
    <cfRule type="expression" dxfId="520" priority="1358">
      <formula>$F63="*01월*"</formula>
    </cfRule>
    <cfRule type="expression" dxfId="519" priority="1359">
      <formula>$F62="*01월*"</formula>
    </cfRule>
    <cfRule type="expression" dxfId="518" priority="1294">
      <formula>#REF!="*01월*"</formula>
    </cfRule>
  </conditionalFormatting>
  <conditionalFormatting sqref="F41:G41">
    <cfRule type="expression" dxfId="517" priority="1369">
      <formula>$F71="*01월*"</formula>
    </cfRule>
  </conditionalFormatting>
  <conditionalFormatting sqref="F41:G43">
    <cfRule type="expression" dxfId="516" priority="1372">
      <formula>$F56="*01월*"</formula>
    </cfRule>
    <cfRule type="expression" dxfId="515" priority="1373">
      <formula>$F62="*01월*"</formula>
    </cfRule>
  </conditionalFormatting>
  <conditionalFormatting sqref="F43:G43">
    <cfRule type="expression" dxfId="514" priority="1361">
      <formula>$F62="*01월*"</formula>
    </cfRule>
  </conditionalFormatting>
  <conditionalFormatting sqref="H87:I87">
    <cfRule type="expression" dxfId="513" priority="37">
      <formula>#REF!="*01월*"</formula>
    </cfRule>
  </conditionalFormatting>
  <conditionalFormatting sqref="H89:I90">
    <cfRule type="expression" dxfId="512" priority="26">
      <formula>#REF!="*01월*"</formula>
    </cfRule>
  </conditionalFormatting>
  <conditionalFormatting sqref="H92:M92">
    <cfRule type="expression" dxfId="511" priority="14">
      <formula>$F94="*01월*"</formula>
    </cfRule>
  </conditionalFormatting>
  <conditionalFormatting sqref="I67">
    <cfRule type="expression" dxfId="510" priority="35">
      <formula>#REF!="*01월*"</formula>
    </cfRule>
  </conditionalFormatting>
  <conditionalFormatting sqref="I72">
    <cfRule type="expression" dxfId="509" priority="70">
      <formula>$F74="*01월*"</formula>
    </cfRule>
  </conditionalFormatting>
  <conditionalFormatting sqref="I80:K80">
    <cfRule type="expression" dxfId="508" priority="82">
      <formula>$F91="*01월*"</formula>
    </cfRule>
  </conditionalFormatting>
  <conditionalFormatting sqref="I91:K91">
    <cfRule type="expression" dxfId="507" priority="49">
      <formula>$F93="*01월*"</formula>
    </cfRule>
  </conditionalFormatting>
  <conditionalFormatting sqref="I20:M20">
    <cfRule type="expression" dxfId="506" priority="39">
      <formula>#REF!="*01월*"</formula>
    </cfRule>
  </conditionalFormatting>
  <conditionalFormatting sqref="I29:M29">
    <cfRule type="expression" dxfId="505" priority="38">
      <formula>#REF!="*01월*"</formula>
    </cfRule>
  </conditionalFormatting>
  <conditionalFormatting sqref="I52:M52">
    <cfRule type="expression" dxfId="504" priority="33">
      <formula>#REF!="*01월*"</formula>
    </cfRule>
  </conditionalFormatting>
  <conditionalFormatting sqref="I55:M55">
    <cfRule type="expression" dxfId="503" priority="27">
      <formula>#REF!="*01월*"</formula>
    </cfRule>
  </conditionalFormatting>
  <conditionalFormatting sqref="I74:M74">
    <cfRule type="expression" dxfId="502" priority="40">
      <formula>$F77="*01월*"</formula>
    </cfRule>
  </conditionalFormatting>
  <conditionalFormatting sqref="I86:M86">
    <cfRule type="expression" dxfId="501" priority="71">
      <formula>$F92="*01월*"</formula>
    </cfRule>
  </conditionalFormatting>
  <conditionalFormatting sqref="J72">
    <cfRule type="expression" dxfId="500" priority="34">
      <formula>#REF!="*01월*"</formula>
    </cfRule>
  </conditionalFormatting>
  <conditionalFormatting sqref="J73">
    <cfRule type="expression" dxfId="499" priority="36">
      <formula>$F74="*01월*"</formula>
    </cfRule>
  </conditionalFormatting>
  <conditionalFormatting sqref="J67:K67">
    <cfRule type="expression" dxfId="498" priority="2">
      <formula>$F70="*01월*"</formula>
    </cfRule>
  </conditionalFormatting>
  <conditionalFormatting sqref="J87:K87">
    <cfRule type="expression" dxfId="497" priority="65">
      <formula>$F92="*01월*"</formula>
    </cfRule>
  </conditionalFormatting>
  <conditionalFormatting sqref="K73">
    <cfRule type="expression" dxfId="496" priority="56">
      <formula>#REF!="*01월*"</formula>
    </cfRule>
  </conditionalFormatting>
  <conditionalFormatting sqref="K72:M72">
    <cfRule type="expression" dxfId="495" priority="48">
      <formula>$F74="*01월*"</formula>
    </cfRule>
  </conditionalFormatting>
  <conditionalFormatting sqref="L87">
    <cfRule type="expression" dxfId="494" priority="55">
      <formula>#REF!="*01월*"</formula>
    </cfRule>
  </conditionalFormatting>
  <conditionalFormatting sqref="L64:M64 B69:C69 F69:G69 B70:B71">
    <cfRule type="expression" dxfId="493" priority="69">
      <formula>#REF!="*01월*"</formula>
    </cfRule>
  </conditionalFormatting>
  <conditionalFormatting sqref="L67:M67">
    <cfRule type="expression" dxfId="492" priority="1">
      <formula>#REF!="*01월*"</formula>
    </cfRule>
  </conditionalFormatting>
  <conditionalFormatting sqref="L73:M73">
    <cfRule type="expression" dxfId="491" priority="19">
      <formula>$F74="*01월*"</formula>
    </cfRule>
  </conditionalFormatting>
  <conditionalFormatting sqref="L80:M80 I88">
    <cfRule type="expression" dxfId="490" priority="57">
      <formula>#REF!="*01월*"</formula>
    </cfRule>
  </conditionalFormatting>
  <conditionalFormatting sqref="L91:M91">
    <cfRule type="expression" dxfId="489" priority="44">
      <formula>$F97="*01월*"</formula>
    </cfRule>
  </conditionalFormatting>
  <conditionalFormatting sqref="L102:M102">
    <cfRule type="expression" dxfId="488" priority="43">
      <formula>$F104="*01월*"</formula>
    </cfRule>
  </conditionalFormatting>
  <conditionalFormatting sqref="M87">
    <cfRule type="expression" dxfId="487" priority="3">
      <formula>$F88="*01월*"</formula>
    </cfRule>
  </conditionalFormatting>
  <printOptions horizontalCentered="1"/>
  <pageMargins left="0" right="0" top="0.70866141732283472" bottom="0.23622047244094491" header="0" footer="0"/>
  <pageSetup paperSize="9" scale="44" fitToHeight="0" orientation="portrait" r:id="rId1"/>
  <rowBreaks count="1" manualBreakCount="1">
    <brk id="64" max="11" man="1"/>
  </rowBreaks>
  <colBreaks count="1" manualBreakCount="1">
    <brk id="11" max="1048575" man="1"/>
  </colBreaks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pageSetUpPr fitToPage="1"/>
  </sheetPr>
  <dimension ref="A2:U120"/>
  <sheetViews>
    <sheetView view="pageBreakPreview" zoomScale="70" zoomScaleNormal="70" zoomScaleSheetLayoutView="70" workbookViewId="0">
      <pane xSplit="1" ySplit="11" topLeftCell="B33" activePane="bottomRight" state="frozen"/>
      <selection pane="topRight" activeCell="B1" sqref="B1"/>
      <selection pane="bottomLeft" activeCell="A12" sqref="A12"/>
      <selection pane="bottomRight" activeCell="I18" sqref="I18"/>
    </sheetView>
  </sheetViews>
  <sheetFormatPr defaultRowHeight="25.2"/>
  <cols>
    <col min="1" max="1" width="18.69921875" customWidth="1"/>
    <col min="2" max="2" width="22.8984375" customWidth="1"/>
    <col min="3" max="3" width="22.8984375" hidden="1" customWidth="1"/>
    <col min="4" max="4" width="29.09765625" customWidth="1"/>
    <col min="5" max="5" width="29.09765625" hidden="1" customWidth="1"/>
    <col min="6" max="6" width="21" customWidth="1"/>
    <col min="7" max="7" width="21" hidden="1" customWidth="1"/>
    <col min="8" max="8" width="18.69921875" customWidth="1"/>
    <col min="9" max="9" width="25.69921875" style="78" customWidth="1"/>
    <col min="10" max="10" width="26.5" customWidth="1"/>
    <col min="11" max="11" width="25.09765625" customWidth="1"/>
    <col min="12" max="12" width="29.19921875" customWidth="1"/>
    <col min="13" max="13" width="29.19921875" style="19" customWidth="1"/>
    <col min="14" max="14" width="14.8984375" style="24" customWidth="1"/>
    <col min="15" max="15" width="26.8984375" style="24" bestFit="1" customWidth="1"/>
    <col min="16" max="20" width="17.09765625" style="434" customWidth="1"/>
    <col min="21" max="21" width="9" style="441"/>
  </cols>
  <sheetData>
    <row r="2" spans="1:21" ht="25.8" thickBot="1">
      <c r="F2" s="507"/>
      <c r="G2" s="507"/>
      <c r="I2" s="55"/>
      <c r="J2" s="434"/>
      <c r="K2" s="434"/>
      <c r="L2" s="434"/>
      <c r="M2" s="436"/>
      <c r="N2" s="434"/>
      <c r="O2"/>
      <c r="P2"/>
      <c r="Q2"/>
      <c r="R2"/>
      <c r="S2"/>
      <c r="T2"/>
      <c r="U2"/>
    </row>
    <row r="3" spans="1:21" ht="21.75" customHeight="1" thickTop="1">
      <c r="F3" s="507"/>
      <c r="O3" s="2058" t="s">
        <v>2041</v>
      </c>
      <c r="P3" s="2082" t="s">
        <v>2034</v>
      </c>
      <c r="Q3" s="2084" t="s">
        <v>2035</v>
      </c>
      <c r="R3" s="2084" t="s">
        <v>2063</v>
      </c>
      <c r="S3" s="2086" t="s">
        <v>2036</v>
      </c>
      <c r="T3" s="441"/>
      <c r="U3"/>
    </row>
    <row r="4" spans="1:21" ht="19.5" customHeight="1">
      <c r="O4" s="2080"/>
      <c r="P4" s="2083"/>
      <c r="Q4" s="2085"/>
      <c r="R4" s="2085"/>
      <c r="S4" s="2087"/>
      <c r="T4" s="441"/>
      <c r="U4"/>
    </row>
    <row r="5" spans="1:21" ht="19.5" customHeight="1">
      <c r="A5" s="2020" t="s">
        <v>3503</v>
      </c>
      <c r="B5" s="2020"/>
      <c r="C5" s="2020"/>
      <c r="D5" s="2020"/>
      <c r="E5" s="2020"/>
      <c r="F5" s="2020"/>
      <c r="G5" s="2020"/>
      <c r="H5" s="2020"/>
      <c r="I5" s="2020"/>
      <c r="J5" s="1"/>
      <c r="K5" s="1"/>
      <c r="L5" s="1"/>
      <c r="M5" s="661"/>
      <c r="O5" s="2080"/>
      <c r="P5" s="2091"/>
      <c r="Q5" s="2088"/>
      <c r="R5" s="2088"/>
      <c r="S5" s="2077"/>
      <c r="T5" s="441"/>
      <c r="U5"/>
    </row>
    <row r="6" spans="1:21" ht="19.5" customHeight="1">
      <c r="A6" s="2020"/>
      <c r="B6" s="2020"/>
      <c r="C6" s="2020"/>
      <c r="D6" s="2020"/>
      <c r="E6" s="2020"/>
      <c r="F6" s="2020"/>
      <c r="G6" s="2020"/>
      <c r="H6" s="2020"/>
      <c r="I6" s="2020"/>
      <c r="J6" s="1"/>
      <c r="K6" s="1"/>
      <c r="L6" s="1"/>
      <c r="M6" s="661"/>
      <c r="O6" s="2080"/>
      <c r="P6" s="2092"/>
      <c r="Q6" s="2089"/>
      <c r="R6" s="2089"/>
      <c r="S6" s="2078"/>
      <c r="T6" s="441"/>
      <c r="U6"/>
    </row>
    <row r="7" spans="1:21" ht="19.5" customHeight="1">
      <c r="A7" s="2020"/>
      <c r="B7" s="2020"/>
      <c r="C7" s="2020"/>
      <c r="D7" s="2020"/>
      <c r="E7" s="2020"/>
      <c r="F7" s="2020"/>
      <c r="G7" s="2020"/>
      <c r="H7" s="2020"/>
      <c r="I7" s="2020"/>
      <c r="J7" s="1"/>
      <c r="K7" s="1"/>
      <c r="L7" s="1"/>
      <c r="M7" s="661"/>
      <c r="O7" s="2080"/>
      <c r="P7" s="2092"/>
      <c r="Q7" s="2089"/>
      <c r="R7" s="2089"/>
      <c r="S7" s="2078"/>
      <c r="T7" s="441"/>
      <c r="U7"/>
    </row>
    <row r="8" spans="1:21" ht="19.5" customHeight="1">
      <c r="A8" s="2020"/>
      <c r="B8" s="2020"/>
      <c r="C8" s="2020"/>
      <c r="D8" s="2020"/>
      <c r="E8" s="2020"/>
      <c r="F8" s="2020"/>
      <c r="G8" s="2020"/>
      <c r="H8" s="2020"/>
      <c r="I8" s="2020"/>
      <c r="J8" s="2"/>
      <c r="K8" s="2"/>
      <c r="L8" s="2"/>
      <c r="M8" s="662"/>
      <c r="O8" s="2080"/>
      <c r="P8" s="2092"/>
      <c r="Q8" s="2089"/>
      <c r="R8" s="2089"/>
      <c r="S8" s="2078"/>
      <c r="T8" s="441"/>
      <c r="U8"/>
    </row>
    <row r="9" spans="1:21" ht="19.5" customHeight="1" thickBot="1">
      <c r="A9" s="2052"/>
      <c r="B9" s="2052"/>
      <c r="C9" s="2052"/>
      <c r="D9" s="2052"/>
      <c r="E9" s="2052"/>
      <c r="F9" s="2052"/>
      <c r="G9" s="2052"/>
      <c r="H9" s="2052"/>
      <c r="I9" s="2052"/>
      <c r="J9" s="2"/>
      <c r="K9" s="2"/>
      <c r="L9" s="2"/>
      <c r="M9" s="662"/>
      <c r="O9" s="2081"/>
      <c r="P9" s="2093"/>
      <c r="Q9" s="2090"/>
      <c r="R9" s="2090"/>
      <c r="S9" s="2079"/>
      <c r="T9" s="441"/>
      <c r="U9"/>
    </row>
    <row r="10" spans="1:21" ht="23.25" customHeight="1">
      <c r="A10" s="2021" t="s">
        <v>0</v>
      </c>
      <c r="B10" s="2107" t="s">
        <v>1</v>
      </c>
      <c r="C10" s="2107" t="s">
        <v>2655</v>
      </c>
      <c r="D10" s="2114" t="s">
        <v>2</v>
      </c>
      <c r="E10" s="2114" t="s">
        <v>1222</v>
      </c>
      <c r="F10" s="2114" t="s">
        <v>3</v>
      </c>
      <c r="G10" s="523"/>
      <c r="H10" s="2116" t="s">
        <v>4</v>
      </c>
      <c r="I10" s="2104" t="s">
        <v>2352</v>
      </c>
      <c r="J10" s="2105"/>
      <c r="K10" s="2105"/>
      <c r="L10" s="2106"/>
      <c r="M10" s="658"/>
    </row>
    <row r="11" spans="1:21" ht="23.25" customHeight="1">
      <c r="A11" s="2022"/>
      <c r="B11" s="2108"/>
      <c r="C11" s="2108"/>
      <c r="D11" s="2115"/>
      <c r="E11" s="2115"/>
      <c r="F11" s="2115"/>
      <c r="G11" s="522" t="s">
        <v>2499</v>
      </c>
      <c r="H11" s="2117"/>
      <c r="I11" s="641" t="s">
        <v>6</v>
      </c>
      <c r="J11" s="3" t="s">
        <v>7</v>
      </c>
      <c r="K11" s="476" t="s">
        <v>2479</v>
      </c>
      <c r="L11" s="271" t="s">
        <v>2336</v>
      </c>
      <c r="M11" s="659" t="s">
        <v>3447</v>
      </c>
      <c r="N11" s="24" t="s">
        <v>2528</v>
      </c>
      <c r="O11" s="434" t="s">
        <v>33</v>
      </c>
      <c r="P11" s="434" t="s">
        <v>2522</v>
      </c>
      <c r="Q11" s="434" t="s">
        <v>2358</v>
      </c>
      <c r="R11" s="434" t="s">
        <v>2815</v>
      </c>
      <c r="S11" s="434" t="s">
        <v>44</v>
      </c>
    </row>
    <row r="12" spans="1:21" ht="27" customHeight="1">
      <c r="A12" s="2011" t="s">
        <v>3098</v>
      </c>
      <c r="B12" s="509" t="s">
        <v>3504</v>
      </c>
      <c r="C12" s="509" t="s">
        <v>3632</v>
      </c>
      <c r="D12" s="454" t="s">
        <v>3523</v>
      </c>
      <c r="E12" s="454"/>
      <c r="F12" s="455">
        <v>45966</v>
      </c>
      <c r="G12" s="455"/>
      <c r="H12" s="456">
        <f>VLOOKUP(F12,환율!A:B,2,0)</f>
        <v>1437.7</v>
      </c>
      <c r="I12" s="478">
        <v>393868.28</v>
      </c>
      <c r="J12" s="458">
        <f t="shared" ref="J12:J20" si="0">ROUNDDOWN(I12*H12,0)</f>
        <v>566264426</v>
      </c>
      <c r="K12" s="458">
        <f t="shared" ref="K12:K18" si="1">J12</f>
        <v>566264426</v>
      </c>
      <c r="L12" s="464"/>
      <c r="M12" s="663"/>
      <c r="O12" s="434"/>
    </row>
    <row r="13" spans="1:21" ht="27" customHeight="1">
      <c r="A13" s="2011"/>
      <c r="B13" s="509" t="s">
        <v>3505</v>
      </c>
      <c r="C13" s="509" t="s">
        <v>3629</v>
      </c>
      <c r="D13" s="454" t="s">
        <v>2504</v>
      </c>
      <c r="E13" s="454"/>
      <c r="F13" s="455">
        <v>45966</v>
      </c>
      <c r="G13" s="455"/>
      <c r="H13" s="456">
        <f>VLOOKUP(F13,환율!A:B,2,0)</f>
        <v>1437.7</v>
      </c>
      <c r="I13" s="478">
        <v>95979.38</v>
      </c>
      <c r="J13" s="458">
        <f t="shared" si="0"/>
        <v>137989554</v>
      </c>
      <c r="K13" s="458">
        <f t="shared" si="1"/>
        <v>137989554</v>
      </c>
      <c r="L13" s="464"/>
      <c r="M13" s="663"/>
      <c r="O13" s="434"/>
    </row>
    <row r="14" spans="1:21" s="97" customFormat="1" ht="27" customHeight="1">
      <c r="A14" s="2011"/>
      <c r="B14" s="155" t="s">
        <v>3524</v>
      </c>
      <c r="C14" s="155" t="s">
        <v>3632</v>
      </c>
      <c r="D14" s="89" t="s">
        <v>3526</v>
      </c>
      <c r="E14" s="89"/>
      <c r="F14" s="90">
        <v>45981</v>
      </c>
      <c r="G14" s="90"/>
      <c r="H14" s="91">
        <f>VLOOKUP(F14,환율!A:B,2,0)</f>
        <v>1465</v>
      </c>
      <c r="I14" s="118">
        <v>406454.42</v>
      </c>
      <c r="J14" s="93">
        <f t="shared" si="0"/>
        <v>595455725</v>
      </c>
      <c r="K14" s="93">
        <f t="shared" si="1"/>
        <v>595455725</v>
      </c>
      <c r="L14" s="254"/>
      <c r="M14" s="664"/>
      <c r="N14" s="364"/>
      <c r="O14" s="434"/>
      <c r="P14" s="434"/>
      <c r="Q14" s="434"/>
      <c r="R14" s="434"/>
      <c r="S14" s="434"/>
      <c r="T14" s="434"/>
      <c r="U14" s="441"/>
    </row>
    <row r="15" spans="1:21" s="97" customFormat="1" ht="27" customHeight="1">
      <c r="A15" s="2011"/>
      <c r="B15" s="155" t="s">
        <v>3527</v>
      </c>
      <c r="C15" s="155" t="s">
        <v>3629</v>
      </c>
      <c r="D15" s="89" t="s">
        <v>3528</v>
      </c>
      <c r="E15" s="89"/>
      <c r="F15" s="90">
        <v>45981</v>
      </c>
      <c r="G15" s="90"/>
      <c r="H15" s="91">
        <f>VLOOKUP(F15,환율!A:B,2,0)</f>
        <v>1465</v>
      </c>
      <c r="I15" s="118">
        <v>99098.87</v>
      </c>
      <c r="J15" s="93">
        <f t="shared" si="0"/>
        <v>145179844</v>
      </c>
      <c r="K15" s="93">
        <f t="shared" si="1"/>
        <v>145179844</v>
      </c>
      <c r="L15" s="254"/>
      <c r="M15" s="664"/>
      <c r="N15" s="401"/>
      <c r="O15" s="434"/>
      <c r="P15" s="434"/>
      <c r="Q15" s="434"/>
      <c r="R15" s="434"/>
      <c r="S15" s="434"/>
      <c r="T15" s="434"/>
      <c r="U15" s="441"/>
    </row>
    <row r="16" spans="1:21" s="97" customFormat="1" ht="27" customHeight="1">
      <c r="A16" s="2011"/>
      <c r="B16" s="155" t="s">
        <v>3529</v>
      </c>
      <c r="C16" s="155" t="s">
        <v>3632</v>
      </c>
      <c r="D16" s="89" t="s">
        <v>3530</v>
      </c>
      <c r="E16" s="89"/>
      <c r="F16" s="90">
        <v>45984</v>
      </c>
      <c r="G16" s="90"/>
      <c r="H16" s="91">
        <f>VLOOKUP(F16,환율!A:B,2,0)</f>
        <v>1468.4</v>
      </c>
      <c r="I16" s="118">
        <v>4452.24</v>
      </c>
      <c r="J16" s="93">
        <f t="shared" ref="J16:J17" si="2">ROUNDDOWN(I16*H16,0)</f>
        <v>6537669</v>
      </c>
      <c r="K16" s="93">
        <f t="shared" ref="K16:K17" si="3">J16</f>
        <v>6537669</v>
      </c>
      <c r="L16" s="254"/>
      <c r="M16" s="664"/>
      <c r="N16" s="401"/>
      <c r="O16" s="434"/>
      <c r="P16" s="434"/>
      <c r="Q16" s="434"/>
      <c r="R16" s="434"/>
      <c r="S16" s="434"/>
      <c r="T16" s="434"/>
      <c r="U16" s="441"/>
    </row>
    <row r="17" spans="1:21" s="97" customFormat="1" ht="27" customHeight="1">
      <c r="A17" s="2011"/>
      <c r="B17" s="654" t="s">
        <v>3531</v>
      </c>
      <c r="C17" s="654" t="s">
        <v>3629</v>
      </c>
      <c r="D17" s="379" t="s">
        <v>3528</v>
      </c>
      <c r="E17" s="379"/>
      <c r="F17" s="381">
        <v>45971</v>
      </c>
      <c r="G17" s="381"/>
      <c r="H17" s="382">
        <f>VLOOKUP(F17,환율!A:B,2,0)</f>
        <v>1454</v>
      </c>
      <c r="I17" s="383">
        <v>31450</v>
      </c>
      <c r="J17" s="384">
        <f t="shared" si="2"/>
        <v>45728300</v>
      </c>
      <c r="K17" s="384">
        <f t="shared" si="3"/>
        <v>45728300</v>
      </c>
      <c r="L17" s="386"/>
      <c r="M17" s="664"/>
      <c r="N17" s="401"/>
      <c r="O17" s="434"/>
      <c r="P17" s="434"/>
      <c r="Q17" s="434"/>
      <c r="R17" s="434"/>
      <c r="S17" s="434"/>
      <c r="T17" s="434"/>
      <c r="U17" s="441"/>
    </row>
    <row r="18" spans="1:21" s="97" customFormat="1" ht="27" customHeight="1">
      <c r="A18" s="2011"/>
      <c r="B18" s="654" t="s">
        <v>3532</v>
      </c>
      <c r="C18" s="654" t="s">
        <v>3629</v>
      </c>
      <c r="D18" s="379" t="s">
        <v>3528</v>
      </c>
      <c r="E18" s="379"/>
      <c r="F18" s="381">
        <v>45971</v>
      </c>
      <c r="G18" s="381"/>
      <c r="H18" s="382">
        <f>VLOOKUP(F18,환율!A:B,2,0)</f>
        <v>1454</v>
      </c>
      <c r="I18" s="383">
        <v>42700</v>
      </c>
      <c r="J18" s="384">
        <f t="shared" si="0"/>
        <v>62085800</v>
      </c>
      <c r="K18" s="384">
        <f t="shared" si="1"/>
        <v>62085800</v>
      </c>
      <c r="L18" s="386"/>
      <c r="M18" s="664"/>
      <c r="N18" s="364"/>
      <c r="O18" s="434"/>
      <c r="P18" s="434"/>
      <c r="Q18" s="434"/>
      <c r="R18" s="434"/>
      <c r="S18" s="434"/>
      <c r="T18" s="434"/>
      <c r="U18" s="441"/>
    </row>
    <row r="19" spans="1:21" s="97" customFormat="1" ht="27" customHeight="1">
      <c r="A19" s="2011"/>
      <c r="B19" s="546" t="s">
        <v>3525</v>
      </c>
      <c r="C19" s="546" t="s">
        <v>3629</v>
      </c>
      <c r="D19" s="547" t="s">
        <v>3533</v>
      </c>
      <c r="E19" s="547"/>
      <c r="F19" s="527">
        <v>45994</v>
      </c>
      <c r="G19" s="527"/>
      <c r="H19" s="528">
        <f>VLOOKUP(F19,환율!A:B,2,0)</f>
        <v>1469.6</v>
      </c>
      <c r="I19" s="554">
        <v>413763.54</v>
      </c>
      <c r="J19" s="530">
        <f t="shared" si="0"/>
        <v>608066898</v>
      </c>
      <c r="K19" s="530"/>
      <c r="L19" s="548">
        <f>J19</f>
        <v>608066898</v>
      </c>
      <c r="M19" s="665"/>
      <c r="N19" s="364"/>
      <c r="O19" s="434"/>
      <c r="P19" s="434"/>
      <c r="Q19" s="434"/>
      <c r="R19" s="434"/>
      <c r="S19" s="434"/>
      <c r="T19" s="434"/>
      <c r="U19" s="441"/>
    </row>
    <row r="20" spans="1:21" s="97" customFormat="1" ht="27" customHeight="1">
      <c r="A20" s="2019"/>
      <c r="B20" s="546" t="s">
        <v>3534</v>
      </c>
      <c r="C20" s="546" t="s">
        <v>3629</v>
      </c>
      <c r="D20" s="547" t="s">
        <v>3528</v>
      </c>
      <c r="E20" s="547"/>
      <c r="F20" s="527">
        <v>45994</v>
      </c>
      <c r="G20" s="527"/>
      <c r="H20" s="528">
        <f>VLOOKUP(F20,환율!A:B,2,0)</f>
        <v>1469.6</v>
      </c>
      <c r="I20" s="554">
        <v>100869.5</v>
      </c>
      <c r="J20" s="530">
        <f t="shared" si="0"/>
        <v>148237817</v>
      </c>
      <c r="K20" s="530"/>
      <c r="L20" s="548">
        <f>J20</f>
        <v>148237817</v>
      </c>
      <c r="M20" s="665"/>
      <c r="N20" s="401"/>
      <c r="O20" s="434"/>
      <c r="P20" s="434"/>
      <c r="Q20" s="434"/>
      <c r="R20" s="434"/>
      <c r="S20" s="434"/>
      <c r="T20" s="434"/>
      <c r="U20" s="441"/>
    </row>
    <row r="21" spans="1:21" s="97" customFormat="1" ht="27" customHeight="1">
      <c r="A21" s="2035" t="s">
        <v>10</v>
      </c>
      <c r="B21" s="2036"/>
      <c r="C21" s="2036"/>
      <c r="D21" s="2036"/>
      <c r="E21" s="2036"/>
      <c r="F21" s="2036"/>
      <c r="G21" s="2036"/>
      <c r="H21" s="2037"/>
      <c r="I21" s="642">
        <f>SUM(I12:I20)</f>
        <v>1588636.23</v>
      </c>
      <c r="J21" s="116">
        <f>SUM(J12:J20)</f>
        <v>2315546033</v>
      </c>
      <c r="K21" s="116">
        <f>SUM(K12:K20)</f>
        <v>1559241318</v>
      </c>
      <c r="L21" s="260">
        <f>SUM(L12:L20)</f>
        <v>756304715</v>
      </c>
      <c r="M21" s="666"/>
      <c r="N21" s="364"/>
      <c r="O21" s="434"/>
      <c r="P21" s="434"/>
      <c r="Q21" s="434"/>
      <c r="R21" s="434"/>
      <c r="S21" s="434"/>
      <c r="T21" s="434"/>
      <c r="U21" s="441"/>
    </row>
    <row r="22" spans="1:21" s="97" customFormat="1" ht="27" customHeight="1">
      <c r="A22" s="2010" t="s">
        <v>3099</v>
      </c>
      <c r="B22" s="509" t="s">
        <v>3506</v>
      </c>
      <c r="C22" s="509" t="s">
        <v>3632</v>
      </c>
      <c r="D22" s="454" t="s">
        <v>3507</v>
      </c>
      <c r="E22" s="477"/>
      <c r="F22" s="465">
        <v>45969</v>
      </c>
      <c r="G22" s="465"/>
      <c r="H22" s="456">
        <f>VLOOKUP(F22,환율!A:B,2,0)</f>
        <v>1445.6</v>
      </c>
      <c r="I22" s="462">
        <v>42234</v>
      </c>
      <c r="J22" s="458">
        <f t="shared" ref="J22:J24" si="4">ROUNDDOWN(I22*H22,0)</f>
        <v>61053470</v>
      </c>
      <c r="K22" s="458">
        <f>J22</f>
        <v>61053470</v>
      </c>
      <c r="L22" s="464"/>
      <c r="M22" s="663"/>
      <c r="N22" s="364"/>
      <c r="O22" s="434"/>
      <c r="P22" s="434"/>
      <c r="Q22" s="434"/>
      <c r="R22" s="434"/>
      <c r="S22" s="434"/>
      <c r="T22" s="434"/>
      <c r="U22" s="441"/>
    </row>
    <row r="23" spans="1:21" s="120" customFormat="1" ht="27" customHeight="1">
      <c r="A23" s="2011"/>
      <c r="B23" s="155" t="s">
        <v>3536</v>
      </c>
      <c r="C23" s="155" t="s">
        <v>3632</v>
      </c>
      <c r="D23" s="89" t="s">
        <v>3541</v>
      </c>
      <c r="E23" s="319"/>
      <c r="F23" s="136">
        <v>45982</v>
      </c>
      <c r="G23" s="136"/>
      <c r="H23" s="91">
        <f>VLOOKUP(F23,환율!A:B,2,0)</f>
        <v>1468.4</v>
      </c>
      <c r="I23" s="134">
        <v>34522.080000000002</v>
      </c>
      <c r="J23" s="93">
        <f t="shared" si="4"/>
        <v>50692222</v>
      </c>
      <c r="K23" s="93">
        <f>J23</f>
        <v>50692222</v>
      </c>
      <c r="L23" s="254"/>
      <c r="M23" s="664"/>
      <c r="N23" s="365"/>
      <c r="T23" s="435"/>
      <c r="U23" s="442"/>
    </row>
    <row r="24" spans="1:21" s="120" customFormat="1" ht="27" customHeight="1">
      <c r="A24" s="2011"/>
      <c r="B24" s="155" t="s">
        <v>3539</v>
      </c>
      <c r="C24" s="155" t="s">
        <v>3632</v>
      </c>
      <c r="D24" s="89" t="s">
        <v>3544</v>
      </c>
      <c r="E24" s="319"/>
      <c r="F24" s="136">
        <v>45981</v>
      </c>
      <c r="G24" s="136"/>
      <c r="H24" s="163">
        <f>VLOOKUP(F24,환율!A:B,2,0)</f>
        <v>1465</v>
      </c>
      <c r="I24" s="131">
        <v>21912.48</v>
      </c>
      <c r="J24" s="164">
        <f t="shared" si="4"/>
        <v>32101783</v>
      </c>
      <c r="K24" s="164">
        <f t="shared" ref="K24" si="5">J24</f>
        <v>32101783</v>
      </c>
      <c r="L24" s="254"/>
      <c r="M24" s="664"/>
      <c r="N24" s="365"/>
      <c r="T24" s="435"/>
      <c r="U24" s="442"/>
    </row>
    <row r="25" spans="1:21" s="120" customFormat="1" ht="27" customHeight="1">
      <c r="A25" s="2011"/>
      <c r="B25" s="546" t="s">
        <v>3535</v>
      </c>
      <c r="C25" s="546" t="s">
        <v>3629</v>
      </c>
      <c r="D25" s="547" t="s">
        <v>3540</v>
      </c>
      <c r="E25" s="549"/>
      <c r="F25" s="550">
        <v>45992</v>
      </c>
      <c r="G25" s="550"/>
      <c r="H25" s="528">
        <f>VLOOKUP(F25,환율!A:B,2,0)</f>
        <v>1465.9</v>
      </c>
      <c r="I25" s="551">
        <v>83053.440000000002</v>
      </c>
      <c r="J25" s="530">
        <f t="shared" ref="J25:J27" si="6">ROUNDDOWN(I25*H25,0)</f>
        <v>121748037</v>
      </c>
      <c r="K25" s="530"/>
      <c r="L25" s="548">
        <f>J25</f>
        <v>121748037</v>
      </c>
      <c r="M25" s="664"/>
      <c r="N25" s="365"/>
      <c r="T25" s="435"/>
      <c r="U25" s="442"/>
    </row>
    <row r="26" spans="1:21" s="120" customFormat="1" ht="27" customHeight="1">
      <c r="A26" s="2011"/>
      <c r="B26" s="546" t="s">
        <v>3537</v>
      </c>
      <c r="C26" s="546" t="s">
        <v>3629</v>
      </c>
      <c r="D26" s="547" t="s">
        <v>3542</v>
      </c>
      <c r="E26" s="549"/>
      <c r="F26" s="550">
        <v>45992</v>
      </c>
      <c r="G26" s="550"/>
      <c r="H26" s="528">
        <f>VLOOKUP(F26,환율!A:B,2,0)</f>
        <v>1465.9</v>
      </c>
      <c r="I26" s="551">
        <v>57615.839999999997</v>
      </c>
      <c r="J26" s="530">
        <f t="shared" si="6"/>
        <v>84459059</v>
      </c>
      <c r="K26" s="530"/>
      <c r="L26" s="548">
        <f t="shared" ref="L26:L27" si="7">J26</f>
        <v>84459059</v>
      </c>
      <c r="M26" s="664"/>
      <c r="N26" s="365"/>
      <c r="T26" s="435"/>
      <c r="U26" s="442"/>
    </row>
    <row r="27" spans="1:21" s="120" customFormat="1" ht="27" customHeight="1">
      <c r="A27" s="2011"/>
      <c r="B27" s="546" t="s">
        <v>3538</v>
      </c>
      <c r="C27" s="546" t="s">
        <v>3629</v>
      </c>
      <c r="D27" s="547" t="s">
        <v>3543</v>
      </c>
      <c r="E27" s="549"/>
      <c r="F27" s="550">
        <v>45999</v>
      </c>
      <c r="G27" s="550"/>
      <c r="H27" s="528">
        <f>VLOOKUP(F27,환율!A:B,2,0)</f>
        <v>1472.1</v>
      </c>
      <c r="I27" s="551">
        <v>34151.040000000001</v>
      </c>
      <c r="J27" s="530">
        <f t="shared" si="6"/>
        <v>50273745</v>
      </c>
      <c r="K27" s="530"/>
      <c r="L27" s="548">
        <f t="shared" si="7"/>
        <v>50273745</v>
      </c>
      <c r="M27" s="664"/>
      <c r="N27" s="365"/>
      <c r="T27" s="435"/>
      <c r="U27" s="442"/>
    </row>
    <row r="28" spans="1:21" s="97" customFormat="1" ht="27" customHeight="1">
      <c r="A28" s="2035" t="s">
        <v>10</v>
      </c>
      <c r="B28" s="2036"/>
      <c r="C28" s="2036"/>
      <c r="D28" s="2036"/>
      <c r="E28" s="2036"/>
      <c r="F28" s="2036"/>
      <c r="G28" s="2036"/>
      <c r="H28" s="2037"/>
      <c r="I28" s="643">
        <f>SUM(I22:I27)</f>
        <v>273488.88</v>
      </c>
      <c r="J28" s="116">
        <f>SUM(J22:J27)</f>
        <v>400328316</v>
      </c>
      <c r="K28" s="116">
        <f>SUM(K22:K27)</f>
        <v>143847475</v>
      </c>
      <c r="L28" s="116">
        <f>SUM(L22:L27)</f>
        <v>256480841</v>
      </c>
      <c r="M28" s="666"/>
      <c r="N28" s="364"/>
      <c r="O28" s="434"/>
      <c r="P28" s="434"/>
      <c r="Q28" s="434"/>
      <c r="R28" s="434"/>
      <c r="S28" s="434"/>
      <c r="T28" s="434"/>
      <c r="U28" s="441"/>
    </row>
    <row r="29" spans="1:21" s="97" customFormat="1" ht="27" customHeight="1">
      <c r="A29" s="2010" t="s">
        <v>3100</v>
      </c>
      <c r="B29" s="510" t="s">
        <v>3508</v>
      </c>
      <c r="C29" s="561" t="s">
        <v>2504</v>
      </c>
      <c r="D29" s="460" t="s">
        <v>3509</v>
      </c>
      <c r="E29" s="460"/>
      <c r="F29" s="465">
        <v>45963</v>
      </c>
      <c r="G29" s="465"/>
      <c r="H29" s="456">
        <f>VLOOKUP(F29,환율!A:B,2,0)</f>
        <v>1423.2</v>
      </c>
      <c r="I29" s="462">
        <v>3774</v>
      </c>
      <c r="J29" s="458">
        <f t="shared" ref="J29:J36" si="8">ROUNDDOWN(I29*H29,0)</f>
        <v>5371156</v>
      </c>
      <c r="K29" s="458">
        <f>J29</f>
        <v>5371156</v>
      </c>
      <c r="L29" s="464"/>
      <c r="M29" s="663"/>
      <c r="N29" s="364"/>
      <c r="T29" s="434"/>
      <c r="U29" s="441"/>
    </row>
    <row r="30" spans="1:21" s="97" customFormat="1" ht="27" customHeight="1">
      <c r="A30" s="2011"/>
      <c r="B30" s="510" t="s">
        <v>3432</v>
      </c>
      <c r="C30" s="561" t="s">
        <v>2504</v>
      </c>
      <c r="D30" s="460" t="s">
        <v>3510</v>
      </c>
      <c r="E30" s="460"/>
      <c r="F30" s="465">
        <v>45963</v>
      </c>
      <c r="G30" s="465"/>
      <c r="H30" s="456">
        <f>VLOOKUP(F30,환율!A:B,2,0)</f>
        <v>1423.2</v>
      </c>
      <c r="I30" s="462">
        <v>72970.399999999994</v>
      </c>
      <c r="J30" s="458">
        <f t="shared" si="8"/>
        <v>103851473</v>
      </c>
      <c r="K30" s="458">
        <f t="shared" ref="K30:K36" si="9">J30</f>
        <v>103851473</v>
      </c>
      <c r="L30" s="464"/>
      <c r="M30" s="663"/>
      <c r="N30" s="364"/>
      <c r="T30" s="434"/>
      <c r="U30" s="441"/>
    </row>
    <row r="31" spans="1:21" s="97" customFormat="1" ht="27" customHeight="1">
      <c r="A31" s="2011"/>
      <c r="B31" s="510" t="s">
        <v>3511</v>
      </c>
      <c r="C31" s="561" t="s">
        <v>2504</v>
      </c>
      <c r="D31" s="460" t="s">
        <v>3512</v>
      </c>
      <c r="E31" s="460"/>
      <c r="F31" s="455">
        <v>45963</v>
      </c>
      <c r="G31" s="455"/>
      <c r="H31" s="456">
        <f>VLOOKUP(F31,환율!A:B,2,0)</f>
        <v>1423.2</v>
      </c>
      <c r="I31" s="462">
        <v>19826.8</v>
      </c>
      <c r="J31" s="458">
        <f t="shared" si="8"/>
        <v>28217501</v>
      </c>
      <c r="K31" s="458">
        <f t="shared" si="9"/>
        <v>28217501</v>
      </c>
      <c r="L31" s="464"/>
      <c r="M31" s="663"/>
      <c r="N31" s="364"/>
      <c r="T31" s="434"/>
      <c r="U31" s="441"/>
    </row>
    <row r="32" spans="1:21" s="97" customFormat="1" ht="27" customHeight="1">
      <c r="A32" s="2011"/>
      <c r="B32" s="510" t="s">
        <v>3436</v>
      </c>
      <c r="C32" s="561" t="s">
        <v>2504</v>
      </c>
      <c r="D32" s="460" t="s">
        <v>3513</v>
      </c>
      <c r="E32" s="460"/>
      <c r="F32" s="455">
        <v>45973</v>
      </c>
      <c r="G32" s="455"/>
      <c r="H32" s="456">
        <f>VLOOKUP(F32,환율!A:B,2,0)</f>
        <v>1463.2</v>
      </c>
      <c r="I32" s="462">
        <v>81481.600000000006</v>
      </c>
      <c r="J32" s="458">
        <f t="shared" si="8"/>
        <v>119223877</v>
      </c>
      <c r="K32" s="458">
        <f t="shared" si="9"/>
        <v>119223877</v>
      </c>
      <c r="L32" s="464"/>
      <c r="M32" s="663"/>
      <c r="N32" s="364"/>
      <c r="T32" s="434"/>
      <c r="U32" s="441"/>
    </row>
    <row r="33" spans="1:21" s="97" customFormat="1" ht="27" customHeight="1">
      <c r="A33" s="2011"/>
      <c r="B33" s="510" t="s">
        <v>3514</v>
      </c>
      <c r="C33" s="561" t="s">
        <v>2504</v>
      </c>
      <c r="D33" s="460" t="s">
        <v>3560</v>
      </c>
      <c r="E33" s="460"/>
      <c r="F33" s="455">
        <v>45972</v>
      </c>
      <c r="G33" s="455"/>
      <c r="H33" s="456">
        <f>VLOOKUP(F33,환율!A:B,2,0)</f>
        <v>1453.7</v>
      </c>
      <c r="I33" s="462">
        <v>56794.46</v>
      </c>
      <c r="J33" s="458">
        <f t="shared" si="8"/>
        <v>82562106</v>
      </c>
      <c r="K33" s="458">
        <f t="shared" si="9"/>
        <v>82562106</v>
      </c>
      <c r="L33" s="464"/>
      <c r="M33" s="663"/>
      <c r="N33" s="364"/>
      <c r="T33" s="434"/>
      <c r="U33" s="441"/>
    </row>
    <row r="34" spans="1:21" s="126" customFormat="1" ht="27" customHeight="1">
      <c r="A34" s="2011"/>
      <c r="B34" s="510" t="s">
        <v>3439</v>
      </c>
      <c r="C34" s="619" t="s">
        <v>2504</v>
      </c>
      <c r="D34" s="460" t="s">
        <v>3440</v>
      </c>
      <c r="E34" s="460"/>
      <c r="F34" s="455">
        <v>45964</v>
      </c>
      <c r="G34" s="455"/>
      <c r="H34" s="456">
        <f>VLOOKUP(F34,환율!A:B,2,0)</f>
        <v>1427.4</v>
      </c>
      <c r="I34" s="462">
        <v>58584.44</v>
      </c>
      <c r="J34" s="458">
        <f t="shared" si="8"/>
        <v>83623429</v>
      </c>
      <c r="K34" s="458">
        <f t="shared" si="9"/>
        <v>83623429</v>
      </c>
      <c r="L34" s="464"/>
      <c r="M34" s="663"/>
      <c r="N34" s="401"/>
      <c r="O34" s="97"/>
      <c r="P34" s="97"/>
      <c r="Q34" s="97"/>
      <c r="R34" s="97"/>
      <c r="S34" s="97"/>
      <c r="T34" s="436"/>
      <c r="U34" s="443"/>
    </row>
    <row r="35" spans="1:21" s="126" customFormat="1" ht="27" customHeight="1">
      <c r="A35" s="2011"/>
      <c r="B35" s="510" t="s">
        <v>3515</v>
      </c>
      <c r="C35" s="561" t="s">
        <v>2504</v>
      </c>
      <c r="D35" s="460" t="s">
        <v>3516</v>
      </c>
      <c r="E35" s="460"/>
      <c r="F35" s="465">
        <v>45973</v>
      </c>
      <c r="G35" s="465"/>
      <c r="H35" s="456">
        <f>VLOOKUP(F35,환율!A:B,2,0)</f>
        <v>1463.2</v>
      </c>
      <c r="I35" s="462">
        <v>8394.9599999999991</v>
      </c>
      <c r="J35" s="458">
        <f t="shared" si="8"/>
        <v>12283505</v>
      </c>
      <c r="K35" s="458">
        <f t="shared" si="9"/>
        <v>12283505</v>
      </c>
      <c r="L35" s="464"/>
      <c r="M35" s="664"/>
      <c r="N35" s="401"/>
      <c r="O35" s="97"/>
      <c r="P35" s="97"/>
      <c r="Q35" s="97"/>
      <c r="R35" s="97"/>
      <c r="S35" s="97"/>
      <c r="T35" s="436"/>
      <c r="U35" s="443"/>
    </row>
    <row r="36" spans="1:21" s="126" customFormat="1" ht="27" customHeight="1">
      <c r="A36" s="2011"/>
      <c r="B36" s="510" t="s">
        <v>3517</v>
      </c>
      <c r="C36" s="561" t="s">
        <v>2504</v>
      </c>
      <c r="D36" s="460" t="s">
        <v>3559</v>
      </c>
      <c r="E36" s="460"/>
      <c r="F36" s="465">
        <v>45975</v>
      </c>
      <c r="G36" s="465"/>
      <c r="H36" s="456">
        <f>VLOOKUP(F36,환율!A:B,2,0)</f>
        <v>1469.5</v>
      </c>
      <c r="I36" s="462">
        <v>54000</v>
      </c>
      <c r="J36" s="458">
        <f t="shared" si="8"/>
        <v>79353000</v>
      </c>
      <c r="K36" s="458">
        <f t="shared" si="9"/>
        <v>79353000</v>
      </c>
      <c r="L36" s="464"/>
      <c r="M36" s="664"/>
      <c r="N36" s="401"/>
      <c r="O36" s="97"/>
      <c r="P36" s="97"/>
      <c r="Q36" s="97"/>
      <c r="R36" s="97"/>
      <c r="S36" s="97"/>
      <c r="T36" s="436"/>
      <c r="U36" s="443"/>
    </row>
    <row r="37" spans="1:21" s="126" customFormat="1" ht="27" customHeight="1">
      <c r="A37" s="2011"/>
      <c r="B37" s="513" t="s">
        <v>3561</v>
      </c>
      <c r="C37" s="563" t="s">
        <v>3629</v>
      </c>
      <c r="D37" s="129" t="s">
        <v>3577</v>
      </c>
      <c r="E37" s="129"/>
      <c r="F37" s="136">
        <v>45978</v>
      </c>
      <c r="G37" s="136"/>
      <c r="H37" s="91">
        <f>VLOOKUP(F37,환율!A:B,2,0)</f>
        <v>1458.5</v>
      </c>
      <c r="I37" s="134">
        <v>92483.88</v>
      </c>
      <c r="J37" s="93">
        <f t="shared" ref="J37" si="10">ROUNDDOWN(I37*H37,0)</f>
        <v>134887738</v>
      </c>
      <c r="K37" s="93">
        <f t="shared" ref="K37" si="11">J37</f>
        <v>134887738</v>
      </c>
      <c r="L37" s="254"/>
      <c r="M37" s="664"/>
      <c r="N37" s="401"/>
      <c r="O37" s="97"/>
      <c r="P37" s="97"/>
      <c r="Q37" s="97"/>
      <c r="R37" s="97"/>
      <c r="S37" s="97"/>
      <c r="T37" s="436"/>
      <c r="U37" s="443"/>
    </row>
    <row r="38" spans="1:21" s="126" customFormat="1" ht="27" customHeight="1">
      <c r="A38" s="2011"/>
      <c r="B38" s="513" t="s">
        <v>3562</v>
      </c>
      <c r="C38" s="563" t="s">
        <v>3629</v>
      </c>
      <c r="D38" s="129" t="s">
        <v>3578</v>
      </c>
      <c r="E38" s="129"/>
      <c r="F38" s="136">
        <v>45978</v>
      </c>
      <c r="G38" s="136"/>
      <c r="H38" s="91">
        <f>VLOOKUP(F38,환율!A:B,2,0)</f>
        <v>1458.5</v>
      </c>
      <c r="I38" s="134">
        <v>32936.68</v>
      </c>
      <c r="J38" s="93">
        <f t="shared" ref="J38:J46" si="12">ROUNDDOWN(I38*H38,0)</f>
        <v>48038147</v>
      </c>
      <c r="K38" s="93">
        <f t="shared" ref="K38:K46" si="13">J38</f>
        <v>48038147</v>
      </c>
      <c r="L38" s="254"/>
      <c r="M38" s="664"/>
      <c r="N38" s="401"/>
      <c r="O38" s="97"/>
      <c r="P38" s="97"/>
      <c r="Q38" s="97"/>
      <c r="R38" s="97"/>
      <c r="S38" s="97"/>
      <c r="T38" s="436"/>
      <c r="U38" s="443"/>
    </row>
    <row r="39" spans="1:21" s="126" customFormat="1" ht="27" customHeight="1">
      <c r="A39" s="2011"/>
      <c r="B39" s="513" t="s">
        <v>3563</v>
      </c>
      <c r="C39" s="563" t="s">
        <v>3629</v>
      </c>
      <c r="D39" s="129" t="s">
        <v>3579</v>
      </c>
      <c r="E39" s="129"/>
      <c r="F39" s="136">
        <v>45991</v>
      </c>
      <c r="G39" s="136"/>
      <c r="H39" s="91">
        <f>VLOOKUP(F39,환율!A:B,2,0)</f>
        <v>1464.8</v>
      </c>
      <c r="I39" s="134">
        <v>1853.28</v>
      </c>
      <c r="J39" s="93">
        <f t="shared" si="12"/>
        <v>2714684</v>
      </c>
      <c r="K39" s="93">
        <f t="shared" si="13"/>
        <v>2714684</v>
      </c>
      <c r="L39" s="254"/>
      <c r="M39" s="664"/>
      <c r="N39" s="401"/>
      <c r="O39" s="97"/>
      <c r="P39" s="97"/>
      <c r="Q39" s="97"/>
      <c r="R39" s="97"/>
      <c r="S39" s="97"/>
      <c r="T39" s="436"/>
      <c r="U39" s="443"/>
    </row>
    <row r="40" spans="1:21" s="126" customFormat="1" ht="27" customHeight="1">
      <c r="A40" s="2011"/>
      <c r="B40" s="513" t="s">
        <v>3564</v>
      </c>
      <c r="C40" s="563" t="s">
        <v>3629</v>
      </c>
      <c r="D40" s="129" t="s">
        <v>3580</v>
      </c>
      <c r="E40" s="129"/>
      <c r="F40" s="136">
        <v>45989</v>
      </c>
      <c r="G40" s="136"/>
      <c r="H40" s="91">
        <f>VLOOKUP(F40,환율!A:B,2,0)</f>
        <v>1464.8</v>
      </c>
      <c r="I40" s="134">
        <v>30679.88</v>
      </c>
      <c r="J40" s="93">
        <f t="shared" si="12"/>
        <v>44939888</v>
      </c>
      <c r="K40" s="93">
        <f t="shared" si="13"/>
        <v>44939888</v>
      </c>
      <c r="L40" s="254"/>
      <c r="M40" s="664"/>
      <c r="N40" s="401"/>
      <c r="O40" s="97"/>
      <c r="P40" s="97"/>
      <c r="Q40" s="97"/>
      <c r="R40" s="97"/>
      <c r="S40" s="97"/>
      <c r="T40" s="436"/>
      <c r="U40" s="443"/>
    </row>
    <row r="41" spans="1:21" s="126" customFormat="1" ht="27" customHeight="1">
      <c r="A41" s="2011"/>
      <c r="B41" s="513" t="s">
        <v>3565</v>
      </c>
      <c r="C41" s="563" t="s">
        <v>3629</v>
      </c>
      <c r="D41" s="129" t="s">
        <v>3581</v>
      </c>
      <c r="E41" s="129"/>
      <c r="F41" s="136">
        <v>45989</v>
      </c>
      <c r="G41" s="136"/>
      <c r="H41" s="91">
        <f>VLOOKUP(F41,환율!A:B,2,0)</f>
        <v>1464.8</v>
      </c>
      <c r="I41" s="134">
        <v>81240.08</v>
      </c>
      <c r="J41" s="93">
        <f t="shared" si="12"/>
        <v>119000469</v>
      </c>
      <c r="K41" s="93">
        <f t="shared" si="13"/>
        <v>119000469</v>
      </c>
      <c r="L41" s="254"/>
      <c r="M41" s="664"/>
      <c r="N41" s="401"/>
      <c r="O41" s="97"/>
      <c r="P41" s="97"/>
      <c r="Q41" s="97"/>
      <c r="R41" s="97"/>
      <c r="S41" s="97"/>
      <c r="T41" s="436"/>
      <c r="U41" s="443"/>
    </row>
    <row r="42" spans="1:21" s="126" customFormat="1" ht="27" customHeight="1">
      <c r="A42" s="2011"/>
      <c r="B42" s="513" t="s">
        <v>3566</v>
      </c>
      <c r="C42" s="563" t="s">
        <v>3629</v>
      </c>
      <c r="D42" s="129" t="s">
        <v>3582</v>
      </c>
      <c r="E42" s="129"/>
      <c r="F42" s="136">
        <v>45979</v>
      </c>
      <c r="G42" s="136"/>
      <c r="H42" s="91">
        <f>VLOOKUP(F42,환율!A:B,2,0)</f>
        <v>1458.3</v>
      </c>
      <c r="I42" s="134">
        <v>69256.399999999994</v>
      </c>
      <c r="J42" s="93">
        <f t="shared" si="12"/>
        <v>100996608</v>
      </c>
      <c r="K42" s="93">
        <f t="shared" si="13"/>
        <v>100996608</v>
      </c>
      <c r="L42" s="254"/>
      <c r="M42" s="664"/>
      <c r="N42" s="401"/>
      <c r="O42" s="97"/>
      <c r="P42" s="97"/>
      <c r="Q42" s="97"/>
      <c r="R42" s="97"/>
      <c r="S42" s="97"/>
      <c r="T42" s="436"/>
      <c r="U42" s="443"/>
    </row>
    <row r="43" spans="1:21" s="126" customFormat="1" ht="27" customHeight="1">
      <c r="A43" s="2011"/>
      <c r="B43" s="513" t="s">
        <v>3567</v>
      </c>
      <c r="C43" s="563" t="s">
        <v>3629</v>
      </c>
      <c r="D43" s="129" t="s">
        <v>3583</v>
      </c>
      <c r="E43" s="129"/>
      <c r="F43" s="136">
        <v>45989</v>
      </c>
      <c r="G43" s="136"/>
      <c r="H43" s="91">
        <f>VLOOKUP(F43,환율!A:B,2,0)</f>
        <v>1464.8</v>
      </c>
      <c r="I43" s="134">
        <v>49627.199999999997</v>
      </c>
      <c r="J43" s="93">
        <f t="shared" si="12"/>
        <v>72693922</v>
      </c>
      <c r="K43" s="93">
        <f t="shared" si="13"/>
        <v>72693922</v>
      </c>
      <c r="L43" s="254"/>
      <c r="M43" s="664"/>
      <c r="N43" s="401"/>
      <c r="O43" s="97"/>
      <c r="P43" s="97"/>
      <c r="Q43" s="97"/>
      <c r="R43" s="97"/>
      <c r="S43" s="97"/>
      <c r="T43" s="436"/>
      <c r="U43" s="443"/>
    </row>
    <row r="44" spans="1:21" s="126" customFormat="1" ht="27" customHeight="1">
      <c r="A44" s="2011"/>
      <c r="B44" s="513" t="s">
        <v>3569</v>
      </c>
      <c r="C44" s="563" t="s">
        <v>3629</v>
      </c>
      <c r="D44" s="129" t="s">
        <v>3585</v>
      </c>
      <c r="E44" s="129"/>
      <c r="F44" s="136">
        <v>45991</v>
      </c>
      <c r="G44" s="136"/>
      <c r="H44" s="91">
        <f>VLOOKUP(F44,환율!A:B,2,0)</f>
        <v>1464.8</v>
      </c>
      <c r="I44" s="134">
        <v>95997.25</v>
      </c>
      <c r="J44" s="93">
        <f t="shared" si="12"/>
        <v>140616771</v>
      </c>
      <c r="K44" s="93">
        <f t="shared" si="13"/>
        <v>140616771</v>
      </c>
      <c r="L44" s="254"/>
      <c r="M44" s="664"/>
      <c r="N44" s="401"/>
      <c r="O44" s="97"/>
      <c r="P44" s="97"/>
      <c r="Q44" s="97"/>
      <c r="R44" s="97"/>
      <c r="S44" s="97"/>
      <c r="T44" s="436"/>
      <c r="U44" s="443"/>
    </row>
    <row r="45" spans="1:21" s="126" customFormat="1" ht="27" customHeight="1">
      <c r="A45" s="2011"/>
      <c r="B45" s="513" t="s">
        <v>3574</v>
      </c>
      <c r="C45" s="563" t="s">
        <v>3629</v>
      </c>
      <c r="D45" s="129" t="s">
        <v>3590</v>
      </c>
      <c r="E45" s="129"/>
      <c r="F45" s="136">
        <v>45983</v>
      </c>
      <c r="G45" s="136"/>
      <c r="H45" s="91">
        <f>VLOOKUP(F45,환율!A:B,2,0)</f>
        <v>1468.4</v>
      </c>
      <c r="I45" s="134">
        <v>8770.92</v>
      </c>
      <c r="J45" s="93">
        <f t="shared" si="12"/>
        <v>12879218</v>
      </c>
      <c r="K45" s="93">
        <f t="shared" si="13"/>
        <v>12879218</v>
      </c>
      <c r="L45" s="254"/>
      <c r="M45" s="664"/>
      <c r="N45" s="401"/>
      <c r="O45" s="97"/>
      <c r="P45" s="97"/>
      <c r="Q45" s="97"/>
      <c r="R45" s="97"/>
      <c r="S45" s="97"/>
      <c r="T45" s="436"/>
      <c r="U45" s="443"/>
    </row>
    <row r="46" spans="1:21" s="126" customFormat="1" ht="27" customHeight="1">
      <c r="A46" s="2011"/>
      <c r="B46" s="513" t="s">
        <v>3575</v>
      </c>
      <c r="C46" s="155" t="s">
        <v>3629</v>
      </c>
      <c r="D46" s="89" t="s">
        <v>3591</v>
      </c>
      <c r="E46" s="319"/>
      <c r="F46" s="136">
        <v>45977</v>
      </c>
      <c r="G46" s="136"/>
      <c r="H46" s="91">
        <f>VLOOKUP(F46,환율!A:B,2,0)</f>
        <v>1469.5</v>
      </c>
      <c r="I46" s="134">
        <v>48</v>
      </c>
      <c r="J46" s="93">
        <f t="shared" si="12"/>
        <v>70536</v>
      </c>
      <c r="K46" s="93">
        <f t="shared" si="13"/>
        <v>70536</v>
      </c>
      <c r="L46" s="254"/>
      <c r="M46" s="668"/>
      <c r="N46" s="364"/>
      <c r="O46" s="97"/>
      <c r="P46" s="97"/>
      <c r="Q46" s="97"/>
      <c r="R46" s="97"/>
      <c r="S46" s="97"/>
      <c r="T46" s="436"/>
      <c r="U46" s="443"/>
    </row>
    <row r="47" spans="1:21" s="126" customFormat="1" ht="27" customHeight="1">
      <c r="A47" s="2011"/>
      <c r="B47" s="556" t="s">
        <v>3568</v>
      </c>
      <c r="C47" s="564" t="s">
        <v>3629</v>
      </c>
      <c r="D47" s="557" t="s">
        <v>3584</v>
      </c>
      <c r="E47" s="557"/>
      <c r="F47" s="527">
        <v>46002</v>
      </c>
      <c r="G47" s="527"/>
      <c r="H47" s="528">
        <f>VLOOKUP(F47,환율!A:B,2,0)</f>
        <v>1470.4</v>
      </c>
      <c r="I47" s="551">
        <v>51164.68</v>
      </c>
      <c r="J47" s="530">
        <f t="shared" ref="J47:J52" si="14">ROUNDDOWN(I47*H47,0)</f>
        <v>75232545</v>
      </c>
      <c r="K47" s="530"/>
      <c r="L47" s="548">
        <f>J47</f>
        <v>75232545</v>
      </c>
      <c r="M47" s="668"/>
      <c r="N47" s="364"/>
      <c r="O47" s="97"/>
      <c r="P47" s="97"/>
      <c r="Q47" s="97"/>
      <c r="R47" s="97"/>
      <c r="S47" s="97"/>
      <c r="T47" s="436"/>
      <c r="U47" s="443"/>
    </row>
    <row r="48" spans="1:21" s="126" customFormat="1" ht="27" customHeight="1">
      <c r="A48" s="2011"/>
      <c r="B48" s="556" t="s">
        <v>3570</v>
      </c>
      <c r="C48" s="564" t="s">
        <v>3629</v>
      </c>
      <c r="D48" s="557" t="s">
        <v>3586</v>
      </c>
      <c r="E48" s="557"/>
      <c r="F48" s="527">
        <v>46002</v>
      </c>
      <c r="G48" s="527"/>
      <c r="H48" s="528">
        <f>VLOOKUP(F48,환율!A:B,2,0)</f>
        <v>1470.4</v>
      </c>
      <c r="I48" s="551">
        <v>80966.42</v>
      </c>
      <c r="J48" s="530">
        <f t="shared" si="14"/>
        <v>119053023</v>
      </c>
      <c r="K48" s="530"/>
      <c r="L48" s="548">
        <f t="shared" ref="L48:L52" si="15">J48</f>
        <v>119053023</v>
      </c>
      <c r="M48" s="665"/>
      <c r="N48" s="364"/>
      <c r="O48" s="97"/>
      <c r="P48" s="97"/>
      <c r="Q48" s="97"/>
      <c r="R48" s="97"/>
      <c r="S48" s="97"/>
      <c r="T48" s="436"/>
      <c r="U48" s="443"/>
    </row>
    <row r="49" spans="1:21" s="126" customFormat="1" ht="27" customHeight="1">
      <c r="A49" s="2011"/>
      <c r="B49" s="556" t="s">
        <v>3571</v>
      </c>
      <c r="C49" s="564" t="s">
        <v>3629</v>
      </c>
      <c r="D49" s="557" t="s">
        <v>3587</v>
      </c>
      <c r="E49" s="557"/>
      <c r="F49" s="527">
        <v>45998</v>
      </c>
      <c r="G49" s="527"/>
      <c r="H49" s="528">
        <f>VLOOKUP(F49,환율!A:B,2,0)</f>
        <v>1471.5</v>
      </c>
      <c r="I49" s="551">
        <v>59255.82</v>
      </c>
      <c r="J49" s="530">
        <f t="shared" si="14"/>
        <v>87194939</v>
      </c>
      <c r="K49" s="530"/>
      <c r="L49" s="548">
        <f t="shared" si="15"/>
        <v>87194939</v>
      </c>
      <c r="M49" s="665"/>
      <c r="N49" s="364"/>
      <c r="O49" s="97"/>
      <c r="P49" s="97"/>
      <c r="Q49" s="97"/>
      <c r="R49" s="97"/>
      <c r="S49" s="97"/>
      <c r="T49" s="436"/>
      <c r="U49" s="443"/>
    </row>
    <row r="50" spans="1:21" s="126" customFormat="1" ht="27" customHeight="1">
      <c r="A50" s="2011"/>
      <c r="B50" s="556" t="s">
        <v>3572</v>
      </c>
      <c r="C50" s="564" t="s">
        <v>3629</v>
      </c>
      <c r="D50" s="557" t="s">
        <v>3588</v>
      </c>
      <c r="E50" s="557"/>
      <c r="F50" s="527">
        <v>45998</v>
      </c>
      <c r="G50" s="527"/>
      <c r="H50" s="528">
        <f>VLOOKUP(F50,환율!A:B,2,0)</f>
        <v>1471.5</v>
      </c>
      <c r="I50" s="551">
        <v>5567.04</v>
      </c>
      <c r="J50" s="530">
        <f t="shared" si="14"/>
        <v>8191899</v>
      </c>
      <c r="K50" s="530"/>
      <c r="L50" s="548">
        <f t="shared" si="15"/>
        <v>8191899</v>
      </c>
      <c r="M50" s="665"/>
      <c r="N50" s="364"/>
      <c r="O50" s="97"/>
      <c r="P50" s="97"/>
      <c r="Q50" s="97"/>
      <c r="R50" s="97"/>
      <c r="S50" s="97"/>
      <c r="T50" s="436"/>
      <c r="U50" s="443"/>
    </row>
    <row r="51" spans="1:21" s="126" customFormat="1" ht="27" customHeight="1">
      <c r="A51" s="2011"/>
      <c r="B51" s="556" t="s">
        <v>3573</v>
      </c>
      <c r="C51" s="564" t="s">
        <v>3629</v>
      </c>
      <c r="D51" s="557" t="s">
        <v>3589</v>
      </c>
      <c r="E51" s="557"/>
      <c r="F51" s="527">
        <v>46002</v>
      </c>
      <c r="G51" s="527"/>
      <c r="H51" s="528">
        <f>VLOOKUP(F51,환율!A:B,2,0)</f>
        <v>1470.4</v>
      </c>
      <c r="I51" s="551">
        <v>132163.20000000001</v>
      </c>
      <c r="J51" s="530">
        <f t="shared" si="14"/>
        <v>194332769</v>
      </c>
      <c r="K51" s="530"/>
      <c r="L51" s="548">
        <f t="shared" si="15"/>
        <v>194332769</v>
      </c>
      <c r="M51" s="665"/>
      <c r="N51" s="364"/>
      <c r="O51" s="97"/>
      <c r="P51" s="97"/>
      <c r="Q51" s="97"/>
      <c r="R51" s="97"/>
      <c r="S51" s="97"/>
      <c r="T51" s="436"/>
      <c r="U51" s="443"/>
    </row>
    <row r="52" spans="1:21" s="126" customFormat="1" ht="27" customHeight="1">
      <c r="A52" s="2011"/>
      <c r="B52" s="556" t="s">
        <v>3576</v>
      </c>
      <c r="C52" s="564" t="s">
        <v>3629</v>
      </c>
      <c r="D52" s="557" t="s">
        <v>3592</v>
      </c>
      <c r="E52" s="557"/>
      <c r="F52" s="527">
        <v>46002</v>
      </c>
      <c r="G52" s="527"/>
      <c r="H52" s="528">
        <f>VLOOKUP(F52,환율!A:B,2,0)</f>
        <v>1470.4</v>
      </c>
      <c r="I52" s="551">
        <v>2012.8</v>
      </c>
      <c r="J52" s="530">
        <f t="shared" si="14"/>
        <v>2959621</v>
      </c>
      <c r="K52" s="530"/>
      <c r="L52" s="548">
        <f t="shared" si="15"/>
        <v>2959621</v>
      </c>
      <c r="M52" s="665"/>
      <c r="N52" s="364"/>
      <c r="O52" s="97"/>
      <c r="P52" s="97"/>
      <c r="Q52" s="97"/>
      <c r="R52" s="97"/>
      <c r="S52" s="97"/>
      <c r="T52" s="436"/>
      <c r="U52" s="443"/>
    </row>
    <row r="53" spans="1:21" s="97" customFormat="1" ht="27" customHeight="1">
      <c r="A53" s="2035" t="s">
        <v>10</v>
      </c>
      <c r="B53" s="2036"/>
      <c r="C53" s="2036"/>
      <c r="D53" s="2036"/>
      <c r="E53" s="2036"/>
      <c r="F53" s="2036"/>
      <c r="G53" s="2036"/>
      <c r="H53" s="2037"/>
      <c r="I53" s="643">
        <f>SUM(I29:I52)</f>
        <v>1149850.1900000002</v>
      </c>
      <c r="J53" s="116">
        <f>SUM(J29:J52)</f>
        <v>1678288824</v>
      </c>
      <c r="K53" s="116">
        <f>SUM(K29:K52)</f>
        <v>1191324028</v>
      </c>
      <c r="L53" s="260">
        <f>SUM(L29:L52)</f>
        <v>486964796</v>
      </c>
      <c r="M53" s="666"/>
      <c r="N53" s="364"/>
      <c r="O53" s="434"/>
      <c r="P53" s="434"/>
      <c r="Q53" s="434"/>
      <c r="R53" s="434"/>
      <c r="S53" s="434"/>
      <c r="T53" s="434"/>
      <c r="U53" s="441"/>
    </row>
    <row r="54" spans="1:21" s="97" customFormat="1" ht="39" customHeight="1">
      <c r="A54" s="261" t="s">
        <v>3101</v>
      </c>
      <c r="B54" s="513" t="s">
        <v>3594</v>
      </c>
      <c r="C54" s="513" t="s">
        <v>3632</v>
      </c>
      <c r="D54" s="513" t="s">
        <v>3593</v>
      </c>
      <c r="E54" s="89"/>
      <c r="F54" s="89">
        <v>45971</v>
      </c>
      <c r="G54" s="89"/>
      <c r="H54" s="91">
        <f>VLOOKUP(F54,환율!A:B,2,0)</f>
        <v>1454</v>
      </c>
      <c r="I54" s="118">
        <v>124738.46</v>
      </c>
      <c r="J54" s="93">
        <f t="shared" ref="J54" si="16">ROUNDDOWN(I54*H54,0)</f>
        <v>181369720</v>
      </c>
      <c r="K54" s="93">
        <f>J54</f>
        <v>181369720</v>
      </c>
      <c r="L54" s="254"/>
      <c r="M54" s="664"/>
      <c r="N54" s="364"/>
      <c r="T54" s="434"/>
      <c r="U54" s="441"/>
    </row>
    <row r="55" spans="1:21" s="97" customFormat="1" ht="27" customHeight="1">
      <c r="A55" s="2035" t="s">
        <v>10</v>
      </c>
      <c r="B55" s="2036"/>
      <c r="C55" s="2036"/>
      <c r="D55" s="2036"/>
      <c r="E55" s="2036"/>
      <c r="F55" s="2036"/>
      <c r="G55" s="2036"/>
      <c r="H55" s="2037"/>
      <c r="I55" s="643">
        <f>SUM(I54:I54)</f>
        <v>124738.46</v>
      </c>
      <c r="J55" s="116">
        <f>SUM(J54:J54)</f>
        <v>181369720</v>
      </c>
      <c r="K55" s="116">
        <f>SUM(K54:K54)</f>
        <v>181369720</v>
      </c>
      <c r="L55" s="260">
        <f>SUM(L54:L54)</f>
        <v>0</v>
      </c>
      <c r="M55" s="666"/>
      <c r="N55" s="364"/>
      <c r="O55" s="434"/>
      <c r="P55" s="434"/>
      <c r="Q55" s="434"/>
      <c r="R55" s="434"/>
      <c r="S55" s="434"/>
      <c r="T55" s="434"/>
      <c r="U55" s="441"/>
    </row>
    <row r="56" spans="1:21" s="97" customFormat="1" ht="27" customHeight="1">
      <c r="A56" s="2010" t="s">
        <v>3102</v>
      </c>
      <c r="B56" s="510" t="s">
        <v>3476</v>
      </c>
      <c r="C56" s="619" t="s">
        <v>3632</v>
      </c>
      <c r="D56" s="460" t="s">
        <v>3595</v>
      </c>
      <c r="E56" s="460"/>
      <c r="F56" s="455">
        <v>45966</v>
      </c>
      <c r="G56" s="455"/>
      <c r="H56" s="456">
        <f>VLOOKUP(F56,환율!A:B,2,0)</f>
        <v>1437.7</v>
      </c>
      <c r="I56" s="462"/>
      <c r="J56" s="458">
        <v>16090362</v>
      </c>
      <c r="K56" s="458">
        <f>J56</f>
        <v>16090362</v>
      </c>
      <c r="L56" s="464"/>
      <c r="M56" s="663"/>
      <c r="N56" s="401"/>
      <c r="T56" s="434"/>
      <c r="U56" s="441"/>
    </row>
    <row r="57" spans="1:21" s="97" customFormat="1" ht="27" customHeight="1">
      <c r="A57" s="2011"/>
      <c r="B57" s="514" t="s">
        <v>3518</v>
      </c>
      <c r="C57" s="509" t="s">
        <v>3632</v>
      </c>
      <c r="D57" s="514" t="s">
        <v>3596</v>
      </c>
      <c r="E57" s="466"/>
      <c r="F57" s="454">
        <v>45967</v>
      </c>
      <c r="G57" s="454"/>
      <c r="H57" s="456">
        <f>VLOOKUP(F57,환율!A:B,2,0)</f>
        <v>1447</v>
      </c>
      <c r="I57" s="478"/>
      <c r="J57" s="458">
        <v>18240660</v>
      </c>
      <c r="K57" s="458">
        <f>J57</f>
        <v>18240660</v>
      </c>
      <c r="L57" s="464"/>
      <c r="M57" s="663"/>
      <c r="N57" s="401"/>
      <c r="T57" s="434"/>
      <c r="U57" s="441"/>
    </row>
    <row r="58" spans="1:21" s="97" customFormat="1" ht="27" customHeight="1">
      <c r="A58" s="2011"/>
      <c r="B58" s="174" t="s">
        <v>3597</v>
      </c>
      <c r="C58" s="174" t="s">
        <v>3632</v>
      </c>
      <c r="D58" s="174" t="s">
        <v>3600</v>
      </c>
      <c r="E58" s="146"/>
      <c r="F58" s="89">
        <v>45984</v>
      </c>
      <c r="G58" s="89"/>
      <c r="H58" s="91">
        <f>VLOOKUP(F58,환율!A:B,2,0)</f>
        <v>1468.4</v>
      </c>
      <c r="I58" s="118"/>
      <c r="J58" s="93">
        <v>132627440</v>
      </c>
      <c r="K58" s="93">
        <f>J58</f>
        <v>132627440</v>
      </c>
      <c r="L58" s="254"/>
      <c r="M58" s="663"/>
      <c r="N58" s="401"/>
      <c r="T58" s="434"/>
      <c r="U58" s="441"/>
    </row>
    <row r="59" spans="1:21" s="97" customFormat="1" ht="27" customHeight="1">
      <c r="A59" s="2011"/>
      <c r="B59" s="524" t="s">
        <v>3598</v>
      </c>
      <c r="C59" s="524" t="s">
        <v>3629</v>
      </c>
      <c r="D59" s="524" t="s">
        <v>3601</v>
      </c>
      <c r="E59" s="552"/>
      <c r="F59" s="547"/>
      <c r="G59" s="547"/>
      <c r="H59" s="528" t="e">
        <f>VLOOKUP(F59,환율!A:B,2,0)</f>
        <v>#N/A</v>
      </c>
      <c r="I59" s="554"/>
      <c r="J59" s="530">
        <v>42597818</v>
      </c>
      <c r="K59" s="530"/>
      <c r="L59" s="548">
        <f>J59</f>
        <v>42597818</v>
      </c>
      <c r="M59" s="663"/>
      <c r="N59" s="401"/>
      <c r="T59" s="434"/>
      <c r="U59" s="441"/>
    </row>
    <row r="60" spans="1:21" s="97" customFormat="1" ht="27" customHeight="1">
      <c r="A60" s="2011"/>
      <c r="B60" s="524" t="s">
        <v>3599</v>
      </c>
      <c r="C60" s="524" t="s">
        <v>3629</v>
      </c>
      <c r="D60" s="524"/>
      <c r="E60" s="552"/>
      <c r="F60" s="547"/>
      <c r="G60" s="547"/>
      <c r="H60" s="528" t="e">
        <f>VLOOKUP(F60,환율!A:B,2,0)</f>
        <v>#N/A</v>
      </c>
      <c r="I60" s="554"/>
      <c r="J60" s="530">
        <v>144332851</v>
      </c>
      <c r="K60" s="530"/>
      <c r="L60" s="548">
        <f>J60</f>
        <v>144332851</v>
      </c>
      <c r="M60" s="663"/>
      <c r="N60" s="401"/>
      <c r="T60" s="434"/>
      <c r="U60" s="441"/>
    </row>
    <row r="61" spans="1:21" s="97" customFormat="1" ht="27" customHeight="1">
      <c r="A61" s="2035" t="s">
        <v>10</v>
      </c>
      <c r="B61" s="2036"/>
      <c r="C61" s="2036"/>
      <c r="D61" s="2036"/>
      <c r="E61" s="2036"/>
      <c r="F61" s="2036"/>
      <c r="G61" s="2036"/>
      <c r="H61" s="2037"/>
      <c r="I61" s="643">
        <f>SUM(I56:I56)</f>
        <v>0</v>
      </c>
      <c r="J61" s="116">
        <f>SUM(J56:J60)</f>
        <v>353889131</v>
      </c>
      <c r="K61" s="116">
        <f>SUM(K56:K60)</f>
        <v>166958462</v>
      </c>
      <c r="L61" s="260">
        <f>SUM(L56:L60)</f>
        <v>186930669</v>
      </c>
      <c r="M61" s="666"/>
      <c r="N61" s="364"/>
      <c r="O61" s="434"/>
      <c r="P61" s="434"/>
      <c r="Q61" s="434"/>
      <c r="S61" s="434"/>
      <c r="T61" s="434"/>
      <c r="U61" s="441"/>
    </row>
    <row r="62" spans="1:21" s="97" customFormat="1" ht="38.4">
      <c r="A62" s="362" t="s">
        <v>3103</v>
      </c>
      <c r="B62" s="623" t="s">
        <v>3443</v>
      </c>
      <c r="C62" s="619" t="s">
        <v>3632</v>
      </c>
      <c r="D62" s="460" t="s">
        <v>3602</v>
      </c>
      <c r="E62" s="460"/>
      <c r="F62" s="455">
        <v>45983</v>
      </c>
      <c r="G62" s="455"/>
      <c r="H62" s="456">
        <f>VLOOKUP(F62,환율!A:B,2,0)</f>
        <v>1468.4</v>
      </c>
      <c r="I62" s="462">
        <v>52204.9</v>
      </c>
      <c r="J62" s="458">
        <f>ROUNDDOWN(I62*H62,0)</f>
        <v>76657675</v>
      </c>
      <c r="K62" s="458">
        <f>J62</f>
        <v>76657675</v>
      </c>
      <c r="L62" s="464"/>
      <c r="M62" s="665"/>
      <c r="N62" s="364"/>
      <c r="O62" s="434"/>
      <c r="P62" s="434"/>
      <c r="Q62" s="434"/>
      <c r="S62" s="434"/>
      <c r="T62" s="434"/>
      <c r="U62" s="441"/>
    </row>
    <row r="63" spans="1:21" s="97" customFormat="1" ht="27" customHeight="1">
      <c r="A63" s="2035" t="s">
        <v>10</v>
      </c>
      <c r="B63" s="2036"/>
      <c r="C63" s="2036"/>
      <c r="D63" s="2036"/>
      <c r="E63" s="2036"/>
      <c r="F63" s="2036"/>
      <c r="G63" s="2036"/>
      <c r="H63" s="2037"/>
      <c r="I63" s="643">
        <f>SUM(I62:I62)</f>
        <v>52204.9</v>
      </c>
      <c r="J63" s="116">
        <f>SUM(J62:J62)</f>
        <v>76657675</v>
      </c>
      <c r="K63" s="116">
        <f>SUM(K62:K62)</f>
        <v>76657675</v>
      </c>
      <c r="L63" s="260">
        <f>SUM(L62:L62)</f>
        <v>0</v>
      </c>
      <c r="M63" s="666"/>
      <c r="N63" s="364"/>
      <c r="O63" s="434"/>
      <c r="P63" s="434"/>
      <c r="Q63" s="434"/>
      <c r="S63" s="434"/>
      <c r="T63" s="434"/>
      <c r="U63" s="441"/>
    </row>
    <row r="64" spans="1:21" s="97" customFormat="1" ht="37.5" customHeight="1">
      <c r="A64" s="261" t="s">
        <v>3104</v>
      </c>
      <c r="B64" s="510" t="s">
        <v>3519</v>
      </c>
      <c r="C64" s="619" t="s">
        <v>3632</v>
      </c>
      <c r="D64" s="460" t="s">
        <v>3520</v>
      </c>
      <c r="E64" s="460"/>
      <c r="F64" s="455">
        <v>45973</v>
      </c>
      <c r="G64" s="455"/>
      <c r="H64" s="456">
        <f>VLOOKUP(F64,환율!A:B,2,0)</f>
        <v>1463.2</v>
      </c>
      <c r="I64" s="462">
        <v>8722.5</v>
      </c>
      <c r="J64" s="458">
        <f t="shared" ref="J64" si="17">ROUNDDOWN(I64*H64,0)</f>
        <v>12762762</v>
      </c>
      <c r="K64" s="458">
        <f>J64</f>
        <v>12762762</v>
      </c>
      <c r="L64" s="464"/>
      <c r="M64" s="663"/>
      <c r="N64" s="401"/>
      <c r="T64" s="434"/>
      <c r="U64" s="441"/>
    </row>
    <row r="65" spans="1:21" s="97" customFormat="1" ht="27" customHeight="1">
      <c r="A65" s="2035" t="s">
        <v>10</v>
      </c>
      <c r="B65" s="2036"/>
      <c r="C65" s="2036"/>
      <c r="D65" s="2036"/>
      <c r="E65" s="2036"/>
      <c r="F65" s="2036"/>
      <c r="G65" s="2036"/>
      <c r="H65" s="2037"/>
      <c r="I65" s="643">
        <f>SUM(I64:I64)</f>
        <v>8722.5</v>
      </c>
      <c r="J65" s="116">
        <f>SUM(J64:J64)</f>
        <v>12762762</v>
      </c>
      <c r="K65" s="116">
        <f>SUM(K64:K64)</f>
        <v>12762762</v>
      </c>
      <c r="L65" s="260">
        <f>SUM(L64:L64)</f>
        <v>0</v>
      </c>
      <c r="M65" s="669"/>
      <c r="N65" s="364"/>
      <c r="O65" s="434"/>
      <c r="P65" s="434"/>
      <c r="Q65" s="434"/>
      <c r="S65" s="434"/>
      <c r="T65" s="434"/>
      <c r="U65" s="441"/>
    </row>
    <row r="66" spans="1:21" s="97" customFormat="1" ht="27" customHeight="1">
      <c r="A66" s="2010" t="s">
        <v>3208</v>
      </c>
      <c r="B66" s="174" t="s">
        <v>3545</v>
      </c>
      <c r="C66" s="173" t="s">
        <v>3629</v>
      </c>
      <c r="D66" s="173" t="s">
        <v>3552</v>
      </c>
      <c r="E66" s="288"/>
      <c r="F66" s="136">
        <v>45975</v>
      </c>
      <c r="G66" s="222"/>
      <c r="H66" s="91">
        <f>VLOOKUP(F66,환율!A:B,2,0)</f>
        <v>1469.5</v>
      </c>
      <c r="I66" s="118">
        <v>27047.5</v>
      </c>
      <c r="J66" s="93">
        <f t="shared" ref="J66" si="18">ROUNDDOWN(I66*H66,0)</f>
        <v>39746301</v>
      </c>
      <c r="K66" s="93">
        <f t="shared" ref="K66" si="19">J66</f>
        <v>39746301</v>
      </c>
      <c r="L66" s="254"/>
      <c r="M66" s="664"/>
      <c r="N66" s="364"/>
      <c r="T66" s="434"/>
      <c r="U66" s="441"/>
    </row>
    <row r="67" spans="1:21" s="97" customFormat="1" ht="27" customHeight="1">
      <c r="A67" s="2011"/>
      <c r="B67" s="174" t="s">
        <v>3546</v>
      </c>
      <c r="C67" s="173" t="s">
        <v>3629</v>
      </c>
      <c r="D67" s="173" t="s">
        <v>3553</v>
      </c>
      <c r="E67" s="288"/>
      <c r="F67" s="136">
        <v>45971</v>
      </c>
      <c r="G67" s="222"/>
      <c r="H67" s="91">
        <f>VLOOKUP(F67,환율!A:B,2,0)</f>
        <v>1454</v>
      </c>
      <c r="I67" s="118">
        <v>1728.34</v>
      </c>
      <c r="J67" s="93">
        <f t="shared" ref="J67:J71" si="20">ROUNDDOWN(I67*H67,0)</f>
        <v>2513006</v>
      </c>
      <c r="K67" s="93">
        <f t="shared" ref="K67:K71" si="21">J67</f>
        <v>2513006</v>
      </c>
      <c r="L67" s="254"/>
      <c r="M67" s="664"/>
      <c r="N67" s="364"/>
      <c r="T67" s="434"/>
      <c r="U67" s="441"/>
    </row>
    <row r="68" spans="1:21" s="97" customFormat="1" ht="27" customHeight="1">
      <c r="A68" s="2011"/>
      <c r="B68" s="174" t="s">
        <v>3547</v>
      </c>
      <c r="C68" s="173" t="s">
        <v>3629</v>
      </c>
      <c r="D68" s="173" t="s">
        <v>3554</v>
      </c>
      <c r="E68" s="288"/>
      <c r="F68" s="136">
        <v>45973</v>
      </c>
      <c r="G68" s="222"/>
      <c r="H68" s="91">
        <f>VLOOKUP(F68,환율!A:B,2,0)</f>
        <v>1463.2</v>
      </c>
      <c r="I68" s="118">
        <v>2455.62</v>
      </c>
      <c r="J68" s="93">
        <f t="shared" si="20"/>
        <v>3593063</v>
      </c>
      <c r="K68" s="93">
        <f t="shared" si="21"/>
        <v>3593063</v>
      </c>
      <c r="L68" s="254"/>
      <c r="M68" s="664"/>
      <c r="N68" s="364"/>
      <c r="T68" s="434"/>
      <c r="U68" s="441"/>
    </row>
    <row r="69" spans="1:21" s="97" customFormat="1" ht="27" customHeight="1">
      <c r="A69" s="2011"/>
      <c r="B69" s="174" t="s">
        <v>3548</v>
      </c>
      <c r="C69" s="173" t="s">
        <v>3629</v>
      </c>
      <c r="D69" s="173" t="s">
        <v>3555</v>
      </c>
      <c r="E69" s="288"/>
      <c r="F69" s="136">
        <v>45981</v>
      </c>
      <c r="G69" s="222"/>
      <c r="H69" s="91">
        <f>VLOOKUP(F69,환율!A:B,2,0)</f>
        <v>1465</v>
      </c>
      <c r="I69" s="118">
        <v>4008.28</v>
      </c>
      <c r="J69" s="93">
        <f t="shared" si="20"/>
        <v>5872130</v>
      </c>
      <c r="K69" s="93">
        <f t="shared" si="21"/>
        <v>5872130</v>
      </c>
      <c r="L69" s="254"/>
      <c r="M69" s="664"/>
      <c r="N69" s="364"/>
      <c r="T69" s="434"/>
      <c r="U69" s="441"/>
    </row>
    <row r="70" spans="1:21" s="97" customFormat="1" ht="27" customHeight="1">
      <c r="A70" s="2011"/>
      <c r="B70" s="174" t="s">
        <v>3550</v>
      </c>
      <c r="C70" s="173" t="s">
        <v>3629</v>
      </c>
      <c r="D70" s="173" t="s">
        <v>3557</v>
      </c>
      <c r="E70" s="288"/>
      <c r="F70" s="136">
        <v>45981</v>
      </c>
      <c r="G70" s="222"/>
      <c r="H70" s="91">
        <f>VLOOKUP(F70,환율!A:B,2,0)</f>
        <v>1465</v>
      </c>
      <c r="I70" s="118">
        <v>4443.5200000000004</v>
      </c>
      <c r="J70" s="93">
        <f t="shared" si="20"/>
        <v>6509756</v>
      </c>
      <c r="K70" s="93">
        <f t="shared" si="21"/>
        <v>6509756</v>
      </c>
      <c r="L70" s="254"/>
      <c r="M70" s="664"/>
      <c r="N70" s="403"/>
      <c r="T70" s="434"/>
      <c r="U70" s="441"/>
    </row>
    <row r="71" spans="1:21" s="97" customFormat="1" ht="27" customHeight="1">
      <c r="A71" s="2011"/>
      <c r="B71" s="174" t="s">
        <v>3551</v>
      </c>
      <c r="C71" s="173" t="s">
        <v>3629</v>
      </c>
      <c r="D71" s="173" t="s">
        <v>3558</v>
      </c>
      <c r="E71" s="288"/>
      <c r="F71" s="136">
        <v>45976</v>
      </c>
      <c r="G71" s="222"/>
      <c r="H71" s="91">
        <f>VLOOKUP(F71,환율!A:B,2,0)</f>
        <v>1469.5</v>
      </c>
      <c r="I71" s="118">
        <v>1520</v>
      </c>
      <c r="J71" s="93">
        <f t="shared" si="20"/>
        <v>2233640</v>
      </c>
      <c r="K71" s="93">
        <f t="shared" si="21"/>
        <v>2233640</v>
      </c>
      <c r="L71" s="254"/>
      <c r="M71" s="664"/>
      <c r="N71" s="403"/>
      <c r="T71" s="434"/>
      <c r="U71" s="441"/>
    </row>
    <row r="72" spans="1:21" s="97" customFormat="1" ht="27" customHeight="1">
      <c r="A72" s="2011"/>
      <c r="B72" s="524" t="s">
        <v>3549</v>
      </c>
      <c r="C72" s="525" t="s">
        <v>3629</v>
      </c>
      <c r="D72" s="525" t="s">
        <v>3556</v>
      </c>
      <c r="E72" s="526"/>
      <c r="F72" s="550">
        <v>45994</v>
      </c>
      <c r="G72" s="553"/>
      <c r="H72" s="528">
        <f>VLOOKUP(F72,환율!A:B,2,0)</f>
        <v>1469.6</v>
      </c>
      <c r="I72" s="554">
        <v>2505.14</v>
      </c>
      <c r="J72" s="530">
        <f t="shared" ref="J72" si="22">ROUNDDOWN(I72*H72,0)</f>
        <v>3681553</v>
      </c>
      <c r="K72" s="530"/>
      <c r="L72" s="548">
        <f>J72</f>
        <v>3681553</v>
      </c>
      <c r="M72" s="664"/>
      <c r="N72" s="403"/>
      <c r="T72" s="434"/>
      <c r="U72" s="441"/>
    </row>
    <row r="73" spans="1:21" s="97" customFormat="1" ht="27" customHeight="1">
      <c r="A73" s="2035" t="s">
        <v>10</v>
      </c>
      <c r="B73" s="2036"/>
      <c r="C73" s="2036"/>
      <c r="D73" s="2036"/>
      <c r="E73" s="2036"/>
      <c r="F73" s="2036"/>
      <c r="G73" s="2036"/>
      <c r="H73" s="2037"/>
      <c r="I73" s="643">
        <f>SUM(I66:I72)</f>
        <v>43708.399999999994</v>
      </c>
      <c r="J73" s="160">
        <f>SUM(J66:J72)</f>
        <v>64149449</v>
      </c>
      <c r="K73" s="116">
        <f>SUM(K66:K72)</f>
        <v>60467896</v>
      </c>
      <c r="L73" s="260">
        <f>SUM(L66:L72)</f>
        <v>3681553</v>
      </c>
      <c r="M73" s="666"/>
      <c r="N73" s="364"/>
      <c r="O73" s="434"/>
      <c r="P73" s="434"/>
      <c r="Q73" s="434"/>
      <c r="S73" s="434"/>
      <c r="T73" s="434"/>
      <c r="U73" s="441"/>
    </row>
    <row r="74" spans="1:21" s="97" customFormat="1" ht="34.5" customHeight="1">
      <c r="A74" s="2012" t="s">
        <v>3106</v>
      </c>
      <c r="B74" s="174" t="s">
        <v>3622</v>
      </c>
      <c r="C74" s="145" t="s">
        <v>3632</v>
      </c>
      <c r="D74" s="145" t="s">
        <v>3625</v>
      </c>
      <c r="E74" s="288"/>
      <c r="F74" s="136">
        <v>45985</v>
      </c>
      <c r="G74" s="136"/>
      <c r="H74" s="91">
        <f>VLOOKUP(F74,환율!A:B,2,0)</f>
        <v>1472</v>
      </c>
      <c r="I74" s="118">
        <v>17526.2</v>
      </c>
      <c r="J74" s="93">
        <f t="shared" ref="J74" si="23">ROUNDDOWN(I74*H74,0)</f>
        <v>25798566</v>
      </c>
      <c r="K74" s="93">
        <f t="shared" ref="K74" si="24">J74</f>
        <v>25798566</v>
      </c>
      <c r="L74" s="254"/>
      <c r="M74" s="664"/>
      <c r="N74" s="401"/>
      <c r="O74" s="434"/>
      <c r="P74" s="434"/>
      <c r="Q74" s="434"/>
      <c r="S74" s="434"/>
      <c r="T74" s="434"/>
      <c r="U74" s="441"/>
    </row>
    <row r="75" spans="1:21" s="97" customFormat="1">
      <c r="A75" s="2053"/>
      <c r="B75" s="524" t="s">
        <v>3623</v>
      </c>
      <c r="C75" s="603" t="s">
        <v>3629</v>
      </c>
      <c r="D75" s="603" t="s">
        <v>3626</v>
      </c>
      <c r="E75" s="526"/>
      <c r="F75" s="550">
        <v>45995</v>
      </c>
      <c r="G75" s="550"/>
      <c r="H75" s="528">
        <f>VLOOKUP(F75,환율!A:B,2,0)</f>
        <v>1468.7</v>
      </c>
      <c r="I75" s="554">
        <v>8163.21</v>
      </c>
      <c r="J75" s="530">
        <f t="shared" ref="J75:J76" si="25">ROUNDDOWN(I75*H75,0)</f>
        <v>11989306</v>
      </c>
      <c r="K75" s="530"/>
      <c r="L75" s="548">
        <f>J75</f>
        <v>11989306</v>
      </c>
      <c r="M75" s="664"/>
      <c r="N75" s="401"/>
      <c r="O75" s="434"/>
      <c r="P75" s="434"/>
      <c r="Q75" s="434"/>
      <c r="S75" s="434"/>
      <c r="T75" s="434"/>
      <c r="U75" s="441"/>
    </row>
    <row r="76" spans="1:21" s="97" customFormat="1">
      <c r="A76" s="2013"/>
      <c r="B76" s="524" t="s">
        <v>3624</v>
      </c>
      <c r="C76" s="603" t="s">
        <v>3629</v>
      </c>
      <c r="D76" s="603" t="s">
        <v>3627</v>
      </c>
      <c r="E76" s="526"/>
      <c r="F76" s="550">
        <v>46001</v>
      </c>
      <c r="G76" s="550"/>
      <c r="H76" s="528">
        <f>VLOOKUP(F76,환율!A:B,2,0)</f>
        <v>1470.4</v>
      </c>
      <c r="I76" s="554">
        <v>30971.24</v>
      </c>
      <c r="J76" s="530">
        <f t="shared" si="25"/>
        <v>45540111</v>
      </c>
      <c r="K76" s="530"/>
      <c r="L76" s="548">
        <f>J76</f>
        <v>45540111</v>
      </c>
      <c r="M76" s="664"/>
      <c r="N76" s="401"/>
      <c r="O76" s="434"/>
      <c r="P76" s="434"/>
      <c r="Q76" s="434"/>
      <c r="S76" s="434"/>
      <c r="T76" s="434"/>
      <c r="U76" s="441"/>
    </row>
    <row r="77" spans="1:21" s="97" customFormat="1" ht="27" customHeight="1">
      <c r="A77" s="2035" t="s">
        <v>10</v>
      </c>
      <c r="B77" s="2036"/>
      <c r="C77" s="2036"/>
      <c r="D77" s="2036"/>
      <c r="E77" s="2036"/>
      <c r="F77" s="2036"/>
      <c r="G77" s="2036"/>
      <c r="H77" s="2037"/>
      <c r="I77" s="643">
        <f>SUM(I74:I76)</f>
        <v>56660.65</v>
      </c>
      <c r="J77" s="116">
        <f t="shared" ref="J77:L77" si="26">SUM(J74:J76)</f>
        <v>83327983</v>
      </c>
      <c r="K77" s="116">
        <f t="shared" si="26"/>
        <v>25798566</v>
      </c>
      <c r="L77" s="260">
        <f t="shared" si="26"/>
        <v>57529417</v>
      </c>
      <c r="M77" s="666"/>
      <c r="N77" s="366"/>
      <c r="O77" s="434"/>
      <c r="P77" s="434"/>
      <c r="Q77" s="434"/>
      <c r="S77" s="434"/>
      <c r="T77" s="434"/>
      <c r="U77" s="441"/>
    </row>
    <row r="78" spans="1:21" s="97" customFormat="1" ht="27" customHeight="1">
      <c r="A78" s="2010" t="s">
        <v>3108</v>
      </c>
      <c r="B78" s="510" t="s">
        <v>3521</v>
      </c>
      <c r="C78" s="619" t="s">
        <v>3632</v>
      </c>
      <c r="D78" s="460" t="s">
        <v>3522</v>
      </c>
      <c r="E78" s="460"/>
      <c r="F78" s="455">
        <v>45964</v>
      </c>
      <c r="G78" s="455"/>
      <c r="H78" s="488">
        <v>9.2609999999999992</v>
      </c>
      <c r="I78" s="468">
        <v>18753536</v>
      </c>
      <c r="J78" s="458">
        <f t="shared" ref="J78:J88" si="27">ROUNDDOWN(I78*H78,0)</f>
        <v>173676496</v>
      </c>
      <c r="K78" s="458">
        <f>J78</f>
        <v>173676496</v>
      </c>
      <c r="L78" s="464"/>
      <c r="M78" s="663" t="s">
        <v>3628</v>
      </c>
      <c r="N78" s="366"/>
      <c r="O78" s="434"/>
      <c r="P78" s="434"/>
      <c r="Q78" s="434"/>
      <c r="S78" s="434"/>
      <c r="T78" s="434"/>
      <c r="U78" s="441"/>
    </row>
    <row r="79" spans="1:21" s="97" customFormat="1" ht="27" customHeight="1">
      <c r="A79" s="2011"/>
      <c r="B79" s="146" t="s">
        <v>3603</v>
      </c>
      <c r="C79" s="89" t="s">
        <v>3632</v>
      </c>
      <c r="D79" s="146" t="s">
        <v>3616</v>
      </c>
      <c r="E79" s="136"/>
      <c r="F79" s="90">
        <v>45969</v>
      </c>
      <c r="G79" s="90"/>
      <c r="H79" s="397">
        <v>9.4487000000000005</v>
      </c>
      <c r="I79" s="177">
        <v>14362471</v>
      </c>
      <c r="J79" s="93">
        <f t="shared" si="27"/>
        <v>135706679</v>
      </c>
      <c r="K79" s="93">
        <f>J79</f>
        <v>135706679</v>
      </c>
      <c r="L79" s="263"/>
      <c r="M79" s="677"/>
      <c r="N79" s="364"/>
      <c r="T79" s="434"/>
      <c r="U79" s="441"/>
    </row>
    <row r="80" spans="1:21" s="97" customFormat="1" ht="27" customHeight="1">
      <c r="A80" s="2011"/>
      <c r="B80" s="146" t="s">
        <v>3604</v>
      </c>
      <c r="C80" s="89" t="s">
        <v>3632</v>
      </c>
      <c r="D80" s="146" t="s">
        <v>3615</v>
      </c>
      <c r="E80" s="136"/>
      <c r="F80" s="90">
        <v>45977</v>
      </c>
      <c r="G80" s="90"/>
      <c r="H80" s="397">
        <v>9.5067000000000004</v>
      </c>
      <c r="I80" s="177">
        <v>12793930</v>
      </c>
      <c r="J80" s="93">
        <f t="shared" ref="J80:J87" si="28">ROUNDDOWN(I80*H80,0)</f>
        <v>121628054</v>
      </c>
      <c r="K80" s="93">
        <f t="shared" ref="K80:K87" si="29">J80</f>
        <v>121628054</v>
      </c>
      <c r="L80" s="263"/>
      <c r="M80" s="677"/>
      <c r="N80" s="364"/>
      <c r="T80" s="434"/>
      <c r="U80" s="441"/>
    </row>
    <row r="81" spans="1:21" s="97" customFormat="1" ht="27" customHeight="1">
      <c r="A81" s="2011"/>
      <c r="B81" s="146" t="s">
        <v>3605</v>
      </c>
      <c r="C81" s="89" t="s">
        <v>3632</v>
      </c>
      <c r="D81" s="146" t="s">
        <v>3614</v>
      </c>
      <c r="E81" s="136"/>
      <c r="F81" s="90">
        <v>45984</v>
      </c>
      <c r="G81" s="90"/>
      <c r="H81" s="397">
        <v>9.3302999999999994</v>
      </c>
      <c r="I81" s="177">
        <v>10978752</v>
      </c>
      <c r="J81" s="93">
        <f t="shared" si="28"/>
        <v>102435049</v>
      </c>
      <c r="K81" s="93">
        <f t="shared" si="29"/>
        <v>102435049</v>
      </c>
      <c r="L81" s="263"/>
      <c r="M81" s="677"/>
      <c r="N81" s="364"/>
      <c r="T81" s="434"/>
      <c r="U81" s="441"/>
    </row>
    <row r="82" spans="1:21" s="97" customFormat="1" ht="27" customHeight="1">
      <c r="A82" s="2011"/>
      <c r="B82" s="146" t="s">
        <v>3606</v>
      </c>
      <c r="C82" s="89" t="s">
        <v>3632</v>
      </c>
      <c r="D82" s="146" t="s">
        <v>3613</v>
      </c>
      <c r="E82" s="136"/>
      <c r="F82" s="90">
        <v>45990</v>
      </c>
      <c r="G82" s="90"/>
      <c r="H82" s="176">
        <v>9.3728999999999996</v>
      </c>
      <c r="I82" s="177">
        <v>17201640</v>
      </c>
      <c r="J82" s="93">
        <f t="shared" si="28"/>
        <v>161229251</v>
      </c>
      <c r="K82" s="93">
        <f t="shared" si="29"/>
        <v>161229251</v>
      </c>
      <c r="L82" s="254"/>
      <c r="M82" s="664"/>
      <c r="N82" s="402"/>
      <c r="T82" s="434"/>
      <c r="U82" s="441"/>
    </row>
    <row r="83" spans="1:21" s="97" customFormat="1" ht="27" customHeight="1">
      <c r="A83" s="2011"/>
      <c r="B83" s="146" t="s">
        <v>3607</v>
      </c>
      <c r="C83" s="89" t="s">
        <v>3632</v>
      </c>
      <c r="D83" s="146" t="s">
        <v>3617</v>
      </c>
      <c r="E83" s="136"/>
      <c r="F83" s="90">
        <v>45991</v>
      </c>
      <c r="G83" s="90"/>
      <c r="H83" s="176">
        <v>9.3728999999999996</v>
      </c>
      <c r="I83" s="177">
        <v>12959060</v>
      </c>
      <c r="J83" s="93">
        <f t="shared" si="28"/>
        <v>121463973</v>
      </c>
      <c r="K83" s="93">
        <f t="shared" si="29"/>
        <v>121463973</v>
      </c>
      <c r="L83" s="254"/>
      <c r="M83" s="664"/>
      <c r="N83" s="402"/>
      <c r="T83" s="434"/>
      <c r="U83" s="441"/>
    </row>
    <row r="84" spans="1:21" s="97" customFormat="1" ht="27" customHeight="1">
      <c r="A84" s="2011"/>
      <c r="B84" s="420" t="s">
        <v>3608</v>
      </c>
      <c r="C84" s="379" t="s">
        <v>3629</v>
      </c>
      <c r="D84" s="420" t="s">
        <v>3528</v>
      </c>
      <c r="E84" s="421"/>
      <c r="F84" s="381">
        <v>45964</v>
      </c>
      <c r="G84" s="381"/>
      <c r="H84" s="424">
        <v>9.2609999999999992</v>
      </c>
      <c r="I84" s="425">
        <v>483000</v>
      </c>
      <c r="J84" s="384">
        <f t="shared" si="28"/>
        <v>4473063</v>
      </c>
      <c r="K84" s="384">
        <f t="shared" si="29"/>
        <v>4473063</v>
      </c>
      <c r="L84" s="386"/>
      <c r="M84" s="664"/>
      <c r="N84" s="402"/>
      <c r="T84" s="434"/>
      <c r="U84" s="441"/>
    </row>
    <row r="85" spans="1:21" s="97" customFormat="1" ht="27" customHeight="1">
      <c r="A85" s="2011"/>
      <c r="B85" s="420" t="s">
        <v>3609</v>
      </c>
      <c r="C85" s="379" t="s">
        <v>3629</v>
      </c>
      <c r="D85" s="420" t="s">
        <v>3528</v>
      </c>
      <c r="E85" s="421"/>
      <c r="F85" s="381">
        <v>45964</v>
      </c>
      <c r="G85" s="381"/>
      <c r="H85" s="424">
        <v>9.2609999999999992</v>
      </c>
      <c r="I85" s="425">
        <v>463000</v>
      </c>
      <c r="J85" s="384">
        <f t="shared" si="28"/>
        <v>4287843</v>
      </c>
      <c r="K85" s="384">
        <f t="shared" si="29"/>
        <v>4287843</v>
      </c>
      <c r="L85" s="386"/>
      <c r="M85" s="664"/>
      <c r="N85" s="402"/>
      <c r="T85" s="434"/>
      <c r="U85" s="441"/>
    </row>
    <row r="86" spans="1:21" s="97" customFormat="1" ht="27" customHeight="1">
      <c r="A86" s="2011"/>
      <c r="B86" s="420" t="s">
        <v>3610</v>
      </c>
      <c r="C86" s="379" t="s">
        <v>3629</v>
      </c>
      <c r="D86" s="420" t="s">
        <v>3528</v>
      </c>
      <c r="E86" s="421"/>
      <c r="F86" s="381">
        <v>45964</v>
      </c>
      <c r="G86" s="381"/>
      <c r="H86" s="424">
        <v>9.2609999999999992</v>
      </c>
      <c r="I86" s="425">
        <v>105000</v>
      </c>
      <c r="J86" s="384">
        <f t="shared" si="28"/>
        <v>972405</v>
      </c>
      <c r="K86" s="384">
        <f t="shared" si="29"/>
        <v>972405</v>
      </c>
      <c r="L86" s="386"/>
      <c r="M86" s="664"/>
      <c r="N86" s="402"/>
      <c r="T86" s="434"/>
      <c r="U86" s="441"/>
    </row>
    <row r="87" spans="1:21" s="97" customFormat="1" ht="27" customHeight="1">
      <c r="A87" s="2011"/>
      <c r="B87" s="420" t="s">
        <v>3611</v>
      </c>
      <c r="C87" s="379" t="s">
        <v>3629</v>
      </c>
      <c r="D87" s="420" t="s">
        <v>3528</v>
      </c>
      <c r="E87" s="421"/>
      <c r="F87" s="381">
        <v>45964</v>
      </c>
      <c r="G87" s="381"/>
      <c r="H87" s="424">
        <v>9.2609999999999992</v>
      </c>
      <c r="I87" s="425">
        <v>218000</v>
      </c>
      <c r="J87" s="384">
        <f t="shared" si="28"/>
        <v>2018898</v>
      </c>
      <c r="K87" s="384">
        <f t="shared" si="29"/>
        <v>2018898</v>
      </c>
      <c r="L87" s="386"/>
      <c r="M87" s="664"/>
      <c r="N87" s="402"/>
      <c r="T87" s="434"/>
      <c r="U87" s="441"/>
    </row>
    <row r="88" spans="1:21" s="97" customFormat="1" ht="27" customHeight="1">
      <c r="A88" s="2011"/>
      <c r="B88" s="420" t="s">
        <v>3612</v>
      </c>
      <c r="C88" s="379" t="s">
        <v>3629</v>
      </c>
      <c r="D88" s="420" t="s">
        <v>3528</v>
      </c>
      <c r="E88" s="421"/>
      <c r="F88" s="381">
        <v>45964</v>
      </c>
      <c r="G88" s="381"/>
      <c r="H88" s="424">
        <v>9.2609999999999992</v>
      </c>
      <c r="I88" s="425">
        <v>165000</v>
      </c>
      <c r="J88" s="384">
        <f t="shared" si="27"/>
        <v>1528065</v>
      </c>
      <c r="K88" s="384">
        <f t="shared" ref="K88" si="30">J88</f>
        <v>1528065</v>
      </c>
      <c r="L88" s="386"/>
      <c r="M88" s="664"/>
      <c r="N88" s="402"/>
      <c r="T88" s="434"/>
      <c r="U88" s="441"/>
    </row>
    <row r="89" spans="1:21" s="97" customFormat="1" ht="27" customHeight="1">
      <c r="A89" s="361" t="s">
        <v>10</v>
      </c>
      <c r="B89" s="113"/>
      <c r="C89" s="113"/>
      <c r="D89" s="113"/>
      <c r="E89" s="113"/>
      <c r="F89" s="113"/>
      <c r="G89" s="113"/>
      <c r="H89" s="114"/>
      <c r="I89" s="644">
        <f>SUM(I78:I88)</f>
        <v>88483389</v>
      </c>
      <c r="J89" s="116">
        <f>SUM(J78:J88)</f>
        <v>829419776</v>
      </c>
      <c r="K89" s="116">
        <f>SUM(K78:K88)</f>
        <v>829419776</v>
      </c>
      <c r="L89" s="260">
        <f>SUM(L78:L88)</f>
        <v>0</v>
      </c>
      <c r="M89" s="666"/>
      <c r="T89" s="434"/>
      <c r="U89" s="441"/>
    </row>
    <row r="90" spans="1:21" s="97" customFormat="1" ht="27" customHeight="1">
      <c r="A90" s="2010" t="s">
        <v>3107</v>
      </c>
      <c r="B90" s="174" t="s">
        <v>3618</v>
      </c>
      <c r="C90" s="174" t="s">
        <v>3629</v>
      </c>
      <c r="D90" s="174" t="s">
        <v>3620</v>
      </c>
      <c r="E90" s="146"/>
      <c r="F90" s="146">
        <v>45970</v>
      </c>
      <c r="G90" s="607"/>
      <c r="H90" s="176">
        <v>9.4487000000000005</v>
      </c>
      <c r="I90" s="177">
        <v>4439898</v>
      </c>
      <c r="J90" s="93">
        <f t="shared" ref="J90:J91" si="31">ROUNDDOWN(I90*H90,0)</f>
        <v>41951264</v>
      </c>
      <c r="K90" s="93">
        <f t="shared" ref="K90:K91" si="32">J90</f>
        <v>41951264</v>
      </c>
      <c r="L90" s="256"/>
      <c r="M90" s="670"/>
      <c r="T90" s="434"/>
      <c r="U90" s="441"/>
    </row>
    <row r="91" spans="1:21" s="97" customFormat="1" ht="27" customHeight="1">
      <c r="A91" s="2011"/>
      <c r="B91" s="174" t="s">
        <v>3619</v>
      </c>
      <c r="C91" s="174" t="s">
        <v>3629</v>
      </c>
      <c r="D91" s="174" t="s">
        <v>3621</v>
      </c>
      <c r="E91" s="146"/>
      <c r="F91" s="146">
        <v>45984</v>
      </c>
      <c r="G91" s="607"/>
      <c r="H91" s="176">
        <v>9.3302999999999994</v>
      </c>
      <c r="I91" s="177">
        <v>6659847</v>
      </c>
      <c r="J91" s="93">
        <f t="shared" si="31"/>
        <v>62138370</v>
      </c>
      <c r="K91" s="93">
        <f t="shared" si="32"/>
        <v>62138370</v>
      </c>
      <c r="L91" s="256"/>
      <c r="M91" s="670"/>
      <c r="T91" s="434"/>
      <c r="U91" s="441"/>
    </row>
    <row r="92" spans="1:21" s="97" customFormat="1" ht="27" customHeight="1">
      <c r="A92" s="600"/>
      <c r="B92" s="113"/>
      <c r="C92" s="148"/>
      <c r="D92" s="148"/>
      <c r="E92" s="148"/>
      <c r="F92" s="148"/>
      <c r="G92" s="148"/>
      <c r="H92" s="114"/>
      <c r="I92" s="645">
        <f>SUM(I90:I91)</f>
        <v>11099745</v>
      </c>
      <c r="J92" s="151">
        <f>SUM(J90:J91)</f>
        <v>104089634</v>
      </c>
      <c r="K92" s="151">
        <f>SUM(K90:K91)</f>
        <v>104089634</v>
      </c>
      <c r="L92" s="633">
        <f>SUM(L90:L90)</f>
        <v>0</v>
      </c>
      <c r="M92" s="666"/>
      <c r="T92" s="434"/>
      <c r="U92" s="441"/>
    </row>
    <row r="93" spans="1:21" s="97" customFormat="1" ht="38.4">
      <c r="A93" s="541" t="s">
        <v>3109</v>
      </c>
      <c r="B93" s="174" t="s">
        <v>38</v>
      </c>
      <c r="C93" s="339" t="s">
        <v>3629</v>
      </c>
      <c r="D93" s="136" t="s">
        <v>38</v>
      </c>
      <c r="E93" s="136"/>
      <c r="F93" s="136" t="s">
        <v>38</v>
      </c>
      <c r="G93" s="136"/>
      <c r="H93" s="166">
        <f>VLOOKUP(F93,환율!A:B,2,0)</f>
        <v>0</v>
      </c>
      <c r="I93" s="341"/>
      <c r="J93" s="542">
        <f t="shared" ref="J93" si="33">ROUNDDOWN(I93*H93,0)</f>
        <v>0</v>
      </c>
      <c r="K93" s="542">
        <f>J93</f>
        <v>0</v>
      </c>
      <c r="L93" s="254"/>
      <c r="M93" s="664"/>
      <c r="T93" s="434"/>
      <c r="U93" s="441"/>
    </row>
    <row r="94" spans="1:21" s="97" customFormat="1" ht="27" customHeight="1">
      <c r="A94" s="361" t="s">
        <v>10</v>
      </c>
      <c r="B94" s="113"/>
      <c r="C94" s="113"/>
      <c r="D94" s="113"/>
      <c r="E94" s="113"/>
      <c r="F94" s="113"/>
      <c r="G94" s="113"/>
      <c r="H94" s="114"/>
      <c r="I94" s="643">
        <f>SUM(I93)</f>
        <v>0</v>
      </c>
      <c r="J94" s="116">
        <f>SUM(J93)</f>
        <v>0</v>
      </c>
      <c r="K94" s="116">
        <f>SUM(K93)</f>
        <v>0</v>
      </c>
      <c r="L94" s="260">
        <f>SUM(L93)</f>
        <v>0</v>
      </c>
      <c r="M94" s="666"/>
      <c r="T94" s="434"/>
      <c r="U94" s="441"/>
    </row>
    <row r="95" spans="1:21" s="97" customFormat="1" ht="34.5" customHeight="1">
      <c r="A95" s="2118" t="s">
        <v>3110</v>
      </c>
      <c r="B95" s="301" t="s">
        <v>3630</v>
      </c>
      <c r="C95" s="332" t="s">
        <v>3629</v>
      </c>
      <c r="D95" s="303"/>
      <c r="E95" s="303"/>
      <c r="F95" s="303">
        <v>45942</v>
      </c>
      <c r="G95" s="303"/>
      <c r="H95" s="304">
        <f>VLOOKUP(F95,환율!A:B,2,0)</f>
        <v>1401.9</v>
      </c>
      <c r="I95" s="341"/>
      <c r="J95" s="335">
        <v>21526400</v>
      </c>
      <c r="K95" s="335">
        <f>J95</f>
        <v>21526400</v>
      </c>
      <c r="L95" s="337"/>
      <c r="M95" s="671"/>
      <c r="T95" s="434"/>
      <c r="U95" s="441"/>
    </row>
    <row r="96" spans="1:21" s="97" customFormat="1" ht="34.5" customHeight="1">
      <c r="A96" s="2119"/>
      <c r="B96" s="301" t="s">
        <v>3631</v>
      </c>
      <c r="C96" s="332" t="s">
        <v>3629</v>
      </c>
      <c r="D96" s="303"/>
      <c r="E96" s="303"/>
      <c r="F96" s="303">
        <v>45957</v>
      </c>
      <c r="G96" s="303"/>
      <c r="H96" s="304">
        <f>VLOOKUP(F96,환율!A:B,2,0)</f>
        <v>1436.1</v>
      </c>
      <c r="I96" s="341"/>
      <c r="J96" s="335">
        <v>21526400</v>
      </c>
      <c r="K96" s="335">
        <f>J96</f>
        <v>21526400</v>
      </c>
      <c r="L96" s="337"/>
      <c r="M96" s="671"/>
      <c r="T96" s="434"/>
      <c r="U96" s="441"/>
    </row>
    <row r="97" spans="1:21" s="496" customFormat="1" ht="27" customHeight="1" thickBot="1">
      <c r="A97" s="599" t="s">
        <v>10</v>
      </c>
      <c r="B97" s="266"/>
      <c r="C97" s="266"/>
      <c r="D97" s="266"/>
      <c r="E97" s="266"/>
      <c r="F97" s="266"/>
      <c r="G97" s="266"/>
      <c r="H97" s="267"/>
      <c r="I97" s="646"/>
      <c r="J97" s="269">
        <f>SUM(J95:J95)</f>
        <v>21526400</v>
      </c>
      <c r="K97" s="269">
        <f>SUM(K95:K95)</f>
        <v>21526400</v>
      </c>
      <c r="L97" s="506">
        <f>SUM(L95:L95)</f>
        <v>0</v>
      </c>
      <c r="M97" s="672"/>
      <c r="N97" s="493"/>
      <c r="O97" s="434"/>
      <c r="P97" s="434"/>
      <c r="Q97" s="434"/>
      <c r="R97" s="434"/>
      <c r="S97" s="434"/>
      <c r="T97" s="494"/>
      <c r="U97" s="495"/>
    </row>
    <row r="98" spans="1:21" s="496" customFormat="1" ht="27" customHeight="1" thickBot="1">
      <c r="A98" s="601" t="s">
        <v>1176</v>
      </c>
      <c r="B98" s="597"/>
      <c r="C98" s="597"/>
      <c r="D98" s="597"/>
      <c r="E98" s="597"/>
      <c r="F98" s="598"/>
      <c r="G98" s="532"/>
      <c r="H98" s="2095" t="s">
        <v>2334</v>
      </c>
      <c r="I98" s="647" t="s">
        <v>17</v>
      </c>
      <c r="J98" s="194">
        <f>+J100-J99</f>
        <v>5930346259</v>
      </c>
      <c r="K98" s="210">
        <f>K100-K99</f>
        <v>4182454268</v>
      </c>
      <c r="L98" s="210">
        <f>L100-L99</f>
        <v>1747891991</v>
      </c>
      <c r="M98" s="673"/>
      <c r="N98" s="493"/>
      <c r="O98" s="434"/>
      <c r="P98" s="434"/>
      <c r="Q98" s="434"/>
      <c r="R98" s="434"/>
      <c r="S98" s="434"/>
      <c r="T98" s="494"/>
      <c r="U98" s="495"/>
    </row>
    <row r="99" spans="1:21" s="496" customFormat="1" ht="27" customHeight="1">
      <c r="A99" s="239" t="s">
        <v>20</v>
      </c>
      <c r="B99" s="195" t="s">
        <v>21</v>
      </c>
      <c r="C99" s="196"/>
      <c r="D99" s="196" t="s">
        <v>20</v>
      </c>
      <c r="E99" s="314"/>
      <c r="F99" s="197" t="s">
        <v>21</v>
      </c>
      <c r="G99" s="533"/>
      <c r="H99" s="2096"/>
      <c r="I99" s="648" t="s">
        <v>18</v>
      </c>
      <c r="J99" s="210">
        <f>SUM(J16:J18,J62)</f>
        <v>191009444</v>
      </c>
      <c r="K99" s="210">
        <f>J99</f>
        <v>191009444</v>
      </c>
      <c r="L99" s="219">
        <v>0</v>
      </c>
      <c r="M99" s="673"/>
      <c r="N99" s="493"/>
      <c r="O99" s="434"/>
      <c r="P99" s="434"/>
      <c r="Q99" s="434"/>
      <c r="R99" s="434"/>
      <c r="S99" s="434"/>
      <c r="T99" s="494"/>
      <c r="U99" s="495"/>
    </row>
    <row r="100" spans="1:21" s="496" customFormat="1" ht="27" customHeight="1" thickBot="1">
      <c r="A100" s="240" t="s">
        <v>9</v>
      </c>
      <c r="B100" s="199">
        <f>L21</f>
        <v>756304715</v>
      </c>
      <c r="C100" s="199"/>
      <c r="D100" s="200" t="s">
        <v>721</v>
      </c>
      <c r="E100" s="315"/>
      <c r="F100" s="201">
        <v>0</v>
      </c>
      <c r="G100" s="534"/>
      <c r="H100" s="2097"/>
      <c r="I100" s="649" t="s">
        <v>19</v>
      </c>
      <c r="J100" s="210">
        <f>SUM(J97,J94,J89,J77,J73,J65,J63,J61,J55,J53,J28,J21,J92)</f>
        <v>6121355703</v>
      </c>
      <c r="K100" s="221">
        <f>I107+J107</f>
        <v>4373463712</v>
      </c>
      <c r="L100" s="210">
        <f>SUM(L21,L28,L53,L55,L61,L63,L65,L73,L77,L89,L97)+L94+L92</f>
        <v>1747891991</v>
      </c>
      <c r="M100" s="673"/>
      <c r="N100" s="622" t="b">
        <f>J100-K100=L100</f>
        <v>1</v>
      </c>
      <c r="O100" s="636"/>
      <c r="P100" s="434"/>
      <c r="Q100" s="434"/>
      <c r="R100" s="434"/>
      <c r="S100" s="434"/>
      <c r="T100" s="494"/>
      <c r="U100" s="495"/>
    </row>
    <row r="101" spans="1:21" s="496" customFormat="1" ht="27" customHeight="1">
      <c r="A101" s="240" t="s">
        <v>11</v>
      </c>
      <c r="B101" s="199">
        <f>L28</f>
        <v>256480841</v>
      </c>
      <c r="C101" s="199"/>
      <c r="D101" s="200" t="s">
        <v>2950</v>
      </c>
      <c r="E101" s="315"/>
      <c r="F101" s="201">
        <f>L65</f>
        <v>0</v>
      </c>
      <c r="G101" s="535"/>
      <c r="H101" s="296" t="s">
        <v>20</v>
      </c>
      <c r="I101" s="650" t="s">
        <v>2011</v>
      </c>
      <c r="J101" s="298" t="s">
        <v>237</v>
      </c>
      <c r="K101" s="298" t="s">
        <v>111</v>
      </c>
      <c r="L101" s="234" t="s">
        <v>32</v>
      </c>
      <c r="M101" s="660"/>
      <c r="N101" s="493"/>
      <c r="O101" s="636"/>
      <c r="P101" s="434"/>
      <c r="Q101" s="434"/>
      <c r="R101" s="434"/>
      <c r="S101" s="434"/>
      <c r="T101" s="494"/>
      <c r="U101" s="495"/>
    </row>
    <row r="102" spans="1:21" s="496" customFormat="1" ht="27" customHeight="1">
      <c r="A102" s="241" t="s">
        <v>114</v>
      </c>
      <c r="B102" s="199">
        <f>L53</f>
        <v>486964796</v>
      </c>
      <c r="C102" s="199"/>
      <c r="D102" s="293" t="s">
        <v>14</v>
      </c>
      <c r="E102" s="316"/>
      <c r="F102" s="294">
        <f>L73</f>
        <v>3681553</v>
      </c>
      <c r="G102" s="536"/>
      <c r="H102" s="211" t="s">
        <v>22</v>
      </c>
      <c r="I102" s="651">
        <f>SUM(J78)</f>
        <v>173676496</v>
      </c>
      <c r="J102" s="199">
        <f>SUM(K89,K92)-I102</f>
        <v>759832914</v>
      </c>
      <c r="K102" s="199">
        <f>L89</f>
        <v>0</v>
      </c>
      <c r="L102" s="201">
        <f>SUM(I102:J102)</f>
        <v>933509410</v>
      </c>
      <c r="M102" s="673"/>
      <c r="N102" s="493"/>
      <c r="O102" s="434"/>
      <c r="P102" s="434"/>
      <c r="Q102" s="434"/>
      <c r="R102" s="434"/>
      <c r="S102" s="434"/>
      <c r="T102" s="494"/>
      <c r="U102" s="495"/>
    </row>
    <row r="103" spans="1:21" s="97" customFormat="1" ht="27" customHeight="1">
      <c r="A103" s="241" t="s">
        <v>153</v>
      </c>
      <c r="B103" s="199">
        <v>0</v>
      </c>
      <c r="C103" s="199"/>
      <c r="D103" s="293" t="s">
        <v>15</v>
      </c>
      <c r="E103" s="317"/>
      <c r="F103" s="295">
        <f>L77</f>
        <v>57529417</v>
      </c>
      <c r="G103" s="537"/>
      <c r="H103" s="211" t="s">
        <v>23</v>
      </c>
      <c r="I103" s="651">
        <f>SUM(J22,J29:J36,J56:J57,J64)</f>
        <v>622633301</v>
      </c>
      <c r="J103" s="199">
        <f>SUM(K28,K53,K55,K61,K65)-I103</f>
        <v>1073629146</v>
      </c>
      <c r="K103" s="199">
        <f>SUM(L28,L53,L61)</f>
        <v>930376306</v>
      </c>
      <c r="L103" s="201">
        <f>SUM(I103:J103)</f>
        <v>1696262447</v>
      </c>
      <c r="M103" s="673"/>
      <c r="N103" s="402"/>
      <c r="O103" s="438"/>
      <c r="P103" s="434"/>
      <c r="Q103" s="434"/>
      <c r="R103" s="434"/>
      <c r="S103" s="434"/>
    </row>
    <row r="104" spans="1:21" s="97" customFormat="1" ht="27" customHeight="1">
      <c r="A104" s="241" t="s">
        <v>719</v>
      </c>
      <c r="B104" s="199">
        <v>0</v>
      </c>
      <c r="C104" s="199"/>
      <c r="D104" s="293" t="s">
        <v>53</v>
      </c>
      <c r="E104" s="316"/>
      <c r="F104" s="294">
        <f>L63</f>
        <v>0</v>
      </c>
      <c r="G104" s="536"/>
      <c r="H104" s="211" t="s">
        <v>24</v>
      </c>
      <c r="I104" s="651">
        <f>SUM(J12:J13)</f>
        <v>704253980</v>
      </c>
      <c r="J104" s="199">
        <f>SUM(K21)-I104</f>
        <v>854987338</v>
      </c>
      <c r="K104" s="199">
        <f>SUM(J19:J20)</f>
        <v>756304715</v>
      </c>
      <c r="L104" s="201">
        <f>SUM(I104:J104)</f>
        <v>1559241318</v>
      </c>
      <c r="M104" s="673"/>
      <c r="N104" s="401"/>
      <c r="O104" s="441"/>
    </row>
    <row r="105" spans="1:21" s="97" customFormat="1" ht="27" customHeight="1">
      <c r="A105" s="241" t="s">
        <v>2951</v>
      </c>
      <c r="B105" s="199">
        <f>L61</f>
        <v>186930669</v>
      </c>
      <c r="C105" s="199"/>
      <c r="D105" s="200" t="s">
        <v>252</v>
      </c>
      <c r="E105" s="216"/>
      <c r="F105" s="294">
        <f>L89</f>
        <v>0</v>
      </c>
      <c r="G105" s="538"/>
      <c r="H105" s="211" t="s">
        <v>723</v>
      </c>
      <c r="I105" s="651">
        <f>SUM(J62)</f>
        <v>76657675</v>
      </c>
      <c r="J105" s="199">
        <f>SUM(K94,K77,K73,K63)-I105</f>
        <v>86266462</v>
      </c>
      <c r="K105" s="199">
        <f>SUM(L77,L73)</f>
        <v>61210970</v>
      </c>
      <c r="L105" s="201">
        <f>SUM(I105:J105)</f>
        <v>162924137</v>
      </c>
      <c r="M105" s="673"/>
      <c r="N105" s="401"/>
      <c r="O105" s="441"/>
    </row>
    <row r="106" spans="1:21" s="97" customFormat="1" ht="27" customHeight="1" thickBot="1">
      <c r="A106" s="215" t="s">
        <v>2646</v>
      </c>
      <c r="B106" s="213">
        <f>L94</f>
        <v>0</v>
      </c>
      <c r="C106" s="213"/>
      <c r="D106" s="214"/>
      <c r="E106" s="318"/>
      <c r="F106" s="242"/>
      <c r="G106" s="539"/>
      <c r="H106" s="299" t="s">
        <v>1177</v>
      </c>
      <c r="I106" s="652">
        <v>0</v>
      </c>
      <c r="J106" s="311">
        <f>J97</f>
        <v>21526400</v>
      </c>
      <c r="K106" s="311">
        <v>0</v>
      </c>
      <c r="L106" s="312">
        <f>SUM(I106:J106)</f>
        <v>21526400</v>
      </c>
      <c r="M106" s="674"/>
      <c r="N106" s="364" t="b">
        <f>K107=F107</f>
        <v>1</v>
      </c>
      <c r="O106" s="441"/>
      <c r="P106" s="403"/>
      <c r="Q106" s="403"/>
      <c r="R106" s="403"/>
    </row>
    <row r="107" spans="1:21" s="97" customFormat="1" ht="27" customHeight="1" thickTop="1" thickBot="1">
      <c r="A107" s="243"/>
      <c r="B107" s="244" t="s">
        <v>49</v>
      </c>
      <c r="C107" s="244"/>
      <c r="D107" s="245"/>
      <c r="E107" s="244"/>
      <c r="F107" s="246">
        <f>SUM(B100:B106,F100:F106)</f>
        <v>1747891991</v>
      </c>
      <c r="G107" s="540"/>
      <c r="H107" s="236" t="s">
        <v>16</v>
      </c>
      <c r="I107" s="653">
        <f>SUM(I102:I106)</f>
        <v>1577221452</v>
      </c>
      <c r="J107" s="237">
        <f>SUM(J102:J106)</f>
        <v>2796242260</v>
      </c>
      <c r="K107" s="210">
        <f>SUM(K102:K106)</f>
        <v>1747891991</v>
      </c>
      <c r="L107" s="238">
        <f>+I107+J107</f>
        <v>4373463712</v>
      </c>
      <c r="M107" s="675"/>
      <c r="N107" s="364" t="b">
        <f>K100=J107+I107</f>
        <v>1</v>
      </c>
      <c r="O107" s="441"/>
      <c r="P107" s="403"/>
      <c r="Q107" s="403"/>
      <c r="R107" s="403"/>
    </row>
    <row r="108" spans="1:21" s="97" customFormat="1" ht="27" customHeight="1" thickBot="1">
      <c r="A108"/>
      <c r="B108"/>
      <c r="C108"/>
      <c r="D108"/>
      <c r="E108"/>
      <c r="F108"/>
      <c r="G108"/>
      <c r="H108" s="2047" t="s">
        <v>1685</v>
      </c>
      <c r="I108" s="2048"/>
      <c r="J108" s="2048"/>
      <c r="K108" s="2049"/>
      <c r="L108" s="404">
        <f>L107-L106</f>
        <v>4351937312</v>
      </c>
      <c r="M108" s="675"/>
      <c r="N108" s="366"/>
      <c r="O108" s="441"/>
      <c r="P108" s="403"/>
      <c r="Q108" s="403"/>
      <c r="R108" s="403"/>
    </row>
    <row r="109" spans="1:21" s="97" customFormat="1" ht="27" customHeight="1">
      <c r="A109"/>
      <c r="B109" s="291"/>
      <c r="C109" s="291"/>
      <c r="D109" s="290"/>
      <c r="E109" s="290"/>
      <c r="F109" s="26"/>
      <c r="G109" s="26"/>
      <c r="H109" s="292"/>
      <c r="I109" s="78"/>
      <c r="J109" s="412"/>
      <c r="K109" s="412" t="s">
        <v>3255</v>
      </c>
      <c r="L109" s="13">
        <v>4351937312</v>
      </c>
      <c r="M109" s="83">
        <f>L109-L108</f>
        <v>0</v>
      </c>
      <c r="N109" s="175"/>
      <c r="O109" s="441"/>
      <c r="P109" s="403"/>
      <c r="Q109" s="403"/>
      <c r="R109" s="403"/>
    </row>
    <row r="110" spans="1:21" s="126" customFormat="1" ht="27" customHeight="1">
      <c r="A110"/>
      <c r="B110"/>
      <c r="C110"/>
      <c r="D110" s="290"/>
      <c r="E110" s="290"/>
      <c r="F110" s="26"/>
      <c r="G110" s="26"/>
      <c r="H110" s="292"/>
      <c r="I110" s="78"/>
      <c r="J110" s="412"/>
      <c r="K110"/>
      <c r="L110" s="412" t="b">
        <f>L108=L109</f>
        <v>1</v>
      </c>
      <c r="M110" s="676"/>
      <c r="N110" s="175"/>
      <c r="O110" s="443"/>
      <c r="P110" s="403"/>
      <c r="Q110" s="403"/>
      <c r="R110" s="403"/>
      <c r="S110" s="97"/>
    </row>
    <row r="111" spans="1:21" s="126" customFormat="1" ht="27" customHeight="1">
      <c r="A111"/>
      <c r="B111"/>
      <c r="C111"/>
      <c r="D111" s="290"/>
      <c r="E111" s="290"/>
      <c r="F111" s="26"/>
      <c r="G111" s="26"/>
      <c r="H111" s="292"/>
      <c r="I111" s="78"/>
      <c r="J111" s="26"/>
      <c r="K111"/>
      <c r="L111" s="26"/>
      <c r="M111" s="15"/>
      <c r="N111" s="366"/>
      <c r="O111" s="443"/>
      <c r="P111" s="403"/>
      <c r="Q111" s="403"/>
      <c r="R111" s="403"/>
      <c r="S111" s="97"/>
    </row>
    <row r="112" spans="1:21" s="126" customFormat="1" ht="27" customHeight="1">
      <c r="A112"/>
      <c r="B112"/>
      <c r="C112"/>
      <c r="D112" s="290"/>
      <c r="E112" s="290"/>
      <c r="F112" s="26"/>
      <c r="G112" s="26"/>
      <c r="H112" s="292"/>
      <c r="I112" s="78"/>
      <c r="J112" s="26"/>
      <c r="K112"/>
      <c r="L112" s="26"/>
      <c r="M112" s="15"/>
      <c r="N112" s="364"/>
      <c r="O112" s="443"/>
      <c r="Q112" s="205"/>
      <c r="R112" s="205"/>
    </row>
    <row r="113" spans="1:21" s="126" customFormat="1" ht="27" customHeight="1">
      <c r="A113"/>
      <c r="B113"/>
      <c r="C113"/>
      <c r="D113" s="290"/>
      <c r="E113" s="290"/>
      <c r="F113"/>
      <c r="G113"/>
      <c r="H113" s="13"/>
      <c r="I113" s="78"/>
      <c r="J113" s="26"/>
      <c r="K113"/>
      <c r="L113" s="26"/>
      <c r="M113" s="15"/>
      <c r="N113" s="364"/>
      <c r="O113" s="443"/>
    </row>
    <row r="114" spans="1:21" s="19" customFormat="1" ht="27" customHeight="1">
      <c r="A114"/>
      <c r="B114"/>
      <c r="C114"/>
      <c r="D114"/>
      <c r="E114"/>
      <c r="F114"/>
      <c r="G114"/>
      <c r="H114" s="13"/>
      <c r="I114" s="78"/>
      <c r="J114"/>
      <c r="K114"/>
      <c r="L114"/>
      <c r="N114" s="410"/>
      <c r="O114" s="443"/>
      <c r="P114" s="15"/>
    </row>
    <row r="115" spans="1:21">
      <c r="J115" s="47"/>
      <c r="L115" s="26"/>
      <c r="M115" s="15"/>
      <c r="O115" s="441"/>
      <c r="P115" s="26"/>
      <c r="Q115"/>
      <c r="R115"/>
      <c r="S115"/>
      <c r="T115"/>
      <c r="U115"/>
    </row>
    <row r="116" spans="1:21" s="24" customFormat="1">
      <c r="A116"/>
      <c r="B116"/>
      <c r="C116"/>
      <c r="D116"/>
      <c r="E116"/>
      <c r="F116"/>
      <c r="G116"/>
      <c r="H116"/>
      <c r="I116" s="78"/>
      <c r="J116"/>
      <c r="K116"/>
      <c r="L116"/>
      <c r="M116" s="19"/>
      <c r="O116" s="445"/>
    </row>
    <row r="117" spans="1:21" s="24" customFormat="1">
      <c r="A117"/>
      <c r="B117"/>
      <c r="C117"/>
      <c r="D117"/>
      <c r="E117"/>
      <c r="F117"/>
      <c r="G117"/>
      <c r="H117"/>
      <c r="I117" s="78"/>
      <c r="J117"/>
      <c r="K117"/>
      <c r="L117" s="26"/>
      <c r="M117" s="15"/>
      <c r="O117" s="445"/>
    </row>
    <row r="118" spans="1:21" s="24" customFormat="1">
      <c r="A118"/>
      <c r="B118"/>
      <c r="C118"/>
      <c r="D118"/>
      <c r="E118"/>
      <c r="F118"/>
      <c r="G118"/>
      <c r="H118"/>
      <c r="I118" s="78"/>
      <c r="J118" s="26"/>
      <c r="K118"/>
      <c r="L118"/>
      <c r="M118" s="19"/>
      <c r="P118" s="434"/>
      <c r="Q118" s="440"/>
      <c r="R118" s="440"/>
      <c r="S118" s="440"/>
      <c r="T118" s="440"/>
      <c r="U118" s="445"/>
    </row>
    <row r="119" spans="1:21" s="24" customFormat="1">
      <c r="A119"/>
      <c r="B119"/>
      <c r="C119"/>
      <c r="D119"/>
      <c r="E119"/>
      <c r="F119"/>
      <c r="G119"/>
      <c r="H119"/>
      <c r="I119" s="78"/>
      <c r="J119"/>
      <c r="K119"/>
      <c r="L119" s="26"/>
      <c r="M119" s="15"/>
      <c r="P119" s="434"/>
      <c r="Q119" s="440"/>
      <c r="R119" s="440"/>
      <c r="S119" s="440"/>
      <c r="T119" s="440"/>
      <c r="U119" s="445"/>
    </row>
    <row r="120" spans="1:21" s="24" customFormat="1">
      <c r="A120"/>
      <c r="B120"/>
      <c r="C120"/>
      <c r="D120"/>
      <c r="E120"/>
      <c r="F120"/>
      <c r="G120"/>
      <c r="H120"/>
      <c r="I120" s="78"/>
      <c r="J120"/>
      <c r="K120"/>
      <c r="L120"/>
      <c r="M120" s="19"/>
      <c r="P120" s="434"/>
      <c r="Q120" s="440"/>
      <c r="R120" s="440"/>
      <c r="S120" s="440"/>
      <c r="T120" s="440"/>
      <c r="U120" s="445"/>
    </row>
  </sheetData>
  <autoFilter ref="A10:H111" xr:uid="{00000000-0009-0000-0000-00005C000000}"/>
  <mergeCells count="38">
    <mergeCell ref="A95:A96"/>
    <mergeCell ref="S5:S9"/>
    <mergeCell ref="O3:O9"/>
    <mergeCell ref="P3:P4"/>
    <mergeCell ref="Q3:Q4"/>
    <mergeCell ref="R3:R4"/>
    <mergeCell ref="S3:S4"/>
    <mergeCell ref="P5:P9"/>
    <mergeCell ref="Q5:Q9"/>
    <mergeCell ref="R5:R9"/>
    <mergeCell ref="B10:B11"/>
    <mergeCell ref="C10:C11"/>
    <mergeCell ref="D10:D11"/>
    <mergeCell ref="E10:E11"/>
    <mergeCell ref="F10:F11"/>
    <mergeCell ref="I10:L10"/>
    <mergeCell ref="A73:H73"/>
    <mergeCell ref="A28:H28"/>
    <mergeCell ref="A74:A76"/>
    <mergeCell ref="H10:H11"/>
    <mergeCell ref="A5:I9"/>
    <mergeCell ref="A10:A11"/>
    <mergeCell ref="A78:A88"/>
    <mergeCell ref="A90:A91"/>
    <mergeCell ref="H98:H100"/>
    <mergeCell ref="H108:K108"/>
    <mergeCell ref="A12:A20"/>
    <mergeCell ref="A21:H21"/>
    <mergeCell ref="A22:A27"/>
    <mergeCell ref="A77:H77"/>
    <mergeCell ref="A29:A52"/>
    <mergeCell ref="A53:H53"/>
    <mergeCell ref="A55:H55"/>
    <mergeCell ref="A56:A60"/>
    <mergeCell ref="A61:H61"/>
    <mergeCell ref="A63:H63"/>
    <mergeCell ref="A65:H65"/>
    <mergeCell ref="A66:A72"/>
  </mergeCells>
  <phoneticPr fontId="2" type="noConversion"/>
  <conditionalFormatting sqref="A12:A13 B12:M20 B22:M27 B29:M52 B56:M56 B57:H60 J57:M60 I57:I61 B66:M72 B90:M91">
    <cfRule type="expression" dxfId="486" priority="42">
      <formula>#REF!="*01월*"</formula>
    </cfRule>
  </conditionalFormatting>
  <conditionalFormatting sqref="A21">
    <cfRule type="expression" dxfId="485" priority="43">
      <formula>#REF!="*01월*"</formula>
    </cfRule>
  </conditionalFormatting>
  <conditionalFormatting sqref="A28">
    <cfRule type="expression" dxfId="484" priority="44">
      <formula>#REF!="*01월*"</formula>
    </cfRule>
  </conditionalFormatting>
  <conditionalFormatting sqref="A53:A60">
    <cfRule type="expression" dxfId="483" priority="33">
      <formula>#REF!="*01월*"</formula>
    </cfRule>
  </conditionalFormatting>
  <conditionalFormatting sqref="A62 B70:B71">
    <cfRule type="expression" dxfId="482" priority="21">
      <formula>$F63="*01월*"</formula>
    </cfRule>
  </conditionalFormatting>
  <conditionalFormatting sqref="A65">
    <cfRule type="expression" dxfId="481" priority="41">
      <formula>#REF!="*01월*"</formula>
    </cfRule>
  </conditionalFormatting>
  <conditionalFormatting sqref="A73">
    <cfRule type="expression" dxfId="480" priority="37">
      <formula>#REF!="*01월*"</formula>
    </cfRule>
  </conditionalFormatting>
  <conditionalFormatting sqref="A74 D93:G93 A93:A94 J94:M94">
    <cfRule type="expression" dxfId="479" priority="61">
      <formula>$F79="*01월*"</formula>
    </cfRule>
  </conditionalFormatting>
  <conditionalFormatting sqref="A77:A78">
    <cfRule type="expression" dxfId="478" priority="36">
      <formula>#REF!="*01월*"</formula>
    </cfRule>
  </conditionalFormatting>
  <conditionalFormatting sqref="A89 I89:K89">
    <cfRule type="expression" dxfId="477" priority="63">
      <formula>$F97="*01월*"</formula>
    </cfRule>
  </conditionalFormatting>
  <conditionalFormatting sqref="A90:A91">
    <cfRule type="expression" dxfId="476" priority="62">
      <formula>$F99="*01월*"</formula>
    </cfRule>
  </conditionalFormatting>
  <conditionalFormatting sqref="A92 I92:M92">
    <cfRule type="expression" dxfId="475" priority="59">
      <formula>$F98="*01월*"</formula>
    </cfRule>
  </conditionalFormatting>
  <conditionalFormatting sqref="A11:B11 D11:M11">
    <cfRule type="expression" dxfId="474" priority="50">
      <formula>#REF!="*01월*"</formula>
    </cfRule>
  </conditionalFormatting>
  <conditionalFormatting sqref="A10:M10 B66:C69 F66:G69">
    <cfRule type="expression" dxfId="473" priority="17">
      <formula>$F14="*01월*"</formula>
    </cfRule>
  </conditionalFormatting>
  <conditionalFormatting sqref="A64:M64">
    <cfRule type="expression" dxfId="472" priority="11">
      <formula>#REF!="*01월*"</formula>
    </cfRule>
  </conditionalFormatting>
  <conditionalFormatting sqref="B68:C68 F68:G68 L74:M74 B74:B76 J74:J76 M75 L75:L76">
    <cfRule type="expression" dxfId="471" priority="64">
      <formula>$F71="*01월*"</formula>
    </cfRule>
  </conditionalFormatting>
  <conditionalFormatting sqref="B70:C72 F70:G72">
    <cfRule type="expression" dxfId="470" priority="14">
      <formula>$F77="*01월*"</formula>
    </cfRule>
  </conditionalFormatting>
  <conditionalFormatting sqref="B72:C72 F72:G72 A95 J95:M96">
    <cfRule type="expression" dxfId="469" priority="3">
      <formula>$F74="*01월*"</formula>
    </cfRule>
  </conditionalFormatting>
  <conditionalFormatting sqref="B93:C93">
    <cfRule type="expression" dxfId="468" priority="22">
      <formula>#REF!="*01월*"</formula>
    </cfRule>
  </conditionalFormatting>
  <conditionalFormatting sqref="B95:C96">
    <cfRule type="expression" dxfId="467" priority="1">
      <formula>#REF!="*01월*"</formula>
    </cfRule>
  </conditionalFormatting>
  <conditionalFormatting sqref="B54:M54">
    <cfRule type="expression" dxfId="466" priority="24">
      <formula>#REF!="*01월*"</formula>
    </cfRule>
  </conditionalFormatting>
  <conditionalFormatting sqref="B62:M62">
    <cfRule type="expression" dxfId="465" priority="10">
      <formula>#REF!="*01월*"</formula>
    </cfRule>
  </conditionalFormatting>
  <conditionalFormatting sqref="B78:M88">
    <cfRule type="expression" dxfId="464" priority="2">
      <formula>#REF!="*01월*"</formula>
    </cfRule>
  </conditionalFormatting>
  <conditionalFormatting sqref="C74:I76">
    <cfRule type="expression" dxfId="463" priority="13">
      <formula>#REF!="*01월*"</formula>
    </cfRule>
  </conditionalFormatting>
  <conditionalFormatting sqref="D90:E91">
    <cfRule type="expression" dxfId="462" priority="52">
      <formula>$F93="*01월*"</formula>
    </cfRule>
  </conditionalFormatting>
  <conditionalFormatting sqref="D109:E113">
    <cfRule type="expression" dxfId="461" priority="38">
      <formula>$F111="*01월*"</formula>
    </cfRule>
  </conditionalFormatting>
  <conditionalFormatting sqref="D95:G96">
    <cfRule type="expression" dxfId="460" priority="48">
      <formula>$F97="*01월*"</formula>
    </cfRule>
  </conditionalFormatting>
  <conditionalFormatting sqref="F22:G22 A61 J61:M61 A63 I63:K63 B69:C69 F69:G69 D71:E72 M76 A97:A107 B99:M107 H108:H112">
    <cfRule type="expression" dxfId="459" priority="23">
      <formula>$F24="*01월*"</formula>
    </cfRule>
  </conditionalFormatting>
  <conditionalFormatting sqref="F23:G23">
    <cfRule type="expression" dxfId="458" priority="65">
      <formula>$F28="*01월*"</formula>
    </cfRule>
  </conditionalFormatting>
  <conditionalFormatting sqref="F24:G25">
    <cfRule type="expression" dxfId="457" priority="1379">
      <formula>$F36="*01월*"</formula>
    </cfRule>
  </conditionalFormatting>
  <conditionalFormatting sqref="F24:G26">
    <cfRule type="expression" dxfId="456" priority="55">
      <formula>$F35="*01월*"</formula>
    </cfRule>
  </conditionalFormatting>
  <conditionalFormatting sqref="F24:G27">
    <cfRule type="expression" dxfId="455" priority="4">
      <formula>#REF!="*01월*"</formula>
    </cfRule>
  </conditionalFormatting>
  <conditionalFormatting sqref="F25:G27">
    <cfRule type="expression" dxfId="454" priority="5">
      <formula>$F33="*01월*"</formula>
    </cfRule>
  </conditionalFormatting>
  <conditionalFormatting sqref="F26:G26">
    <cfRule type="expression" dxfId="453" priority="1380">
      <formula>$F36="*01월*"</formula>
    </cfRule>
  </conditionalFormatting>
  <conditionalFormatting sqref="F27:G27">
    <cfRule type="expression" dxfId="452" priority="1408">
      <formula>$F46="*01월*"</formula>
    </cfRule>
  </conditionalFormatting>
  <conditionalFormatting sqref="F46:G46">
    <cfRule type="expression" dxfId="451" priority="1400">
      <formula>$F61="*01월*"</formula>
    </cfRule>
    <cfRule type="expression" dxfId="450" priority="1423">
      <formula>$F72="*01월*"</formula>
    </cfRule>
    <cfRule type="expression" dxfId="449" priority="80">
      <formula>$F56="*01월*"</formula>
    </cfRule>
  </conditionalFormatting>
  <conditionalFormatting sqref="F46:G47">
    <cfRule type="expression" dxfId="448" priority="1398">
      <formula>#REF!="*01월*"</formula>
    </cfRule>
    <cfRule type="expression" dxfId="447" priority="1399">
      <formula>$F62="*01월*"</formula>
    </cfRule>
    <cfRule type="expression" dxfId="446" priority="1412">
      <formula>$F57="*01월*"</formula>
    </cfRule>
    <cfRule type="expression" dxfId="445" priority="1421">
      <formula>$F63="*01월*"</formula>
    </cfRule>
  </conditionalFormatting>
  <conditionalFormatting sqref="F47:G47">
    <cfRule type="expression" dxfId="444" priority="75">
      <formula>$F61="*01월*"</formula>
    </cfRule>
  </conditionalFormatting>
  <conditionalFormatting sqref="H93:I93">
    <cfRule type="expression" dxfId="443" priority="29">
      <formula>#REF!="*01월*"</formula>
    </cfRule>
  </conditionalFormatting>
  <conditionalFormatting sqref="H95:I96">
    <cfRule type="expression" dxfId="442" priority="19">
      <formula>#REF!="*01월*"</formula>
    </cfRule>
  </conditionalFormatting>
  <conditionalFormatting sqref="H98:M98">
    <cfRule type="expression" dxfId="441" priority="9">
      <formula>$F100="*01월*"</formula>
    </cfRule>
  </conditionalFormatting>
  <conditionalFormatting sqref="I65">
    <cfRule type="expression" dxfId="440" priority="27">
      <formula>#REF!="*01월*"</formula>
    </cfRule>
  </conditionalFormatting>
  <conditionalFormatting sqref="I73">
    <cfRule type="expression" dxfId="439" priority="58">
      <formula>$F77="*01월*"</formula>
    </cfRule>
  </conditionalFormatting>
  <conditionalFormatting sqref="I97:K97">
    <cfRule type="expression" dxfId="438" priority="40">
      <formula>$F99="*01월*"</formula>
    </cfRule>
  </conditionalFormatting>
  <conditionalFormatting sqref="I21:M21">
    <cfRule type="expression" dxfId="437" priority="31">
      <formula>#REF!="*01월*"</formula>
    </cfRule>
  </conditionalFormatting>
  <conditionalFormatting sqref="I28:M28">
    <cfRule type="expression" dxfId="436" priority="30">
      <formula>#REF!="*01월*"</formula>
    </cfRule>
  </conditionalFormatting>
  <conditionalFormatting sqref="I53:M53">
    <cfRule type="expression" dxfId="435" priority="25">
      <formula>#REF!="*01월*"</formula>
    </cfRule>
  </conditionalFormatting>
  <conditionalFormatting sqref="I55:M55">
    <cfRule type="expression" dxfId="434" priority="20">
      <formula>#REF!="*01월*"</formula>
    </cfRule>
  </conditionalFormatting>
  <conditionalFormatting sqref="I77:M77">
    <cfRule type="expression" dxfId="433" priority="32">
      <formula>$F82="*01월*"</formula>
    </cfRule>
  </conditionalFormatting>
  <conditionalFormatting sqref="J73">
    <cfRule type="expression" dxfId="432" priority="26">
      <formula>#REF!="*01월*"</formula>
    </cfRule>
  </conditionalFormatting>
  <conditionalFormatting sqref="J65:K65">
    <cfRule type="expression" dxfId="431" priority="7">
      <formula>$F71="*01월*"</formula>
    </cfRule>
  </conditionalFormatting>
  <conditionalFormatting sqref="J93:K93">
    <cfRule type="expression" dxfId="430" priority="53">
      <formula>$F98="*01월*"</formula>
    </cfRule>
  </conditionalFormatting>
  <conditionalFormatting sqref="K74:K76">
    <cfRule type="expression" dxfId="429" priority="46">
      <formula>#REF!="*01월*"</formula>
    </cfRule>
  </conditionalFormatting>
  <conditionalFormatting sqref="K73:M73">
    <cfRule type="expression" dxfId="428" priority="39">
      <formula>$F77="*01월*"</formula>
    </cfRule>
  </conditionalFormatting>
  <conditionalFormatting sqref="L93">
    <cfRule type="expression" dxfId="427" priority="45">
      <formula>#REF!="*01월*"</formula>
    </cfRule>
  </conditionalFormatting>
  <conditionalFormatting sqref="L63:M63 B70:C70 F70:G70 B71:B72">
    <cfRule type="expression" dxfId="426" priority="57">
      <formula>#REF!="*01월*"</formula>
    </cfRule>
  </conditionalFormatting>
  <conditionalFormatting sqref="L65:M65">
    <cfRule type="expression" dxfId="425" priority="6">
      <formula>#REF!="*01월*"</formula>
    </cfRule>
  </conditionalFormatting>
  <conditionalFormatting sqref="L89:M89 I94">
    <cfRule type="expression" dxfId="424" priority="47">
      <formula>#REF!="*01월*"</formula>
    </cfRule>
  </conditionalFormatting>
  <conditionalFormatting sqref="L97:M97">
    <cfRule type="expression" dxfId="423" priority="35">
      <formula>$F103="*01월*"</formula>
    </cfRule>
  </conditionalFormatting>
  <conditionalFormatting sqref="L108:M108">
    <cfRule type="expression" dxfId="422" priority="34">
      <formula>$F110="*01월*"</formula>
    </cfRule>
  </conditionalFormatting>
  <conditionalFormatting sqref="M93">
    <cfRule type="expression" dxfId="421" priority="8">
      <formula>$F94="*01월*"</formula>
    </cfRule>
  </conditionalFormatting>
  <printOptions horizontalCentered="1"/>
  <pageMargins left="0" right="0" top="0.70866141732283472" bottom="0.23622047244094491" header="0" footer="0"/>
  <pageSetup paperSize="9" scale="44" fitToHeight="0" orientation="portrait" r:id="rId1"/>
  <rowBreaks count="1" manualBreakCount="1">
    <brk id="63" max="16383" man="1"/>
  </rowBreaks>
  <colBreaks count="1" manualBreakCount="1">
    <brk id="11" max="1048575" man="1"/>
  </colBreaks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pageSetUpPr fitToPage="1"/>
  </sheetPr>
  <dimension ref="A2:T119"/>
  <sheetViews>
    <sheetView view="pageBreakPreview" zoomScale="70" zoomScaleNormal="70" zoomScaleSheetLayoutView="70" workbookViewId="0">
      <pane xSplit="1" ySplit="11" topLeftCell="B60" activePane="bottomRight" state="frozen"/>
      <selection activeCell="H12" sqref="H12"/>
      <selection pane="topRight" activeCell="H12" sqref="H12"/>
      <selection pane="bottomLeft" activeCell="H12" sqref="H12"/>
      <selection pane="bottomRight" activeCell="G15" sqref="G15"/>
    </sheetView>
  </sheetViews>
  <sheetFormatPr defaultRowHeight="25.2"/>
  <cols>
    <col min="1" max="1" width="18.69921875" customWidth="1"/>
    <col min="2" max="2" width="22.8984375" customWidth="1"/>
    <col min="3" max="3" width="14.69921875" hidden="1" customWidth="1"/>
    <col min="4" max="4" width="29.09765625" customWidth="1"/>
    <col min="5" max="5" width="29.09765625" hidden="1" customWidth="1"/>
    <col min="6" max="6" width="21" customWidth="1"/>
    <col min="7" max="7" width="18.69921875" customWidth="1"/>
    <col min="8" max="8" width="25.69921875" style="78" customWidth="1"/>
    <col min="9" max="9" width="26.5" customWidth="1"/>
    <col min="10" max="10" width="25.09765625" customWidth="1"/>
    <col min="11" max="11" width="29.19921875" customWidth="1"/>
    <col min="12" max="12" width="29.19921875" style="19" customWidth="1"/>
    <col min="13" max="13" width="14.8984375" style="24" customWidth="1"/>
    <col min="14" max="14" width="26.8984375" style="24" bestFit="1" customWidth="1"/>
    <col min="15" max="19" width="17.09765625" style="434" customWidth="1"/>
    <col min="20" max="20" width="9" style="441"/>
  </cols>
  <sheetData>
    <row r="2" spans="1:20" ht="25.8" thickBot="1">
      <c r="F2" s="507"/>
      <c r="H2" s="55"/>
      <c r="I2" s="434"/>
      <c r="J2" s="434"/>
      <c r="K2" s="434"/>
      <c r="L2" s="436"/>
      <c r="M2" s="434"/>
      <c r="N2"/>
      <c r="O2"/>
      <c r="P2"/>
      <c r="Q2"/>
      <c r="R2"/>
      <c r="S2"/>
      <c r="T2"/>
    </row>
    <row r="3" spans="1:20" ht="21.75" customHeight="1" thickTop="1">
      <c r="F3" s="507"/>
      <c r="N3" s="2058" t="s">
        <v>2041</v>
      </c>
      <c r="O3" s="2082" t="s">
        <v>2034</v>
      </c>
      <c r="P3" s="2084" t="s">
        <v>2035</v>
      </c>
      <c r="Q3" s="2084" t="s">
        <v>2063</v>
      </c>
      <c r="R3" s="2086" t="s">
        <v>2036</v>
      </c>
      <c r="S3" s="441"/>
      <c r="T3"/>
    </row>
    <row r="4" spans="1:20" ht="19.5" customHeight="1">
      <c r="F4" t="s">
        <v>3746</v>
      </c>
      <c r="N4" s="2080"/>
      <c r="O4" s="2083"/>
      <c r="P4" s="2085"/>
      <c r="Q4" s="2085"/>
      <c r="R4" s="2087"/>
      <c r="S4" s="441"/>
      <c r="T4"/>
    </row>
    <row r="5" spans="1:20" ht="19.5" customHeight="1">
      <c r="A5" s="2020" t="s">
        <v>3638</v>
      </c>
      <c r="B5" s="2020"/>
      <c r="C5" s="2020"/>
      <c r="D5" s="2020"/>
      <c r="E5" s="2020"/>
      <c r="F5" s="2020"/>
      <c r="G5" s="2020"/>
      <c r="H5" s="2020"/>
      <c r="I5" s="1"/>
      <c r="J5" s="1"/>
      <c r="K5" s="1"/>
      <c r="L5" s="661">
        <f>COUNTIF(C:C,"O")</f>
        <v>31</v>
      </c>
      <c r="N5" s="2080"/>
      <c r="O5" s="2091"/>
      <c r="P5" s="2088"/>
      <c r="Q5" s="2088"/>
      <c r="R5" s="2077"/>
      <c r="S5" s="441"/>
      <c r="T5"/>
    </row>
    <row r="6" spans="1:20" ht="19.5" customHeight="1">
      <c r="A6" s="2020"/>
      <c r="B6" s="2020"/>
      <c r="C6" s="2020"/>
      <c r="D6" s="2020"/>
      <c r="E6" s="2020"/>
      <c r="F6" s="2020"/>
      <c r="G6" s="2020"/>
      <c r="H6" s="2020"/>
      <c r="I6" s="1"/>
      <c r="J6" s="1"/>
      <c r="K6" s="1"/>
      <c r="L6" s="661"/>
      <c r="N6" s="2080"/>
      <c r="O6" s="2092"/>
      <c r="P6" s="2089"/>
      <c r="Q6" s="2089"/>
      <c r="R6" s="2078"/>
      <c r="S6" s="441"/>
      <c r="T6"/>
    </row>
    <row r="7" spans="1:20" ht="19.5" customHeight="1">
      <c r="A7" s="2020"/>
      <c r="B7" s="2020"/>
      <c r="C7" s="2020"/>
      <c r="D7" s="2020"/>
      <c r="E7" s="2020"/>
      <c r="F7" s="2020"/>
      <c r="G7" s="2020"/>
      <c r="H7" s="2020"/>
      <c r="I7" s="1"/>
      <c r="J7" s="1"/>
      <c r="K7" s="1"/>
      <c r="L7" s="661"/>
      <c r="N7" s="2080"/>
      <c r="O7" s="2092"/>
      <c r="P7" s="2089"/>
      <c r="Q7" s="2089"/>
      <c r="R7" s="2078"/>
      <c r="S7" s="441"/>
      <c r="T7"/>
    </row>
    <row r="8" spans="1:20" ht="19.5" customHeight="1">
      <c r="A8" s="2020"/>
      <c r="B8" s="2020"/>
      <c r="C8" s="2020"/>
      <c r="D8" s="2020"/>
      <c r="E8" s="2020"/>
      <c r="F8" s="2020"/>
      <c r="G8" s="2020"/>
      <c r="H8" s="2020"/>
      <c r="I8" s="2"/>
      <c r="J8" s="2"/>
      <c r="K8" s="2"/>
      <c r="L8" s="662"/>
      <c r="N8" s="2080"/>
      <c r="O8" s="2092"/>
      <c r="P8" s="2089"/>
      <c r="Q8" s="2089"/>
      <c r="R8" s="2078"/>
      <c r="S8" s="441"/>
      <c r="T8"/>
    </row>
    <row r="9" spans="1:20" ht="19.5" customHeight="1" thickBot="1">
      <c r="A9" s="2052"/>
      <c r="B9" s="2052"/>
      <c r="C9" s="2052"/>
      <c r="D9" s="2052"/>
      <c r="E9" s="2052"/>
      <c r="F9" s="2052"/>
      <c r="G9" s="2052"/>
      <c r="H9" s="2052"/>
      <c r="I9" s="2"/>
      <c r="J9" s="2"/>
      <c r="K9" s="2"/>
      <c r="L9" s="662"/>
      <c r="N9" s="2081"/>
      <c r="O9" s="2093"/>
      <c r="P9" s="2090"/>
      <c r="Q9" s="2090"/>
      <c r="R9" s="2079"/>
      <c r="S9" s="441"/>
      <c r="T9"/>
    </row>
    <row r="10" spans="1:20" ht="23.25" customHeight="1">
      <c r="A10" s="2021" t="s">
        <v>0</v>
      </c>
      <c r="B10" s="2107" t="s">
        <v>1</v>
      </c>
      <c r="C10" s="2107" t="s">
        <v>3744</v>
      </c>
      <c r="D10" s="2114" t="s">
        <v>2</v>
      </c>
      <c r="E10" s="2114" t="s">
        <v>1222</v>
      </c>
      <c r="F10" s="2114" t="s">
        <v>3</v>
      </c>
      <c r="G10" s="2116" t="s">
        <v>4</v>
      </c>
      <c r="H10" s="2104" t="s">
        <v>2352</v>
      </c>
      <c r="I10" s="2105"/>
      <c r="J10" s="2105"/>
      <c r="K10" s="2106"/>
      <c r="L10" s="658"/>
    </row>
    <row r="11" spans="1:20" ht="23.25" customHeight="1">
      <c r="A11" s="2022"/>
      <c r="B11" s="2108"/>
      <c r="C11" s="2108"/>
      <c r="D11" s="2115"/>
      <c r="E11" s="2115"/>
      <c r="F11" s="2115"/>
      <c r="G11" s="2117"/>
      <c r="H11" s="641" t="s">
        <v>6</v>
      </c>
      <c r="I11" s="3" t="s">
        <v>7</v>
      </c>
      <c r="J11" s="476" t="s">
        <v>2479</v>
      </c>
      <c r="K11" s="271" t="s">
        <v>2336</v>
      </c>
      <c r="L11" s="659" t="s">
        <v>3447</v>
      </c>
      <c r="M11" s="24" t="s">
        <v>2528</v>
      </c>
      <c r="N11" s="434" t="s">
        <v>33</v>
      </c>
      <c r="O11" s="434" t="s">
        <v>2522</v>
      </c>
      <c r="P11" s="434" t="s">
        <v>2358</v>
      </c>
      <c r="Q11" s="434" t="s">
        <v>2815</v>
      </c>
      <c r="R11" s="434" t="s">
        <v>44</v>
      </c>
    </row>
    <row r="12" spans="1:20" ht="27" customHeight="1">
      <c r="A12" s="2011" t="s">
        <v>3098</v>
      </c>
      <c r="B12" s="509" t="s">
        <v>3633</v>
      </c>
      <c r="C12" s="509" t="s">
        <v>3745</v>
      </c>
      <c r="D12" s="454" t="s">
        <v>3634</v>
      </c>
      <c r="E12" s="454"/>
      <c r="F12" s="455">
        <v>45994</v>
      </c>
      <c r="G12" s="456">
        <f>VLOOKUP(F12,환율!A:B,2,0)</f>
        <v>1469.6</v>
      </c>
      <c r="H12" s="478">
        <v>413763.54</v>
      </c>
      <c r="I12" s="458">
        <f t="shared" ref="I12:I21" si="0">ROUNDDOWN(H12*G12,0)</f>
        <v>608066898</v>
      </c>
      <c r="J12" s="458">
        <f t="shared" ref="J12:J21" si="1">I12</f>
        <v>608066898</v>
      </c>
      <c r="K12" s="464"/>
      <c r="L12" s="663"/>
      <c r="N12" s="434"/>
    </row>
    <row r="13" spans="1:20" ht="27" customHeight="1">
      <c r="A13" s="2011"/>
      <c r="B13" s="509" t="s">
        <v>3635</v>
      </c>
      <c r="C13" s="509" t="s">
        <v>3741</v>
      </c>
      <c r="D13" s="454" t="s">
        <v>2504</v>
      </c>
      <c r="E13" s="454"/>
      <c r="F13" s="455">
        <v>45994</v>
      </c>
      <c r="G13" s="456">
        <f>VLOOKUP(F13,환율!A:B,2,0)</f>
        <v>1469.6</v>
      </c>
      <c r="H13" s="478">
        <v>100869.5</v>
      </c>
      <c r="I13" s="458">
        <f t="shared" si="0"/>
        <v>148237817</v>
      </c>
      <c r="J13" s="458">
        <f t="shared" si="1"/>
        <v>148237817</v>
      </c>
      <c r="K13" s="464"/>
      <c r="L13" s="663"/>
      <c r="N13" s="434"/>
    </row>
    <row r="14" spans="1:20" s="97" customFormat="1" ht="27" customHeight="1">
      <c r="A14" s="2011"/>
      <c r="B14" s="155" t="s">
        <v>3640</v>
      </c>
      <c r="C14" s="155" t="s">
        <v>3745</v>
      </c>
      <c r="D14" s="89" t="s">
        <v>3676</v>
      </c>
      <c r="E14" s="89"/>
      <c r="F14" s="90">
        <v>46010</v>
      </c>
      <c r="G14" s="91">
        <f>VLOOKUP(F14,환율!A:B,2,0)</f>
        <v>1477.2</v>
      </c>
      <c r="H14" s="118">
        <v>416171.86</v>
      </c>
      <c r="I14" s="93">
        <f t="shared" si="0"/>
        <v>614769071</v>
      </c>
      <c r="J14" s="93">
        <f t="shared" si="1"/>
        <v>614769071</v>
      </c>
      <c r="K14" s="254"/>
      <c r="L14" s="664"/>
      <c r="M14" s="364"/>
      <c r="N14" s="434"/>
      <c r="O14" s="434"/>
      <c r="P14" s="434"/>
      <c r="Q14" s="434"/>
      <c r="R14" s="434"/>
      <c r="S14" s="434"/>
      <c r="T14" s="441"/>
    </row>
    <row r="15" spans="1:20" s="97" customFormat="1" ht="27" customHeight="1">
      <c r="A15" s="2011"/>
      <c r="B15" s="155" t="s">
        <v>3677</v>
      </c>
      <c r="C15" s="155" t="s">
        <v>3741</v>
      </c>
      <c r="D15" s="89" t="s">
        <v>3678</v>
      </c>
      <c r="E15" s="89"/>
      <c r="F15" s="90">
        <v>46010</v>
      </c>
      <c r="G15" s="91">
        <f>VLOOKUP(F15,환율!A:B,2,0)</f>
        <v>1477.2</v>
      </c>
      <c r="H15" s="118">
        <v>101508.72</v>
      </c>
      <c r="I15" s="93">
        <f t="shared" si="0"/>
        <v>149948681</v>
      </c>
      <c r="J15" s="93">
        <f t="shared" si="1"/>
        <v>149948681</v>
      </c>
      <c r="K15" s="254"/>
      <c r="L15" s="664"/>
      <c r="M15" s="401"/>
      <c r="N15" s="434"/>
      <c r="O15" s="434"/>
      <c r="P15" s="434"/>
      <c r="Q15" s="434"/>
      <c r="R15" s="434"/>
      <c r="S15" s="434"/>
      <c r="T15" s="441"/>
    </row>
    <row r="16" spans="1:20" s="97" customFormat="1" ht="27" customHeight="1">
      <c r="A16" s="2011"/>
      <c r="B16" s="155" t="s">
        <v>3679</v>
      </c>
      <c r="C16" s="155" t="s">
        <v>3745</v>
      </c>
      <c r="D16" s="89" t="s">
        <v>3680</v>
      </c>
      <c r="E16" s="89"/>
      <c r="F16" s="90">
        <v>46018</v>
      </c>
      <c r="G16" s="91">
        <f>VLOOKUP(F16,환율!A:B,2,0)</f>
        <v>1460.6</v>
      </c>
      <c r="H16" s="118">
        <v>408830.82</v>
      </c>
      <c r="I16" s="93">
        <f t="shared" si="0"/>
        <v>597138295</v>
      </c>
      <c r="J16" s="93">
        <f t="shared" si="1"/>
        <v>597138295</v>
      </c>
      <c r="K16" s="254"/>
      <c r="L16" s="664"/>
      <c r="M16" s="401"/>
      <c r="N16" s="434"/>
      <c r="O16" s="434"/>
      <c r="P16" s="434"/>
      <c r="Q16" s="434"/>
      <c r="R16" s="434"/>
      <c r="S16" s="434"/>
      <c r="T16" s="441"/>
    </row>
    <row r="17" spans="1:20" s="97" customFormat="1" ht="27" customHeight="1">
      <c r="A17" s="2011"/>
      <c r="B17" s="155" t="s">
        <v>3681</v>
      </c>
      <c r="C17" s="155" t="s">
        <v>3741</v>
      </c>
      <c r="D17" s="89" t="s">
        <v>2504</v>
      </c>
      <c r="E17" s="89"/>
      <c r="F17" s="90">
        <v>46018</v>
      </c>
      <c r="G17" s="91">
        <f>VLOOKUP(F17,환율!A:B,2,0)</f>
        <v>1460.6</v>
      </c>
      <c r="H17" s="118">
        <v>99636.12</v>
      </c>
      <c r="I17" s="93">
        <f t="shared" ref="I17" si="2">ROUNDDOWN(H17*G17,0)</f>
        <v>145528516</v>
      </c>
      <c r="J17" s="93">
        <f t="shared" ref="J17" si="3">I17</f>
        <v>145528516</v>
      </c>
      <c r="K17" s="254"/>
      <c r="L17" s="664"/>
      <c r="M17" s="401"/>
      <c r="N17" s="434"/>
      <c r="O17" s="434"/>
      <c r="P17" s="434"/>
      <c r="Q17" s="434"/>
      <c r="R17" s="434"/>
      <c r="S17" s="434"/>
      <c r="T17" s="441"/>
    </row>
    <row r="18" spans="1:20" s="97" customFormat="1" ht="27" customHeight="1">
      <c r="A18" s="2011"/>
      <c r="B18" s="155" t="s">
        <v>3742</v>
      </c>
      <c r="C18" s="155" t="s">
        <v>3745</v>
      </c>
      <c r="D18" s="89" t="s">
        <v>3682</v>
      </c>
      <c r="E18" s="89"/>
      <c r="F18" s="90">
        <v>46018</v>
      </c>
      <c r="G18" s="91">
        <f>VLOOKUP(F18,환율!A:B,2,0)</f>
        <v>1460.6</v>
      </c>
      <c r="H18" s="118">
        <v>176679.88</v>
      </c>
      <c r="I18" s="93">
        <f t="shared" ref="I18:I19" si="4">ROUNDDOWN(H18*G18,0)</f>
        <v>258058632</v>
      </c>
      <c r="J18" s="93">
        <f t="shared" ref="J18:J19" si="5">I18</f>
        <v>258058632</v>
      </c>
      <c r="K18" s="254"/>
      <c r="L18" s="664"/>
      <c r="M18" s="401"/>
      <c r="N18" s="434"/>
      <c r="O18" s="434"/>
      <c r="P18" s="434"/>
      <c r="Q18" s="434"/>
      <c r="R18" s="434"/>
      <c r="S18" s="434"/>
      <c r="T18" s="441"/>
    </row>
    <row r="19" spans="1:20" s="97" customFormat="1" ht="27" customHeight="1">
      <c r="A19" s="2011"/>
      <c r="B19" s="155" t="s">
        <v>3743</v>
      </c>
      <c r="C19" s="155" t="s">
        <v>3741</v>
      </c>
      <c r="D19" s="89" t="s">
        <v>2504</v>
      </c>
      <c r="E19" s="89"/>
      <c r="F19" s="90">
        <v>46018</v>
      </c>
      <c r="G19" s="91">
        <f>VLOOKUP(F19,환율!A:B,2,0)</f>
        <v>1460.6</v>
      </c>
      <c r="H19" s="118">
        <v>43058.51</v>
      </c>
      <c r="I19" s="93">
        <f t="shared" si="4"/>
        <v>62891259</v>
      </c>
      <c r="J19" s="93">
        <f t="shared" si="5"/>
        <v>62891259</v>
      </c>
      <c r="K19" s="254"/>
      <c r="L19" s="664"/>
      <c r="M19" s="401"/>
      <c r="N19" s="434"/>
      <c r="O19" s="434"/>
      <c r="P19" s="434"/>
      <c r="Q19" s="434"/>
      <c r="R19" s="434"/>
      <c r="S19" s="434"/>
      <c r="T19" s="441"/>
    </row>
    <row r="20" spans="1:20" s="97" customFormat="1" ht="27" customHeight="1">
      <c r="A20" s="2011"/>
      <c r="B20" s="155" t="s">
        <v>3641</v>
      </c>
      <c r="C20" s="155" t="s">
        <v>3745</v>
      </c>
      <c r="D20" s="89" t="s">
        <v>3740</v>
      </c>
      <c r="E20" s="89"/>
      <c r="F20" s="90">
        <v>46011</v>
      </c>
      <c r="G20" s="91">
        <f>VLOOKUP(F20,환율!A:B,2,0)</f>
        <v>1477.2</v>
      </c>
      <c r="H20" s="118">
        <v>1353.42</v>
      </c>
      <c r="I20" s="93">
        <f t="shared" ref="I20" si="6">ROUNDDOWN(H20*G20,0)</f>
        <v>1999272</v>
      </c>
      <c r="J20" s="93">
        <f t="shared" ref="J20" si="7">I20</f>
        <v>1999272</v>
      </c>
      <c r="K20" s="254"/>
      <c r="L20" s="664"/>
      <c r="M20" s="401"/>
      <c r="N20" s="434"/>
      <c r="O20" s="434"/>
      <c r="P20" s="434"/>
      <c r="Q20" s="434"/>
      <c r="R20" s="434"/>
      <c r="S20" s="434"/>
      <c r="T20" s="441"/>
    </row>
    <row r="21" spans="1:20" s="97" customFormat="1" ht="27" customHeight="1">
      <c r="A21" s="2019"/>
      <c r="B21" s="155" t="s">
        <v>3684</v>
      </c>
      <c r="C21" s="155" t="s">
        <v>3745</v>
      </c>
      <c r="D21" s="89" t="s">
        <v>3683</v>
      </c>
      <c r="E21" s="89"/>
      <c r="F21" s="90">
        <v>46019</v>
      </c>
      <c r="G21" s="91">
        <f>VLOOKUP(F21,환율!A:B,2,0)</f>
        <v>1460.6</v>
      </c>
      <c r="H21" s="118">
        <v>4452.24</v>
      </c>
      <c r="I21" s="93">
        <f t="shared" si="0"/>
        <v>6502941</v>
      </c>
      <c r="J21" s="93">
        <f t="shared" si="1"/>
        <v>6502941</v>
      </c>
      <c r="K21" s="254"/>
      <c r="L21" s="664"/>
      <c r="M21" s="401"/>
      <c r="N21" s="434"/>
      <c r="O21" s="434"/>
      <c r="P21" s="434"/>
      <c r="Q21" s="434"/>
      <c r="R21" s="434"/>
      <c r="S21" s="434"/>
      <c r="T21" s="441"/>
    </row>
    <row r="22" spans="1:20" s="97" customFormat="1" ht="27" customHeight="1">
      <c r="A22" s="2035" t="s">
        <v>10</v>
      </c>
      <c r="B22" s="2036"/>
      <c r="C22" s="2036"/>
      <c r="D22" s="2036"/>
      <c r="E22" s="2036"/>
      <c r="F22" s="2036"/>
      <c r="G22" s="2037"/>
      <c r="H22" s="642">
        <f>SUM(H12:H21)</f>
        <v>1766324.6099999999</v>
      </c>
      <c r="I22" s="116">
        <f>SUM(I12:I21)</f>
        <v>2593141382</v>
      </c>
      <c r="J22" s="116">
        <f>SUM(J12:J21)</f>
        <v>2593141382</v>
      </c>
      <c r="K22" s="260">
        <f>SUM(K12:K21)</f>
        <v>0</v>
      </c>
      <c r="L22" s="666"/>
      <c r="M22" s="364"/>
      <c r="N22" s="434"/>
      <c r="O22" s="434"/>
      <c r="P22" s="434"/>
      <c r="Q22" s="434"/>
      <c r="R22" s="434"/>
      <c r="S22" s="434"/>
      <c r="T22" s="441"/>
    </row>
    <row r="23" spans="1:20" s="97" customFormat="1" ht="27" customHeight="1">
      <c r="A23" s="2010" t="s">
        <v>3099</v>
      </c>
      <c r="B23" s="509" t="s">
        <v>3636</v>
      </c>
      <c r="C23" s="509" t="s">
        <v>3745</v>
      </c>
      <c r="D23" s="454" t="s">
        <v>3637</v>
      </c>
      <c r="E23" s="477"/>
      <c r="F23" s="465">
        <v>45992</v>
      </c>
      <c r="G23" s="456">
        <f>VLOOKUP(F23,환율!A:B,2,0)</f>
        <v>1465.9</v>
      </c>
      <c r="H23" s="462">
        <v>83053.440000000002</v>
      </c>
      <c r="I23" s="458">
        <f t="shared" ref="I23:I33" si="8">ROUNDDOWN(H23*G23,0)</f>
        <v>121748037</v>
      </c>
      <c r="J23" s="458">
        <f>I23</f>
        <v>121748037</v>
      </c>
      <c r="K23" s="464"/>
      <c r="L23" s="663"/>
      <c r="M23" s="364"/>
      <c r="N23" s="434"/>
      <c r="O23" s="434"/>
      <c r="P23" s="434"/>
      <c r="Q23" s="434"/>
      <c r="R23" s="434"/>
      <c r="S23" s="434"/>
      <c r="T23" s="441"/>
    </row>
    <row r="24" spans="1:20" s="120" customFormat="1" ht="27" customHeight="1">
      <c r="A24" s="2011"/>
      <c r="B24" s="509" t="s">
        <v>3537</v>
      </c>
      <c r="C24" s="509" t="s">
        <v>3745</v>
      </c>
      <c r="D24" s="454" t="s">
        <v>3542</v>
      </c>
      <c r="E24" s="477"/>
      <c r="F24" s="465">
        <v>45992</v>
      </c>
      <c r="G24" s="456">
        <f>VLOOKUP(F24,환율!A:B,2,0)</f>
        <v>1465.9</v>
      </c>
      <c r="H24" s="462">
        <v>57615.839999999997</v>
      </c>
      <c r="I24" s="458">
        <f t="shared" si="8"/>
        <v>84459059</v>
      </c>
      <c r="J24" s="458">
        <f>I24</f>
        <v>84459059</v>
      </c>
      <c r="K24" s="464"/>
      <c r="L24" s="664"/>
      <c r="M24" s="365"/>
      <c r="S24" s="435"/>
      <c r="T24" s="442"/>
    </row>
    <row r="25" spans="1:20" s="120" customFormat="1" ht="27" customHeight="1">
      <c r="A25" s="2011"/>
      <c r="B25" s="509" t="s">
        <v>3538</v>
      </c>
      <c r="C25" s="509" t="s">
        <v>3745</v>
      </c>
      <c r="D25" s="454" t="s">
        <v>3543</v>
      </c>
      <c r="E25" s="477"/>
      <c r="F25" s="465">
        <v>45999</v>
      </c>
      <c r="G25" s="456">
        <f>VLOOKUP(F25,환율!A:B,2,0)</f>
        <v>1472.1</v>
      </c>
      <c r="H25" s="462">
        <v>34151.040000000001</v>
      </c>
      <c r="I25" s="458">
        <f t="shared" si="8"/>
        <v>50273745</v>
      </c>
      <c r="J25" s="458">
        <f t="shared" ref="J25" si="9">I25</f>
        <v>50273745</v>
      </c>
      <c r="K25" s="464"/>
      <c r="L25" s="664"/>
      <c r="M25" s="365"/>
      <c r="S25" s="435"/>
      <c r="T25" s="442"/>
    </row>
    <row r="26" spans="1:20" s="120" customFormat="1" ht="27" customHeight="1">
      <c r="A26" s="2011"/>
      <c r="B26" s="155" t="s">
        <v>3642</v>
      </c>
      <c r="C26" s="155" t="s">
        <v>3745</v>
      </c>
      <c r="D26" s="89" t="s">
        <v>3685</v>
      </c>
      <c r="E26" s="319"/>
      <c r="F26" s="136">
        <v>46003</v>
      </c>
      <c r="G26" s="91">
        <f>VLOOKUP(F26,환율!A:B,2,0)</f>
        <v>1469.5</v>
      </c>
      <c r="H26" s="134">
        <v>75811.679999999993</v>
      </c>
      <c r="I26" s="93">
        <f t="shared" ref="I26:I32" si="10">ROUNDDOWN(H26*G26,0)</f>
        <v>111405263</v>
      </c>
      <c r="J26" s="93">
        <f t="shared" ref="J26:J32" si="11">I26</f>
        <v>111405263</v>
      </c>
      <c r="K26" s="254"/>
      <c r="L26" s="664"/>
      <c r="M26" s="365"/>
      <c r="S26" s="435"/>
      <c r="T26" s="442"/>
    </row>
    <row r="27" spans="1:20" s="120" customFormat="1" ht="27" customHeight="1">
      <c r="A27" s="2011"/>
      <c r="B27" s="155" t="s">
        <v>3643</v>
      </c>
      <c r="C27" s="155" t="s">
        <v>3745</v>
      </c>
      <c r="D27" s="89" t="s">
        <v>3686</v>
      </c>
      <c r="E27" s="319"/>
      <c r="F27" s="136">
        <v>46016</v>
      </c>
      <c r="G27" s="91">
        <f>VLOOKUP(F27,환율!A:B,2,0)</f>
        <v>1483.4</v>
      </c>
      <c r="H27" s="134">
        <v>32501.040000000001</v>
      </c>
      <c r="I27" s="93">
        <f t="shared" si="10"/>
        <v>48212042</v>
      </c>
      <c r="J27" s="93">
        <f t="shared" si="11"/>
        <v>48212042</v>
      </c>
      <c r="K27" s="254"/>
      <c r="L27" s="664"/>
      <c r="M27" s="365"/>
      <c r="S27" s="435"/>
      <c r="T27" s="442"/>
    </row>
    <row r="28" spans="1:20" s="120" customFormat="1" ht="27" customHeight="1">
      <c r="A28" s="2011"/>
      <c r="B28" s="155" t="s">
        <v>3644</v>
      </c>
      <c r="C28" s="155" t="s">
        <v>3745</v>
      </c>
      <c r="D28" s="89" t="s">
        <v>3687</v>
      </c>
      <c r="E28" s="319"/>
      <c r="F28" s="136">
        <v>46013</v>
      </c>
      <c r="G28" s="91">
        <f>VLOOKUP(F28,환율!A:B,2,0)</f>
        <v>1477.8</v>
      </c>
      <c r="H28" s="134">
        <v>63966.239999999998</v>
      </c>
      <c r="I28" s="93">
        <f t="shared" si="10"/>
        <v>94529309</v>
      </c>
      <c r="J28" s="93">
        <f t="shared" si="11"/>
        <v>94529309</v>
      </c>
      <c r="K28" s="254"/>
      <c r="L28" s="664"/>
      <c r="M28" s="365"/>
      <c r="S28" s="435"/>
      <c r="T28" s="442"/>
    </row>
    <row r="29" spans="1:20" s="120" customFormat="1" ht="27" customHeight="1">
      <c r="A29" s="2011"/>
      <c r="B29" s="155" t="s">
        <v>3646</v>
      </c>
      <c r="C29" s="155" t="s">
        <v>3745</v>
      </c>
      <c r="D29" s="89" t="s">
        <v>3689</v>
      </c>
      <c r="E29" s="319"/>
      <c r="F29" s="136">
        <v>46009</v>
      </c>
      <c r="G29" s="91">
        <f>VLOOKUP(F29,환율!A:B,2,0)</f>
        <v>1478.6</v>
      </c>
      <c r="H29" s="134">
        <v>27468</v>
      </c>
      <c r="I29" s="93">
        <f t="shared" si="10"/>
        <v>40614184</v>
      </c>
      <c r="J29" s="93">
        <f t="shared" si="11"/>
        <v>40614184</v>
      </c>
      <c r="K29" s="254"/>
      <c r="L29" s="664"/>
      <c r="M29" s="365"/>
      <c r="S29" s="435"/>
      <c r="T29" s="442"/>
    </row>
    <row r="30" spans="1:20" s="120" customFormat="1" ht="27" customHeight="1">
      <c r="A30" s="2011"/>
      <c r="B30" s="155" t="s">
        <v>3647</v>
      </c>
      <c r="C30" s="155" t="s">
        <v>3745</v>
      </c>
      <c r="D30" s="89" t="s">
        <v>3690</v>
      </c>
      <c r="E30" s="319"/>
      <c r="F30" s="136">
        <v>46013</v>
      </c>
      <c r="G30" s="91">
        <f>VLOOKUP(F30,환율!A:B,2,0)</f>
        <v>1477.8</v>
      </c>
      <c r="H30" s="134">
        <v>613.75</v>
      </c>
      <c r="I30" s="93">
        <f t="shared" si="10"/>
        <v>906999</v>
      </c>
      <c r="J30" s="93">
        <f t="shared" si="11"/>
        <v>906999</v>
      </c>
      <c r="K30" s="254"/>
      <c r="L30" s="664"/>
      <c r="M30" s="365"/>
      <c r="S30" s="435"/>
      <c r="T30" s="442"/>
    </row>
    <row r="31" spans="1:20" s="120" customFormat="1" ht="27" customHeight="1">
      <c r="A31" s="2011"/>
      <c r="B31" s="155" t="s">
        <v>3648</v>
      </c>
      <c r="C31" s="155" t="s">
        <v>3745</v>
      </c>
      <c r="D31" s="89" t="s">
        <v>3691</v>
      </c>
      <c r="E31" s="319"/>
      <c r="F31" s="136">
        <v>46013</v>
      </c>
      <c r="G31" s="91">
        <f>VLOOKUP(F31,환율!A:B,2,0)</f>
        <v>1477.8</v>
      </c>
      <c r="H31" s="134">
        <v>777.25</v>
      </c>
      <c r="I31" s="93">
        <f t="shared" si="10"/>
        <v>1148620</v>
      </c>
      <c r="J31" s="93">
        <f t="shared" si="11"/>
        <v>1148620</v>
      </c>
      <c r="K31" s="254"/>
      <c r="L31" s="664"/>
      <c r="M31" s="365"/>
      <c r="S31" s="435"/>
      <c r="T31" s="442"/>
    </row>
    <row r="32" spans="1:20" s="120" customFormat="1" ht="20.25" customHeight="1">
      <c r="A32" s="2011"/>
      <c r="B32" s="155" t="s">
        <v>3649</v>
      </c>
      <c r="C32" s="155" t="s">
        <v>3745</v>
      </c>
      <c r="D32" s="89" t="s">
        <v>3692</v>
      </c>
      <c r="E32" s="319"/>
      <c r="F32" s="136">
        <v>46013</v>
      </c>
      <c r="G32" s="91">
        <f>VLOOKUP(F32,환율!A:B,2,0)</f>
        <v>1477.8</v>
      </c>
      <c r="H32" s="134">
        <v>1028.1500000000001</v>
      </c>
      <c r="I32" s="93">
        <f t="shared" si="10"/>
        <v>1519400</v>
      </c>
      <c r="J32" s="93">
        <f t="shared" si="11"/>
        <v>1519400</v>
      </c>
      <c r="K32" s="254"/>
      <c r="L32" s="664"/>
      <c r="M32" s="365"/>
      <c r="S32" s="435"/>
      <c r="T32" s="442"/>
    </row>
    <row r="33" spans="1:20" s="120" customFormat="1" ht="27" customHeight="1">
      <c r="A33" s="2019"/>
      <c r="B33" s="546" t="s">
        <v>3645</v>
      </c>
      <c r="C33" s="546" t="s">
        <v>3741</v>
      </c>
      <c r="D33" s="547" t="s">
        <v>3688</v>
      </c>
      <c r="E33" s="549"/>
      <c r="F33" s="550">
        <v>46025</v>
      </c>
      <c r="G33" s="528">
        <f>VLOOKUP(F33,환율!A:B,2,0)</f>
        <v>1434.9</v>
      </c>
      <c r="H33" s="551">
        <v>42209.279999999999</v>
      </c>
      <c r="I33" s="530">
        <f t="shared" si="8"/>
        <v>60566095</v>
      </c>
      <c r="J33" s="530"/>
      <c r="K33" s="548">
        <f>I33</f>
        <v>60566095</v>
      </c>
      <c r="L33" s="664"/>
      <c r="M33" s="365"/>
      <c r="S33" s="435"/>
      <c r="T33" s="442"/>
    </row>
    <row r="34" spans="1:20" s="97" customFormat="1" ht="27" customHeight="1">
      <c r="A34" s="2035" t="s">
        <v>10</v>
      </c>
      <c r="B34" s="2036"/>
      <c r="C34" s="2036"/>
      <c r="D34" s="2036"/>
      <c r="E34" s="2036"/>
      <c r="F34" s="2036"/>
      <c r="G34" s="2037"/>
      <c r="H34" s="643">
        <f>SUM(H23:H33)</f>
        <v>419195.70999999996</v>
      </c>
      <c r="I34" s="116">
        <f>SUM(I23:I33)</f>
        <v>615382753</v>
      </c>
      <c r="J34" s="116">
        <f>SUM(J23:J33)</f>
        <v>554816658</v>
      </c>
      <c r="K34" s="116">
        <f>SUM(K23:K33)</f>
        <v>60566095</v>
      </c>
      <c r="L34" s="666"/>
      <c r="M34" s="364"/>
      <c r="N34" s="434"/>
      <c r="O34" s="434"/>
      <c r="P34" s="434"/>
      <c r="Q34" s="434"/>
      <c r="R34" s="434"/>
      <c r="S34" s="434"/>
      <c r="T34" s="441"/>
    </row>
    <row r="35" spans="1:20" s="97" customFormat="1" ht="27" customHeight="1">
      <c r="A35" s="2010" t="s">
        <v>3100</v>
      </c>
      <c r="B35" s="510" t="s">
        <v>3568</v>
      </c>
      <c r="C35" s="561" t="s">
        <v>2504</v>
      </c>
      <c r="D35" s="460" t="s">
        <v>3584</v>
      </c>
      <c r="E35" s="460"/>
      <c r="F35" s="465">
        <v>46004</v>
      </c>
      <c r="G35" s="456">
        <f>VLOOKUP(F35,환율!A:B,2,0)</f>
        <v>1469.5</v>
      </c>
      <c r="H35" s="462">
        <v>51164.68</v>
      </c>
      <c r="I35" s="458">
        <f t="shared" ref="I35:I56" si="12">ROUNDDOWN(H35*G35,0)</f>
        <v>75186497</v>
      </c>
      <c r="J35" s="458">
        <f>I35</f>
        <v>75186497</v>
      </c>
      <c r="K35" s="464"/>
      <c r="L35" s="663"/>
      <c r="M35" s="364"/>
      <c r="S35" s="434"/>
      <c r="T35" s="441"/>
    </row>
    <row r="36" spans="1:20" s="97" customFormat="1" ht="27" customHeight="1">
      <c r="A36" s="2011"/>
      <c r="B36" s="510" t="s">
        <v>3570</v>
      </c>
      <c r="C36" s="561" t="s">
        <v>2504</v>
      </c>
      <c r="D36" s="460" t="s">
        <v>3586</v>
      </c>
      <c r="E36" s="460"/>
      <c r="F36" s="465">
        <v>46004</v>
      </c>
      <c r="G36" s="456">
        <f>VLOOKUP(F36,환율!A:B,2,0)</f>
        <v>1469.5</v>
      </c>
      <c r="H36" s="462">
        <v>80966.42</v>
      </c>
      <c r="I36" s="458">
        <f t="shared" si="12"/>
        <v>118980154</v>
      </c>
      <c r="J36" s="458">
        <f t="shared" ref="J36:J44" si="13">I36</f>
        <v>118980154</v>
      </c>
      <c r="K36" s="464"/>
      <c r="L36" s="663"/>
      <c r="M36" s="364"/>
      <c r="S36" s="434"/>
      <c r="T36" s="441"/>
    </row>
    <row r="37" spans="1:20" s="97" customFormat="1" ht="27" customHeight="1">
      <c r="A37" s="2011"/>
      <c r="B37" s="510" t="s">
        <v>3571</v>
      </c>
      <c r="C37" s="561" t="s">
        <v>2504</v>
      </c>
      <c r="D37" s="460" t="s">
        <v>3587</v>
      </c>
      <c r="E37" s="460"/>
      <c r="F37" s="455">
        <v>45997</v>
      </c>
      <c r="G37" s="456">
        <f>VLOOKUP(F37,환율!A:B,2,0)</f>
        <v>1471.5</v>
      </c>
      <c r="H37" s="462">
        <v>59255.82</v>
      </c>
      <c r="I37" s="458">
        <f t="shared" si="12"/>
        <v>87194939</v>
      </c>
      <c r="J37" s="458">
        <f t="shared" si="13"/>
        <v>87194939</v>
      </c>
      <c r="K37" s="464"/>
      <c r="L37" s="663"/>
      <c r="M37" s="364"/>
      <c r="S37" s="434"/>
      <c r="T37" s="441"/>
    </row>
    <row r="38" spans="1:20" s="97" customFormat="1" ht="27" customHeight="1">
      <c r="A38" s="2011"/>
      <c r="B38" s="510" t="s">
        <v>3572</v>
      </c>
      <c r="C38" s="561" t="s">
        <v>2504</v>
      </c>
      <c r="D38" s="460" t="s">
        <v>3588</v>
      </c>
      <c r="E38" s="460"/>
      <c r="F38" s="455">
        <v>45997</v>
      </c>
      <c r="G38" s="456">
        <f>VLOOKUP(F38,환율!A:B,2,0)</f>
        <v>1471.5</v>
      </c>
      <c r="H38" s="462">
        <v>5567.04</v>
      </c>
      <c r="I38" s="458">
        <f t="shared" si="12"/>
        <v>8191899</v>
      </c>
      <c r="J38" s="458">
        <f t="shared" si="13"/>
        <v>8191899</v>
      </c>
      <c r="K38" s="464"/>
      <c r="L38" s="663"/>
      <c r="M38" s="364"/>
      <c r="S38" s="434"/>
      <c r="T38" s="441"/>
    </row>
    <row r="39" spans="1:20" s="97" customFormat="1" ht="27" customHeight="1">
      <c r="A39" s="2011"/>
      <c r="B39" s="510" t="s">
        <v>3573</v>
      </c>
      <c r="C39" s="561" t="s">
        <v>2504</v>
      </c>
      <c r="D39" s="460" t="s">
        <v>3589</v>
      </c>
      <c r="E39" s="460"/>
      <c r="F39" s="455">
        <v>46004</v>
      </c>
      <c r="G39" s="456">
        <f>VLOOKUP(F39,환율!A:B,2,0)</f>
        <v>1469.5</v>
      </c>
      <c r="H39" s="462">
        <v>132163.20000000001</v>
      </c>
      <c r="I39" s="458">
        <f t="shared" si="12"/>
        <v>194213822</v>
      </c>
      <c r="J39" s="458">
        <f t="shared" si="13"/>
        <v>194213822</v>
      </c>
      <c r="K39" s="464"/>
      <c r="L39" s="663"/>
      <c r="M39" s="364"/>
      <c r="S39" s="434"/>
      <c r="T39" s="441"/>
    </row>
    <row r="40" spans="1:20" s="126" customFormat="1" ht="27" customHeight="1">
      <c r="A40" s="2011"/>
      <c r="B40" s="510" t="s">
        <v>3576</v>
      </c>
      <c r="C40" s="619" t="s">
        <v>2504</v>
      </c>
      <c r="D40" s="460" t="s">
        <v>3592</v>
      </c>
      <c r="E40" s="460"/>
      <c r="F40" s="455">
        <v>46004</v>
      </c>
      <c r="G40" s="456">
        <f>VLOOKUP(F40,환율!A:B,2,0)</f>
        <v>1469.5</v>
      </c>
      <c r="H40" s="462">
        <v>2012.8</v>
      </c>
      <c r="I40" s="458">
        <f t="shared" si="12"/>
        <v>2957809</v>
      </c>
      <c r="J40" s="458">
        <f t="shared" si="13"/>
        <v>2957809</v>
      </c>
      <c r="K40" s="464"/>
      <c r="L40" s="663"/>
      <c r="M40" s="401"/>
      <c r="N40" s="97"/>
      <c r="O40" s="97"/>
      <c r="P40" s="97"/>
      <c r="Q40" s="97"/>
      <c r="R40" s="97"/>
      <c r="S40" s="436"/>
      <c r="T40" s="443"/>
    </row>
    <row r="41" spans="1:20" s="126" customFormat="1" ht="27" customHeight="1">
      <c r="A41" s="2011"/>
      <c r="B41" s="513" t="s">
        <v>3650</v>
      </c>
      <c r="C41" s="563" t="s">
        <v>3741</v>
      </c>
      <c r="D41" s="129" t="s">
        <v>3693</v>
      </c>
      <c r="E41" s="129"/>
      <c r="F41" s="136">
        <v>46005</v>
      </c>
      <c r="G41" s="91">
        <f>VLOOKUP(F41,환율!A:B,2,0)</f>
        <v>1469.5</v>
      </c>
      <c r="H41" s="134">
        <v>44161.599999999999</v>
      </c>
      <c r="I41" s="93">
        <f t="shared" si="12"/>
        <v>64895471</v>
      </c>
      <c r="J41" s="93">
        <f t="shared" si="13"/>
        <v>64895471</v>
      </c>
      <c r="K41" s="254"/>
      <c r="L41" s="664"/>
      <c r="M41" s="401"/>
      <c r="N41" s="97"/>
      <c r="O41" s="97"/>
      <c r="P41" s="97"/>
      <c r="Q41" s="97"/>
      <c r="R41" s="97"/>
      <c r="S41" s="436"/>
      <c r="T41" s="443"/>
    </row>
    <row r="42" spans="1:20" s="126" customFormat="1" ht="27" customHeight="1">
      <c r="A42" s="2011"/>
      <c r="B42" s="513" t="s">
        <v>3651</v>
      </c>
      <c r="C42" s="563" t="s">
        <v>3741</v>
      </c>
      <c r="D42" s="129" t="s">
        <v>3694</v>
      </c>
      <c r="E42" s="129"/>
      <c r="F42" s="136">
        <v>46005</v>
      </c>
      <c r="G42" s="91">
        <f>VLOOKUP(F42,환율!A:B,2,0)</f>
        <v>1469.5</v>
      </c>
      <c r="H42" s="134">
        <v>80433.64</v>
      </c>
      <c r="I42" s="93">
        <f t="shared" si="12"/>
        <v>118197233</v>
      </c>
      <c r="J42" s="93">
        <f t="shared" si="13"/>
        <v>118197233</v>
      </c>
      <c r="K42" s="254"/>
      <c r="L42" s="664"/>
      <c r="M42" s="401"/>
      <c r="N42" s="97"/>
      <c r="O42" s="97"/>
      <c r="P42" s="97"/>
      <c r="Q42" s="97"/>
      <c r="R42" s="97"/>
      <c r="S42" s="436"/>
      <c r="T42" s="443"/>
    </row>
    <row r="43" spans="1:20" s="126" customFormat="1" ht="27" customHeight="1">
      <c r="A43" s="2011"/>
      <c r="B43" s="513" t="s">
        <v>3652</v>
      </c>
      <c r="C43" s="563" t="s">
        <v>3741</v>
      </c>
      <c r="D43" s="129" t="s">
        <v>3697</v>
      </c>
      <c r="E43" s="129"/>
      <c r="F43" s="136">
        <v>46007</v>
      </c>
      <c r="G43" s="91">
        <f>VLOOKUP(F43,환율!A:B,2,0)</f>
        <v>1474.1</v>
      </c>
      <c r="H43" s="134">
        <v>37814</v>
      </c>
      <c r="I43" s="93">
        <f t="shared" si="12"/>
        <v>55741617</v>
      </c>
      <c r="J43" s="93">
        <f t="shared" si="13"/>
        <v>55741617</v>
      </c>
      <c r="K43" s="254"/>
      <c r="L43" s="664"/>
      <c r="M43" s="401"/>
      <c r="N43" s="97"/>
      <c r="O43" s="97"/>
      <c r="P43" s="97"/>
      <c r="Q43" s="97"/>
      <c r="R43" s="97"/>
      <c r="S43" s="436"/>
      <c r="T43" s="443"/>
    </row>
    <row r="44" spans="1:20" s="126" customFormat="1" ht="27" customHeight="1">
      <c r="A44" s="2011"/>
      <c r="B44" s="513" t="s">
        <v>3653</v>
      </c>
      <c r="C44" s="563" t="s">
        <v>3741</v>
      </c>
      <c r="D44" s="129" t="s">
        <v>3695</v>
      </c>
      <c r="E44" s="129"/>
      <c r="F44" s="136">
        <v>46020</v>
      </c>
      <c r="G44" s="91">
        <f>VLOOKUP(F44,환율!A:B,2,0)</f>
        <v>1442.3</v>
      </c>
      <c r="H44" s="134">
        <v>83585.600000000006</v>
      </c>
      <c r="I44" s="93">
        <f t="shared" si="12"/>
        <v>120555510</v>
      </c>
      <c r="J44" s="93">
        <f t="shared" si="13"/>
        <v>120555510</v>
      </c>
      <c r="K44" s="254"/>
      <c r="L44" s="664"/>
      <c r="M44" s="401"/>
      <c r="N44" s="97"/>
      <c r="O44" s="97"/>
      <c r="P44" s="97"/>
      <c r="Q44" s="97"/>
      <c r="R44" s="97"/>
      <c r="S44" s="436"/>
      <c r="T44" s="443"/>
    </row>
    <row r="45" spans="1:20" s="126" customFormat="1" ht="27" customHeight="1">
      <c r="A45" s="2011"/>
      <c r="B45" s="513" t="s">
        <v>3655</v>
      </c>
      <c r="C45" s="563" t="s">
        <v>3741</v>
      </c>
      <c r="D45" s="129" t="s">
        <v>3737</v>
      </c>
      <c r="E45" s="129"/>
      <c r="F45" s="136">
        <v>45999</v>
      </c>
      <c r="G45" s="91">
        <f>VLOOKUP(F45,환율!A:B,2,0)</f>
        <v>1472.1</v>
      </c>
      <c r="H45" s="134">
        <v>7003.08</v>
      </c>
      <c r="I45" s="93">
        <f t="shared" ref="I45:I49" si="14">ROUNDDOWN(H45*G45,0)</f>
        <v>10309234</v>
      </c>
      <c r="J45" s="93">
        <f t="shared" ref="J45:J49" si="15">I45</f>
        <v>10309234</v>
      </c>
      <c r="K45" s="254"/>
      <c r="L45" s="664"/>
      <c r="M45" s="401"/>
      <c r="N45" s="97"/>
      <c r="O45" s="97"/>
      <c r="P45" s="97"/>
      <c r="Q45" s="97"/>
      <c r="R45" s="97"/>
      <c r="S45" s="436"/>
      <c r="T45" s="443"/>
    </row>
    <row r="46" spans="1:20" s="126" customFormat="1" ht="27" customHeight="1">
      <c r="A46" s="2011"/>
      <c r="B46" s="513" t="s">
        <v>3656</v>
      </c>
      <c r="C46" s="563" t="s">
        <v>3741</v>
      </c>
      <c r="D46" s="129" t="s">
        <v>3738</v>
      </c>
      <c r="E46" s="129"/>
      <c r="F46" s="136">
        <v>46020</v>
      </c>
      <c r="G46" s="91">
        <f>VLOOKUP(F46,환율!A:B,2,0)</f>
        <v>1442.3</v>
      </c>
      <c r="H46" s="134">
        <v>105308.53</v>
      </c>
      <c r="I46" s="93">
        <f t="shared" si="14"/>
        <v>151886492</v>
      </c>
      <c r="J46" s="93">
        <f t="shared" si="15"/>
        <v>151886492</v>
      </c>
      <c r="K46" s="254"/>
      <c r="L46" s="664"/>
      <c r="M46" s="401"/>
      <c r="N46" s="97"/>
      <c r="O46" s="97"/>
      <c r="P46" s="97"/>
      <c r="Q46" s="97"/>
      <c r="R46" s="97"/>
      <c r="S46" s="436"/>
      <c r="T46" s="443"/>
    </row>
    <row r="47" spans="1:20" s="126" customFormat="1" ht="27" customHeight="1">
      <c r="A47" s="2011"/>
      <c r="B47" s="513" t="s">
        <v>3661</v>
      </c>
      <c r="C47" s="563" t="s">
        <v>3741</v>
      </c>
      <c r="D47" s="129" t="s">
        <v>3732</v>
      </c>
      <c r="E47" s="129"/>
      <c r="F47" s="136">
        <v>46017</v>
      </c>
      <c r="G47" s="91">
        <f>VLOOKUP(F47,환율!A:B,2,0)</f>
        <v>1460.6</v>
      </c>
      <c r="H47" s="134">
        <v>10381.76</v>
      </c>
      <c r="I47" s="93">
        <f t="shared" si="14"/>
        <v>15163598</v>
      </c>
      <c r="J47" s="93">
        <f t="shared" si="15"/>
        <v>15163598</v>
      </c>
      <c r="K47" s="254"/>
      <c r="L47" s="664"/>
      <c r="M47" s="401"/>
      <c r="N47" s="97"/>
      <c r="O47" s="97"/>
      <c r="P47" s="97"/>
      <c r="Q47" s="97"/>
      <c r="R47" s="97"/>
      <c r="S47" s="436"/>
      <c r="T47" s="443"/>
    </row>
    <row r="48" spans="1:20" s="126" customFormat="1" ht="27" customHeight="1">
      <c r="A48" s="2011"/>
      <c r="B48" s="513" t="s">
        <v>3662</v>
      </c>
      <c r="C48" s="563" t="s">
        <v>3741</v>
      </c>
      <c r="D48" s="129" t="s">
        <v>3733</v>
      </c>
      <c r="E48" s="129"/>
      <c r="F48" s="136">
        <v>46016</v>
      </c>
      <c r="G48" s="91">
        <f>VLOOKUP(F48,환율!A:B,2,0)</f>
        <v>1483.4</v>
      </c>
      <c r="H48" s="134">
        <v>7003.08</v>
      </c>
      <c r="I48" s="93">
        <f t="shared" si="14"/>
        <v>10388368</v>
      </c>
      <c r="J48" s="93">
        <f t="shared" si="15"/>
        <v>10388368</v>
      </c>
      <c r="K48" s="254"/>
      <c r="L48" s="664"/>
      <c r="M48" s="401"/>
      <c r="N48" s="97"/>
      <c r="O48" s="97"/>
      <c r="P48" s="97"/>
      <c r="Q48" s="97"/>
      <c r="R48" s="97"/>
      <c r="S48" s="436"/>
      <c r="T48" s="443"/>
    </row>
    <row r="49" spans="1:20" s="126" customFormat="1" ht="27" customHeight="1">
      <c r="A49" s="2011"/>
      <c r="B49" s="680" t="s">
        <v>3739</v>
      </c>
      <c r="C49" s="681" t="s">
        <v>3741</v>
      </c>
      <c r="D49" s="682"/>
      <c r="E49" s="682"/>
      <c r="F49" s="421">
        <v>46007</v>
      </c>
      <c r="G49" s="382">
        <f>VLOOKUP(F49,환율!A:B,2,0)</f>
        <v>1474.1</v>
      </c>
      <c r="H49" s="655">
        <v>15930</v>
      </c>
      <c r="I49" s="384">
        <f t="shared" si="14"/>
        <v>23482413</v>
      </c>
      <c r="J49" s="384">
        <f t="shared" si="15"/>
        <v>23482413</v>
      </c>
      <c r="K49" s="386"/>
      <c r="L49" s="664"/>
      <c r="M49" s="401"/>
      <c r="N49" s="97"/>
      <c r="O49" s="97"/>
      <c r="P49" s="97"/>
      <c r="Q49" s="97"/>
      <c r="R49" s="97"/>
      <c r="S49" s="436"/>
      <c r="T49" s="443"/>
    </row>
    <row r="50" spans="1:20" s="126" customFormat="1" ht="27" customHeight="1">
      <c r="A50" s="2011"/>
      <c r="B50" s="556" t="s">
        <v>3654</v>
      </c>
      <c r="C50" s="564" t="s">
        <v>3741</v>
      </c>
      <c r="D50" s="557" t="s">
        <v>3696</v>
      </c>
      <c r="E50" s="557"/>
      <c r="F50" s="550">
        <v>46023</v>
      </c>
      <c r="G50" s="528">
        <f>VLOOKUP(F50,환율!A:B,2,0)</f>
        <v>1434.9</v>
      </c>
      <c r="H50" s="551">
        <v>102780.26</v>
      </c>
      <c r="I50" s="530">
        <f t="shared" si="12"/>
        <v>147479395</v>
      </c>
      <c r="J50" s="530"/>
      <c r="K50" s="548">
        <f>I50</f>
        <v>147479395</v>
      </c>
      <c r="L50" s="664"/>
      <c r="M50" s="401"/>
      <c r="N50" s="97"/>
      <c r="O50" s="97"/>
      <c r="P50" s="97"/>
      <c r="Q50" s="97"/>
      <c r="R50" s="97"/>
      <c r="S50" s="436"/>
      <c r="T50" s="443"/>
    </row>
    <row r="51" spans="1:20" s="126" customFormat="1" ht="27" customHeight="1">
      <c r="A51" s="2011"/>
      <c r="B51" s="556" t="s">
        <v>3657</v>
      </c>
      <c r="C51" s="564" t="s">
        <v>3741</v>
      </c>
      <c r="D51" s="557" t="s">
        <v>3698</v>
      </c>
      <c r="E51" s="557"/>
      <c r="F51" s="550">
        <v>46025</v>
      </c>
      <c r="G51" s="528">
        <f>VLOOKUP(F51,환율!A:B,2,0)</f>
        <v>1434.9</v>
      </c>
      <c r="H51" s="551">
        <v>76417.600000000006</v>
      </c>
      <c r="I51" s="530">
        <f t="shared" ref="I51:I52" si="16">ROUNDDOWN(H51*G51,0)</f>
        <v>109651614</v>
      </c>
      <c r="J51" s="530"/>
      <c r="K51" s="548">
        <f>I51</f>
        <v>109651614</v>
      </c>
      <c r="L51" s="678"/>
      <c r="M51" s="401"/>
      <c r="N51" s="97"/>
      <c r="O51" s="97"/>
      <c r="P51" s="97"/>
      <c r="Q51" s="97"/>
      <c r="R51" s="97"/>
      <c r="S51" s="436"/>
      <c r="T51" s="443"/>
    </row>
    <row r="52" spans="1:20" s="126" customFormat="1" ht="27" customHeight="1">
      <c r="A52" s="2011"/>
      <c r="B52" s="556" t="s">
        <v>3658</v>
      </c>
      <c r="C52" s="564" t="s">
        <v>3741</v>
      </c>
      <c r="D52" s="557" t="s">
        <v>3699</v>
      </c>
      <c r="E52" s="557"/>
      <c r="F52" s="550">
        <v>46025</v>
      </c>
      <c r="G52" s="528">
        <f>VLOOKUP(F52,환율!A:B,2,0)</f>
        <v>1434.9</v>
      </c>
      <c r="H52" s="551">
        <v>5567.04</v>
      </c>
      <c r="I52" s="530">
        <f t="shared" si="16"/>
        <v>7988145</v>
      </c>
      <c r="J52" s="530"/>
      <c r="K52" s="548">
        <f>I52</f>
        <v>7988145</v>
      </c>
      <c r="L52" s="678"/>
      <c r="M52" s="401"/>
      <c r="N52" s="97"/>
      <c r="O52" s="97"/>
      <c r="P52" s="97"/>
      <c r="Q52" s="97"/>
      <c r="R52" s="97"/>
      <c r="S52" s="436"/>
      <c r="T52" s="443"/>
    </row>
    <row r="53" spans="1:20" s="126" customFormat="1" ht="27" customHeight="1">
      <c r="A53" s="2011"/>
      <c r="B53" s="556" t="s">
        <v>3663</v>
      </c>
      <c r="C53" s="564" t="s">
        <v>3741</v>
      </c>
      <c r="D53" s="557"/>
      <c r="E53" s="557"/>
      <c r="F53" s="527">
        <v>46026</v>
      </c>
      <c r="G53" s="528">
        <f>VLOOKUP(F53,환율!A:B,2,0)</f>
        <v>1434.9</v>
      </c>
      <c r="H53" s="551">
        <v>3774</v>
      </c>
      <c r="I53" s="530">
        <f t="shared" si="12"/>
        <v>5415312</v>
      </c>
      <c r="J53" s="530"/>
      <c r="K53" s="548">
        <f>I53</f>
        <v>5415312</v>
      </c>
      <c r="L53" s="668"/>
      <c r="M53" s="364"/>
      <c r="N53" s="97"/>
      <c r="O53" s="97"/>
      <c r="P53" s="97"/>
      <c r="Q53" s="97"/>
      <c r="R53" s="97"/>
      <c r="S53" s="436"/>
      <c r="T53" s="443"/>
    </row>
    <row r="54" spans="1:20" s="126" customFormat="1" ht="27" customHeight="1">
      <c r="A54" s="2011"/>
      <c r="B54" s="556" t="s">
        <v>3659</v>
      </c>
      <c r="C54" s="564" t="s">
        <v>3741</v>
      </c>
      <c r="D54" s="557"/>
      <c r="E54" s="557"/>
      <c r="F54" s="527">
        <v>46026</v>
      </c>
      <c r="G54" s="528">
        <f>VLOOKUP(F54,환율!A:B,2,0)</f>
        <v>1434.9</v>
      </c>
      <c r="H54" s="551">
        <v>56014.98</v>
      </c>
      <c r="I54" s="530">
        <f t="shared" si="12"/>
        <v>80375894</v>
      </c>
      <c r="J54" s="530"/>
      <c r="K54" s="548">
        <f t="shared" ref="K54:K56" si="17">I54</f>
        <v>80375894</v>
      </c>
      <c r="L54" s="665"/>
      <c r="M54" s="364"/>
      <c r="N54" s="97"/>
      <c r="O54" s="97"/>
      <c r="P54" s="97"/>
      <c r="Q54" s="97"/>
      <c r="R54" s="97"/>
      <c r="S54" s="436"/>
      <c r="T54" s="443"/>
    </row>
    <row r="55" spans="1:20" s="126" customFormat="1" ht="27" customHeight="1">
      <c r="A55" s="2011"/>
      <c r="B55" s="556" t="s">
        <v>3660</v>
      </c>
      <c r="C55" s="564" t="s">
        <v>3741</v>
      </c>
      <c r="D55" s="557"/>
      <c r="E55" s="557"/>
      <c r="F55" s="527">
        <v>46026</v>
      </c>
      <c r="G55" s="528">
        <f>VLOOKUP(F55,환율!A:B,2,0)</f>
        <v>1434.9</v>
      </c>
      <c r="H55" s="551">
        <v>21506.38</v>
      </c>
      <c r="I55" s="530">
        <f t="shared" si="12"/>
        <v>30859504</v>
      </c>
      <c r="J55" s="530"/>
      <c r="K55" s="548">
        <f t="shared" si="17"/>
        <v>30859504</v>
      </c>
      <c r="L55" s="665"/>
      <c r="M55" s="364"/>
      <c r="N55" s="97"/>
      <c r="O55" s="97"/>
      <c r="P55" s="97"/>
      <c r="Q55" s="97"/>
      <c r="R55" s="97"/>
      <c r="S55" s="436"/>
      <c r="T55" s="443"/>
    </row>
    <row r="56" spans="1:20" s="126" customFormat="1" ht="27" customHeight="1">
      <c r="A56" s="2019"/>
      <c r="B56" s="556" t="s">
        <v>3664</v>
      </c>
      <c r="C56" s="564" t="s">
        <v>3741</v>
      </c>
      <c r="D56" s="557"/>
      <c r="E56" s="557"/>
      <c r="F56" s="527">
        <v>46028</v>
      </c>
      <c r="G56" s="528">
        <f>VLOOKUP(F56,환율!A:B,2,0)</f>
        <v>1446.8</v>
      </c>
      <c r="H56" s="551">
        <v>58167.199999999997</v>
      </c>
      <c r="I56" s="530">
        <f t="shared" si="12"/>
        <v>84156304</v>
      </c>
      <c r="J56" s="530"/>
      <c r="K56" s="548">
        <f t="shared" si="17"/>
        <v>84156304</v>
      </c>
      <c r="L56" s="665"/>
      <c r="M56" s="364"/>
      <c r="N56" s="97"/>
      <c r="O56" s="97"/>
      <c r="P56" s="97"/>
      <c r="Q56" s="97"/>
      <c r="R56" s="97"/>
      <c r="S56" s="436"/>
      <c r="T56" s="443"/>
    </row>
    <row r="57" spans="1:20" s="97" customFormat="1" ht="27" customHeight="1">
      <c r="A57" s="2035" t="s">
        <v>10</v>
      </c>
      <c r="B57" s="2036"/>
      <c r="C57" s="2036"/>
      <c r="D57" s="2036"/>
      <c r="E57" s="2036"/>
      <c r="F57" s="2036"/>
      <c r="G57" s="2037"/>
      <c r="H57" s="643">
        <f>SUM(H35:H56)</f>
        <v>1046978.71</v>
      </c>
      <c r="I57" s="116">
        <f>SUM(I35:I56)</f>
        <v>1523271224</v>
      </c>
      <c r="J57" s="116">
        <f>SUM(J35:J56)</f>
        <v>1057345056</v>
      </c>
      <c r="K57" s="260">
        <f>SUM(K35:K56)</f>
        <v>465926168</v>
      </c>
      <c r="L57" s="666"/>
      <c r="M57" s="364"/>
      <c r="N57" s="434"/>
      <c r="O57" s="434"/>
      <c r="P57" s="434"/>
      <c r="Q57" s="434"/>
      <c r="R57" s="434"/>
      <c r="S57" s="434"/>
      <c r="T57" s="441"/>
    </row>
    <row r="58" spans="1:20" s="97" customFormat="1" ht="39" customHeight="1">
      <c r="A58" s="2010" t="s">
        <v>3101</v>
      </c>
      <c r="B58" s="513" t="s">
        <v>3665</v>
      </c>
      <c r="C58" s="513" t="s">
        <v>3745</v>
      </c>
      <c r="D58" s="513" t="s">
        <v>3736</v>
      </c>
      <c r="E58" s="89"/>
      <c r="F58" s="89">
        <v>46013</v>
      </c>
      <c r="G58" s="91">
        <f>VLOOKUP(F58,환율!A:B,2,0)</f>
        <v>1477.8</v>
      </c>
      <c r="H58" s="118">
        <v>124136.32000000001</v>
      </c>
      <c r="I58" s="93">
        <f t="shared" ref="I58" si="18">ROUNDDOWN(H58*G58,0)</f>
        <v>183448653</v>
      </c>
      <c r="J58" s="93">
        <f>I58</f>
        <v>183448653</v>
      </c>
      <c r="K58" s="254"/>
      <c r="L58" s="664"/>
      <c r="M58" s="364"/>
      <c r="S58" s="434"/>
      <c r="T58" s="441"/>
    </row>
    <row r="59" spans="1:20" s="97" customFormat="1" ht="39" customHeight="1">
      <c r="A59" s="2019"/>
      <c r="B59" s="513" t="s">
        <v>3666</v>
      </c>
      <c r="C59" s="513" t="s">
        <v>3745</v>
      </c>
      <c r="D59" s="513" t="s">
        <v>3735</v>
      </c>
      <c r="E59" s="89"/>
      <c r="F59" s="89">
        <v>46022</v>
      </c>
      <c r="G59" s="91">
        <f>VLOOKUP(F59,환율!A:B,2,0)</f>
        <v>1434.9</v>
      </c>
      <c r="H59" s="118">
        <v>61781.14</v>
      </c>
      <c r="I59" s="93">
        <f t="shared" ref="I59" si="19">ROUNDDOWN(H59*G59,0)</f>
        <v>88649757</v>
      </c>
      <c r="J59" s="93">
        <f>I59</f>
        <v>88649757</v>
      </c>
      <c r="K59" s="254"/>
      <c r="L59" s="664"/>
      <c r="M59" s="364"/>
      <c r="S59" s="434"/>
      <c r="T59" s="441"/>
    </row>
    <row r="60" spans="1:20" s="97" customFormat="1" ht="27" customHeight="1">
      <c r="A60" s="2035" t="s">
        <v>10</v>
      </c>
      <c r="B60" s="2036"/>
      <c r="C60" s="2036"/>
      <c r="D60" s="2036"/>
      <c r="E60" s="2036"/>
      <c r="F60" s="2036"/>
      <c r="G60" s="2037"/>
      <c r="H60" s="643">
        <f>SUM(H58:H59)</f>
        <v>185917.46000000002</v>
      </c>
      <c r="I60" s="116">
        <f t="shared" ref="I60:J60" si="20">SUM(I58:I59)</f>
        <v>272098410</v>
      </c>
      <c r="J60" s="116">
        <f t="shared" si="20"/>
        <v>272098410</v>
      </c>
      <c r="K60" s="260">
        <f>SUM(K58:K58)</f>
        <v>0</v>
      </c>
      <c r="L60" s="666"/>
      <c r="M60" s="364"/>
      <c r="N60" s="434"/>
      <c r="O60" s="434"/>
      <c r="P60" s="434"/>
      <c r="Q60" s="434"/>
      <c r="R60" s="434"/>
      <c r="S60" s="434"/>
      <c r="T60" s="441"/>
    </row>
    <row r="61" spans="1:20" s="97" customFormat="1" ht="27" customHeight="1">
      <c r="A61" s="2010" t="s">
        <v>3102</v>
      </c>
      <c r="B61" s="510" t="s">
        <v>3598</v>
      </c>
      <c r="C61" s="619" t="s">
        <v>3745</v>
      </c>
      <c r="D61" s="460" t="s">
        <v>3709</v>
      </c>
      <c r="E61" s="460"/>
      <c r="F61" s="455">
        <v>45993</v>
      </c>
      <c r="G61" s="456">
        <f>VLOOKUP(F61,환율!A:B,2,0)</f>
        <v>1469.1</v>
      </c>
      <c r="H61" s="462"/>
      <c r="I61" s="458">
        <v>42597818</v>
      </c>
      <c r="J61" s="458">
        <f>I61</f>
        <v>42597818</v>
      </c>
      <c r="K61" s="464"/>
      <c r="L61" s="663"/>
      <c r="M61" s="401"/>
      <c r="S61" s="434"/>
      <c r="T61" s="441"/>
    </row>
    <row r="62" spans="1:20" s="97" customFormat="1" ht="27" customHeight="1">
      <c r="A62" s="2011"/>
      <c r="B62" s="514" t="s">
        <v>3599</v>
      </c>
      <c r="C62" s="509" t="s">
        <v>3745</v>
      </c>
      <c r="D62" s="514" t="s">
        <v>3734</v>
      </c>
      <c r="E62" s="466"/>
      <c r="F62" s="454">
        <v>46004</v>
      </c>
      <c r="G62" s="456">
        <f>VLOOKUP(F62,환율!A:B,2,0)</f>
        <v>1469.5</v>
      </c>
      <c r="H62" s="478"/>
      <c r="I62" s="458">
        <v>144332851</v>
      </c>
      <c r="J62" s="458">
        <f>I62</f>
        <v>144332851</v>
      </c>
      <c r="K62" s="464"/>
      <c r="L62" s="663"/>
      <c r="M62" s="401"/>
      <c r="S62" s="434"/>
      <c r="T62" s="441"/>
    </row>
    <row r="63" spans="1:20" s="97" customFormat="1" ht="27" customHeight="1">
      <c r="A63" s="2011"/>
      <c r="B63" s="174" t="s">
        <v>3667</v>
      </c>
      <c r="C63" s="155" t="s">
        <v>3745</v>
      </c>
      <c r="D63" s="174" t="s">
        <v>3702</v>
      </c>
      <c r="E63" s="146"/>
      <c r="F63" s="89">
        <v>46018</v>
      </c>
      <c r="G63" s="91">
        <f>VLOOKUP(F63,환율!A:B,2,0)</f>
        <v>1460.6</v>
      </c>
      <c r="H63" s="118"/>
      <c r="I63" s="93">
        <v>136850441</v>
      </c>
      <c r="J63" s="93">
        <f>I63</f>
        <v>136850441</v>
      </c>
      <c r="K63" s="254"/>
      <c r="L63" s="663"/>
      <c r="M63" s="401"/>
      <c r="S63" s="434"/>
      <c r="T63" s="441"/>
    </row>
    <row r="64" spans="1:20" s="97" customFormat="1" ht="27" customHeight="1">
      <c r="A64" s="2019"/>
      <c r="B64" s="524" t="s">
        <v>3701</v>
      </c>
      <c r="C64" s="524" t="s">
        <v>3741</v>
      </c>
      <c r="D64" s="524" t="s">
        <v>3700</v>
      </c>
      <c r="E64" s="552"/>
      <c r="F64" s="547">
        <v>46024</v>
      </c>
      <c r="G64" s="528">
        <f>VLOOKUP(F64,환율!A:B,2,0)</f>
        <v>1434.9</v>
      </c>
      <c r="H64" s="554"/>
      <c r="I64" s="530">
        <v>41231590</v>
      </c>
      <c r="J64" s="530"/>
      <c r="K64" s="548">
        <f>I64</f>
        <v>41231590</v>
      </c>
      <c r="L64" s="663"/>
      <c r="M64" s="401"/>
      <c r="S64" s="434"/>
      <c r="T64" s="441"/>
    </row>
    <row r="65" spans="1:20" s="97" customFormat="1" ht="27" customHeight="1">
      <c r="A65" s="2035" t="s">
        <v>10</v>
      </c>
      <c r="B65" s="2036"/>
      <c r="C65" s="2036"/>
      <c r="D65" s="2036"/>
      <c r="E65" s="2036"/>
      <c r="F65" s="2036"/>
      <c r="G65" s="2037"/>
      <c r="H65" s="643">
        <f>SUM(H61:H61)</f>
        <v>0</v>
      </c>
      <c r="I65" s="116">
        <f>SUM(I61:I64)</f>
        <v>365012700</v>
      </c>
      <c r="J65" s="116">
        <f>SUM(J61:J64)</f>
        <v>323781110</v>
      </c>
      <c r="K65" s="260">
        <f>SUM(K61:K64)</f>
        <v>41231590</v>
      </c>
      <c r="L65" s="666"/>
      <c r="M65" s="364"/>
      <c r="N65" s="434"/>
      <c r="O65" s="434"/>
      <c r="P65" s="434"/>
      <c r="R65" s="434"/>
      <c r="S65" s="434"/>
      <c r="T65" s="441"/>
    </row>
    <row r="66" spans="1:20" s="97" customFormat="1" ht="38.4">
      <c r="A66" s="362" t="s">
        <v>3103</v>
      </c>
      <c r="B66" s="656" t="s">
        <v>3668</v>
      </c>
      <c r="C66" s="608" t="s">
        <v>3741</v>
      </c>
      <c r="D66" s="557" t="s">
        <v>3703</v>
      </c>
      <c r="E66" s="557"/>
      <c r="F66" s="527">
        <v>46030</v>
      </c>
      <c r="G66" s="528">
        <f>VLOOKUP(F66,환율!A:B,2,0)</f>
        <v>1448.3</v>
      </c>
      <c r="H66" s="551">
        <v>39476</v>
      </c>
      <c r="I66" s="530">
        <f>ROUNDDOWN(H66*G66,0)</f>
        <v>57173090</v>
      </c>
      <c r="J66" s="530"/>
      <c r="K66" s="548">
        <f>I66</f>
        <v>57173090</v>
      </c>
      <c r="L66" s="665"/>
      <c r="M66" s="364"/>
      <c r="N66" s="434"/>
      <c r="O66" s="434"/>
      <c r="P66" s="434"/>
      <c r="R66" s="434"/>
      <c r="S66" s="434"/>
      <c r="T66" s="441"/>
    </row>
    <row r="67" spans="1:20" s="97" customFormat="1" ht="27" customHeight="1">
      <c r="A67" s="2035" t="s">
        <v>10</v>
      </c>
      <c r="B67" s="2036"/>
      <c r="C67" s="2036"/>
      <c r="D67" s="2036"/>
      <c r="E67" s="2036"/>
      <c r="F67" s="2036"/>
      <c r="G67" s="2037"/>
      <c r="H67" s="643">
        <f>SUM(H66:H66)</f>
        <v>39476</v>
      </c>
      <c r="I67" s="116">
        <f>SUM(I66:I66)</f>
        <v>57173090</v>
      </c>
      <c r="J67" s="116">
        <f>SUM(J66:J66)</f>
        <v>0</v>
      </c>
      <c r="K67" s="260">
        <f>SUM(K66:K66)</f>
        <v>57173090</v>
      </c>
      <c r="L67" s="666"/>
      <c r="M67" s="364"/>
      <c r="N67" s="434"/>
      <c r="O67" s="434"/>
      <c r="P67" s="434"/>
      <c r="R67" s="434"/>
      <c r="S67" s="434"/>
      <c r="T67" s="441"/>
    </row>
    <row r="68" spans="1:20" s="97" customFormat="1" ht="37.5" customHeight="1">
      <c r="A68" s="261" t="s">
        <v>3104</v>
      </c>
      <c r="B68" s="513" t="s">
        <v>3669</v>
      </c>
      <c r="C68" s="620" t="s">
        <v>3745</v>
      </c>
      <c r="D68" s="129" t="s">
        <v>3704</v>
      </c>
      <c r="E68" s="129"/>
      <c r="F68" s="90">
        <v>46003</v>
      </c>
      <c r="G68" s="91">
        <f>VLOOKUP(F68,환율!A:B,2,0)</f>
        <v>1469.5</v>
      </c>
      <c r="H68" s="134">
        <v>12084.76</v>
      </c>
      <c r="I68" s="93">
        <f t="shared" ref="I68" si="21">ROUNDDOWN(H68*G68,0)</f>
        <v>17758554</v>
      </c>
      <c r="J68" s="93">
        <f>I68</f>
        <v>17758554</v>
      </c>
      <c r="K68" s="254"/>
      <c r="L68" s="663"/>
      <c r="M68" s="401"/>
      <c r="S68" s="434"/>
      <c r="T68" s="441"/>
    </row>
    <row r="69" spans="1:20" s="97" customFormat="1" ht="27" customHeight="1">
      <c r="A69" s="2035" t="s">
        <v>10</v>
      </c>
      <c r="B69" s="2036"/>
      <c r="C69" s="2036"/>
      <c r="D69" s="2036"/>
      <c r="E69" s="2036"/>
      <c r="F69" s="2036"/>
      <c r="G69" s="2037"/>
      <c r="H69" s="643">
        <f>SUM(H68:H68)</f>
        <v>12084.76</v>
      </c>
      <c r="I69" s="116">
        <f>SUM(I68:I68)</f>
        <v>17758554</v>
      </c>
      <c r="J69" s="116">
        <f>SUM(J68:J68)</f>
        <v>17758554</v>
      </c>
      <c r="K69" s="260">
        <f>SUM(K68:K68)</f>
        <v>0</v>
      </c>
      <c r="L69" s="669"/>
      <c r="M69" s="364"/>
      <c r="N69" s="434"/>
      <c r="O69" s="434"/>
      <c r="P69" s="434"/>
      <c r="R69" s="434"/>
      <c r="S69" s="434"/>
      <c r="T69" s="441"/>
    </row>
    <row r="70" spans="1:20" s="97" customFormat="1" ht="27" customHeight="1">
      <c r="A70" s="2010" t="s">
        <v>3208</v>
      </c>
      <c r="B70" s="514" t="s">
        <v>3549</v>
      </c>
      <c r="C70" s="481" t="s">
        <v>3741</v>
      </c>
      <c r="D70" s="481" t="s">
        <v>3705</v>
      </c>
      <c r="E70" s="482"/>
      <c r="F70" s="465">
        <v>45994</v>
      </c>
      <c r="G70" s="456">
        <f>VLOOKUP(F70,환율!A:B,2,0)</f>
        <v>1469.6</v>
      </c>
      <c r="H70" s="478">
        <v>2505.14</v>
      </c>
      <c r="I70" s="458">
        <f t="shared" ref="I70:I73" si="22">ROUNDDOWN(H70*G70,0)</f>
        <v>3681553</v>
      </c>
      <c r="J70" s="458">
        <f t="shared" ref="J70:J73" si="23">I70</f>
        <v>3681553</v>
      </c>
      <c r="K70" s="464"/>
      <c r="L70" s="664"/>
      <c r="M70" s="364"/>
      <c r="S70" s="434"/>
      <c r="T70" s="441"/>
    </row>
    <row r="71" spans="1:20" s="97" customFormat="1" ht="27" customHeight="1">
      <c r="A71" s="2011"/>
      <c r="B71" s="174" t="s">
        <v>3670</v>
      </c>
      <c r="C71" s="173" t="s">
        <v>3741</v>
      </c>
      <c r="D71" s="173" t="s">
        <v>3706</v>
      </c>
      <c r="E71" s="288"/>
      <c r="F71" s="136">
        <v>46008</v>
      </c>
      <c r="G71" s="91">
        <f>VLOOKUP(F71,환율!A:B,2,0)</f>
        <v>1472.4</v>
      </c>
      <c r="H71" s="118">
        <v>2496.7800000000002</v>
      </c>
      <c r="I71" s="93">
        <f t="shared" si="22"/>
        <v>3676258</v>
      </c>
      <c r="J71" s="93">
        <f t="shared" si="23"/>
        <v>3676258</v>
      </c>
      <c r="K71" s="254"/>
      <c r="L71" s="664"/>
      <c r="M71" s="364"/>
      <c r="S71" s="434"/>
      <c r="T71" s="441"/>
    </row>
    <row r="72" spans="1:20" s="97" customFormat="1" ht="27" customHeight="1">
      <c r="A72" s="2011"/>
      <c r="B72" s="174" t="s">
        <v>3671</v>
      </c>
      <c r="C72" s="173" t="s">
        <v>3741</v>
      </c>
      <c r="D72" s="173" t="s">
        <v>3707</v>
      </c>
      <c r="E72" s="288"/>
      <c r="F72" s="136">
        <v>46007</v>
      </c>
      <c r="G72" s="91">
        <f>VLOOKUP(F72,환율!A:B,2,0)</f>
        <v>1474.1</v>
      </c>
      <c r="H72" s="118">
        <v>2976.24</v>
      </c>
      <c r="I72" s="93">
        <f t="shared" si="22"/>
        <v>4387275</v>
      </c>
      <c r="J72" s="93">
        <f t="shared" si="23"/>
        <v>4387275</v>
      </c>
      <c r="K72" s="254"/>
      <c r="L72" s="664"/>
      <c r="M72" s="364"/>
      <c r="S72" s="434"/>
      <c r="T72" s="441"/>
    </row>
    <row r="73" spans="1:20" s="97" customFormat="1" ht="27" customHeight="1">
      <c r="A73" s="2019"/>
      <c r="B73" s="174" t="s">
        <v>3672</v>
      </c>
      <c r="C73" s="173" t="s">
        <v>3741</v>
      </c>
      <c r="D73" s="173" t="s">
        <v>3708</v>
      </c>
      <c r="E73" s="288"/>
      <c r="F73" s="136">
        <v>46010</v>
      </c>
      <c r="G73" s="91">
        <f>VLOOKUP(F73,환율!A:B,2,0)</f>
        <v>1477.2</v>
      </c>
      <c r="H73" s="118">
        <v>169.7</v>
      </c>
      <c r="I73" s="93">
        <f t="shared" si="22"/>
        <v>250680</v>
      </c>
      <c r="J73" s="93">
        <f t="shared" si="23"/>
        <v>250680</v>
      </c>
      <c r="K73" s="254"/>
      <c r="L73" s="664"/>
      <c r="M73" s="364"/>
      <c r="S73" s="434"/>
      <c r="T73" s="441"/>
    </row>
    <row r="74" spans="1:20" s="97" customFormat="1" ht="27" customHeight="1">
      <c r="A74" s="2035" t="s">
        <v>10</v>
      </c>
      <c r="B74" s="2036"/>
      <c r="C74" s="2036"/>
      <c r="D74" s="2036"/>
      <c r="E74" s="2036"/>
      <c r="F74" s="2036"/>
      <c r="G74" s="2037"/>
      <c r="H74" s="643">
        <f>SUM(H70:H73)</f>
        <v>8147.86</v>
      </c>
      <c r="I74" s="160">
        <f>SUM(I70:I73)</f>
        <v>11995766</v>
      </c>
      <c r="J74" s="116">
        <f>SUM(J70:J73)</f>
        <v>11995766</v>
      </c>
      <c r="K74" s="260">
        <f>SUM(K70:K73)</f>
        <v>0</v>
      </c>
      <c r="L74" s="666"/>
      <c r="M74" s="364"/>
      <c r="N74" s="434"/>
      <c r="O74" s="434"/>
      <c r="P74" s="434"/>
      <c r="R74" s="434"/>
      <c r="S74" s="434"/>
      <c r="T74" s="441"/>
    </row>
    <row r="75" spans="1:20" s="97" customFormat="1" ht="34.5" customHeight="1">
      <c r="A75" s="2010" t="s">
        <v>3106</v>
      </c>
      <c r="B75" s="514" t="s">
        <v>3623</v>
      </c>
      <c r="C75" s="487" t="s">
        <v>3745</v>
      </c>
      <c r="D75" s="487" t="s">
        <v>3710</v>
      </c>
      <c r="E75" s="482"/>
      <c r="F75" s="465">
        <v>45995</v>
      </c>
      <c r="G75" s="456">
        <f>VLOOKUP(F75,환율!A:B,2,0)</f>
        <v>1468.7</v>
      </c>
      <c r="H75" s="478">
        <v>8163.21</v>
      </c>
      <c r="I75" s="458">
        <f t="shared" ref="I75:I76" si="24">ROUNDDOWN(H75*G75,0)</f>
        <v>11989306</v>
      </c>
      <c r="J75" s="458">
        <f t="shared" ref="J75" si="25">I75</f>
        <v>11989306</v>
      </c>
      <c r="K75" s="464"/>
      <c r="L75" s="664"/>
      <c r="M75" s="401"/>
      <c r="N75" s="434"/>
      <c r="O75" s="434"/>
      <c r="P75" s="434"/>
      <c r="R75" s="434"/>
      <c r="S75" s="434"/>
      <c r="T75" s="441"/>
    </row>
    <row r="76" spans="1:20" s="97" customFormat="1">
      <c r="A76" s="2011"/>
      <c r="B76" s="514" t="s">
        <v>3624</v>
      </c>
      <c r="C76" s="487" t="s">
        <v>3745</v>
      </c>
      <c r="D76" s="487" t="s">
        <v>3711</v>
      </c>
      <c r="E76" s="482"/>
      <c r="F76" s="465">
        <v>46001</v>
      </c>
      <c r="G76" s="456">
        <f>VLOOKUP(F76,환율!A:B,2,0)</f>
        <v>1470.4</v>
      </c>
      <c r="H76" s="478">
        <v>30971.24</v>
      </c>
      <c r="I76" s="458">
        <f t="shared" si="24"/>
        <v>45540111</v>
      </c>
      <c r="J76" s="458">
        <f>I76</f>
        <v>45540111</v>
      </c>
      <c r="K76" s="464"/>
      <c r="L76" s="664"/>
      <c r="M76" s="401"/>
      <c r="N76" s="434"/>
      <c r="O76" s="434"/>
      <c r="P76" s="434"/>
      <c r="R76" s="434"/>
      <c r="S76" s="434"/>
      <c r="T76" s="441"/>
    </row>
    <row r="77" spans="1:20" s="97" customFormat="1">
      <c r="A77" s="2011"/>
      <c r="B77" s="174" t="s">
        <v>3673</v>
      </c>
      <c r="C77" s="145" t="s">
        <v>3745</v>
      </c>
      <c r="D77" s="145" t="s">
        <v>3712</v>
      </c>
      <c r="E77" s="288"/>
      <c r="F77" s="136">
        <v>46018</v>
      </c>
      <c r="G77" s="91">
        <f>VLOOKUP(F77,환율!A:B,2,0)</f>
        <v>1460.6</v>
      </c>
      <c r="H77" s="118">
        <v>8163.21</v>
      </c>
      <c r="I77" s="93">
        <f t="shared" ref="I77:I79" si="26">ROUNDDOWN(H77*G77,0)</f>
        <v>11923184</v>
      </c>
      <c r="J77" s="93">
        <f t="shared" ref="J77:J78" si="27">I77</f>
        <v>11923184</v>
      </c>
      <c r="K77" s="254"/>
      <c r="L77" s="664"/>
      <c r="M77" s="401"/>
      <c r="N77" s="434"/>
      <c r="O77" s="434"/>
      <c r="P77" s="434"/>
      <c r="R77" s="434"/>
      <c r="S77" s="434"/>
      <c r="T77" s="441"/>
    </row>
    <row r="78" spans="1:20" s="97" customFormat="1">
      <c r="A78" s="2011"/>
      <c r="B78" s="174" t="s">
        <v>3674</v>
      </c>
      <c r="C78" s="145" t="s">
        <v>3745</v>
      </c>
      <c r="D78" s="145" t="s">
        <v>3713</v>
      </c>
      <c r="E78" s="288"/>
      <c r="F78" s="136">
        <v>46019</v>
      </c>
      <c r="G78" s="91">
        <f>VLOOKUP(F78,환율!A:B,2,0)</f>
        <v>1460.6</v>
      </c>
      <c r="H78" s="118">
        <v>5442.14</v>
      </c>
      <c r="I78" s="93">
        <f t="shared" si="26"/>
        <v>7948789</v>
      </c>
      <c r="J78" s="93">
        <f t="shared" si="27"/>
        <v>7948789</v>
      </c>
      <c r="K78" s="254"/>
      <c r="L78" s="664"/>
      <c r="M78" s="401"/>
      <c r="N78" s="434"/>
      <c r="O78" s="434"/>
      <c r="P78" s="434"/>
      <c r="R78" s="434"/>
      <c r="S78" s="434"/>
      <c r="T78" s="441"/>
    </row>
    <row r="79" spans="1:20" s="97" customFormat="1">
      <c r="A79" s="2019"/>
      <c r="B79" s="524" t="s">
        <v>3675</v>
      </c>
      <c r="C79" s="603" t="s">
        <v>3741</v>
      </c>
      <c r="D79" s="603"/>
      <c r="E79" s="526"/>
      <c r="F79" s="550">
        <v>46030</v>
      </c>
      <c r="G79" s="528">
        <f>VLOOKUP(F79,환율!A:B,2,0)</f>
        <v>1448.3</v>
      </c>
      <c r="H79" s="554">
        <v>34331.440000000002</v>
      </c>
      <c r="I79" s="530">
        <f t="shared" si="26"/>
        <v>49722224</v>
      </c>
      <c r="J79" s="530"/>
      <c r="K79" s="548">
        <f>I79</f>
        <v>49722224</v>
      </c>
      <c r="L79" s="664"/>
      <c r="M79" s="401"/>
      <c r="N79" s="434"/>
      <c r="O79" s="434"/>
      <c r="P79" s="434"/>
      <c r="R79" s="434"/>
      <c r="S79" s="434"/>
      <c r="T79" s="441"/>
    </row>
    <row r="80" spans="1:20" s="97" customFormat="1" ht="27" customHeight="1">
      <c r="A80" s="2035" t="s">
        <v>10</v>
      </c>
      <c r="B80" s="2036"/>
      <c r="C80" s="2036"/>
      <c r="D80" s="2036"/>
      <c r="E80" s="2036"/>
      <c r="F80" s="2036"/>
      <c r="G80" s="2037"/>
      <c r="H80" s="643">
        <f>SUM(H75:H79)</f>
        <v>87071.24</v>
      </c>
      <c r="I80" s="116">
        <f>SUM(I75:I79)</f>
        <v>127123614</v>
      </c>
      <c r="J80" s="116">
        <f>SUM(J75:J79)</f>
        <v>77401390</v>
      </c>
      <c r="K80" s="260">
        <f>SUM(K75:K79)</f>
        <v>49722224</v>
      </c>
      <c r="L80" s="666"/>
      <c r="M80" s="366"/>
      <c r="N80" s="434"/>
      <c r="O80" s="434"/>
      <c r="P80" s="434"/>
      <c r="R80" s="434"/>
      <c r="S80" s="434"/>
      <c r="T80" s="441"/>
    </row>
    <row r="81" spans="1:20" s="97" customFormat="1" ht="27" customHeight="1">
      <c r="A81" s="2010" t="s">
        <v>3108</v>
      </c>
      <c r="B81" s="513" t="s">
        <v>3714</v>
      </c>
      <c r="C81" s="620" t="s">
        <v>3745</v>
      </c>
      <c r="D81" s="129" t="s">
        <v>3719</v>
      </c>
      <c r="E81" s="129"/>
      <c r="F81" s="90">
        <v>45998</v>
      </c>
      <c r="G81" s="397">
        <v>9.4859000000000009</v>
      </c>
      <c r="H81" s="177">
        <v>15064850</v>
      </c>
      <c r="I81" s="93">
        <f t="shared" ref="I81:I85" si="28">ROUNDDOWN(H81*G81,0)</f>
        <v>142903660</v>
      </c>
      <c r="J81" s="93">
        <f>I81</f>
        <v>142903660</v>
      </c>
      <c r="K81" s="254"/>
      <c r="L81" s="663" t="s">
        <v>730</v>
      </c>
      <c r="M81" s="366"/>
      <c r="N81" s="434"/>
      <c r="O81" s="434"/>
      <c r="P81" s="434"/>
      <c r="R81" s="434"/>
      <c r="S81" s="434"/>
      <c r="T81" s="441"/>
    </row>
    <row r="82" spans="1:20" s="97" customFormat="1" ht="27" customHeight="1">
      <c r="A82" s="2011"/>
      <c r="B82" s="513" t="s">
        <v>3715</v>
      </c>
      <c r="C82" s="89" t="s">
        <v>3745</v>
      </c>
      <c r="D82" s="146" t="s">
        <v>3720</v>
      </c>
      <c r="E82" s="136"/>
      <c r="F82" s="90">
        <v>46004</v>
      </c>
      <c r="G82" s="397">
        <v>9.4504999999999999</v>
      </c>
      <c r="H82" s="177">
        <v>16274370</v>
      </c>
      <c r="I82" s="93">
        <f t="shared" si="28"/>
        <v>153800933</v>
      </c>
      <c r="J82" s="93">
        <f>I82</f>
        <v>153800933</v>
      </c>
      <c r="K82" s="263"/>
      <c r="L82" s="677"/>
      <c r="M82" s="364"/>
      <c r="S82" s="434"/>
      <c r="T82" s="441"/>
    </row>
    <row r="83" spans="1:20" s="97" customFormat="1" ht="27" customHeight="1">
      <c r="A83" s="2011"/>
      <c r="B83" s="513" t="s">
        <v>3716</v>
      </c>
      <c r="C83" s="89" t="s">
        <v>3745</v>
      </c>
      <c r="D83" s="146" t="s">
        <v>3721</v>
      </c>
      <c r="E83" s="136"/>
      <c r="F83" s="90">
        <v>46012</v>
      </c>
      <c r="G83" s="397">
        <v>9.4962999999999997</v>
      </c>
      <c r="H83" s="177">
        <v>17096206</v>
      </c>
      <c r="I83" s="93">
        <f t="shared" si="28"/>
        <v>162350701</v>
      </c>
      <c r="J83" s="93">
        <f t="shared" ref="J83:J85" si="29">I83</f>
        <v>162350701</v>
      </c>
      <c r="K83" s="263"/>
      <c r="L83" s="677"/>
      <c r="M83" s="364"/>
      <c r="S83" s="434"/>
      <c r="T83" s="441"/>
    </row>
    <row r="84" spans="1:20" s="97" customFormat="1" ht="27" customHeight="1">
      <c r="A84" s="2011"/>
      <c r="B84" s="513" t="s">
        <v>3717</v>
      </c>
      <c r="C84" s="89" t="s">
        <v>3745</v>
      </c>
      <c r="D84" s="146" t="s">
        <v>3722</v>
      </c>
      <c r="E84" s="136"/>
      <c r="F84" s="90">
        <v>46020</v>
      </c>
      <c r="G84" s="397">
        <v>9.2177000000000007</v>
      </c>
      <c r="H84" s="177">
        <v>17169090</v>
      </c>
      <c r="I84" s="93">
        <f t="shared" si="28"/>
        <v>158259520</v>
      </c>
      <c r="J84" s="93">
        <f t="shared" si="29"/>
        <v>158259520</v>
      </c>
      <c r="K84" s="263"/>
      <c r="L84" s="677"/>
      <c r="M84" s="364"/>
      <c r="S84" s="434"/>
      <c r="T84" s="441"/>
    </row>
    <row r="85" spans="1:20" s="97" customFormat="1" ht="27" customHeight="1">
      <c r="A85" s="2019"/>
      <c r="B85" s="513" t="s">
        <v>3718</v>
      </c>
      <c r="C85" s="89" t="s">
        <v>3745</v>
      </c>
      <c r="D85" s="146" t="s">
        <v>3723</v>
      </c>
      <c r="E85" s="136"/>
      <c r="F85" s="90">
        <v>46020</v>
      </c>
      <c r="G85" s="176">
        <v>9.2177000000000007</v>
      </c>
      <c r="H85" s="177">
        <v>4620000</v>
      </c>
      <c r="I85" s="93">
        <f t="shared" si="28"/>
        <v>42585774</v>
      </c>
      <c r="J85" s="93">
        <f t="shared" si="29"/>
        <v>42585774</v>
      </c>
      <c r="K85" s="254"/>
      <c r="L85" s="664"/>
      <c r="M85" s="402"/>
      <c r="S85" s="434"/>
      <c r="T85" s="441"/>
    </row>
    <row r="86" spans="1:20" s="97" customFormat="1" ht="27" customHeight="1">
      <c r="A86" s="361" t="s">
        <v>10</v>
      </c>
      <c r="B86" s="113"/>
      <c r="C86" s="113"/>
      <c r="D86" s="113"/>
      <c r="E86" s="113"/>
      <c r="F86" s="113"/>
      <c r="G86" s="114"/>
      <c r="H86" s="644">
        <f>SUM(H81:H85)</f>
        <v>70224516</v>
      </c>
      <c r="I86" s="116">
        <f>SUM(I81:I85)</f>
        <v>659900588</v>
      </c>
      <c r="J86" s="116">
        <f>SUM(J81:J85)</f>
        <v>659900588</v>
      </c>
      <c r="K86" s="260">
        <f>SUM(K81:K85)</f>
        <v>0</v>
      </c>
      <c r="L86" s="666"/>
      <c r="S86" s="434"/>
      <c r="T86" s="441"/>
    </row>
    <row r="87" spans="1:20" s="97" customFormat="1" ht="27" customHeight="1">
      <c r="A87" s="2010" t="s">
        <v>3107</v>
      </c>
      <c r="B87" s="174" t="s">
        <v>3724</v>
      </c>
      <c r="C87" s="174" t="s">
        <v>3741</v>
      </c>
      <c r="D87" s="174" t="s">
        <v>3726</v>
      </c>
      <c r="E87" s="146"/>
      <c r="F87" s="146">
        <v>45998</v>
      </c>
      <c r="G87" s="176">
        <v>9.4859000000000009</v>
      </c>
      <c r="H87" s="177">
        <v>6659847</v>
      </c>
      <c r="I87" s="93">
        <f t="shared" ref="I87:I88" si="30">ROUNDDOWN(H87*G87,0)</f>
        <v>63174642</v>
      </c>
      <c r="J87" s="93">
        <f t="shared" ref="J87:J88" si="31">I87</f>
        <v>63174642</v>
      </c>
      <c r="K87" s="256"/>
      <c r="L87" s="670"/>
      <c r="S87" s="434"/>
      <c r="T87" s="441"/>
    </row>
    <row r="88" spans="1:20" s="97" customFormat="1" ht="27" customHeight="1">
      <c r="A88" s="2019"/>
      <c r="B88" s="174" t="s">
        <v>3725</v>
      </c>
      <c r="C88" s="174" t="s">
        <v>3741</v>
      </c>
      <c r="D88" s="174" t="s">
        <v>3727</v>
      </c>
      <c r="E88" s="146"/>
      <c r="F88" s="146">
        <v>46019</v>
      </c>
      <c r="G88" s="176">
        <v>9.3727</v>
      </c>
      <c r="H88" s="177">
        <v>6659847</v>
      </c>
      <c r="I88" s="93">
        <f t="shared" si="30"/>
        <v>62420747</v>
      </c>
      <c r="J88" s="93">
        <f t="shared" si="31"/>
        <v>62420747</v>
      </c>
      <c r="K88" s="256"/>
      <c r="L88" s="670"/>
      <c r="S88" s="434"/>
      <c r="T88" s="441"/>
    </row>
    <row r="89" spans="1:20" s="97" customFormat="1" ht="27" customHeight="1">
      <c r="A89" s="600"/>
      <c r="B89" s="113"/>
      <c r="C89" s="148"/>
      <c r="D89" s="148"/>
      <c r="E89" s="148"/>
      <c r="F89" s="148"/>
      <c r="G89" s="114"/>
      <c r="H89" s="645">
        <f>SUM(H87:H88)</f>
        <v>13319694</v>
      </c>
      <c r="I89" s="151">
        <f>SUM(I87:I88)</f>
        <v>125595389</v>
      </c>
      <c r="J89" s="151">
        <f>SUM(J87:J88)</f>
        <v>125595389</v>
      </c>
      <c r="K89" s="633">
        <f>SUM(K87:K87)</f>
        <v>0</v>
      </c>
      <c r="L89" s="666"/>
      <c r="S89" s="434"/>
      <c r="T89" s="441"/>
    </row>
    <row r="90" spans="1:20" s="97" customFormat="1" ht="38.4">
      <c r="A90" s="541" t="s">
        <v>3109</v>
      </c>
      <c r="B90" s="174" t="s">
        <v>38</v>
      </c>
      <c r="C90" s="339" t="s">
        <v>38</v>
      </c>
      <c r="D90" s="136" t="s">
        <v>38</v>
      </c>
      <c r="E90" s="136"/>
      <c r="F90" s="136" t="s">
        <v>38</v>
      </c>
      <c r="G90" s="166">
        <f>VLOOKUP(F90,환율!A:B,2,0)</f>
        <v>0</v>
      </c>
      <c r="H90" s="341"/>
      <c r="I90" s="542">
        <f t="shared" ref="I90" si="32">ROUNDDOWN(H90*G90,0)</f>
        <v>0</v>
      </c>
      <c r="J90" s="542">
        <f>I90</f>
        <v>0</v>
      </c>
      <c r="K90" s="254"/>
      <c r="L90" s="664"/>
      <c r="S90" s="434"/>
      <c r="T90" s="441"/>
    </row>
    <row r="91" spans="1:20" s="97" customFormat="1" ht="27" customHeight="1">
      <c r="A91" s="361" t="s">
        <v>10</v>
      </c>
      <c r="B91" s="113"/>
      <c r="C91" s="113"/>
      <c r="D91" s="113"/>
      <c r="E91" s="113"/>
      <c r="F91" s="113"/>
      <c r="G91" s="114"/>
      <c r="H91" s="643">
        <f>SUM(H90)</f>
        <v>0</v>
      </c>
      <c r="I91" s="116">
        <f>SUM(I90)</f>
        <v>0</v>
      </c>
      <c r="J91" s="116">
        <f>SUM(J90)</f>
        <v>0</v>
      </c>
      <c r="K91" s="260">
        <f>SUM(K90)</f>
        <v>0</v>
      </c>
      <c r="L91" s="666"/>
      <c r="S91" s="434"/>
      <c r="T91" s="441"/>
    </row>
    <row r="92" spans="1:20" s="97" customFormat="1" ht="34.5" customHeight="1">
      <c r="A92" s="2111" t="s">
        <v>3110</v>
      </c>
      <c r="B92" s="679" t="s">
        <v>3728</v>
      </c>
      <c r="C92" s="332" t="s">
        <v>3741</v>
      </c>
      <c r="D92" s="303"/>
      <c r="E92" s="303"/>
      <c r="F92" s="303">
        <v>45999</v>
      </c>
      <c r="G92" s="304">
        <f>VLOOKUP(F92,환율!A:B,2,0)</f>
        <v>1472.1</v>
      </c>
      <c r="H92" s="341"/>
      <c r="I92" s="335">
        <v>3584725</v>
      </c>
      <c r="J92" s="335">
        <f>I92</f>
        <v>3584725</v>
      </c>
      <c r="K92" s="337"/>
      <c r="L92" s="671"/>
      <c r="S92" s="434"/>
      <c r="T92" s="441"/>
    </row>
    <row r="93" spans="1:20" s="97" customFormat="1" ht="34.5" customHeight="1">
      <c r="A93" s="2112"/>
      <c r="B93" s="301" t="s">
        <v>3729</v>
      </c>
      <c r="C93" s="332" t="s">
        <v>3741</v>
      </c>
      <c r="D93" s="303"/>
      <c r="E93" s="303"/>
      <c r="F93" s="303">
        <v>45999</v>
      </c>
      <c r="G93" s="304">
        <f>VLOOKUP(F93,환율!A:B,2,0)</f>
        <v>1472.1</v>
      </c>
      <c r="H93" s="341"/>
      <c r="I93" s="335">
        <v>1034995</v>
      </c>
      <c r="J93" s="335">
        <f t="shared" ref="J93:J94" si="33">I93</f>
        <v>1034995</v>
      </c>
      <c r="K93" s="337"/>
      <c r="L93" s="671"/>
      <c r="S93" s="434"/>
      <c r="T93" s="441"/>
    </row>
    <row r="94" spans="1:20" s="97" customFormat="1" ht="34.5" customHeight="1">
      <c r="A94" s="2112"/>
      <c r="B94" s="679" t="s">
        <v>3730</v>
      </c>
      <c r="C94" s="332" t="s">
        <v>3741</v>
      </c>
      <c r="D94" s="303"/>
      <c r="E94" s="303"/>
      <c r="F94" s="303">
        <v>45999</v>
      </c>
      <c r="G94" s="304">
        <f>VLOOKUP(F94,환율!A:B,2,0)</f>
        <v>1472.1</v>
      </c>
      <c r="H94" s="341"/>
      <c r="I94" s="335">
        <v>4749981</v>
      </c>
      <c r="J94" s="335">
        <f t="shared" si="33"/>
        <v>4749981</v>
      </c>
      <c r="K94" s="337"/>
      <c r="L94" s="671"/>
      <c r="S94" s="434"/>
      <c r="T94" s="441"/>
    </row>
    <row r="95" spans="1:20" s="97" customFormat="1" ht="34.5" customHeight="1">
      <c r="A95" s="2113"/>
      <c r="B95" s="679" t="s">
        <v>3731</v>
      </c>
      <c r="C95" s="332" t="s">
        <v>3741</v>
      </c>
      <c r="D95" s="303"/>
      <c r="E95" s="303"/>
      <c r="F95" s="303">
        <v>45999</v>
      </c>
      <c r="G95" s="304">
        <f>VLOOKUP(F95,환율!A:B,2,0)</f>
        <v>1472.1</v>
      </c>
      <c r="H95" s="341"/>
      <c r="I95" s="335">
        <v>3562500</v>
      </c>
      <c r="J95" s="335">
        <f>I95</f>
        <v>3562500</v>
      </c>
      <c r="K95" s="337"/>
      <c r="L95" s="671"/>
      <c r="S95" s="434"/>
      <c r="T95" s="441"/>
    </row>
    <row r="96" spans="1:20" s="496" customFormat="1" ht="27" customHeight="1" thickBot="1">
      <c r="A96" s="599" t="s">
        <v>10</v>
      </c>
      <c r="B96" s="266"/>
      <c r="C96" s="266"/>
      <c r="D96" s="266"/>
      <c r="E96" s="266"/>
      <c r="F96" s="266"/>
      <c r="G96" s="267"/>
      <c r="H96" s="646"/>
      <c r="I96" s="269">
        <f>SUM(I92:I95)</f>
        <v>12932201</v>
      </c>
      <c r="J96" s="269">
        <f>SUM(J92:J95)</f>
        <v>12932201</v>
      </c>
      <c r="K96" s="506">
        <f>SUM(K92:K92)</f>
        <v>0</v>
      </c>
      <c r="L96" s="672"/>
      <c r="M96" s="493"/>
      <c r="N96" s="434"/>
      <c r="O96" s="434"/>
      <c r="P96" s="434"/>
      <c r="Q96" s="434"/>
      <c r="R96" s="434"/>
      <c r="S96" s="494"/>
      <c r="T96" s="495"/>
    </row>
    <row r="97" spans="1:20" s="496" customFormat="1" ht="27" customHeight="1" thickBot="1">
      <c r="A97" s="601" t="s">
        <v>1176</v>
      </c>
      <c r="B97" s="597"/>
      <c r="C97" s="597"/>
      <c r="D97" s="597"/>
      <c r="E97" s="597"/>
      <c r="F97" s="598"/>
      <c r="G97" s="2095" t="s">
        <v>2334</v>
      </c>
      <c r="H97" s="647" t="s">
        <v>17</v>
      </c>
      <c r="I97" s="194">
        <f>+I99-I98</f>
        <v>6368453470</v>
      </c>
      <c r="J97" s="210">
        <f>J99-J98</f>
        <v>5693834303</v>
      </c>
      <c r="K97" s="210">
        <f>K99-K98</f>
        <v>674619167</v>
      </c>
      <c r="L97" s="673"/>
      <c r="M97" s="493"/>
      <c r="N97" s="434"/>
      <c r="O97" s="434"/>
      <c r="P97" s="434"/>
      <c r="Q97" s="434"/>
      <c r="R97" s="434"/>
      <c r="S97" s="494"/>
      <c r="T97" s="495"/>
    </row>
    <row r="98" spans="1:20" s="496" customFormat="1" ht="27" customHeight="1">
      <c r="A98" s="239" t="s">
        <v>20</v>
      </c>
      <c r="B98" s="195" t="s">
        <v>21</v>
      </c>
      <c r="C98" s="196"/>
      <c r="D98" s="196" t="s">
        <v>20</v>
      </c>
      <c r="E98" s="314"/>
      <c r="F98" s="197" t="s">
        <v>21</v>
      </c>
      <c r="G98" s="2096"/>
      <c r="H98" s="648" t="s">
        <v>18</v>
      </c>
      <c r="I98" s="210">
        <f>SUM(I92:I95)</f>
        <v>12932201</v>
      </c>
      <c r="J98" s="210">
        <f>I98</f>
        <v>12932201</v>
      </c>
      <c r="K98" s="219">
        <v>0</v>
      </c>
      <c r="L98" s="673"/>
      <c r="M98" s="493"/>
      <c r="N98" s="434"/>
      <c r="O98" s="434"/>
      <c r="P98" s="434"/>
      <c r="Q98" s="434"/>
      <c r="R98" s="434"/>
      <c r="S98" s="494"/>
      <c r="T98" s="495"/>
    </row>
    <row r="99" spans="1:20" s="496" customFormat="1" ht="27" customHeight="1" thickBot="1">
      <c r="A99" s="240" t="s">
        <v>9</v>
      </c>
      <c r="B99" s="199">
        <f>K22</f>
        <v>0</v>
      </c>
      <c r="C99" s="199"/>
      <c r="D99" s="200" t="s">
        <v>721</v>
      </c>
      <c r="E99" s="315"/>
      <c r="F99" s="201">
        <v>0</v>
      </c>
      <c r="G99" s="2097"/>
      <c r="H99" s="649" t="s">
        <v>19</v>
      </c>
      <c r="I99" s="210">
        <f>SUM(I96,I91,I86,I80,I74,I69,I67,I65,I60,I57,I34,I22,I89)</f>
        <v>6381385671</v>
      </c>
      <c r="J99" s="221">
        <f>H106+I106</f>
        <v>5706766504</v>
      </c>
      <c r="K99" s="210">
        <f>SUM(K22,K34,K57,K60,K65,K67,K69,K74,K80,K86,K96)+K91+K89</f>
        <v>674619167</v>
      </c>
      <c r="L99" s="673"/>
      <c r="M99" s="622" t="b">
        <f>I99-J99=K99</f>
        <v>1</v>
      </c>
      <c r="N99" s="636"/>
      <c r="O99" s="434"/>
      <c r="P99" s="434"/>
      <c r="Q99" s="434"/>
      <c r="R99" s="434"/>
      <c r="S99" s="494"/>
      <c r="T99" s="495"/>
    </row>
    <row r="100" spans="1:20" s="496" customFormat="1" ht="27" customHeight="1">
      <c r="A100" s="240" t="s">
        <v>11</v>
      </c>
      <c r="B100" s="199">
        <f>K34</f>
        <v>60566095</v>
      </c>
      <c r="C100" s="199"/>
      <c r="D100" s="200" t="s">
        <v>2950</v>
      </c>
      <c r="E100" s="315"/>
      <c r="F100" s="201">
        <f>K69</f>
        <v>0</v>
      </c>
      <c r="G100" s="296" t="s">
        <v>20</v>
      </c>
      <c r="H100" s="650" t="s">
        <v>2056</v>
      </c>
      <c r="I100" s="298" t="s">
        <v>251</v>
      </c>
      <c r="J100" s="298" t="s">
        <v>3639</v>
      </c>
      <c r="K100" s="234" t="s">
        <v>32</v>
      </c>
      <c r="L100" s="660"/>
      <c r="M100" s="493"/>
      <c r="N100" s="636"/>
      <c r="O100" s="434"/>
      <c r="P100" s="434"/>
      <c r="Q100" s="434"/>
      <c r="R100" s="434"/>
      <c r="S100" s="494"/>
      <c r="T100" s="495"/>
    </row>
    <row r="101" spans="1:20" s="496" customFormat="1" ht="27" customHeight="1">
      <c r="A101" s="241" t="s">
        <v>114</v>
      </c>
      <c r="B101" s="199">
        <f>K57</f>
        <v>465926168</v>
      </c>
      <c r="C101" s="199"/>
      <c r="D101" s="293" t="s">
        <v>14</v>
      </c>
      <c r="E101" s="316"/>
      <c r="F101" s="294">
        <f>K74</f>
        <v>0</v>
      </c>
      <c r="G101" s="211" t="s">
        <v>22</v>
      </c>
      <c r="H101" s="651">
        <v>0</v>
      </c>
      <c r="I101" s="199">
        <f>SUM(I81:I85,I87:I88)</f>
        <v>785495977</v>
      </c>
      <c r="J101" s="199">
        <v>0</v>
      </c>
      <c r="K101" s="201">
        <f>SUM(H101:I101)</f>
        <v>785495977</v>
      </c>
      <c r="L101" s="673"/>
      <c r="M101" s="493"/>
      <c r="N101" s="434"/>
      <c r="O101" s="434"/>
      <c r="P101" s="434"/>
      <c r="Q101" s="434"/>
      <c r="R101" s="434"/>
      <c r="S101" s="494"/>
      <c r="T101" s="495"/>
    </row>
    <row r="102" spans="1:20" s="97" customFormat="1" ht="27" customHeight="1">
      <c r="A102" s="241" t="s">
        <v>153</v>
      </c>
      <c r="B102" s="199">
        <v>0</v>
      </c>
      <c r="C102" s="199"/>
      <c r="D102" s="293" t="s">
        <v>15</v>
      </c>
      <c r="E102" s="317"/>
      <c r="F102" s="295">
        <f>K80</f>
        <v>49722224</v>
      </c>
      <c r="G102" s="211" t="s">
        <v>23</v>
      </c>
      <c r="H102" s="651">
        <f>SUM(I35:I40,I23:I25,I61:I62)</f>
        <v>930136630</v>
      </c>
      <c r="I102" s="199">
        <f>SUM(I26:I32,I41:I49,I58:I59,I63,I68)</f>
        <v>1295663158</v>
      </c>
      <c r="J102" s="199">
        <f>SUM(K34,K57,K65,K69)</f>
        <v>567723853</v>
      </c>
      <c r="K102" s="201">
        <f>SUM(H102:I102)</f>
        <v>2225799788</v>
      </c>
      <c r="L102" s="673"/>
      <c r="M102" s="402"/>
      <c r="N102" s="438"/>
      <c r="O102" s="434"/>
      <c r="P102" s="434"/>
      <c r="Q102" s="434"/>
      <c r="R102" s="434"/>
    </row>
    <row r="103" spans="1:20" s="97" customFormat="1" ht="27" customHeight="1">
      <c r="A103" s="241" t="s">
        <v>719</v>
      </c>
      <c r="B103" s="199">
        <v>0</v>
      </c>
      <c r="C103" s="199"/>
      <c r="D103" s="293" t="s">
        <v>53</v>
      </c>
      <c r="E103" s="316"/>
      <c r="F103" s="294">
        <f>K67</f>
        <v>57173090</v>
      </c>
      <c r="G103" s="211" t="s">
        <v>24</v>
      </c>
      <c r="H103" s="651">
        <f>SUM(I12:I13)</f>
        <v>756304715</v>
      </c>
      <c r="I103" s="199">
        <f>SUM(I14:I21)</f>
        <v>1836836667</v>
      </c>
      <c r="J103" s="199">
        <v>0</v>
      </c>
      <c r="K103" s="201">
        <f>SUM(H103:I103)</f>
        <v>2593141382</v>
      </c>
      <c r="L103" s="673"/>
      <c r="M103" s="401"/>
      <c r="N103" s="441"/>
    </row>
    <row r="104" spans="1:20" s="97" customFormat="1" ht="27" customHeight="1">
      <c r="A104" s="241" t="s">
        <v>2951</v>
      </c>
      <c r="B104" s="199">
        <f>K65</f>
        <v>41231590</v>
      </c>
      <c r="C104" s="199"/>
      <c r="D104" s="200" t="s">
        <v>252</v>
      </c>
      <c r="E104" s="216"/>
      <c r="F104" s="294">
        <f>K86</f>
        <v>0</v>
      </c>
      <c r="G104" s="211" t="s">
        <v>723</v>
      </c>
      <c r="H104" s="651">
        <f>SUM(I75:I76,I70)</f>
        <v>61210970</v>
      </c>
      <c r="I104" s="199">
        <f>SUM(I77:I78,I71:I73)</f>
        <v>28186186</v>
      </c>
      <c r="J104" s="199">
        <f>SUM(I66,K79)</f>
        <v>106895314</v>
      </c>
      <c r="K104" s="201">
        <f>SUM(H104:I104)</f>
        <v>89397156</v>
      </c>
      <c r="L104" s="673"/>
      <c r="M104" s="401"/>
      <c r="N104" s="441"/>
    </row>
    <row r="105" spans="1:20" s="97" customFormat="1" ht="27" customHeight="1" thickBot="1">
      <c r="A105" s="215" t="s">
        <v>2646</v>
      </c>
      <c r="B105" s="213">
        <f>K91</f>
        <v>0</v>
      </c>
      <c r="C105" s="213"/>
      <c r="D105" s="214"/>
      <c r="E105" s="318"/>
      <c r="F105" s="242"/>
      <c r="G105" s="299" t="s">
        <v>1177</v>
      </c>
      <c r="H105" s="652">
        <v>0</v>
      </c>
      <c r="I105" s="311">
        <f>I96</f>
        <v>12932201</v>
      </c>
      <c r="J105" s="311">
        <v>0</v>
      </c>
      <c r="K105" s="312">
        <f>SUM(H105:I105)</f>
        <v>12932201</v>
      </c>
      <c r="L105" s="674"/>
      <c r="M105" s="364" t="b">
        <f>J106=F106</f>
        <v>1</v>
      </c>
      <c r="N105" s="441"/>
      <c r="O105" s="403"/>
      <c r="P105" s="403"/>
      <c r="Q105" s="403"/>
    </row>
    <row r="106" spans="1:20" s="97" customFormat="1" ht="27" customHeight="1" thickTop="1" thickBot="1">
      <c r="A106" s="243"/>
      <c r="B106" s="244" t="s">
        <v>49</v>
      </c>
      <c r="C106" s="244"/>
      <c r="D106" s="245"/>
      <c r="E106" s="244"/>
      <c r="F106" s="246">
        <f>SUM(B99:B105,F99:F105)</f>
        <v>674619167</v>
      </c>
      <c r="G106" s="236" t="s">
        <v>16</v>
      </c>
      <c r="H106" s="653">
        <f>SUM(H101:H105)</f>
        <v>1747652315</v>
      </c>
      <c r="I106" s="237">
        <f>SUM(I101:I105)</f>
        <v>3959114189</v>
      </c>
      <c r="J106" s="210">
        <f>SUM(J101:J105)</f>
        <v>674619167</v>
      </c>
      <c r="K106" s="238">
        <f>+H106+I106</f>
        <v>5706766504</v>
      </c>
      <c r="L106" s="675"/>
      <c r="M106" s="364" t="b">
        <f>J99=I106+H106</f>
        <v>1</v>
      </c>
      <c r="N106" s="441"/>
      <c r="O106" s="403"/>
      <c r="P106" s="403"/>
      <c r="Q106" s="403"/>
    </row>
    <row r="107" spans="1:20" s="97" customFormat="1" ht="27" customHeight="1" thickBot="1">
      <c r="A107"/>
      <c r="B107"/>
      <c r="C107"/>
      <c r="D107"/>
      <c r="E107"/>
      <c r="F107"/>
      <c r="G107" s="2047" t="s">
        <v>1685</v>
      </c>
      <c r="H107" s="2048"/>
      <c r="I107" s="2048"/>
      <c r="J107" s="2049"/>
      <c r="K107" s="404">
        <f>K106-K105</f>
        <v>5693834303</v>
      </c>
      <c r="L107" s="675"/>
      <c r="M107" s="366"/>
      <c r="N107" s="441"/>
      <c r="O107" s="403"/>
      <c r="P107" s="403"/>
      <c r="Q107" s="403"/>
    </row>
    <row r="108" spans="1:20" s="97" customFormat="1" ht="27" customHeight="1">
      <c r="A108"/>
      <c r="B108" s="291"/>
      <c r="C108" s="291"/>
      <c r="D108" s="290"/>
      <c r="E108" s="290"/>
      <c r="F108" s="26"/>
      <c r="G108" s="292"/>
      <c r="H108" s="78"/>
      <c r="I108" s="412"/>
      <c r="J108" s="412" t="s">
        <v>3255</v>
      </c>
      <c r="K108" s="13">
        <v>5693834303</v>
      </c>
      <c r="L108" s="83">
        <f>K108-K107</f>
        <v>0</v>
      </c>
      <c r="M108" s="175"/>
      <c r="N108" s="441"/>
      <c r="O108" s="403"/>
      <c r="P108" s="403"/>
      <c r="Q108" s="403"/>
    </row>
    <row r="109" spans="1:20" s="126" customFormat="1" ht="27" customHeight="1">
      <c r="A109"/>
      <c r="B109"/>
      <c r="C109"/>
      <c r="D109" s="290"/>
      <c r="E109" s="290"/>
      <c r="F109" s="26"/>
      <c r="G109" s="292"/>
      <c r="H109" s="78"/>
      <c r="I109" s="412"/>
      <c r="J109"/>
      <c r="K109" s="412" t="b">
        <f>K107=K108</f>
        <v>1</v>
      </c>
      <c r="L109" s="676"/>
      <c r="M109" s="175"/>
      <c r="N109" s="443"/>
      <c r="O109" s="403"/>
      <c r="P109" s="403"/>
      <c r="Q109" s="403"/>
      <c r="R109" s="97"/>
    </row>
    <row r="110" spans="1:20" s="126" customFormat="1" ht="27" customHeight="1">
      <c r="A110"/>
      <c r="B110"/>
      <c r="C110"/>
      <c r="D110" s="290"/>
      <c r="E110" s="290"/>
      <c r="F110" s="26">
        <f>F106-J106</f>
        <v>0</v>
      </c>
      <c r="G110" s="292"/>
      <c r="H110" s="78"/>
      <c r="I110" s="26">
        <f>90304155</f>
        <v>90304155</v>
      </c>
      <c r="J110"/>
      <c r="K110" s="22"/>
      <c r="L110" s="15"/>
      <c r="M110" s="366"/>
      <c r="N110" s="443"/>
      <c r="O110" s="403"/>
      <c r="P110" s="403"/>
      <c r="Q110" s="403"/>
      <c r="R110" s="97"/>
    </row>
    <row r="111" spans="1:20" s="126" customFormat="1" ht="27" customHeight="1">
      <c r="A111"/>
      <c r="B111"/>
      <c r="C111"/>
      <c r="D111" s="290"/>
      <c r="E111" s="290"/>
      <c r="F111" s="26"/>
      <c r="G111" s="292"/>
      <c r="H111" s="78"/>
      <c r="I111" s="26">
        <f>I104+H104</f>
        <v>89397156</v>
      </c>
      <c r="J111"/>
      <c r="K111" s="26"/>
      <c r="L111" s="15"/>
      <c r="M111" s="364"/>
      <c r="N111" s="443"/>
      <c r="P111" s="205"/>
      <c r="Q111" s="205"/>
    </row>
    <row r="112" spans="1:20" s="126" customFormat="1" ht="27" customHeight="1">
      <c r="A112"/>
      <c r="B112"/>
      <c r="C112"/>
      <c r="D112" s="290"/>
      <c r="E112" s="290"/>
      <c r="F112"/>
      <c r="G112" s="13"/>
      <c r="H112" s="78"/>
      <c r="I112" s="26">
        <f>I110-I111</f>
        <v>906999</v>
      </c>
      <c r="J112"/>
      <c r="K112" s="26"/>
      <c r="L112" s="15"/>
      <c r="M112" s="364"/>
      <c r="N112" s="443"/>
    </row>
    <row r="113" spans="1:20" s="19" customFormat="1" ht="27" customHeight="1">
      <c r="A113"/>
      <c r="B113"/>
      <c r="C113"/>
      <c r="D113"/>
      <c r="E113"/>
      <c r="F113"/>
      <c r="G113" s="13"/>
      <c r="H113" s="78"/>
      <c r="I113"/>
      <c r="J113"/>
      <c r="K113"/>
      <c r="M113" s="410"/>
      <c r="N113" s="443"/>
      <c r="O113" s="15"/>
    </row>
    <row r="114" spans="1:20">
      <c r="I114" s="47"/>
      <c r="K114" s="26"/>
      <c r="L114" s="15"/>
      <c r="N114" s="441"/>
      <c r="O114" s="26"/>
      <c r="P114"/>
      <c r="Q114"/>
      <c r="R114"/>
      <c r="S114"/>
      <c r="T114"/>
    </row>
    <row r="115" spans="1:20" s="24" customFormat="1">
      <c r="A115"/>
      <c r="B115"/>
      <c r="C115"/>
      <c r="D115"/>
      <c r="E115"/>
      <c r="F115"/>
      <c r="G115"/>
      <c r="H115" s="78"/>
      <c r="I115"/>
      <c r="J115"/>
      <c r="K115"/>
      <c r="L115" s="19"/>
      <c r="N115" s="445"/>
    </row>
    <row r="116" spans="1:20" s="24" customFormat="1">
      <c r="A116"/>
      <c r="B116"/>
      <c r="C116"/>
      <c r="D116"/>
      <c r="E116"/>
      <c r="F116"/>
      <c r="G116"/>
      <c r="H116" s="78"/>
      <c r="I116"/>
      <c r="J116"/>
      <c r="K116" s="26"/>
      <c r="L116" s="15"/>
      <c r="N116" s="445"/>
    </row>
    <row r="117" spans="1:20" s="24" customFormat="1">
      <c r="A117"/>
      <c r="B117"/>
      <c r="C117"/>
      <c r="D117"/>
      <c r="E117"/>
      <c r="F117"/>
      <c r="G117"/>
      <c r="H117" s="78"/>
      <c r="I117" s="26"/>
      <c r="J117"/>
      <c r="K117"/>
      <c r="L117" s="19"/>
      <c r="O117" s="434"/>
      <c r="P117" s="440"/>
      <c r="Q117" s="440"/>
      <c r="R117" s="440"/>
      <c r="S117" s="440"/>
      <c r="T117" s="445"/>
    </row>
    <row r="118" spans="1:20" s="24" customFormat="1">
      <c r="A118"/>
      <c r="B118"/>
      <c r="C118"/>
      <c r="D118"/>
      <c r="E118"/>
      <c r="F118"/>
      <c r="G118"/>
      <c r="H118" s="78"/>
      <c r="I118"/>
      <c r="J118"/>
      <c r="K118" s="26"/>
      <c r="L118" s="15"/>
      <c r="O118" s="434"/>
      <c r="P118" s="440"/>
      <c r="Q118" s="440"/>
      <c r="R118" s="440"/>
      <c r="S118" s="440"/>
      <c r="T118" s="445"/>
    </row>
    <row r="119" spans="1:20" s="24" customFormat="1">
      <c r="A119"/>
      <c r="B119"/>
      <c r="C119"/>
      <c r="D119"/>
      <c r="E119"/>
      <c r="F119"/>
      <c r="G119"/>
      <c r="H119" s="78"/>
      <c r="I119"/>
      <c r="J119"/>
      <c r="K119"/>
      <c r="L119" s="19"/>
      <c r="O119" s="434"/>
      <c r="P119" s="440"/>
      <c r="Q119" s="440"/>
      <c r="R119" s="440"/>
      <c r="S119" s="440"/>
      <c r="T119" s="445"/>
    </row>
  </sheetData>
  <autoFilter ref="A10:G110" xr:uid="{00000000-0009-0000-0000-00005D000000}"/>
  <mergeCells count="39">
    <mergeCell ref="A5:H9"/>
    <mergeCell ref="O5:O9"/>
    <mergeCell ref="P5:P9"/>
    <mergeCell ref="Q5:Q9"/>
    <mergeCell ref="R5:R9"/>
    <mergeCell ref="N3:N9"/>
    <mergeCell ref="O3:O4"/>
    <mergeCell ref="P3:P4"/>
    <mergeCell ref="Q3:Q4"/>
    <mergeCell ref="R3:R4"/>
    <mergeCell ref="H10:K10"/>
    <mergeCell ref="A12:A21"/>
    <mergeCell ref="A22:G22"/>
    <mergeCell ref="A23:A33"/>
    <mergeCell ref="A35:A56"/>
    <mergeCell ref="A34:G34"/>
    <mergeCell ref="A10:A11"/>
    <mergeCell ref="B10:B11"/>
    <mergeCell ref="C10:C11"/>
    <mergeCell ref="D10:D11"/>
    <mergeCell ref="E10:E11"/>
    <mergeCell ref="F10:F11"/>
    <mergeCell ref="G10:G11"/>
    <mergeCell ref="A57:G57"/>
    <mergeCell ref="A60:G60"/>
    <mergeCell ref="A61:A64"/>
    <mergeCell ref="A65:G65"/>
    <mergeCell ref="A87:A88"/>
    <mergeCell ref="A92:A95"/>
    <mergeCell ref="G97:G99"/>
    <mergeCell ref="G107:J107"/>
    <mergeCell ref="A58:A59"/>
    <mergeCell ref="A69:G69"/>
    <mergeCell ref="A70:A73"/>
    <mergeCell ref="A74:G74"/>
    <mergeCell ref="A75:A79"/>
    <mergeCell ref="A80:G80"/>
    <mergeCell ref="A81:A85"/>
    <mergeCell ref="A67:G67"/>
  </mergeCells>
  <phoneticPr fontId="2" type="noConversion"/>
  <conditionalFormatting sqref="A22">
    <cfRule type="expression" dxfId="420" priority="39">
      <formula>#REF!="*01월*"</formula>
    </cfRule>
  </conditionalFormatting>
  <conditionalFormatting sqref="A34">
    <cfRule type="expression" dxfId="419" priority="40">
      <formula>#REF!="*01월*"</formula>
    </cfRule>
  </conditionalFormatting>
  <conditionalFormatting sqref="A57:A58">
    <cfRule type="expression" dxfId="418" priority="29">
      <formula>#REF!="*01월*"</formula>
    </cfRule>
  </conditionalFormatting>
  <conditionalFormatting sqref="A66 B73:C73 F73">
    <cfRule type="expression" dxfId="417" priority="18">
      <formula>$F67="*01월*"</formula>
    </cfRule>
  </conditionalFormatting>
  <conditionalFormatting sqref="A69">
    <cfRule type="expression" dxfId="416" priority="37">
      <formula>#REF!="*01월*"</formula>
    </cfRule>
  </conditionalFormatting>
  <conditionalFormatting sqref="A74">
    <cfRule type="expression" dxfId="415" priority="33">
      <formula>#REF!="*01월*"</formula>
    </cfRule>
  </conditionalFormatting>
  <conditionalFormatting sqref="A75 D90:F90 A90:A91 I91:L91">
    <cfRule type="expression" dxfId="414" priority="52">
      <formula>$F82="*01월*"</formula>
    </cfRule>
  </conditionalFormatting>
  <conditionalFormatting sqref="A80:A81">
    <cfRule type="expression" dxfId="413" priority="32">
      <formula>#REF!="*01월*"</formula>
    </cfRule>
  </conditionalFormatting>
  <conditionalFormatting sqref="A89 H89:L89">
    <cfRule type="expression" dxfId="412" priority="54">
      <formula>$F97="*01월*"</formula>
    </cfRule>
  </conditionalFormatting>
  <conditionalFormatting sqref="A11:B11">
    <cfRule type="expression" dxfId="411" priority="45">
      <formula>#REF!="*01월*"</formula>
    </cfRule>
  </conditionalFormatting>
  <conditionalFormatting sqref="A10:L10 A92:A93 D92:F93 I92:L93">
    <cfRule type="expression" dxfId="410" priority="15">
      <formula>$F14="*01월*"</formula>
    </cfRule>
  </conditionalFormatting>
  <conditionalFormatting sqref="B90:C90">
    <cfRule type="expression" dxfId="409" priority="19">
      <formula>#REF!="*01월*"</formula>
    </cfRule>
  </conditionalFormatting>
  <conditionalFormatting sqref="B92:C95">
    <cfRule type="expression" dxfId="408" priority="2">
      <formula>#REF!="*01월*"</formula>
    </cfRule>
  </conditionalFormatting>
  <conditionalFormatting sqref="D87:E88">
    <cfRule type="expression" dxfId="407" priority="46">
      <formula>$F90="*01월*"</formula>
    </cfRule>
  </conditionalFormatting>
  <conditionalFormatting sqref="D95:F95 I95:L95 B98:L106 D108:E112">
    <cfRule type="expression" dxfId="406" priority="34">
      <formula>$F97="*01월*"</formula>
    </cfRule>
  </conditionalFormatting>
  <conditionalFormatting sqref="D11:L11 A12:A13 B12:L21 B23:L33 B35:L56 B58:L59 A60:A64 B61:L61 B62:G64 I62:L64 H62:H65 B66:L66 A68:L68 B70:L73 C75:H79 B81:L85 B87:L88">
    <cfRule type="expression" dxfId="405" priority="38">
      <formula>#REF!="*01월*"</formula>
    </cfRule>
  </conditionalFormatting>
  <conditionalFormatting sqref="F23 A65 I65:L65 A67 H67:J67 A96:A106 G107:G111">
    <cfRule type="expression" dxfId="404" priority="20">
      <formula>$F25="*01월*"</formula>
    </cfRule>
  </conditionalFormatting>
  <conditionalFormatting sqref="F24 A86 H86:J86">
    <cfRule type="expression" dxfId="403" priority="60">
      <formula>$F34="*01월*"</formula>
    </cfRule>
  </conditionalFormatting>
  <conditionalFormatting sqref="F24">
    <cfRule type="expression" dxfId="402" priority="53">
      <formula>$F33="*01월*"</formula>
    </cfRule>
  </conditionalFormatting>
  <conditionalFormatting sqref="F25:F26">
    <cfRule type="expression" dxfId="401" priority="1445">
      <formula>$F42="*01월*"</formula>
    </cfRule>
  </conditionalFormatting>
  <conditionalFormatting sqref="F25:F27">
    <cfRule type="expression" dxfId="400" priority="64">
      <formula>$F41="*01월*"</formula>
    </cfRule>
  </conditionalFormatting>
  <conditionalFormatting sqref="F25:F32">
    <cfRule type="expression" dxfId="399" priority="1446">
      <formula>#REF!="*01월*"</formula>
    </cfRule>
  </conditionalFormatting>
  <conditionalFormatting sqref="F27:F28">
    <cfRule type="expression" dxfId="398" priority="1442">
      <formula>$F42="*01월*"</formula>
    </cfRule>
  </conditionalFormatting>
  <conditionalFormatting sqref="F28:F29">
    <cfRule type="expression" dxfId="397" priority="1437">
      <formula>$F42="*01월*"</formula>
    </cfRule>
  </conditionalFormatting>
  <conditionalFormatting sqref="F29:F30">
    <cfRule type="expression" dxfId="396" priority="1427">
      <formula>$F42="*01월*"</formula>
    </cfRule>
  </conditionalFormatting>
  <conditionalFormatting sqref="F30:F31">
    <cfRule type="expression" dxfId="395" priority="57">
      <formula>$F42="*01월*"</formula>
    </cfRule>
  </conditionalFormatting>
  <conditionalFormatting sqref="F31:F32 A87:A88">
    <cfRule type="expression" dxfId="394" priority="1424">
      <formula>$F42="*01월*"</formula>
    </cfRule>
  </conditionalFormatting>
  <conditionalFormatting sqref="F32:F33">
    <cfRule type="expression" dxfId="393" priority="59">
      <formula>$F42="*01월*"</formula>
    </cfRule>
  </conditionalFormatting>
  <conditionalFormatting sqref="F33">
    <cfRule type="expression" dxfId="392" priority="6">
      <formula>$F39="*01월*"</formula>
    </cfRule>
    <cfRule type="expression" dxfId="391" priority="48">
      <formula>$F42="*01월*"</formula>
    </cfRule>
  </conditionalFormatting>
  <conditionalFormatting sqref="F53">
    <cfRule type="expression" dxfId="390" priority="56">
      <formula>$F65="*01월*"</formula>
    </cfRule>
    <cfRule type="expression" dxfId="389" priority="1455">
      <formula>#REF!="*01월*"</formula>
    </cfRule>
    <cfRule type="expression" dxfId="388" priority="1456">
      <formula>$F67="*01월*"</formula>
    </cfRule>
    <cfRule type="expression" dxfId="387" priority="1458">
      <formula>$F68="*01월*"</formula>
    </cfRule>
  </conditionalFormatting>
  <conditionalFormatting sqref="G90:H90">
    <cfRule type="expression" dxfId="386" priority="25">
      <formula>#REF!="*01월*"</formula>
    </cfRule>
  </conditionalFormatting>
  <conditionalFormatting sqref="G92:H95">
    <cfRule type="expression" dxfId="385" priority="16">
      <formula>#REF!="*01월*"</formula>
    </cfRule>
  </conditionalFormatting>
  <conditionalFormatting sqref="G97:L97">
    <cfRule type="expression" dxfId="384" priority="10">
      <formula>$F99="*01월*"</formula>
    </cfRule>
  </conditionalFormatting>
  <conditionalFormatting sqref="H74">
    <cfRule type="expression" dxfId="383" priority="50">
      <formula>$F80="*01월*"</formula>
    </cfRule>
  </conditionalFormatting>
  <conditionalFormatting sqref="H96:J96">
    <cfRule type="expression" dxfId="382" priority="36">
      <formula>$F98="*01월*"</formula>
    </cfRule>
  </conditionalFormatting>
  <conditionalFormatting sqref="H22:L22">
    <cfRule type="expression" dxfId="381" priority="27">
      <formula>#REF!="*01월*"</formula>
    </cfRule>
  </conditionalFormatting>
  <conditionalFormatting sqref="H34:L34">
    <cfRule type="expression" dxfId="380" priority="26">
      <formula>#REF!="*01월*"</formula>
    </cfRule>
  </conditionalFormatting>
  <conditionalFormatting sqref="H57:L57">
    <cfRule type="expression" dxfId="379" priority="22">
      <formula>#REF!="*01월*"</formula>
    </cfRule>
  </conditionalFormatting>
  <conditionalFormatting sqref="H60:L60">
    <cfRule type="expression" dxfId="378" priority="17">
      <formula>#REF!="*01월*"</formula>
    </cfRule>
  </conditionalFormatting>
  <conditionalFormatting sqref="H69:L69">
    <cfRule type="expression" dxfId="377" priority="7">
      <formula>#REF!="*01월*"</formula>
    </cfRule>
  </conditionalFormatting>
  <conditionalFormatting sqref="I74">
    <cfRule type="expression" dxfId="376" priority="23">
      <formula>#REF!="*01월*"</formula>
    </cfRule>
  </conditionalFormatting>
  <conditionalFormatting sqref="I75:I78">
    <cfRule type="expression" dxfId="375" priority="51">
      <formula>$F80="*01월*"</formula>
    </cfRule>
  </conditionalFormatting>
  <conditionalFormatting sqref="I79 K79:L79 A94 D94:F94 I94:L94">
    <cfRule type="expression" dxfId="374" priority="4">
      <formula>$F82="*01월*"</formula>
    </cfRule>
  </conditionalFormatting>
  <conditionalFormatting sqref="I90:J90">
    <cfRule type="expression" dxfId="373" priority="47">
      <formula>$F97="*01월*"</formula>
    </cfRule>
  </conditionalFormatting>
  <conditionalFormatting sqref="J75:J79">
    <cfRule type="expression" dxfId="372" priority="42">
      <formula>#REF!="*01월*"</formula>
    </cfRule>
  </conditionalFormatting>
  <conditionalFormatting sqref="J74:L74">
    <cfRule type="expression" dxfId="371" priority="35">
      <formula>$F80="*01월*"</formula>
    </cfRule>
  </conditionalFormatting>
  <conditionalFormatting sqref="K90">
    <cfRule type="expression" dxfId="370" priority="41">
      <formula>#REF!="*01월*"</formula>
    </cfRule>
  </conditionalFormatting>
  <conditionalFormatting sqref="K67:L67">
    <cfRule type="expression" dxfId="369" priority="49">
      <formula>#REF!="*01월*"</formula>
    </cfRule>
  </conditionalFormatting>
  <conditionalFormatting sqref="K75:L78 B75:B79 H80:L80">
    <cfRule type="expression" dxfId="368" priority="28">
      <formula>$F80="*01월*"</formula>
    </cfRule>
  </conditionalFormatting>
  <conditionalFormatting sqref="K86:L86 H91">
    <cfRule type="expression" dxfId="367" priority="43">
      <formula>#REF!="*01월*"</formula>
    </cfRule>
  </conditionalFormatting>
  <conditionalFormatting sqref="K96:L96">
    <cfRule type="expression" dxfId="366" priority="31">
      <formula>$F102="*01월*"</formula>
    </cfRule>
  </conditionalFormatting>
  <conditionalFormatting sqref="K107:L107">
    <cfRule type="expression" dxfId="365" priority="30">
      <formula>$F109="*01월*"</formula>
    </cfRule>
  </conditionalFormatting>
  <conditionalFormatting sqref="L90">
    <cfRule type="expression" dxfId="364" priority="9">
      <formula>$F91="*01월*"</formula>
    </cfRule>
  </conditionalFormatting>
  <printOptions horizontalCentered="1"/>
  <pageMargins left="0" right="0" top="0.70866141732283472" bottom="0.23622047244094491" header="0" footer="0"/>
  <pageSetup paperSize="9" scale="44" fitToHeight="0" orientation="portrait" r:id="rId1"/>
  <rowBreaks count="1" manualBreakCount="1">
    <brk id="67" max="16383" man="1"/>
  </rowBreaks>
  <colBreaks count="1" manualBreakCount="1">
    <brk id="10" max="1048575" man="1"/>
  </colBreaks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pageSetUpPr fitToPage="1"/>
  </sheetPr>
  <dimension ref="A2:T118"/>
  <sheetViews>
    <sheetView view="pageBreakPreview" zoomScale="70" zoomScaleNormal="70" zoomScaleSheetLayoutView="70" workbookViewId="0">
      <pane xSplit="1" ySplit="11" topLeftCell="B75" activePane="bottomRight" state="frozen"/>
      <selection activeCell="H12" sqref="H12"/>
      <selection pane="topRight" activeCell="H12" sqref="H12"/>
      <selection pane="bottomLeft" activeCell="H12" sqref="H12"/>
      <selection pane="bottomRight" activeCell="K107" sqref="K107"/>
    </sheetView>
  </sheetViews>
  <sheetFormatPr defaultRowHeight="25.2"/>
  <cols>
    <col min="1" max="1" width="18.69921875" customWidth="1"/>
    <col min="2" max="2" width="22.8984375" customWidth="1"/>
    <col min="3" max="3" width="14.69921875" hidden="1" customWidth="1"/>
    <col min="4" max="4" width="29.09765625" customWidth="1"/>
    <col min="5" max="5" width="29.09765625" hidden="1" customWidth="1"/>
    <col min="6" max="6" width="21" customWidth="1"/>
    <col min="7" max="7" width="18.69921875" customWidth="1"/>
    <col min="8" max="8" width="25.69921875" style="78" customWidth="1"/>
    <col min="9" max="9" width="26.5" customWidth="1"/>
    <col min="10" max="10" width="25.09765625" customWidth="1"/>
    <col min="11" max="11" width="29.19921875" customWidth="1"/>
    <col min="12" max="12" width="29.19921875" style="19" customWidth="1"/>
    <col min="13" max="13" width="14.8984375" style="24" customWidth="1"/>
    <col min="14" max="14" width="26.8984375" style="24" bestFit="1" customWidth="1"/>
    <col min="15" max="19" width="17.09765625" style="434" customWidth="1"/>
    <col min="20" max="20" width="9" style="441"/>
  </cols>
  <sheetData>
    <row r="2" spans="1:20" ht="21.75" customHeight="1" thickBot="1">
      <c r="F2" s="507"/>
      <c r="H2" s="454" t="s">
        <v>3749</v>
      </c>
      <c r="I2" s="434"/>
      <c r="J2" s="434"/>
      <c r="K2" s="434"/>
      <c r="L2" s="436"/>
      <c r="M2" s="434"/>
      <c r="N2"/>
      <c r="O2"/>
      <c r="P2"/>
      <c r="Q2"/>
      <c r="R2"/>
      <c r="S2"/>
      <c r="T2"/>
    </row>
    <row r="3" spans="1:20" ht="21.75" customHeight="1" thickTop="1">
      <c r="F3" s="507"/>
      <c r="H3" s="547" t="s">
        <v>3750</v>
      </c>
      <c r="N3" s="2058" t="s">
        <v>2041</v>
      </c>
      <c r="O3" s="2082" t="s">
        <v>2034</v>
      </c>
      <c r="P3" s="2084" t="s">
        <v>2035</v>
      </c>
      <c r="Q3" s="2084" t="s">
        <v>2063</v>
      </c>
      <c r="R3" s="2086" t="s">
        <v>2036</v>
      </c>
      <c r="S3" s="441"/>
      <c r="T3"/>
    </row>
    <row r="4" spans="1:20" ht="21.75" customHeight="1">
      <c r="H4" s="682" t="s">
        <v>3748</v>
      </c>
      <c r="N4" s="2080"/>
      <c r="O4" s="2083"/>
      <c r="P4" s="2085"/>
      <c r="Q4" s="2085"/>
      <c r="R4" s="2087"/>
      <c r="S4" s="441"/>
      <c r="T4"/>
    </row>
    <row r="5" spans="1:20" ht="19.5" customHeight="1">
      <c r="A5" s="2020" t="s">
        <v>3747</v>
      </c>
      <c r="B5" s="2020"/>
      <c r="C5" s="2020"/>
      <c r="D5" s="2020"/>
      <c r="E5" s="2020"/>
      <c r="F5" s="2020"/>
      <c r="G5" s="2020"/>
      <c r="H5" s="2020"/>
      <c r="I5" s="1"/>
      <c r="J5" s="1"/>
      <c r="K5" s="1"/>
      <c r="L5" s="661">
        <f>COUNTIF(C:C,"O")</f>
        <v>17</v>
      </c>
      <c r="N5" s="2080"/>
      <c r="O5" s="2091"/>
      <c r="P5" s="2088"/>
      <c r="Q5" s="2088"/>
      <c r="R5" s="2077"/>
      <c r="S5" s="441"/>
      <c r="T5"/>
    </row>
    <row r="6" spans="1:20" ht="19.5" customHeight="1">
      <c r="A6" s="2020"/>
      <c r="B6" s="2020"/>
      <c r="C6" s="2020"/>
      <c r="D6" s="2020"/>
      <c r="E6" s="2020"/>
      <c r="F6" s="2020"/>
      <c r="G6" s="2020"/>
      <c r="H6" s="2020"/>
      <c r="I6" s="1"/>
      <c r="J6" s="1"/>
      <c r="K6" s="1"/>
      <c r="L6" s="661"/>
      <c r="N6" s="2080"/>
      <c r="O6" s="2092"/>
      <c r="P6" s="2089"/>
      <c r="Q6" s="2089"/>
      <c r="R6" s="2078"/>
      <c r="S6" s="441"/>
      <c r="T6"/>
    </row>
    <row r="7" spans="1:20" ht="19.5" customHeight="1">
      <c r="A7" s="2020"/>
      <c r="B7" s="2020"/>
      <c r="C7" s="2020"/>
      <c r="D7" s="2020"/>
      <c r="E7" s="2020"/>
      <c r="F7" s="2020"/>
      <c r="G7" s="2020"/>
      <c r="H7" s="2020"/>
      <c r="I7" s="1"/>
      <c r="J7" s="1"/>
      <c r="K7" s="1"/>
      <c r="L7" s="661"/>
      <c r="N7" s="2080"/>
      <c r="O7" s="2092"/>
      <c r="P7" s="2089"/>
      <c r="Q7" s="2089"/>
      <c r="R7" s="2078"/>
      <c r="S7" s="441"/>
      <c r="T7"/>
    </row>
    <row r="8" spans="1:20" ht="19.5" customHeight="1">
      <c r="A8" s="2020"/>
      <c r="B8" s="2020"/>
      <c r="C8" s="2020"/>
      <c r="D8" s="2020"/>
      <c r="E8" s="2020"/>
      <c r="F8" s="2020"/>
      <c r="G8" s="2020"/>
      <c r="H8" s="2020"/>
      <c r="I8" s="2"/>
      <c r="J8" s="2"/>
      <c r="K8" s="2"/>
      <c r="L8" s="662"/>
      <c r="N8" s="2080"/>
      <c r="O8" s="2092"/>
      <c r="P8" s="2089"/>
      <c r="Q8" s="2089"/>
      <c r="R8" s="2078"/>
      <c r="S8" s="441"/>
      <c r="T8"/>
    </row>
    <row r="9" spans="1:20" ht="19.5" customHeight="1" thickBot="1">
      <c r="A9" s="2052"/>
      <c r="B9" s="2052"/>
      <c r="C9" s="2052"/>
      <c r="D9" s="2052"/>
      <c r="E9" s="2052"/>
      <c r="F9" s="2052"/>
      <c r="G9" s="2052"/>
      <c r="H9" s="2052"/>
      <c r="I9" s="2"/>
      <c r="J9" s="2"/>
      <c r="K9" s="2"/>
      <c r="L9" s="662"/>
      <c r="N9" s="2081"/>
      <c r="O9" s="2093"/>
      <c r="P9" s="2090"/>
      <c r="Q9" s="2090"/>
      <c r="R9" s="2079"/>
      <c r="S9" s="441"/>
      <c r="T9"/>
    </row>
    <row r="10" spans="1:20" ht="23.25" customHeight="1">
      <c r="A10" s="2021" t="s">
        <v>0</v>
      </c>
      <c r="B10" s="2107" t="s">
        <v>1</v>
      </c>
      <c r="C10" s="2107" t="s">
        <v>3744</v>
      </c>
      <c r="D10" s="2114" t="s">
        <v>2</v>
      </c>
      <c r="E10" s="2114" t="s">
        <v>1222</v>
      </c>
      <c r="F10" s="2114" t="s">
        <v>3</v>
      </c>
      <c r="G10" s="2116" t="s">
        <v>4</v>
      </c>
      <c r="H10" s="2104" t="s">
        <v>2352</v>
      </c>
      <c r="I10" s="2105"/>
      <c r="J10" s="2105"/>
      <c r="K10" s="2106"/>
      <c r="L10" s="658"/>
    </row>
    <row r="11" spans="1:20" ht="23.25" customHeight="1">
      <c r="A11" s="2022"/>
      <c r="B11" s="2108"/>
      <c r="C11" s="2108"/>
      <c r="D11" s="2115"/>
      <c r="E11" s="2115"/>
      <c r="F11" s="2115"/>
      <c r="G11" s="2117"/>
      <c r="H11" s="641" t="s">
        <v>6</v>
      </c>
      <c r="I11" s="3" t="s">
        <v>7</v>
      </c>
      <c r="J11" s="476" t="s">
        <v>2479</v>
      </c>
      <c r="K11" s="271" t="s">
        <v>2336</v>
      </c>
      <c r="L11" s="659" t="s">
        <v>3447</v>
      </c>
      <c r="M11" s="24" t="s">
        <v>2528</v>
      </c>
      <c r="N11" s="434" t="s">
        <v>33</v>
      </c>
      <c r="O11" s="434" t="s">
        <v>2522</v>
      </c>
      <c r="P11" s="434" t="s">
        <v>2358</v>
      </c>
      <c r="Q11" s="434" t="s">
        <v>2815</v>
      </c>
      <c r="R11" s="434" t="s">
        <v>44</v>
      </c>
    </row>
    <row r="12" spans="1:20" s="97" customFormat="1" ht="27" customHeight="1">
      <c r="A12" s="2010" t="s">
        <v>3108</v>
      </c>
      <c r="B12" s="513" t="s">
        <v>3769</v>
      </c>
      <c r="C12" s="620" t="s">
        <v>3872</v>
      </c>
      <c r="D12" s="129" t="s">
        <v>3773</v>
      </c>
      <c r="E12" s="129"/>
      <c r="F12" s="90">
        <v>46033</v>
      </c>
      <c r="G12" s="397">
        <v>9.2388999999999992</v>
      </c>
      <c r="H12" s="177">
        <v>17657434</v>
      </c>
      <c r="I12" s="93">
        <f t="shared" ref="I12:I15" si="0">ROUNDDOWN(H12*G12,0)</f>
        <v>163135266</v>
      </c>
      <c r="J12" s="93">
        <f>I12</f>
        <v>163135266</v>
      </c>
      <c r="K12" s="254"/>
      <c r="L12" s="663" t="s">
        <v>730</v>
      </c>
      <c r="M12" s="366"/>
      <c r="N12" s="434"/>
      <c r="O12" s="434"/>
      <c r="P12" s="434"/>
      <c r="R12" s="434"/>
      <c r="S12" s="434"/>
      <c r="T12" s="441"/>
    </row>
    <row r="13" spans="1:20" s="97" customFormat="1" ht="27" customHeight="1">
      <c r="A13" s="2011"/>
      <c r="B13" s="513" t="s">
        <v>3770</v>
      </c>
      <c r="C13" s="89" t="s">
        <v>3872</v>
      </c>
      <c r="D13" s="146" t="s">
        <v>3772</v>
      </c>
      <c r="E13" s="136"/>
      <c r="F13" s="90">
        <v>46040</v>
      </c>
      <c r="G13" s="397">
        <v>9.2652000000000001</v>
      </c>
      <c r="H13" s="177">
        <v>17789689</v>
      </c>
      <c r="I13" s="93">
        <f t="shared" si="0"/>
        <v>164825026</v>
      </c>
      <c r="J13" s="93">
        <f>I13</f>
        <v>164825026</v>
      </c>
      <c r="K13" s="263"/>
      <c r="L13" s="677"/>
      <c r="M13" s="364"/>
      <c r="S13" s="434"/>
      <c r="T13" s="441"/>
    </row>
    <row r="14" spans="1:20" s="97" customFormat="1" ht="27" customHeight="1">
      <c r="A14" s="2011"/>
      <c r="B14" s="513" t="s">
        <v>3771</v>
      </c>
      <c r="C14" s="89" t="s">
        <v>3872</v>
      </c>
      <c r="D14" s="146" t="s">
        <v>3774</v>
      </c>
      <c r="E14" s="136"/>
      <c r="F14" s="90">
        <v>46047</v>
      </c>
      <c r="G14" s="397">
        <v>9.2702000000000009</v>
      </c>
      <c r="H14" s="177">
        <v>19092450</v>
      </c>
      <c r="I14" s="93">
        <f t="shared" si="0"/>
        <v>176990829</v>
      </c>
      <c r="J14" s="93">
        <f t="shared" ref="J14" si="1">I14</f>
        <v>176990829</v>
      </c>
      <c r="K14" s="263"/>
      <c r="L14" s="677"/>
      <c r="M14" s="364"/>
      <c r="S14" s="434"/>
      <c r="T14" s="441"/>
    </row>
    <row r="15" spans="1:20" s="97" customFormat="1" ht="27" customHeight="1">
      <c r="A15" s="2011"/>
      <c r="B15" s="556" t="s">
        <v>3775</v>
      </c>
      <c r="C15" s="547" t="s">
        <v>3871</v>
      </c>
      <c r="D15" s="552" t="s">
        <v>3776</v>
      </c>
      <c r="E15" s="550"/>
      <c r="F15" s="527">
        <v>46054</v>
      </c>
      <c r="G15" s="685">
        <v>9.3289000000000009</v>
      </c>
      <c r="H15" s="559">
        <v>20344248</v>
      </c>
      <c r="I15" s="530">
        <f t="shared" si="0"/>
        <v>189789455</v>
      </c>
      <c r="J15" s="530"/>
      <c r="K15" s="548">
        <f>I15</f>
        <v>189789455</v>
      </c>
      <c r="L15" s="677"/>
      <c r="M15" s="364"/>
      <c r="S15" s="434"/>
      <c r="T15" s="441"/>
    </row>
    <row r="16" spans="1:20" s="97" customFormat="1" ht="27" customHeight="1">
      <c r="A16" s="361" t="s">
        <v>10</v>
      </c>
      <c r="B16" s="113"/>
      <c r="C16" s="113"/>
      <c r="D16" s="113"/>
      <c r="E16" s="113"/>
      <c r="F16" s="113"/>
      <c r="G16" s="114"/>
      <c r="H16" s="644">
        <f>SUM(H12:H15)</f>
        <v>74883821</v>
      </c>
      <c r="I16" s="116">
        <f>SUM(I12:I15)</f>
        <v>694740576</v>
      </c>
      <c r="J16" s="116">
        <f>SUM(J12:J15)</f>
        <v>504951121</v>
      </c>
      <c r="K16" s="260">
        <f>SUM(K12:K15)</f>
        <v>189789455</v>
      </c>
      <c r="L16" s="666"/>
      <c r="S16" s="434"/>
      <c r="T16" s="441"/>
    </row>
    <row r="17" spans="1:20" s="97" customFormat="1" ht="38.4">
      <c r="A17" s="261" t="s">
        <v>3107</v>
      </c>
      <c r="B17" s="174" t="s">
        <v>3777</v>
      </c>
      <c r="C17" s="174" t="s">
        <v>3871</v>
      </c>
      <c r="D17" s="174" t="s">
        <v>3778</v>
      </c>
      <c r="E17" s="146"/>
      <c r="F17" s="146">
        <v>46049</v>
      </c>
      <c r="G17" s="176">
        <v>9.3569999999999993</v>
      </c>
      <c r="H17" s="177">
        <v>6659847</v>
      </c>
      <c r="I17" s="93">
        <f t="shared" ref="I17" si="2">ROUNDDOWN(H17*G17,0)</f>
        <v>62316188</v>
      </c>
      <c r="J17" s="93">
        <f t="shared" ref="J17" si="3">I17</f>
        <v>62316188</v>
      </c>
      <c r="K17" s="256"/>
      <c r="L17" s="670"/>
      <c r="S17" s="434"/>
      <c r="T17" s="441"/>
    </row>
    <row r="18" spans="1:20" s="97" customFormat="1" ht="27" customHeight="1">
      <c r="A18" s="259"/>
      <c r="B18" s="113"/>
      <c r="C18" s="148"/>
      <c r="D18" s="148"/>
      <c r="E18" s="148"/>
      <c r="F18" s="148"/>
      <c r="G18" s="114"/>
      <c r="H18" s="645">
        <f>SUM(H17:H17)</f>
        <v>6659847</v>
      </c>
      <c r="I18" s="151">
        <f>SUM(I17:I17)</f>
        <v>62316188</v>
      </c>
      <c r="J18" s="151">
        <f>SUM(J17:J17)</f>
        <v>62316188</v>
      </c>
      <c r="K18" s="633">
        <f>SUM(K17:K17)</f>
        <v>0</v>
      </c>
      <c r="L18" s="666"/>
      <c r="S18" s="434"/>
      <c r="T18" s="441"/>
    </row>
    <row r="19" spans="1:20" ht="38.4">
      <c r="A19" s="350" t="s">
        <v>3766</v>
      </c>
      <c r="B19" s="155" t="s">
        <v>3779</v>
      </c>
      <c r="C19" s="155" t="s">
        <v>3872</v>
      </c>
      <c r="D19" s="89" t="s">
        <v>3780</v>
      </c>
      <c r="E19" s="89"/>
      <c r="F19" s="90">
        <v>46038</v>
      </c>
      <c r="G19" s="91">
        <f>VLOOKUP(F19,환율!A:B,2,0)</f>
        <v>1469.7</v>
      </c>
      <c r="H19" s="118">
        <v>10812.42</v>
      </c>
      <c r="I19" s="93">
        <f t="shared" ref="I19" si="4">ROUNDDOWN(H19*G19,0)</f>
        <v>15891013</v>
      </c>
      <c r="J19" s="93">
        <f t="shared" ref="J19" si="5">I19</f>
        <v>15891013</v>
      </c>
      <c r="K19" s="254"/>
      <c r="L19" s="663"/>
      <c r="N19" s="434"/>
    </row>
    <row r="20" spans="1:20" s="97" customFormat="1" ht="27" customHeight="1">
      <c r="A20" s="2035" t="s">
        <v>10</v>
      </c>
      <c r="B20" s="2036"/>
      <c r="C20" s="2036"/>
      <c r="D20" s="2036"/>
      <c r="E20" s="2036"/>
      <c r="F20" s="2036"/>
      <c r="G20" s="2037"/>
      <c r="H20" s="642">
        <f>SUM(H19:H19)</f>
        <v>10812.42</v>
      </c>
      <c r="I20" s="116">
        <f>SUM(I19:I19)</f>
        <v>15891013</v>
      </c>
      <c r="J20" s="116">
        <f>SUM(J19:J19)</f>
        <v>15891013</v>
      </c>
      <c r="K20" s="260">
        <f>SUM(K19:K19)</f>
        <v>0</v>
      </c>
      <c r="L20" s="666"/>
      <c r="M20" s="364"/>
      <c r="N20" s="434"/>
      <c r="O20" s="434"/>
      <c r="P20" s="434"/>
      <c r="Q20" s="434"/>
      <c r="R20" s="434"/>
      <c r="S20" s="434"/>
      <c r="T20" s="441"/>
    </row>
    <row r="21" spans="1:20" s="97" customFormat="1" ht="27" customHeight="1">
      <c r="A21" s="2010" t="s">
        <v>3099</v>
      </c>
      <c r="B21" s="509" t="s">
        <v>3645</v>
      </c>
      <c r="C21" s="509" t="s">
        <v>3872</v>
      </c>
      <c r="D21" s="454" t="s">
        <v>3688</v>
      </c>
      <c r="E21" s="477"/>
      <c r="F21" s="465">
        <v>46025</v>
      </c>
      <c r="G21" s="456">
        <f>VLOOKUP(F21,환율!A:B,2,0)</f>
        <v>1434.9</v>
      </c>
      <c r="H21" s="462">
        <v>42209.279999999999</v>
      </c>
      <c r="I21" s="458">
        <f t="shared" ref="I21" si="6">ROUNDDOWN(H21*G21,0)</f>
        <v>60566095</v>
      </c>
      <c r="J21" s="458">
        <f>I21</f>
        <v>60566095</v>
      </c>
      <c r="K21" s="464"/>
      <c r="L21" s="663"/>
      <c r="M21" s="364"/>
      <c r="N21" s="434"/>
      <c r="O21" s="434"/>
      <c r="P21" s="434"/>
      <c r="Q21" s="434"/>
      <c r="R21" s="434"/>
      <c r="S21" s="434"/>
      <c r="T21" s="441"/>
    </row>
    <row r="22" spans="1:20" s="120" customFormat="1" ht="27" customHeight="1">
      <c r="A22" s="2011"/>
      <c r="B22" s="155" t="s">
        <v>3781</v>
      </c>
      <c r="C22" s="155" t="s">
        <v>3872</v>
      </c>
      <c r="D22" s="89" t="s">
        <v>3789</v>
      </c>
      <c r="E22" s="319"/>
      <c r="F22" s="136">
        <v>46044</v>
      </c>
      <c r="G22" s="91">
        <f>VLOOKUP(F22,환율!A:B,2,0)</f>
        <v>1472.8</v>
      </c>
      <c r="H22" s="134">
        <v>49245.120000000003</v>
      </c>
      <c r="I22" s="93">
        <f t="shared" ref="I22:I29" si="7">ROUNDDOWN(H22*G22,0)</f>
        <v>72528212</v>
      </c>
      <c r="J22" s="93">
        <f>I22</f>
        <v>72528212</v>
      </c>
      <c r="K22" s="254"/>
      <c r="L22" s="664"/>
      <c r="M22" s="365"/>
      <c r="S22" s="435"/>
      <c r="T22" s="442"/>
    </row>
    <row r="23" spans="1:20" s="120" customFormat="1" ht="27" customHeight="1">
      <c r="A23" s="2011"/>
      <c r="B23" s="155" t="s">
        <v>3782</v>
      </c>
      <c r="C23" s="155" t="s">
        <v>3872</v>
      </c>
      <c r="D23" s="89" t="s">
        <v>3790</v>
      </c>
      <c r="E23" s="319"/>
      <c r="F23" s="136">
        <v>46041</v>
      </c>
      <c r="G23" s="91">
        <f>VLOOKUP(F23,환율!A:B,2,0)</f>
        <v>1473.5</v>
      </c>
      <c r="H23" s="134">
        <v>48092.4</v>
      </c>
      <c r="I23" s="93">
        <f t="shared" si="7"/>
        <v>70864151</v>
      </c>
      <c r="J23" s="93">
        <f t="shared" ref="J23:J25" si="8">I23</f>
        <v>70864151</v>
      </c>
      <c r="K23" s="254"/>
      <c r="L23" s="664"/>
      <c r="M23" s="365"/>
      <c r="S23" s="435"/>
      <c r="T23" s="442"/>
    </row>
    <row r="24" spans="1:20" s="120" customFormat="1" ht="27" customHeight="1">
      <c r="A24" s="2011"/>
      <c r="B24" s="155" t="s">
        <v>3784</v>
      </c>
      <c r="C24" s="155" t="s">
        <v>3872</v>
      </c>
      <c r="D24" s="89" t="s">
        <v>3792</v>
      </c>
      <c r="E24" s="319"/>
      <c r="F24" s="136">
        <v>46049</v>
      </c>
      <c r="G24" s="91">
        <f>VLOOKUP(F24,환율!A:B,2,0)</f>
        <v>1442.8</v>
      </c>
      <c r="H24" s="134">
        <v>45963.360000000001</v>
      </c>
      <c r="I24" s="93">
        <f t="shared" si="7"/>
        <v>66315935</v>
      </c>
      <c r="J24" s="93">
        <f t="shared" si="8"/>
        <v>66315935</v>
      </c>
      <c r="K24" s="254"/>
      <c r="L24" s="664"/>
      <c r="M24" s="365"/>
      <c r="S24" s="435"/>
      <c r="T24" s="442"/>
    </row>
    <row r="25" spans="1:20" s="120" customFormat="1" ht="27" customHeight="1">
      <c r="A25" s="2011"/>
      <c r="B25" s="155" t="s">
        <v>3786</v>
      </c>
      <c r="C25" s="155" t="s">
        <v>3872</v>
      </c>
      <c r="D25" s="89" t="s">
        <v>3794</v>
      </c>
      <c r="E25" s="319"/>
      <c r="F25" s="136">
        <v>46052</v>
      </c>
      <c r="G25" s="91">
        <f>VLOOKUP(F25,환율!A:B,2,0)</f>
        <v>1427</v>
      </c>
      <c r="H25" s="134">
        <v>18292.32</v>
      </c>
      <c r="I25" s="93">
        <f t="shared" si="7"/>
        <v>26103140</v>
      </c>
      <c r="J25" s="93">
        <f t="shared" si="8"/>
        <v>26103140</v>
      </c>
      <c r="K25" s="254"/>
      <c r="L25" s="664"/>
      <c r="M25" s="365"/>
      <c r="S25" s="435"/>
      <c r="T25" s="442"/>
    </row>
    <row r="26" spans="1:20" s="120" customFormat="1" ht="27" customHeight="1">
      <c r="A26" s="2011"/>
      <c r="B26" s="546" t="s">
        <v>3783</v>
      </c>
      <c r="C26" s="546" t="s">
        <v>3871</v>
      </c>
      <c r="D26" s="547" t="s">
        <v>3791</v>
      </c>
      <c r="E26" s="549"/>
      <c r="F26" s="550">
        <v>46054</v>
      </c>
      <c r="G26" s="528">
        <f>VLOOKUP(F26,환율!A:B,2,0)</f>
        <v>1427</v>
      </c>
      <c r="H26" s="551">
        <v>61473.599999999999</v>
      </c>
      <c r="I26" s="530">
        <f t="shared" ref="I26" si="9">ROUNDDOWN(H26*G26,0)</f>
        <v>87722827</v>
      </c>
      <c r="J26" s="530"/>
      <c r="K26" s="548">
        <f>I26</f>
        <v>87722827</v>
      </c>
      <c r="L26" s="686"/>
      <c r="M26" s="365"/>
      <c r="S26" s="435"/>
      <c r="T26" s="442"/>
    </row>
    <row r="27" spans="1:20" s="120" customFormat="1" ht="27" customHeight="1">
      <c r="A27" s="2011"/>
      <c r="B27" s="546" t="s">
        <v>3785</v>
      </c>
      <c r="C27" s="546" t="s">
        <v>3871</v>
      </c>
      <c r="D27" s="547" t="s">
        <v>3793</v>
      </c>
      <c r="E27" s="549"/>
      <c r="F27" s="550">
        <v>46054</v>
      </c>
      <c r="G27" s="528">
        <f>VLOOKUP(F27,환율!A:B,2,0)</f>
        <v>1427</v>
      </c>
      <c r="H27" s="551">
        <v>44966.879999999997</v>
      </c>
      <c r="I27" s="530">
        <f t="shared" ref="I27" si="10">ROUNDDOWN(H27*G27,0)</f>
        <v>64167737</v>
      </c>
      <c r="J27" s="530"/>
      <c r="K27" s="548">
        <f t="shared" ref="K27:K29" si="11">I27</f>
        <v>64167737</v>
      </c>
      <c r="L27" s="664"/>
      <c r="M27" s="365"/>
      <c r="S27" s="435"/>
      <c r="T27" s="442"/>
    </row>
    <row r="28" spans="1:20" s="120" customFormat="1" ht="27" customHeight="1">
      <c r="A28" s="2011"/>
      <c r="B28" s="546" t="s">
        <v>3787</v>
      </c>
      <c r="C28" s="546" t="s">
        <v>3871</v>
      </c>
      <c r="D28" s="547" t="s">
        <v>3795</v>
      </c>
      <c r="E28" s="549"/>
      <c r="F28" s="550">
        <v>46054</v>
      </c>
      <c r="G28" s="528">
        <f>VLOOKUP(F28,환율!A:B,2,0)</f>
        <v>1427</v>
      </c>
      <c r="H28" s="551">
        <v>558.25</v>
      </c>
      <c r="I28" s="530">
        <f t="shared" si="7"/>
        <v>796622</v>
      </c>
      <c r="J28" s="530"/>
      <c r="K28" s="548">
        <f t="shared" si="11"/>
        <v>796622</v>
      </c>
      <c r="L28" s="664"/>
      <c r="M28" s="365"/>
      <c r="S28" s="435"/>
      <c r="T28" s="442"/>
    </row>
    <row r="29" spans="1:20" s="120" customFormat="1" ht="27" customHeight="1">
      <c r="A29" s="2011"/>
      <c r="B29" s="546" t="s">
        <v>3788</v>
      </c>
      <c r="C29" s="546" t="s">
        <v>3871</v>
      </c>
      <c r="D29" s="547" t="s">
        <v>3796</v>
      </c>
      <c r="E29" s="549"/>
      <c r="F29" s="550">
        <v>46054</v>
      </c>
      <c r="G29" s="528">
        <f>VLOOKUP(F29,환율!A:B,2,0)</f>
        <v>1427</v>
      </c>
      <c r="H29" s="551">
        <v>1350.25</v>
      </c>
      <c r="I29" s="530">
        <f t="shared" si="7"/>
        <v>1926806</v>
      </c>
      <c r="J29" s="530"/>
      <c r="K29" s="548">
        <f t="shared" si="11"/>
        <v>1926806</v>
      </c>
      <c r="L29" s="664"/>
      <c r="M29" s="365"/>
      <c r="S29" s="435"/>
      <c r="T29" s="442"/>
    </row>
    <row r="30" spans="1:20" s="97" customFormat="1" ht="27" customHeight="1">
      <c r="A30" s="2035" t="s">
        <v>10</v>
      </c>
      <c r="B30" s="2036"/>
      <c r="C30" s="2036"/>
      <c r="D30" s="2036"/>
      <c r="E30" s="2036"/>
      <c r="F30" s="2036"/>
      <c r="G30" s="2037"/>
      <c r="H30" s="643">
        <f>SUM(H21:H29)</f>
        <v>312151.45999999996</v>
      </c>
      <c r="I30" s="116">
        <f>SUM(I21:I29)</f>
        <v>450991525</v>
      </c>
      <c r="J30" s="116">
        <f>SUM(J21:J29)</f>
        <v>296377533</v>
      </c>
      <c r="K30" s="116">
        <f>SUM(K21:K29)</f>
        <v>154613992</v>
      </c>
      <c r="L30" s="666"/>
      <c r="M30" s="364"/>
      <c r="N30" s="434"/>
      <c r="O30" s="434"/>
      <c r="P30" s="434"/>
      <c r="Q30" s="434"/>
      <c r="R30" s="434"/>
      <c r="S30" s="434"/>
      <c r="T30" s="441"/>
    </row>
    <row r="31" spans="1:20" s="97" customFormat="1" ht="27" customHeight="1">
      <c r="A31" s="2010" t="s">
        <v>3100</v>
      </c>
      <c r="B31" s="510" t="s">
        <v>3654</v>
      </c>
      <c r="C31" s="561" t="s">
        <v>3871</v>
      </c>
      <c r="D31" s="460" t="s">
        <v>3751</v>
      </c>
      <c r="E31" s="460"/>
      <c r="F31" s="465">
        <v>46025</v>
      </c>
      <c r="G31" s="456">
        <f>VLOOKUP(F31,환율!A:B,2,0)</f>
        <v>1434.9</v>
      </c>
      <c r="H31" s="462">
        <v>102780.26</v>
      </c>
      <c r="I31" s="458">
        <f t="shared" ref="I31:I37" si="12">ROUNDDOWN(H31*G31,0)</f>
        <v>147479395</v>
      </c>
      <c r="J31" s="458">
        <f>I31</f>
        <v>147479395</v>
      </c>
      <c r="K31" s="464"/>
      <c r="L31" s="663"/>
      <c r="M31" s="364"/>
      <c r="S31" s="434"/>
      <c r="T31" s="441"/>
    </row>
    <row r="32" spans="1:20" s="97" customFormat="1" ht="27" customHeight="1">
      <c r="A32" s="2011"/>
      <c r="B32" s="510" t="s">
        <v>3657</v>
      </c>
      <c r="C32" s="561" t="s">
        <v>3871</v>
      </c>
      <c r="D32" s="460" t="s">
        <v>3752</v>
      </c>
      <c r="E32" s="460"/>
      <c r="F32" s="465">
        <v>46025</v>
      </c>
      <c r="G32" s="456">
        <f>VLOOKUP(F32,환율!A:B,2,0)</f>
        <v>1434.9</v>
      </c>
      <c r="H32" s="462">
        <v>76417.600000000006</v>
      </c>
      <c r="I32" s="458">
        <f t="shared" si="12"/>
        <v>109651614</v>
      </c>
      <c r="J32" s="458">
        <f t="shared" ref="J32:J37" si="13">I32</f>
        <v>109651614</v>
      </c>
      <c r="K32" s="464"/>
      <c r="L32" s="663"/>
      <c r="M32" s="364"/>
      <c r="S32" s="434"/>
      <c r="T32" s="441"/>
    </row>
    <row r="33" spans="1:20" s="97" customFormat="1" ht="27" customHeight="1">
      <c r="A33" s="2011"/>
      <c r="B33" s="510" t="s">
        <v>3658</v>
      </c>
      <c r="C33" s="561" t="s">
        <v>3871</v>
      </c>
      <c r="D33" s="460" t="s">
        <v>3753</v>
      </c>
      <c r="E33" s="460"/>
      <c r="F33" s="455">
        <v>46025</v>
      </c>
      <c r="G33" s="456">
        <f>VLOOKUP(F33,환율!A:B,2,0)</f>
        <v>1434.9</v>
      </c>
      <c r="H33" s="462">
        <v>5567.04</v>
      </c>
      <c r="I33" s="458">
        <f t="shared" si="12"/>
        <v>7988145</v>
      </c>
      <c r="J33" s="458">
        <f t="shared" si="13"/>
        <v>7988145</v>
      </c>
      <c r="K33" s="464"/>
      <c r="L33" s="663"/>
      <c r="M33" s="364"/>
      <c r="S33" s="434"/>
      <c r="T33" s="441"/>
    </row>
    <row r="34" spans="1:20" s="97" customFormat="1" ht="27" customHeight="1">
      <c r="A34" s="2011"/>
      <c r="B34" s="510" t="s">
        <v>3754</v>
      </c>
      <c r="C34" s="561" t="s">
        <v>3871</v>
      </c>
      <c r="D34" s="460" t="s">
        <v>3758</v>
      </c>
      <c r="E34" s="460"/>
      <c r="F34" s="455">
        <v>46026</v>
      </c>
      <c r="G34" s="456">
        <f>VLOOKUP(F34,환율!A:B,2,0)</f>
        <v>1434.9</v>
      </c>
      <c r="H34" s="462">
        <v>3774</v>
      </c>
      <c r="I34" s="458">
        <f t="shared" si="12"/>
        <v>5415312</v>
      </c>
      <c r="J34" s="458">
        <f t="shared" si="13"/>
        <v>5415312</v>
      </c>
      <c r="K34" s="464"/>
      <c r="L34" s="663"/>
      <c r="M34" s="364"/>
      <c r="S34" s="434"/>
      <c r="T34" s="441"/>
    </row>
    <row r="35" spans="1:20" s="97" customFormat="1" ht="27" customHeight="1">
      <c r="A35" s="2011"/>
      <c r="B35" s="510" t="s">
        <v>3659</v>
      </c>
      <c r="C35" s="561" t="s">
        <v>3871</v>
      </c>
      <c r="D35" s="460" t="s">
        <v>3759</v>
      </c>
      <c r="E35" s="460"/>
      <c r="F35" s="455">
        <v>46026</v>
      </c>
      <c r="G35" s="456">
        <f>VLOOKUP(F35,환율!A:B,2,0)</f>
        <v>1434.9</v>
      </c>
      <c r="H35" s="462">
        <v>56014.98</v>
      </c>
      <c r="I35" s="458">
        <f t="shared" si="12"/>
        <v>80375894</v>
      </c>
      <c r="J35" s="458">
        <f t="shared" si="13"/>
        <v>80375894</v>
      </c>
      <c r="K35" s="464"/>
      <c r="L35" s="663"/>
      <c r="M35" s="364"/>
      <c r="S35" s="434"/>
      <c r="T35" s="441"/>
    </row>
    <row r="36" spans="1:20" s="126" customFormat="1" ht="27" customHeight="1">
      <c r="A36" s="2011"/>
      <c r="B36" s="510" t="s">
        <v>3660</v>
      </c>
      <c r="C36" s="619" t="s">
        <v>3871</v>
      </c>
      <c r="D36" s="460" t="s">
        <v>3760</v>
      </c>
      <c r="E36" s="460"/>
      <c r="F36" s="455">
        <v>46026</v>
      </c>
      <c r="G36" s="456">
        <f>VLOOKUP(F36,환율!A:B,2,0)</f>
        <v>1434.9</v>
      </c>
      <c r="H36" s="462">
        <v>21506.38</v>
      </c>
      <c r="I36" s="458">
        <f t="shared" si="12"/>
        <v>30859504</v>
      </c>
      <c r="J36" s="458">
        <f t="shared" si="13"/>
        <v>30859504</v>
      </c>
      <c r="K36" s="464"/>
      <c r="L36" s="663"/>
      <c r="M36" s="401"/>
      <c r="N36" s="97"/>
      <c r="O36" s="97"/>
      <c r="P36" s="97"/>
      <c r="Q36" s="97"/>
      <c r="R36" s="97"/>
      <c r="S36" s="436"/>
      <c r="T36" s="443"/>
    </row>
    <row r="37" spans="1:20" s="126" customFormat="1" ht="27" customHeight="1">
      <c r="A37" s="2011"/>
      <c r="B37" s="510" t="s">
        <v>3755</v>
      </c>
      <c r="C37" s="619" t="s">
        <v>3871</v>
      </c>
      <c r="D37" s="460" t="s">
        <v>3761</v>
      </c>
      <c r="E37" s="460"/>
      <c r="F37" s="455">
        <v>46030</v>
      </c>
      <c r="G37" s="456">
        <f>VLOOKUP(F37,환율!A:B,2,0)</f>
        <v>1448.3</v>
      </c>
      <c r="H37" s="462">
        <v>58167.199999999997</v>
      </c>
      <c r="I37" s="458">
        <f t="shared" si="12"/>
        <v>84243555</v>
      </c>
      <c r="J37" s="458">
        <f t="shared" si="13"/>
        <v>84243555</v>
      </c>
      <c r="K37" s="464"/>
      <c r="L37" s="664"/>
      <c r="M37" s="401"/>
      <c r="N37" s="97"/>
      <c r="O37" s="97"/>
      <c r="P37" s="97"/>
      <c r="Q37" s="97"/>
      <c r="R37" s="97"/>
      <c r="S37" s="436"/>
      <c r="T37" s="443"/>
    </row>
    <row r="38" spans="1:20" s="126" customFormat="1" ht="27" customHeight="1">
      <c r="A38" s="2011"/>
      <c r="B38" s="513" t="s">
        <v>3797</v>
      </c>
      <c r="C38" s="563" t="s">
        <v>3871</v>
      </c>
      <c r="D38" s="129" t="s">
        <v>3798</v>
      </c>
      <c r="E38" s="129"/>
      <c r="F38" s="136">
        <v>46039</v>
      </c>
      <c r="G38" s="91">
        <f>VLOOKUP(F38,환율!A:B,2,0)</f>
        <v>1469.7</v>
      </c>
      <c r="H38" s="134">
        <v>67089.399999999994</v>
      </c>
      <c r="I38" s="93">
        <f t="shared" ref="I38:I53" si="14">ROUNDDOWN(H38*G38,0)</f>
        <v>98601291</v>
      </c>
      <c r="J38" s="93">
        <f t="shared" ref="J38:J44" si="15">I38</f>
        <v>98601291</v>
      </c>
      <c r="K38" s="254"/>
      <c r="L38" s="664"/>
      <c r="M38" s="401"/>
      <c r="N38" s="97"/>
      <c r="O38" s="97"/>
      <c r="P38" s="97"/>
      <c r="Q38" s="97"/>
      <c r="R38" s="97"/>
      <c r="S38" s="436"/>
      <c r="T38" s="443"/>
    </row>
    <row r="39" spans="1:20" s="126" customFormat="1" ht="27" customHeight="1">
      <c r="A39" s="2011"/>
      <c r="B39" s="513" t="s">
        <v>3799</v>
      </c>
      <c r="C39" s="563" t="s">
        <v>3871</v>
      </c>
      <c r="D39" s="129" t="s">
        <v>3805</v>
      </c>
      <c r="E39" s="129"/>
      <c r="F39" s="136">
        <v>46041</v>
      </c>
      <c r="G39" s="91">
        <f>VLOOKUP(F39,환율!A:B,2,0)</f>
        <v>1473.5</v>
      </c>
      <c r="H39" s="134">
        <v>84668.52</v>
      </c>
      <c r="I39" s="93">
        <f t="shared" si="14"/>
        <v>124759064</v>
      </c>
      <c r="J39" s="93">
        <f t="shared" si="15"/>
        <v>124759064</v>
      </c>
      <c r="K39" s="254"/>
      <c r="L39" s="664"/>
      <c r="M39" s="401"/>
      <c r="N39" s="97"/>
      <c r="O39" s="97"/>
      <c r="P39" s="97"/>
      <c r="Q39" s="97"/>
      <c r="R39" s="97"/>
      <c r="S39" s="436"/>
      <c r="T39" s="443"/>
    </row>
    <row r="40" spans="1:20" s="126" customFormat="1" ht="27" customHeight="1">
      <c r="A40" s="2011"/>
      <c r="B40" s="513" t="s">
        <v>3800</v>
      </c>
      <c r="C40" s="563" t="s">
        <v>3871</v>
      </c>
      <c r="D40" s="129" t="s">
        <v>3806</v>
      </c>
      <c r="E40" s="129"/>
      <c r="F40" s="136">
        <v>46046</v>
      </c>
      <c r="G40" s="91">
        <f>VLOOKUP(F40,환율!A:B,2,0)</f>
        <v>1468.4</v>
      </c>
      <c r="H40" s="134">
        <v>2921.49</v>
      </c>
      <c r="I40" s="93">
        <f t="shared" si="14"/>
        <v>4289915</v>
      </c>
      <c r="J40" s="93">
        <f t="shared" si="15"/>
        <v>4289915</v>
      </c>
      <c r="K40" s="254"/>
      <c r="L40" s="664"/>
      <c r="M40" s="401"/>
      <c r="N40" s="97"/>
      <c r="O40" s="97"/>
      <c r="P40" s="97"/>
      <c r="Q40" s="97"/>
      <c r="R40" s="97"/>
      <c r="S40" s="436"/>
      <c r="T40" s="443"/>
    </row>
    <row r="41" spans="1:20" s="126" customFormat="1" ht="27" customHeight="1">
      <c r="A41" s="2011"/>
      <c r="B41" s="513" t="s">
        <v>3801</v>
      </c>
      <c r="C41" s="563" t="s">
        <v>3871</v>
      </c>
      <c r="D41" s="129" t="s">
        <v>3807</v>
      </c>
      <c r="E41" s="129"/>
      <c r="F41" s="136">
        <v>46039</v>
      </c>
      <c r="G41" s="91">
        <f>VLOOKUP(F41,환율!A:B,2,0)</f>
        <v>1469.7</v>
      </c>
      <c r="H41" s="134">
        <v>9607.68</v>
      </c>
      <c r="I41" s="93">
        <f t="shared" si="14"/>
        <v>14120407</v>
      </c>
      <c r="J41" s="93">
        <f t="shared" si="15"/>
        <v>14120407</v>
      </c>
      <c r="K41" s="254"/>
      <c r="L41" s="664"/>
      <c r="M41" s="401"/>
      <c r="N41" s="97"/>
      <c r="O41" s="97"/>
      <c r="P41" s="97"/>
      <c r="Q41" s="97"/>
      <c r="R41" s="97"/>
      <c r="S41" s="436"/>
      <c r="T41" s="443"/>
    </row>
    <row r="42" spans="1:20" s="126" customFormat="1" ht="27" customHeight="1">
      <c r="A42" s="2011"/>
      <c r="B42" s="513" t="s">
        <v>3802</v>
      </c>
      <c r="C42" s="563" t="s">
        <v>3871</v>
      </c>
      <c r="D42" s="129" t="s">
        <v>3808</v>
      </c>
      <c r="E42" s="129"/>
      <c r="F42" s="136">
        <v>46050</v>
      </c>
      <c r="G42" s="91">
        <f>VLOOKUP(F42,환율!A:B,2,0)</f>
        <v>1448.8</v>
      </c>
      <c r="H42" s="134">
        <v>77931.839999999997</v>
      </c>
      <c r="I42" s="93">
        <f t="shared" si="14"/>
        <v>112907649</v>
      </c>
      <c r="J42" s="93">
        <f t="shared" si="15"/>
        <v>112907649</v>
      </c>
      <c r="K42" s="254"/>
      <c r="L42" s="664"/>
      <c r="M42" s="401"/>
      <c r="N42" s="97"/>
      <c r="O42" s="97"/>
      <c r="P42" s="97"/>
      <c r="Q42" s="97"/>
      <c r="R42" s="97"/>
      <c r="S42" s="436"/>
      <c r="T42" s="443"/>
    </row>
    <row r="43" spans="1:20" s="126" customFormat="1" ht="27" customHeight="1">
      <c r="A43" s="2011"/>
      <c r="B43" s="513" t="s">
        <v>3803</v>
      </c>
      <c r="C43" s="563" t="s">
        <v>3871</v>
      </c>
      <c r="D43" s="129" t="s">
        <v>3809</v>
      </c>
      <c r="E43" s="129"/>
      <c r="F43" s="136">
        <v>46049</v>
      </c>
      <c r="G43" s="91">
        <f>VLOOKUP(F43,환율!A:B,2,0)</f>
        <v>1442.8</v>
      </c>
      <c r="H43" s="134">
        <v>7320</v>
      </c>
      <c r="I43" s="93">
        <f t="shared" si="14"/>
        <v>10561296</v>
      </c>
      <c r="J43" s="93">
        <f t="shared" si="15"/>
        <v>10561296</v>
      </c>
      <c r="K43" s="254"/>
      <c r="L43" s="664"/>
      <c r="M43" s="401"/>
      <c r="N43" s="97"/>
      <c r="O43" s="97"/>
      <c r="P43" s="97"/>
      <c r="Q43" s="97"/>
      <c r="R43" s="97"/>
      <c r="S43" s="436"/>
      <c r="T43" s="443"/>
    </row>
    <row r="44" spans="1:20" s="126" customFormat="1" ht="27" customHeight="1">
      <c r="A44" s="2011"/>
      <c r="B44" s="513" t="s">
        <v>3804</v>
      </c>
      <c r="C44" s="563" t="s">
        <v>3871</v>
      </c>
      <c r="D44" s="129" t="s">
        <v>3810</v>
      </c>
      <c r="E44" s="129"/>
      <c r="F44" s="136">
        <v>46050</v>
      </c>
      <c r="G44" s="91">
        <f>VLOOKUP(F44,환율!A:B,2,0)</f>
        <v>1448.8</v>
      </c>
      <c r="H44" s="134">
        <v>102163.08</v>
      </c>
      <c r="I44" s="93">
        <f t="shared" si="14"/>
        <v>148013870</v>
      </c>
      <c r="J44" s="93">
        <f t="shared" si="15"/>
        <v>148013870</v>
      </c>
      <c r="K44" s="254"/>
      <c r="L44" s="664"/>
      <c r="M44" s="401"/>
      <c r="N44" s="97"/>
      <c r="O44" s="97"/>
      <c r="P44" s="97"/>
      <c r="Q44" s="97"/>
      <c r="R44" s="97"/>
      <c r="S44" s="436"/>
      <c r="T44" s="443"/>
    </row>
    <row r="45" spans="1:20" s="126" customFormat="1" ht="27" customHeight="1">
      <c r="A45" s="2011"/>
      <c r="B45" s="513" t="s">
        <v>3811</v>
      </c>
      <c r="C45" s="563" t="s">
        <v>3871</v>
      </c>
      <c r="D45" s="129" t="s">
        <v>3812</v>
      </c>
      <c r="E45" s="129"/>
      <c r="F45" s="136">
        <v>46049</v>
      </c>
      <c r="G45" s="91">
        <f>VLOOKUP(F45,환율!A:B,2,0)</f>
        <v>1442.8</v>
      </c>
      <c r="H45" s="134">
        <v>22516.2</v>
      </c>
      <c r="I45" s="93">
        <f t="shared" ref="I45" si="16">ROUNDDOWN(H45*G45,0)</f>
        <v>32486373</v>
      </c>
      <c r="J45" s="93">
        <f t="shared" ref="J45" si="17">I45</f>
        <v>32486373</v>
      </c>
      <c r="K45" s="254"/>
      <c r="L45" s="664"/>
      <c r="M45" s="401"/>
      <c r="N45" s="97"/>
      <c r="O45" s="97"/>
      <c r="P45" s="97"/>
      <c r="Q45" s="97"/>
      <c r="R45" s="97"/>
      <c r="S45" s="436"/>
      <c r="T45" s="443"/>
    </row>
    <row r="46" spans="1:20" s="126" customFormat="1" ht="27" customHeight="1">
      <c r="A46" s="2011"/>
      <c r="B46" s="680" t="s">
        <v>3865</v>
      </c>
      <c r="C46" s="681" t="s">
        <v>3871</v>
      </c>
      <c r="D46" s="682" t="s">
        <v>3844</v>
      </c>
      <c r="E46" s="682"/>
      <c r="F46" s="421">
        <v>46027</v>
      </c>
      <c r="G46" s="382">
        <f>VLOOKUP(F46,환율!A:B,2,0)</f>
        <v>1442.1</v>
      </c>
      <c r="H46" s="655">
        <v>15930</v>
      </c>
      <c r="I46" s="384">
        <f t="shared" ref="I46" si="18">ROUNDDOWN(H46*G46,0)</f>
        <v>22972653</v>
      </c>
      <c r="J46" s="384">
        <f t="shared" ref="J46" si="19">I46</f>
        <v>22972653</v>
      </c>
      <c r="K46" s="386"/>
      <c r="L46" s="664"/>
      <c r="M46" s="401"/>
      <c r="N46" s="97"/>
      <c r="O46" s="97"/>
      <c r="P46" s="97"/>
      <c r="Q46" s="97"/>
      <c r="R46" s="97"/>
      <c r="S46" s="436"/>
      <c r="T46" s="443"/>
    </row>
    <row r="47" spans="1:20" s="126" customFormat="1" ht="27" customHeight="1">
      <c r="A47" s="2011"/>
      <c r="B47" s="556" t="s">
        <v>3817</v>
      </c>
      <c r="C47" s="564" t="s">
        <v>3871</v>
      </c>
      <c r="D47" s="556" t="s">
        <v>3816</v>
      </c>
      <c r="E47" s="557"/>
      <c r="F47" s="550">
        <v>46057</v>
      </c>
      <c r="G47" s="528">
        <f>VLOOKUP(F47,환율!A:B,2,0)</f>
        <v>1449</v>
      </c>
      <c r="H47" s="551">
        <v>76584.78</v>
      </c>
      <c r="I47" s="530">
        <f t="shared" si="14"/>
        <v>110971346</v>
      </c>
      <c r="J47" s="530"/>
      <c r="K47" s="548">
        <f>I47</f>
        <v>110971346</v>
      </c>
      <c r="L47" s="664"/>
      <c r="M47" s="401"/>
      <c r="N47" s="97"/>
      <c r="O47" s="97"/>
      <c r="P47" s="97"/>
      <c r="Q47" s="97"/>
      <c r="R47" s="97"/>
      <c r="S47" s="436"/>
      <c r="T47" s="443"/>
    </row>
    <row r="48" spans="1:20" s="126" customFormat="1" ht="27" customHeight="1">
      <c r="A48" s="2011"/>
      <c r="B48" s="556" t="s">
        <v>3813</v>
      </c>
      <c r="C48" s="564" t="s">
        <v>3871</v>
      </c>
      <c r="D48" s="557" t="s">
        <v>3818</v>
      </c>
      <c r="E48" s="557"/>
      <c r="F48" s="550">
        <v>46057</v>
      </c>
      <c r="G48" s="528">
        <f>VLOOKUP(F48,환율!A:B,2,0)</f>
        <v>1449</v>
      </c>
      <c r="H48" s="551">
        <v>75545.22</v>
      </c>
      <c r="I48" s="530">
        <f t="shared" si="14"/>
        <v>109465023</v>
      </c>
      <c r="J48" s="530"/>
      <c r="K48" s="548">
        <f>I48</f>
        <v>109465023</v>
      </c>
      <c r="L48" s="678"/>
      <c r="M48" s="401"/>
      <c r="N48" s="97"/>
      <c r="O48" s="97"/>
      <c r="P48" s="97"/>
      <c r="Q48" s="97"/>
      <c r="R48" s="97"/>
      <c r="S48" s="436"/>
      <c r="T48" s="443"/>
    </row>
    <row r="49" spans="1:20" s="126" customFormat="1" ht="27" customHeight="1">
      <c r="A49" s="2011"/>
      <c r="B49" s="556" t="s">
        <v>3814</v>
      </c>
      <c r="C49" s="564" t="s">
        <v>3871</v>
      </c>
      <c r="D49" s="557" t="s">
        <v>3819</v>
      </c>
      <c r="E49" s="557"/>
      <c r="F49" s="550">
        <v>46058</v>
      </c>
      <c r="G49" s="528">
        <f>VLOOKUP(F49,환율!A:B,2,0)</f>
        <v>1451.2</v>
      </c>
      <c r="H49" s="551">
        <v>50020.42</v>
      </c>
      <c r="I49" s="530">
        <f t="shared" si="14"/>
        <v>72589633</v>
      </c>
      <c r="J49" s="530"/>
      <c r="K49" s="548">
        <f>I49</f>
        <v>72589633</v>
      </c>
      <c r="L49" s="678"/>
      <c r="M49" s="401"/>
      <c r="N49" s="97"/>
      <c r="O49" s="97"/>
      <c r="P49" s="97"/>
      <c r="Q49" s="97"/>
      <c r="R49" s="97"/>
      <c r="S49" s="436"/>
      <c r="T49" s="443"/>
    </row>
    <row r="50" spans="1:20" s="126" customFormat="1" ht="27" customHeight="1">
      <c r="A50" s="2011"/>
      <c r="B50" s="556" t="s">
        <v>3820</v>
      </c>
      <c r="C50" s="564" t="s">
        <v>3871</v>
      </c>
      <c r="D50" s="557" t="s">
        <v>3821</v>
      </c>
      <c r="E50" s="557"/>
      <c r="F50" s="527">
        <v>46057</v>
      </c>
      <c r="G50" s="528">
        <f>VLOOKUP(F50,환율!A:B,2,0)</f>
        <v>1449</v>
      </c>
      <c r="H50" s="551">
        <v>93082.06</v>
      </c>
      <c r="I50" s="530">
        <f t="shared" si="14"/>
        <v>134875904</v>
      </c>
      <c r="J50" s="530"/>
      <c r="K50" s="548">
        <f>I50</f>
        <v>134875904</v>
      </c>
      <c r="L50" s="668"/>
      <c r="M50" s="364"/>
      <c r="N50" s="97"/>
      <c r="O50" s="97"/>
      <c r="P50" s="97"/>
      <c r="Q50" s="97"/>
      <c r="R50" s="97"/>
      <c r="S50" s="436"/>
      <c r="T50" s="443"/>
    </row>
    <row r="51" spans="1:20" s="126" customFormat="1" ht="27" customHeight="1">
      <c r="A51" s="2011"/>
      <c r="B51" s="556" t="s">
        <v>3822</v>
      </c>
      <c r="C51" s="564" t="s">
        <v>3871</v>
      </c>
      <c r="D51" s="557" t="s">
        <v>3823</v>
      </c>
      <c r="E51" s="557"/>
      <c r="F51" s="527">
        <v>46057</v>
      </c>
      <c r="G51" s="528">
        <f>VLOOKUP(F51,환율!A:B,2,0)</f>
        <v>1449</v>
      </c>
      <c r="H51" s="551">
        <v>97808.49</v>
      </c>
      <c r="I51" s="530">
        <f t="shared" si="14"/>
        <v>141724502</v>
      </c>
      <c r="J51" s="530"/>
      <c r="K51" s="548">
        <f t="shared" ref="K51:K53" si="20">I51</f>
        <v>141724502</v>
      </c>
      <c r="L51" s="665"/>
      <c r="M51" s="364"/>
      <c r="N51" s="97"/>
      <c r="O51" s="97"/>
      <c r="P51" s="97"/>
      <c r="Q51" s="97"/>
      <c r="R51" s="97"/>
      <c r="S51" s="436"/>
      <c r="T51" s="443"/>
    </row>
    <row r="52" spans="1:20" s="126" customFormat="1" ht="27" customHeight="1">
      <c r="A52" s="2011"/>
      <c r="B52" s="556" t="s">
        <v>3824</v>
      </c>
      <c r="C52" s="564" t="s">
        <v>3871</v>
      </c>
      <c r="D52" s="557" t="s">
        <v>3825</v>
      </c>
      <c r="E52" s="557"/>
      <c r="F52" s="527">
        <v>46054</v>
      </c>
      <c r="G52" s="528">
        <f>VLOOKUP(F52,환율!A:B,2,0)</f>
        <v>1427</v>
      </c>
      <c r="H52" s="551">
        <v>7038.36</v>
      </c>
      <c r="I52" s="530">
        <f t="shared" si="14"/>
        <v>10043739</v>
      </c>
      <c r="J52" s="530"/>
      <c r="K52" s="548">
        <f t="shared" si="20"/>
        <v>10043739</v>
      </c>
      <c r="L52" s="665"/>
      <c r="M52" s="364"/>
      <c r="N52" s="97"/>
      <c r="O52" s="97"/>
      <c r="P52" s="97"/>
      <c r="Q52" s="97"/>
      <c r="R52" s="97"/>
      <c r="S52" s="436"/>
      <c r="T52" s="443"/>
    </row>
    <row r="53" spans="1:20" s="126" customFormat="1" ht="27" customHeight="1">
      <c r="A53" s="2019"/>
      <c r="B53" s="556" t="s">
        <v>3815</v>
      </c>
      <c r="C53" s="564" t="s">
        <v>3871</v>
      </c>
      <c r="D53" s="557" t="s">
        <v>3826</v>
      </c>
      <c r="E53" s="557"/>
      <c r="F53" s="527">
        <v>46054</v>
      </c>
      <c r="G53" s="528">
        <f>VLOOKUP(F53,환율!A:B,2,0)</f>
        <v>1427</v>
      </c>
      <c r="H53" s="551">
        <v>891.52</v>
      </c>
      <c r="I53" s="530">
        <f t="shared" si="14"/>
        <v>1272199</v>
      </c>
      <c r="J53" s="530"/>
      <c r="K53" s="548">
        <f t="shared" si="20"/>
        <v>1272199</v>
      </c>
      <c r="L53" s="665"/>
      <c r="M53" s="364"/>
      <c r="N53" s="97"/>
      <c r="O53" s="97"/>
      <c r="P53" s="97"/>
      <c r="Q53" s="97"/>
      <c r="R53" s="97"/>
      <c r="S53" s="436"/>
      <c r="T53" s="443"/>
    </row>
    <row r="54" spans="1:20" s="97" customFormat="1" ht="27" customHeight="1">
      <c r="A54" s="2035" t="s">
        <v>10</v>
      </c>
      <c r="B54" s="2036"/>
      <c r="C54" s="2036"/>
      <c r="D54" s="2036"/>
      <c r="E54" s="2036"/>
      <c r="F54" s="2036"/>
      <c r="G54" s="2037"/>
      <c r="H54" s="643">
        <f>SUM(H31:H53)</f>
        <v>1115346.52</v>
      </c>
      <c r="I54" s="116">
        <f>SUM(I31:I53)</f>
        <v>1615668283</v>
      </c>
      <c r="J54" s="116">
        <f>SUM(J31:J53)</f>
        <v>1034725937</v>
      </c>
      <c r="K54" s="260">
        <f>SUM(K31:K53)</f>
        <v>580942346</v>
      </c>
      <c r="L54" s="666"/>
      <c r="M54" s="364"/>
      <c r="N54" s="434"/>
      <c r="O54" s="434"/>
      <c r="P54" s="434"/>
      <c r="Q54" s="434"/>
      <c r="R54" s="434"/>
      <c r="S54" s="434"/>
      <c r="T54" s="441"/>
    </row>
    <row r="55" spans="1:20" s="97" customFormat="1" ht="39" customHeight="1">
      <c r="A55" s="2010" t="s">
        <v>3101</v>
      </c>
      <c r="B55" s="513" t="s">
        <v>3827</v>
      </c>
      <c r="C55" s="513" t="s">
        <v>3872</v>
      </c>
      <c r="D55" s="513" t="s">
        <v>3830</v>
      </c>
      <c r="E55" s="89"/>
      <c r="F55" s="89">
        <v>46036</v>
      </c>
      <c r="G55" s="91">
        <f>VLOOKUP(F55,환율!A:B,2,0)</f>
        <v>1472.8</v>
      </c>
      <c r="H55" s="118">
        <v>125451.36</v>
      </c>
      <c r="I55" s="93">
        <f t="shared" ref="I55:I57" si="21">ROUNDDOWN(H55*G55,0)</f>
        <v>184764763</v>
      </c>
      <c r="J55" s="93">
        <f>I55</f>
        <v>184764763</v>
      </c>
      <c r="K55" s="254"/>
      <c r="L55" s="664"/>
      <c r="M55" s="364"/>
      <c r="S55" s="434"/>
      <c r="T55" s="441"/>
    </row>
    <row r="56" spans="1:20" s="97" customFormat="1" ht="39" customHeight="1">
      <c r="A56" s="2011"/>
      <c r="B56" s="513" t="s">
        <v>3828</v>
      </c>
      <c r="C56" s="513" t="s">
        <v>3872</v>
      </c>
      <c r="D56" s="513" t="s">
        <v>3831</v>
      </c>
      <c r="E56" s="89"/>
      <c r="F56" s="89">
        <v>46047</v>
      </c>
      <c r="G56" s="91">
        <f>VLOOKUP(F56,환율!A:B,2,0)</f>
        <v>1468.4</v>
      </c>
      <c r="H56" s="118">
        <v>59338.559999999998</v>
      </c>
      <c r="I56" s="93">
        <f t="shared" ref="I56" si="22">ROUNDDOWN(H56*G56,0)</f>
        <v>87132741</v>
      </c>
      <c r="J56" s="93">
        <f>I56</f>
        <v>87132741</v>
      </c>
      <c r="K56" s="254"/>
      <c r="L56" s="664"/>
      <c r="M56" s="364"/>
      <c r="S56" s="434"/>
      <c r="T56" s="441"/>
    </row>
    <row r="57" spans="1:20" s="97" customFormat="1" ht="39" customHeight="1">
      <c r="A57" s="2019"/>
      <c r="B57" s="513" t="s">
        <v>3829</v>
      </c>
      <c r="C57" s="513" t="s">
        <v>3872</v>
      </c>
      <c r="D57" s="513" t="s">
        <v>3832</v>
      </c>
      <c r="E57" s="89"/>
      <c r="F57" s="89">
        <v>46044</v>
      </c>
      <c r="G57" s="91">
        <f>VLOOKUP(F57,환율!A:B,2,0)</f>
        <v>1472.8</v>
      </c>
      <c r="H57" s="118">
        <v>5906.52</v>
      </c>
      <c r="I57" s="93">
        <f t="shared" si="21"/>
        <v>8699122</v>
      </c>
      <c r="J57" s="93">
        <f>I57</f>
        <v>8699122</v>
      </c>
      <c r="K57" s="254"/>
      <c r="L57" s="664"/>
      <c r="M57" s="364"/>
      <c r="S57" s="434"/>
      <c r="T57" s="441"/>
    </row>
    <row r="58" spans="1:20" s="97" customFormat="1" ht="27" customHeight="1">
      <c r="A58" s="2035" t="s">
        <v>10</v>
      </c>
      <c r="B58" s="2036"/>
      <c r="C58" s="2036"/>
      <c r="D58" s="2036"/>
      <c r="E58" s="2036"/>
      <c r="F58" s="2036"/>
      <c r="G58" s="2037"/>
      <c r="H58" s="643">
        <f>SUM(H55:H57)</f>
        <v>190696.43999999997</v>
      </c>
      <c r="I58" s="116">
        <f t="shared" ref="I58:J58" si="23">SUM(I55:I57)</f>
        <v>280596626</v>
      </c>
      <c r="J58" s="116">
        <f t="shared" si="23"/>
        <v>280596626</v>
      </c>
      <c r="K58" s="260">
        <f>SUM(K55:K55)</f>
        <v>0</v>
      </c>
      <c r="L58" s="666"/>
      <c r="M58" s="364"/>
      <c r="N58" s="434"/>
      <c r="O58" s="434"/>
      <c r="P58" s="434"/>
      <c r="Q58" s="434"/>
      <c r="R58" s="434"/>
      <c r="S58" s="434"/>
      <c r="T58" s="441"/>
    </row>
    <row r="59" spans="1:20" s="97" customFormat="1" ht="27" customHeight="1">
      <c r="A59" s="2010" t="s">
        <v>3102</v>
      </c>
      <c r="B59" s="510" t="s">
        <v>3756</v>
      </c>
      <c r="C59" s="619" t="s">
        <v>3872</v>
      </c>
      <c r="D59" s="460" t="s">
        <v>3757</v>
      </c>
      <c r="E59" s="460"/>
      <c r="F59" s="455">
        <v>46024</v>
      </c>
      <c r="G59" s="456">
        <f>VLOOKUP(F59,환율!A:B,2,0)</f>
        <v>1434.9</v>
      </c>
      <c r="H59" s="462"/>
      <c r="I59" s="458">
        <v>41251420</v>
      </c>
      <c r="J59" s="458">
        <f>I59</f>
        <v>41251420</v>
      </c>
      <c r="K59" s="464"/>
      <c r="L59" s="663"/>
      <c r="M59" s="401"/>
      <c r="S59" s="434"/>
      <c r="T59" s="441"/>
    </row>
    <row r="60" spans="1:20" s="97" customFormat="1" ht="27" customHeight="1">
      <c r="A60" s="2011"/>
      <c r="B60" s="174" t="s">
        <v>3833</v>
      </c>
      <c r="C60" s="155" t="s">
        <v>3872</v>
      </c>
      <c r="D60" s="174" t="s">
        <v>3834</v>
      </c>
      <c r="E60" s="146"/>
      <c r="F60" s="89">
        <v>46048</v>
      </c>
      <c r="G60" s="91">
        <f>VLOOKUP(F60,환율!A:B,2,0)</f>
        <v>1467.2</v>
      </c>
      <c r="H60" s="118"/>
      <c r="I60" s="93">
        <v>39430378</v>
      </c>
      <c r="J60" s="93">
        <f>I60</f>
        <v>39430378</v>
      </c>
      <c r="K60" s="254"/>
      <c r="L60" s="663"/>
      <c r="M60" s="401"/>
      <c r="S60" s="434"/>
      <c r="T60" s="441"/>
    </row>
    <row r="61" spans="1:20" s="97" customFormat="1" ht="27" customHeight="1">
      <c r="A61" s="2011"/>
      <c r="B61" s="687" t="s">
        <v>3837</v>
      </c>
      <c r="C61" s="654" t="s">
        <v>3871</v>
      </c>
      <c r="D61" s="687"/>
      <c r="E61" s="420"/>
      <c r="F61" s="379">
        <v>46043</v>
      </c>
      <c r="G61" s="382">
        <f>VLOOKUP(F61,환율!A:B,2,0)</f>
        <v>1477</v>
      </c>
      <c r="H61" s="383"/>
      <c r="I61" s="384">
        <v>2000000</v>
      </c>
      <c r="J61" s="384">
        <f t="shared" ref="J61:J62" si="24">I61</f>
        <v>2000000</v>
      </c>
      <c r="K61" s="386"/>
      <c r="L61" s="663"/>
      <c r="M61" s="401"/>
      <c r="S61" s="434"/>
      <c r="T61" s="441"/>
    </row>
    <row r="62" spans="1:20" s="97" customFormat="1" ht="27" customHeight="1">
      <c r="A62" s="2011"/>
      <c r="B62" s="687" t="s">
        <v>3836</v>
      </c>
      <c r="C62" s="654" t="s">
        <v>3871</v>
      </c>
      <c r="D62" s="687"/>
      <c r="E62" s="420"/>
      <c r="F62" s="379">
        <v>46050</v>
      </c>
      <c r="G62" s="382">
        <f>VLOOKUP(F62,환율!A:B,2,0)</f>
        <v>1448.8</v>
      </c>
      <c r="H62" s="383"/>
      <c r="I62" s="384">
        <v>2000000</v>
      </c>
      <c r="J62" s="384">
        <f t="shared" si="24"/>
        <v>2000000</v>
      </c>
      <c r="K62" s="386"/>
      <c r="L62" s="663"/>
      <c r="M62" s="401"/>
      <c r="S62" s="434"/>
      <c r="T62" s="441"/>
    </row>
    <row r="63" spans="1:20" s="97" customFormat="1" ht="27" customHeight="1">
      <c r="A63" s="2019"/>
      <c r="B63" s="524" t="s">
        <v>3899</v>
      </c>
      <c r="C63" s="546" t="s">
        <v>3871</v>
      </c>
      <c r="D63" s="524" t="s">
        <v>3835</v>
      </c>
      <c r="E63" s="552"/>
      <c r="F63" s="547">
        <v>46057</v>
      </c>
      <c r="G63" s="528">
        <f>VLOOKUP(F63,환율!A:B,2,0)</f>
        <v>1449</v>
      </c>
      <c r="H63" s="554"/>
      <c r="I63" s="530">
        <v>121332860</v>
      </c>
      <c r="J63" s="530"/>
      <c r="K63" s="548">
        <f>I63</f>
        <v>121332860</v>
      </c>
      <c r="L63" s="663"/>
      <c r="M63" s="401"/>
      <c r="S63" s="434"/>
      <c r="T63" s="441"/>
    </row>
    <row r="64" spans="1:20" s="97" customFormat="1" ht="27" customHeight="1">
      <c r="A64" s="2035" t="s">
        <v>10</v>
      </c>
      <c r="B64" s="2036"/>
      <c r="C64" s="2036"/>
      <c r="D64" s="2036"/>
      <c r="E64" s="2036"/>
      <c r="F64" s="2036"/>
      <c r="G64" s="2037"/>
      <c r="H64" s="643">
        <f>SUM(H59:H59)</f>
        <v>0</v>
      </c>
      <c r="I64" s="116">
        <f>SUM(I59:I63)</f>
        <v>206014658</v>
      </c>
      <c r="J64" s="116">
        <f>SUM(J59:J63)</f>
        <v>84681798</v>
      </c>
      <c r="K64" s="260">
        <f>SUM(K59:K63)</f>
        <v>121332860</v>
      </c>
      <c r="L64" s="666"/>
      <c r="M64" s="364"/>
      <c r="N64" s="434"/>
      <c r="O64" s="434"/>
      <c r="P64" s="434"/>
      <c r="R64" s="434"/>
      <c r="S64" s="434"/>
      <c r="T64" s="441"/>
    </row>
    <row r="65" spans="1:20" s="97" customFormat="1" ht="34.5" customHeight="1">
      <c r="A65" s="2012" t="s">
        <v>3767</v>
      </c>
      <c r="B65" s="683" t="s">
        <v>3838</v>
      </c>
      <c r="C65" s="684" t="s">
        <v>3872</v>
      </c>
      <c r="D65" s="583" t="s">
        <v>3839</v>
      </c>
      <c r="E65" s="583"/>
      <c r="F65" s="144">
        <v>46041</v>
      </c>
      <c r="G65" s="163">
        <f>VLOOKUP(F65,환율!A:B,2,0)</f>
        <v>1473.5</v>
      </c>
      <c r="H65" s="394">
        <v>387313.04</v>
      </c>
      <c r="I65" s="164">
        <f>ROUNDDOWN(H65*G65,0)</f>
        <v>570705764</v>
      </c>
      <c r="J65" s="164">
        <f>I65</f>
        <v>570705764</v>
      </c>
      <c r="K65" s="164"/>
      <c r="L65" s="665"/>
      <c r="M65" s="364"/>
      <c r="N65" s="434"/>
      <c r="O65" s="434"/>
      <c r="P65" s="434"/>
      <c r="R65" s="434"/>
      <c r="S65" s="434"/>
      <c r="T65" s="441"/>
    </row>
    <row r="66" spans="1:20" s="97" customFormat="1">
      <c r="A66" s="2053"/>
      <c r="B66" s="683" t="s">
        <v>3840</v>
      </c>
      <c r="C66" s="684" t="s">
        <v>3871</v>
      </c>
      <c r="D66" s="583" t="s">
        <v>3844</v>
      </c>
      <c r="E66" s="583"/>
      <c r="F66" s="144">
        <v>46041</v>
      </c>
      <c r="G66" s="163">
        <f>VLOOKUP(F66,환율!A:B,2,0)</f>
        <v>1473.5</v>
      </c>
      <c r="H66" s="394">
        <v>94072.27</v>
      </c>
      <c r="I66" s="164">
        <f t="shared" ref="I66:I75" si="25">ROUNDDOWN(H66*G66,0)</f>
        <v>138615489</v>
      </c>
      <c r="J66" s="164">
        <f t="shared" ref="J66:J71" si="26">I66</f>
        <v>138615489</v>
      </c>
      <c r="K66" s="164"/>
      <c r="L66" s="665"/>
      <c r="M66" s="364"/>
      <c r="N66" s="434"/>
      <c r="O66" s="434"/>
      <c r="P66" s="434"/>
      <c r="R66" s="434"/>
      <c r="S66" s="434"/>
      <c r="T66" s="441"/>
    </row>
    <row r="67" spans="1:20" s="97" customFormat="1">
      <c r="A67" s="2053"/>
      <c r="B67" s="689" t="s">
        <v>3866</v>
      </c>
      <c r="C67" s="690" t="s">
        <v>3871</v>
      </c>
      <c r="D67" s="420" t="s">
        <v>3844</v>
      </c>
      <c r="E67" s="420"/>
      <c r="F67" s="379">
        <v>46027</v>
      </c>
      <c r="G67" s="382">
        <f>VLOOKUP(F67,환율!A:B,2,0)</f>
        <v>1442.1</v>
      </c>
      <c r="H67" s="383">
        <v>27300</v>
      </c>
      <c r="I67" s="384">
        <f t="shared" ref="I67:I71" si="27">ROUNDDOWN(H67*G67,0)</f>
        <v>39369330</v>
      </c>
      <c r="J67" s="384">
        <f t="shared" si="26"/>
        <v>39369330</v>
      </c>
      <c r="K67" s="384"/>
      <c r="L67" s="665"/>
      <c r="M67" s="364"/>
      <c r="N67" s="434"/>
      <c r="O67" s="434"/>
      <c r="P67" s="434"/>
      <c r="R67" s="434"/>
      <c r="S67" s="434"/>
      <c r="T67" s="441"/>
    </row>
    <row r="68" spans="1:20" s="97" customFormat="1">
      <c r="A68" s="2053"/>
      <c r="B68" s="689" t="s">
        <v>3867</v>
      </c>
      <c r="C68" s="690" t="s">
        <v>3871</v>
      </c>
      <c r="D68" s="420" t="s">
        <v>3844</v>
      </c>
      <c r="E68" s="420"/>
      <c r="F68" s="379">
        <v>46027</v>
      </c>
      <c r="G68" s="382">
        <f>VLOOKUP(F68,환율!A:B,2,0)</f>
        <v>1442.1</v>
      </c>
      <c r="H68" s="383">
        <v>31450</v>
      </c>
      <c r="I68" s="384">
        <f t="shared" si="27"/>
        <v>45354045</v>
      </c>
      <c r="J68" s="384">
        <f t="shared" si="26"/>
        <v>45354045</v>
      </c>
      <c r="K68" s="384"/>
      <c r="L68" s="665"/>
      <c r="M68" s="364"/>
      <c r="N68" s="434"/>
      <c r="O68" s="434"/>
      <c r="P68" s="434"/>
      <c r="R68" s="434"/>
      <c r="S68" s="434"/>
      <c r="T68" s="441"/>
    </row>
    <row r="69" spans="1:20" s="97" customFormat="1">
      <c r="A69" s="2053"/>
      <c r="B69" s="689" t="s">
        <v>3868</v>
      </c>
      <c r="C69" s="690" t="s">
        <v>3871</v>
      </c>
      <c r="D69" s="420" t="s">
        <v>3844</v>
      </c>
      <c r="E69" s="420"/>
      <c r="F69" s="379">
        <v>46027</v>
      </c>
      <c r="G69" s="382">
        <f>VLOOKUP(F69,환율!A:B,2,0)</f>
        <v>1442.1</v>
      </c>
      <c r="H69" s="383">
        <v>33631</v>
      </c>
      <c r="I69" s="384">
        <f t="shared" si="27"/>
        <v>48499265</v>
      </c>
      <c r="J69" s="384">
        <f t="shared" si="26"/>
        <v>48499265</v>
      </c>
      <c r="K69" s="384"/>
      <c r="L69" s="665"/>
      <c r="M69" s="364"/>
      <c r="N69" s="434"/>
      <c r="O69" s="434"/>
      <c r="P69" s="434"/>
      <c r="R69" s="434"/>
      <c r="S69" s="434"/>
      <c r="T69" s="441"/>
    </row>
    <row r="70" spans="1:20" s="97" customFormat="1">
      <c r="A70" s="2053"/>
      <c r="B70" s="689" t="s">
        <v>3869</v>
      </c>
      <c r="C70" s="690" t="s">
        <v>3871</v>
      </c>
      <c r="D70" s="420" t="s">
        <v>3844</v>
      </c>
      <c r="E70" s="420"/>
      <c r="F70" s="379">
        <v>46027</v>
      </c>
      <c r="G70" s="382">
        <f>VLOOKUP(F70,환율!A:B,2,0)</f>
        <v>1442.1</v>
      </c>
      <c r="H70" s="383">
        <v>21200</v>
      </c>
      <c r="I70" s="384">
        <f t="shared" si="27"/>
        <v>30572520</v>
      </c>
      <c r="J70" s="384">
        <f t="shared" si="26"/>
        <v>30572520</v>
      </c>
      <c r="K70" s="384"/>
      <c r="L70" s="665"/>
      <c r="M70" s="364"/>
      <c r="N70" s="434"/>
      <c r="O70" s="434"/>
      <c r="P70" s="434"/>
      <c r="R70" s="434"/>
      <c r="S70" s="434"/>
      <c r="T70" s="441"/>
    </row>
    <row r="71" spans="1:20" s="97" customFormat="1">
      <c r="A71" s="2053"/>
      <c r="B71" s="689" t="s">
        <v>3870</v>
      </c>
      <c r="C71" s="690" t="s">
        <v>3871</v>
      </c>
      <c r="D71" s="420" t="s">
        <v>3844</v>
      </c>
      <c r="E71" s="420"/>
      <c r="F71" s="379">
        <v>46027</v>
      </c>
      <c r="G71" s="382">
        <f>VLOOKUP(F71,환율!A:B,2,0)</f>
        <v>1442.1</v>
      </c>
      <c r="H71" s="383">
        <v>98900</v>
      </c>
      <c r="I71" s="384">
        <f t="shared" si="27"/>
        <v>142623690</v>
      </c>
      <c r="J71" s="384">
        <f t="shared" si="26"/>
        <v>142623690</v>
      </c>
      <c r="K71" s="384"/>
      <c r="L71" s="665"/>
      <c r="M71" s="364"/>
      <c r="N71" s="434"/>
      <c r="O71" s="434"/>
      <c r="P71" s="434"/>
      <c r="R71" s="434"/>
      <c r="S71" s="434"/>
      <c r="T71" s="441"/>
    </row>
    <row r="72" spans="1:20" s="97" customFormat="1">
      <c r="A72" s="2053"/>
      <c r="B72" s="656" t="s">
        <v>3841</v>
      </c>
      <c r="C72" s="657" t="s">
        <v>3871</v>
      </c>
      <c r="D72" s="552" t="s">
        <v>3845</v>
      </c>
      <c r="E72" s="552"/>
      <c r="F72" s="547">
        <v>46059</v>
      </c>
      <c r="G72" s="528">
        <f>VLOOKUP(F72,환율!A:B,2,0)</f>
        <v>1464.1</v>
      </c>
      <c r="H72" s="554">
        <v>381773.96</v>
      </c>
      <c r="I72" s="530">
        <f t="shared" si="25"/>
        <v>558955254</v>
      </c>
      <c r="J72" s="530"/>
      <c r="K72" s="530">
        <f>I72</f>
        <v>558955254</v>
      </c>
      <c r="L72" s="665"/>
      <c r="M72" s="364"/>
      <c r="N72" s="434"/>
      <c r="O72" s="434"/>
      <c r="P72" s="434"/>
      <c r="R72" s="434"/>
      <c r="S72" s="434"/>
      <c r="T72" s="441"/>
    </row>
    <row r="73" spans="1:20" s="97" customFormat="1">
      <c r="A73" s="2053"/>
      <c r="B73" s="656" t="s">
        <v>3842</v>
      </c>
      <c r="C73" s="657" t="s">
        <v>3871</v>
      </c>
      <c r="D73" s="552" t="s">
        <v>3844</v>
      </c>
      <c r="E73" s="552"/>
      <c r="F73" s="547">
        <v>46059</v>
      </c>
      <c r="G73" s="528">
        <f>VLOOKUP(F73,환율!A:B,2,0)</f>
        <v>1464.1</v>
      </c>
      <c r="H73" s="554">
        <v>92711.03</v>
      </c>
      <c r="I73" s="530">
        <f t="shared" si="25"/>
        <v>135738219</v>
      </c>
      <c r="J73" s="530"/>
      <c r="K73" s="530">
        <f t="shared" ref="K73:K75" si="28">I73</f>
        <v>135738219</v>
      </c>
      <c r="L73" s="665">
        <f>H73/H72</f>
        <v>0.24284272819445304</v>
      </c>
      <c r="M73" s="364"/>
      <c r="N73" s="434"/>
      <c r="O73" s="434"/>
      <c r="P73" s="434"/>
      <c r="R73" s="434"/>
      <c r="S73" s="434"/>
      <c r="T73" s="441"/>
    </row>
    <row r="74" spans="1:20" s="97" customFormat="1">
      <c r="A74" s="2053"/>
      <c r="B74" s="656" t="s">
        <v>3768</v>
      </c>
      <c r="C74" s="657" t="s">
        <v>3871</v>
      </c>
      <c r="D74" s="552"/>
      <c r="E74" s="552"/>
      <c r="F74" s="547">
        <v>46063</v>
      </c>
      <c r="G74" s="528">
        <f>VLOOKUP(F74,환율!A:B,2,0)</f>
        <v>1464.3</v>
      </c>
      <c r="H74" s="554">
        <v>436328.12</v>
      </c>
      <c r="I74" s="530">
        <f t="shared" si="25"/>
        <v>638915266</v>
      </c>
      <c r="J74" s="530"/>
      <c r="K74" s="530">
        <f t="shared" si="28"/>
        <v>638915266</v>
      </c>
      <c r="L74" s="665"/>
      <c r="M74" s="364"/>
      <c r="N74" s="434"/>
      <c r="O74" s="434"/>
      <c r="P74" s="434"/>
      <c r="R74" s="434"/>
      <c r="S74" s="434"/>
      <c r="T74" s="441"/>
    </row>
    <row r="75" spans="1:20" s="97" customFormat="1">
      <c r="A75" s="2053"/>
      <c r="B75" s="656" t="s">
        <v>3843</v>
      </c>
      <c r="C75" s="657" t="s">
        <v>3871</v>
      </c>
      <c r="D75" s="552" t="s">
        <v>3844</v>
      </c>
      <c r="E75" s="552"/>
      <c r="F75" s="547">
        <v>46063</v>
      </c>
      <c r="G75" s="528">
        <f>VLOOKUP(F75,환율!A:B,2,0)</f>
        <v>1464.3</v>
      </c>
      <c r="H75" s="554">
        <v>105959.11104875669</v>
      </c>
      <c r="I75" s="530">
        <f t="shared" si="25"/>
        <v>155155926</v>
      </c>
      <c r="J75" s="530"/>
      <c r="K75" s="530">
        <f t="shared" si="28"/>
        <v>155155926</v>
      </c>
      <c r="L75" s="665"/>
      <c r="M75" s="364"/>
      <c r="N75" s="434"/>
      <c r="O75" s="434"/>
      <c r="P75" s="434"/>
      <c r="R75" s="434"/>
      <c r="S75" s="434"/>
      <c r="T75" s="441"/>
    </row>
    <row r="76" spans="1:20" s="97" customFormat="1" ht="27" customHeight="1">
      <c r="A76" s="2035" t="s">
        <v>10</v>
      </c>
      <c r="B76" s="2036"/>
      <c r="C76" s="2036"/>
      <c r="D76" s="2036"/>
      <c r="E76" s="2036"/>
      <c r="F76" s="2036"/>
      <c r="G76" s="2037"/>
      <c r="H76" s="643">
        <f>SUM(H65:H75)</f>
        <v>1710638.5310487566</v>
      </c>
      <c r="I76" s="116">
        <f t="shared" ref="I76:K76" si="29">SUM(I65:I75)</f>
        <v>2504504768</v>
      </c>
      <c r="J76" s="116">
        <f t="shared" si="29"/>
        <v>1015740103</v>
      </c>
      <c r="K76" s="260">
        <f t="shared" si="29"/>
        <v>1488764665</v>
      </c>
      <c r="L76" s="666"/>
      <c r="M76" s="364"/>
      <c r="N76" s="434"/>
      <c r="O76" s="434"/>
      <c r="P76" s="434"/>
      <c r="R76" s="434"/>
      <c r="S76" s="434"/>
      <c r="T76" s="441"/>
    </row>
    <row r="77" spans="1:20" s="97" customFormat="1" ht="37.5" customHeight="1">
      <c r="A77" s="2012" t="s">
        <v>3763</v>
      </c>
      <c r="B77" s="510" t="s">
        <v>3764</v>
      </c>
      <c r="C77" s="619" t="s">
        <v>3872</v>
      </c>
      <c r="D77" s="460" t="s">
        <v>3765</v>
      </c>
      <c r="E77" s="460"/>
      <c r="F77" s="455">
        <v>46031</v>
      </c>
      <c r="G77" s="456">
        <f>VLOOKUP(F77,환율!A:B,2,0)</f>
        <v>1449.4</v>
      </c>
      <c r="H77" s="462">
        <v>39476</v>
      </c>
      <c r="I77" s="458">
        <f>ROUNDDOWN(H77*G77,0)</f>
        <v>57216514</v>
      </c>
      <c r="J77" s="458">
        <f>I77</f>
        <v>57216514</v>
      </c>
      <c r="K77" s="464"/>
      <c r="L77" s="663"/>
      <c r="M77" s="401"/>
      <c r="S77" s="434"/>
      <c r="T77" s="441"/>
    </row>
    <row r="78" spans="1:20" s="97" customFormat="1" ht="37.5" customHeight="1">
      <c r="A78" s="2013"/>
      <c r="B78" s="556" t="s">
        <v>3861</v>
      </c>
      <c r="C78" s="657" t="s">
        <v>3871</v>
      </c>
      <c r="D78" s="552"/>
      <c r="E78" s="552"/>
      <c r="F78" s="547">
        <v>46058</v>
      </c>
      <c r="G78" s="528">
        <f>VLOOKUP(F78,환율!A:B,2,0)</f>
        <v>1451.2</v>
      </c>
      <c r="H78" s="554">
        <v>39476</v>
      </c>
      <c r="I78" s="530">
        <f>ROUNDDOWN(H78*G78,0)</f>
        <v>57287571</v>
      </c>
      <c r="J78" s="530"/>
      <c r="K78" s="530">
        <f>I78</f>
        <v>57287571</v>
      </c>
      <c r="L78" s="663"/>
      <c r="M78" s="401"/>
      <c r="S78" s="434"/>
      <c r="T78" s="441"/>
    </row>
    <row r="79" spans="1:20" s="97" customFormat="1" ht="27" customHeight="1">
      <c r="A79" s="2035" t="s">
        <v>10</v>
      </c>
      <c r="B79" s="2036"/>
      <c r="C79" s="2036"/>
      <c r="D79" s="2036"/>
      <c r="E79" s="2036"/>
      <c r="F79" s="2036"/>
      <c r="G79" s="2037"/>
      <c r="H79" s="643">
        <f t="shared" ref="H79:J79" si="30">SUM(H77:H78)</f>
        <v>78952</v>
      </c>
      <c r="I79" s="116">
        <f t="shared" si="30"/>
        <v>114504085</v>
      </c>
      <c r="J79" s="116">
        <f t="shared" si="30"/>
        <v>57216514</v>
      </c>
      <c r="K79" s="260">
        <f>SUM(K77:K78)</f>
        <v>57287571</v>
      </c>
      <c r="L79" s="669"/>
      <c r="M79" s="364"/>
      <c r="N79" s="434"/>
      <c r="O79" s="434"/>
      <c r="P79" s="434"/>
      <c r="R79" s="434"/>
      <c r="S79" s="434"/>
      <c r="T79" s="441"/>
    </row>
    <row r="80" spans="1:20" s="97" customFormat="1" ht="27" customHeight="1">
      <c r="A80" s="2010" t="s">
        <v>3208</v>
      </c>
      <c r="B80" s="515" t="s">
        <v>3846</v>
      </c>
      <c r="C80" s="484" t="s">
        <v>3871</v>
      </c>
      <c r="D80" s="484" t="s">
        <v>3851</v>
      </c>
      <c r="E80" s="485"/>
      <c r="F80" s="130">
        <v>46045</v>
      </c>
      <c r="G80" s="163">
        <f>VLOOKUP(F80,환율!A:B,2,0)</f>
        <v>1468.4</v>
      </c>
      <c r="H80" s="394">
        <v>23063.5</v>
      </c>
      <c r="I80" s="164">
        <f t="shared" ref="I80:I84" si="31">ROUNDDOWN(H80*G80,0)</f>
        <v>33866443</v>
      </c>
      <c r="J80" s="164">
        <f t="shared" ref="J80:J84" si="32">I80</f>
        <v>33866443</v>
      </c>
      <c r="K80" s="396"/>
      <c r="L80" s="664"/>
      <c r="M80" s="364"/>
      <c r="S80" s="434"/>
      <c r="T80" s="441"/>
    </row>
    <row r="81" spans="1:20" s="97" customFormat="1" ht="27" customHeight="1">
      <c r="A81" s="2011"/>
      <c r="B81" s="515" t="s">
        <v>3847</v>
      </c>
      <c r="C81" s="173" t="s">
        <v>3871</v>
      </c>
      <c r="D81" s="173" t="s">
        <v>3852</v>
      </c>
      <c r="E81" s="288"/>
      <c r="F81" s="136">
        <v>46036</v>
      </c>
      <c r="G81" s="91">
        <f>VLOOKUP(F81,환율!A:B,2,0)</f>
        <v>1472.8</v>
      </c>
      <c r="H81" s="118">
        <v>2781.18</v>
      </c>
      <c r="I81" s="93">
        <f t="shared" si="31"/>
        <v>4096121</v>
      </c>
      <c r="J81" s="93">
        <f t="shared" si="32"/>
        <v>4096121</v>
      </c>
      <c r="K81" s="254"/>
      <c r="L81" s="664"/>
      <c r="M81" s="364"/>
      <c r="S81" s="434"/>
      <c r="T81" s="441"/>
    </row>
    <row r="82" spans="1:20" s="97" customFormat="1" ht="27" customHeight="1">
      <c r="A82" s="2011"/>
      <c r="B82" s="515" t="s">
        <v>3848</v>
      </c>
      <c r="C82" s="173" t="s">
        <v>3871</v>
      </c>
      <c r="D82" s="173" t="s">
        <v>3853</v>
      </c>
      <c r="E82" s="288"/>
      <c r="F82" s="136">
        <v>46035</v>
      </c>
      <c r="G82" s="91">
        <f>VLOOKUP(F82,환율!A:B,2,0)</f>
        <v>1464.1</v>
      </c>
      <c r="H82" s="118">
        <v>1032.04</v>
      </c>
      <c r="I82" s="93">
        <f t="shared" ref="I82" si="33">ROUNDDOWN(H82*G82,0)</f>
        <v>1511009</v>
      </c>
      <c r="J82" s="93">
        <f t="shared" ref="J82" si="34">I82</f>
        <v>1511009</v>
      </c>
      <c r="K82" s="254"/>
      <c r="L82" s="664"/>
      <c r="M82" s="364"/>
      <c r="S82" s="434"/>
      <c r="T82" s="441"/>
    </row>
    <row r="83" spans="1:20" s="97" customFormat="1" ht="27" customHeight="1">
      <c r="A83" s="2011"/>
      <c r="B83" s="515" t="s">
        <v>3849</v>
      </c>
      <c r="C83" s="173" t="s">
        <v>3871</v>
      </c>
      <c r="D83" s="173" t="s">
        <v>3854</v>
      </c>
      <c r="E83" s="288"/>
      <c r="F83" s="136">
        <v>46051</v>
      </c>
      <c r="G83" s="91">
        <f>VLOOKUP(F83,환율!A:B,2,0)</f>
        <v>1428.6</v>
      </c>
      <c r="H83" s="118">
        <v>1338.76</v>
      </c>
      <c r="I83" s="93">
        <f t="shared" si="31"/>
        <v>1912552</v>
      </c>
      <c r="J83" s="93">
        <f t="shared" si="32"/>
        <v>1912552</v>
      </c>
      <c r="K83" s="254"/>
      <c r="L83" s="664"/>
      <c r="M83" s="364"/>
      <c r="S83" s="434"/>
      <c r="T83" s="441"/>
    </row>
    <row r="84" spans="1:20" s="97" customFormat="1" ht="27" customHeight="1">
      <c r="A84" s="2019"/>
      <c r="B84" s="515" t="s">
        <v>3850</v>
      </c>
      <c r="C84" s="173" t="s">
        <v>3871</v>
      </c>
      <c r="D84" s="173" t="s">
        <v>3855</v>
      </c>
      <c r="E84" s="288"/>
      <c r="F84" s="136">
        <v>46046</v>
      </c>
      <c r="G84" s="91">
        <f>VLOOKUP(F84,환율!A:B,2,0)</f>
        <v>1468.4</v>
      </c>
      <c r="H84" s="118">
        <v>896.16</v>
      </c>
      <c r="I84" s="93">
        <f t="shared" si="31"/>
        <v>1315921</v>
      </c>
      <c r="J84" s="93">
        <f t="shared" si="32"/>
        <v>1315921</v>
      </c>
      <c r="K84" s="254"/>
      <c r="L84" s="664"/>
      <c r="M84" s="364"/>
      <c r="S84" s="434"/>
      <c r="T84" s="441"/>
    </row>
    <row r="85" spans="1:20" s="97" customFormat="1" ht="27" customHeight="1">
      <c r="A85" s="2035" t="s">
        <v>10</v>
      </c>
      <c r="B85" s="2036"/>
      <c r="C85" s="2036"/>
      <c r="D85" s="2036"/>
      <c r="E85" s="2036"/>
      <c r="F85" s="2036"/>
      <c r="G85" s="2037"/>
      <c r="H85" s="643">
        <f>SUM(H80:H84)</f>
        <v>29111.64</v>
      </c>
      <c r="I85" s="160">
        <f>SUM(I80:I84)</f>
        <v>42702046</v>
      </c>
      <c r="J85" s="116">
        <f>SUM(J80:J84)</f>
        <v>42702046</v>
      </c>
      <c r="K85" s="260">
        <f>SUM(K80:K84)</f>
        <v>0</v>
      </c>
      <c r="L85" s="666"/>
      <c r="M85" s="364"/>
      <c r="N85" s="434"/>
      <c r="O85" s="434"/>
      <c r="P85" s="434"/>
      <c r="R85" s="434"/>
      <c r="S85" s="434"/>
      <c r="T85" s="441"/>
    </row>
    <row r="86" spans="1:20" s="97" customFormat="1" ht="34.5" customHeight="1">
      <c r="A86" s="2010" t="s">
        <v>3106</v>
      </c>
      <c r="B86" s="514" t="s">
        <v>3675</v>
      </c>
      <c r="C86" s="487" t="s">
        <v>3872</v>
      </c>
      <c r="D86" s="487" t="s">
        <v>3762</v>
      </c>
      <c r="E86" s="482"/>
      <c r="F86" s="465">
        <v>46032</v>
      </c>
      <c r="G86" s="456">
        <f>VLOOKUP(F86,환율!A:B,2,0)</f>
        <v>1449.4</v>
      </c>
      <c r="H86" s="478">
        <v>34331.440000000002</v>
      </c>
      <c r="I86" s="458">
        <f t="shared" ref="I86" si="35">ROUNDDOWN(H86*G86,0)</f>
        <v>49759989</v>
      </c>
      <c r="J86" s="458">
        <f>I86</f>
        <v>49759989</v>
      </c>
      <c r="K86" s="464"/>
      <c r="L86" s="664"/>
      <c r="M86" s="401"/>
      <c r="N86" s="434"/>
      <c r="O86" s="434"/>
      <c r="P86" s="434"/>
      <c r="R86" s="434"/>
      <c r="S86" s="434"/>
      <c r="T86" s="441"/>
    </row>
    <row r="87" spans="1:20" s="97" customFormat="1" ht="34.5" customHeight="1">
      <c r="A87" s="2019"/>
      <c r="B87" s="524" t="s">
        <v>3860</v>
      </c>
      <c r="C87" s="524" t="s">
        <v>3871</v>
      </c>
      <c r="D87" s="524"/>
      <c r="E87" s="552"/>
      <c r="F87" s="552">
        <v>46057</v>
      </c>
      <c r="G87" s="528">
        <f>VLOOKUP(F87,환율!A:B,2,0)</f>
        <v>1449</v>
      </c>
      <c r="H87" s="554">
        <v>34331.440000000002</v>
      </c>
      <c r="I87" s="530">
        <f t="shared" ref="I87" si="36">ROUNDDOWN(H87*G87,0)</f>
        <v>49746256</v>
      </c>
      <c r="J87" s="530"/>
      <c r="K87" s="530">
        <f>I87</f>
        <v>49746256</v>
      </c>
      <c r="L87" s="664"/>
      <c r="M87" s="401"/>
      <c r="N87" s="434"/>
      <c r="O87" s="434"/>
      <c r="P87" s="434"/>
      <c r="R87" s="434"/>
      <c r="S87" s="434"/>
      <c r="T87" s="441"/>
    </row>
    <row r="88" spans="1:20" s="97" customFormat="1" ht="27" customHeight="1">
      <c r="A88" s="2035" t="s">
        <v>10</v>
      </c>
      <c r="B88" s="2036"/>
      <c r="C88" s="2036"/>
      <c r="D88" s="2036"/>
      <c r="E88" s="2036"/>
      <c r="F88" s="2036"/>
      <c r="G88" s="2037"/>
      <c r="H88" s="643">
        <f>SUM(H86:H86)</f>
        <v>34331.440000000002</v>
      </c>
      <c r="I88" s="116">
        <f>SUM(I86:I86)</f>
        <v>49759989</v>
      </c>
      <c r="J88" s="116">
        <f>SUM(J86:J86)</f>
        <v>49759989</v>
      </c>
      <c r="K88" s="260">
        <f>SUM(K86:K86)</f>
        <v>0</v>
      </c>
      <c r="L88" s="666"/>
      <c r="M88" s="366"/>
      <c r="N88" s="434"/>
      <c r="O88" s="434"/>
      <c r="P88" s="434"/>
      <c r="R88" s="434"/>
      <c r="S88" s="434"/>
      <c r="T88" s="441"/>
    </row>
    <row r="89" spans="1:20" s="97" customFormat="1" ht="38.4">
      <c r="A89" s="541" t="s">
        <v>3109</v>
      </c>
      <c r="B89" s="174" t="s">
        <v>38</v>
      </c>
      <c r="C89" s="339" t="s">
        <v>38</v>
      </c>
      <c r="D89" s="136" t="s">
        <v>38</v>
      </c>
      <c r="E89" s="136"/>
      <c r="F89" s="136" t="s">
        <v>38</v>
      </c>
      <c r="G89" s="166">
        <f>VLOOKUP(F89,환율!A:B,2,0)</f>
        <v>0</v>
      </c>
      <c r="H89" s="341"/>
      <c r="I89" s="542">
        <f t="shared" ref="I89" si="37">ROUNDDOWN(H89*G89,0)</f>
        <v>0</v>
      </c>
      <c r="J89" s="542">
        <f>I89</f>
        <v>0</v>
      </c>
      <c r="K89" s="254"/>
      <c r="L89" s="664"/>
      <c r="S89" s="434"/>
      <c r="T89" s="441"/>
    </row>
    <row r="90" spans="1:20" s="97" customFormat="1" ht="27" customHeight="1">
      <c r="A90" s="361" t="s">
        <v>10</v>
      </c>
      <c r="B90" s="113"/>
      <c r="C90" s="113"/>
      <c r="D90" s="113"/>
      <c r="E90" s="113"/>
      <c r="F90" s="113"/>
      <c r="G90" s="114"/>
      <c r="H90" s="643">
        <f>SUM(H89)</f>
        <v>0</v>
      </c>
      <c r="I90" s="116">
        <f>SUM(I89)</f>
        <v>0</v>
      </c>
      <c r="J90" s="116">
        <f>SUM(J89)</f>
        <v>0</v>
      </c>
      <c r="K90" s="260">
        <f>SUM(K89)</f>
        <v>0</v>
      </c>
      <c r="L90" s="666"/>
      <c r="S90" s="434"/>
      <c r="T90" s="441"/>
    </row>
    <row r="91" spans="1:20" s="97" customFormat="1" ht="34.5" customHeight="1">
      <c r="A91" s="2111" t="s">
        <v>3110</v>
      </c>
      <c r="B91" s="679" t="s">
        <v>3856</v>
      </c>
      <c r="C91" s="332" t="s">
        <v>38</v>
      </c>
      <c r="D91" s="303"/>
      <c r="E91" s="303"/>
      <c r="F91" s="303">
        <v>46029</v>
      </c>
      <c r="G91" s="304">
        <f>VLOOKUP(F91,환율!A:B,2,0)</f>
        <v>1445.7</v>
      </c>
      <c r="H91" s="341"/>
      <c r="I91" s="335">
        <v>43052800</v>
      </c>
      <c r="J91" s="335">
        <f>I91</f>
        <v>43052800</v>
      </c>
      <c r="K91" s="337"/>
      <c r="L91" s="671"/>
      <c r="S91" s="434"/>
      <c r="T91" s="441"/>
    </row>
    <row r="92" spans="1:20" s="97" customFormat="1" ht="34.5" customHeight="1">
      <c r="A92" s="2112"/>
      <c r="B92" s="679" t="s">
        <v>3857</v>
      </c>
      <c r="C92" s="332" t="s">
        <v>38</v>
      </c>
      <c r="D92" s="303"/>
      <c r="E92" s="303"/>
      <c r="F92" s="303">
        <v>46045</v>
      </c>
      <c r="G92" s="304">
        <f>VLOOKUP(F92,환율!A:B,2,0)</f>
        <v>1468.4</v>
      </c>
      <c r="H92" s="341"/>
      <c r="I92" s="335">
        <v>21526400</v>
      </c>
      <c r="J92" s="335">
        <f t="shared" ref="J92:J93" si="38">I92</f>
        <v>21526400</v>
      </c>
      <c r="K92" s="337"/>
      <c r="L92" s="671"/>
      <c r="S92" s="434"/>
      <c r="T92" s="441"/>
    </row>
    <row r="93" spans="1:20" s="97" customFormat="1" ht="34.5" customHeight="1">
      <c r="A93" s="2112"/>
      <c r="B93" s="679" t="s">
        <v>3858</v>
      </c>
      <c r="C93" s="332" t="s">
        <v>38</v>
      </c>
      <c r="D93" s="303"/>
      <c r="E93" s="303"/>
      <c r="F93" s="303">
        <v>46049</v>
      </c>
      <c r="G93" s="304">
        <f>VLOOKUP(F93,환율!A:B,2,0)</f>
        <v>1442.8</v>
      </c>
      <c r="H93" s="341"/>
      <c r="I93" s="335">
        <v>21526400</v>
      </c>
      <c r="J93" s="335">
        <f t="shared" si="38"/>
        <v>21526400</v>
      </c>
      <c r="K93" s="337"/>
      <c r="L93" s="671"/>
      <c r="S93" s="434"/>
      <c r="T93" s="441"/>
    </row>
    <row r="94" spans="1:20" s="97" customFormat="1" ht="34.5" customHeight="1">
      <c r="A94" s="2113"/>
      <c r="B94" s="679" t="s">
        <v>3859</v>
      </c>
      <c r="C94" s="332" t="s">
        <v>38</v>
      </c>
      <c r="D94" s="303"/>
      <c r="E94" s="303"/>
      <c r="F94" s="303">
        <v>46042</v>
      </c>
      <c r="G94" s="304">
        <f>VLOOKUP(F94,환율!A:B,2,0)</f>
        <v>1473.6</v>
      </c>
      <c r="H94" s="341"/>
      <c r="I94" s="335">
        <v>1700691</v>
      </c>
      <c r="J94" s="335">
        <f>I94</f>
        <v>1700691</v>
      </c>
      <c r="K94" s="337"/>
      <c r="L94" s="671"/>
      <c r="S94" s="434"/>
      <c r="T94" s="441"/>
    </row>
    <row r="95" spans="1:20" s="496" customFormat="1" ht="27" customHeight="1" thickBot="1">
      <c r="A95" s="599" t="s">
        <v>10</v>
      </c>
      <c r="B95" s="266"/>
      <c r="C95" s="266"/>
      <c r="D95" s="266"/>
      <c r="E95" s="266"/>
      <c r="F95" s="266"/>
      <c r="G95" s="267"/>
      <c r="H95" s="646"/>
      <c r="I95" s="269">
        <f>SUM(I91:I94)</f>
        <v>87806291</v>
      </c>
      <c r="J95" s="269">
        <f>SUM(J91:J94)</f>
        <v>87806291</v>
      </c>
      <c r="K95" s="506">
        <f>SUM(K91:K91)</f>
        <v>0</v>
      </c>
      <c r="L95" s="672"/>
      <c r="M95" s="493"/>
      <c r="N95" s="434"/>
      <c r="O95" s="434"/>
      <c r="P95" s="434"/>
      <c r="Q95" s="434"/>
      <c r="R95" s="434"/>
      <c r="S95" s="494"/>
      <c r="T95" s="495"/>
    </row>
    <row r="96" spans="1:20" s="496" customFormat="1" ht="27" customHeight="1" thickBot="1">
      <c r="A96" s="601" t="s">
        <v>1176</v>
      </c>
      <c r="B96" s="597"/>
      <c r="C96" s="597"/>
      <c r="D96" s="597"/>
      <c r="E96" s="597"/>
      <c r="F96" s="598"/>
      <c r="G96" s="2095" t="s">
        <v>2334</v>
      </c>
      <c r="H96" s="647" t="s">
        <v>17</v>
      </c>
      <c r="I96" s="194">
        <f>+I98-I97</f>
        <v>6037689757</v>
      </c>
      <c r="J96" s="210">
        <f>J98-J97</f>
        <v>3444958868</v>
      </c>
      <c r="K96" s="210">
        <f>K98-K97</f>
        <v>2592730889</v>
      </c>
      <c r="L96" s="673"/>
      <c r="M96" s="493"/>
      <c r="N96" s="434"/>
      <c r="O96" s="434"/>
      <c r="P96" s="434"/>
      <c r="Q96" s="434"/>
      <c r="R96" s="434"/>
      <c r="S96" s="494"/>
      <c r="T96" s="495"/>
    </row>
    <row r="97" spans="1:20" s="496" customFormat="1" ht="27" customHeight="1">
      <c r="A97" s="239" t="s">
        <v>20</v>
      </c>
      <c r="B97" s="195" t="s">
        <v>21</v>
      </c>
      <c r="C97" s="196"/>
      <c r="D97" s="196" t="s">
        <v>20</v>
      </c>
      <c r="E97" s="314"/>
      <c r="F97" s="197" t="s">
        <v>21</v>
      </c>
      <c r="G97" s="2096"/>
      <c r="H97" s="648" t="s">
        <v>18</v>
      </c>
      <c r="I97" s="210">
        <f>SUM(I91:I94)</f>
        <v>87806291</v>
      </c>
      <c r="J97" s="210">
        <f>I97</f>
        <v>87806291</v>
      </c>
      <c r="K97" s="219">
        <v>0</v>
      </c>
      <c r="L97" s="673"/>
      <c r="M97" s="493"/>
      <c r="N97" s="434"/>
      <c r="O97" s="434"/>
      <c r="P97" s="434"/>
      <c r="Q97" s="434"/>
      <c r="R97" s="434"/>
      <c r="S97" s="494"/>
      <c r="T97" s="495"/>
    </row>
    <row r="98" spans="1:20" s="496" customFormat="1" ht="27" customHeight="1" thickBot="1">
      <c r="A98" s="240" t="s">
        <v>9</v>
      </c>
      <c r="B98" s="199">
        <f>K76</f>
        <v>1488764665</v>
      </c>
      <c r="C98" s="199"/>
      <c r="D98" s="200" t="s">
        <v>721</v>
      </c>
      <c r="E98" s="315"/>
      <c r="F98" s="201">
        <v>0</v>
      </c>
      <c r="G98" s="2097"/>
      <c r="H98" s="649" t="s">
        <v>19</v>
      </c>
      <c r="I98" s="210">
        <f>SUM(I95,I90,I88,I85,I79,I76,I64,I58,I54,I30,I20,I18,I16)</f>
        <v>6125496048</v>
      </c>
      <c r="J98" s="221">
        <f>H105+I105</f>
        <v>3532765159</v>
      </c>
      <c r="K98" s="210">
        <f>SUM(K20,K30,K54,K58,K64,K76,K79,K85,K88,K95)+K90+K16+K18</f>
        <v>2592730889</v>
      </c>
      <c r="L98" s="673">
        <f>I98-J98</f>
        <v>2592730889</v>
      </c>
      <c r="M98" s="622" t="b">
        <f>I98-J98=K98</f>
        <v>1</v>
      </c>
      <c r="N98" s="636"/>
      <c r="O98" s="434"/>
      <c r="P98" s="434"/>
      <c r="Q98" s="434"/>
      <c r="R98" s="434"/>
      <c r="S98" s="494"/>
      <c r="T98" s="495"/>
    </row>
    <row r="99" spans="1:20" s="496" customFormat="1" ht="27" customHeight="1">
      <c r="A99" s="240" t="s">
        <v>11</v>
      </c>
      <c r="B99" s="199">
        <f>K30</f>
        <v>154613992</v>
      </c>
      <c r="C99" s="199"/>
      <c r="D99" s="200" t="s">
        <v>2950</v>
      </c>
      <c r="E99" s="315"/>
      <c r="F99" s="201">
        <f>K20</f>
        <v>0</v>
      </c>
      <c r="G99" s="296" t="s">
        <v>20</v>
      </c>
      <c r="H99" s="650" t="s">
        <v>3864</v>
      </c>
      <c r="I99" s="298" t="s">
        <v>3863</v>
      </c>
      <c r="J99" s="298" t="s">
        <v>3862</v>
      </c>
      <c r="K99" s="234" t="s">
        <v>32</v>
      </c>
      <c r="L99" s="688">
        <f>L98-K98</f>
        <v>0</v>
      </c>
      <c r="M99" s="493"/>
      <c r="N99" s="636"/>
      <c r="O99" s="434"/>
      <c r="P99" s="434"/>
      <c r="Q99" s="434"/>
      <c r="R99" s="434"/>
      <c r="S99" s="494"/>
      <c r="T99" s="495"/>
    </row>
    <row r="100" spans="1:20" s="496" customFormat="1" ht="27" customHeight="1">
      <c r="A100" s="241" t="s">
        <v>114</v>
      </c>
      <c r="B100" s="199">
        <f>K54</f>
        <v>580942346</v>
      </c>
      <c r="C100" s="199"/>
      <c r="D100" s="293" t="s">
        <v>14</v>
      </c>
      <c r="E100" s="316"/>
      <c r="F100" s="294">
        <f>K85</f>
        <v>0</v>
      </c>
      <c r="G100" s="211" t="s">
        <v>22</v>
      </c>
      <c r="H100" s="651">
        <v>0</v>
      </c>
      <c r="I100" s="199">
        <f>J16+J18</f>
        <v>567267309</v>
      </c>
      <c r="J100" s="199">
        <f>K16</f>
        <v>189789455</v>
      </c>
      <c r="K100" s="201">
        <f>SUM(H100:I100)</f>
        <v>567267309</v>
      </c>
      <c r="L100" s="673"/>
      <c r="M100" s="493"/>
      <c r="N100" s="434"/>
      <c r="O100" s="434"/>
      <c r="P100" s="434"/>
      <c r="Q100" s="434"/>
      <c r="R100" s="434"/>
      <c r="S100" s="494"/>
      <c r="T100" s="495"/>
    </row>
    <row r="101" spans="1:20" s="97" customFormat="1" ht="27" customHeight="1">
      <c r="A101" s="241" t="s">
        <v>153</v>
      </c>
      <c r="B101" s="199">
        <f>K58</f>
        <v>0</v>
      </c>
      <c r="C101" s="199"/>
      <c r="D101" s="293" t="s">
        <v>15</v>
      </c>
      <c r="E101" s="317"/>
      <c r="F101" s="295">
        <f>K87</f>
        <v>49746256</v>
      </c>
      <c r="G101" s="211" t="s">
        <v>23</v>
      </c>
      <c r="H101" s="651">
        <f>SUM(J21,J31:J37,J59)</f>
        <v>567830934</v>
      </c>
      <c r="I101" s="199">
        <f>SUM(J19,J22:J25,J38:J46,J55:J57,J60:J62)</f>
        <v>1144441973</v>
      </c>
      <c r="J101" s="199">
        <f>SUM(K26:K29,K47:K53,K63)</f>
        <v>856889198</v>
      </c>
      <c r="K101" s="201">
        <f>SUM(H101:I101)</f>
        <v>1712272907</v>
      </c>
      <c r="L101" s="673"/>
      <c r="M101" s="402"/>
      <c r="N101" s="438"/>
      <c r="O101" s="434"/>
      <c r="P101" s="434"/>
      <c r="Q101" s="434"/>
      <c r="R101" s="434"/>
    </row>
    <row r="102" spans="1:20" s="97" customFormat="1" ht="27" customHeight="1">
      <c r="A102" s="241" t="s">
        <v>719</v>
      </c>
      <c r="B102" s="199">
        <v>0</v>
      </c>
      <c r="C102" s="199"/>
      <c r="D102" s="293" t="s">
        <v>53</v>
      </c>
      <c r="E102" s="316"/>
      <c r="F102" s="294">
        <f>K79</f>
        <v>57287571</v>
      </c>
      <c r="G102" s="211" t="s">
        <v>24</v>
      </c>
      <c r="H102" s="651">
        <v>0</v>
      </c>
      <c r="I102" s="199">
        <f>J76</f>
        <v>1015740103</v>
      </c>
      <c r="J102" s="199">
        <f>SUM(K72:K75)</f>
        <v>1488764665</v>
      </c>
      <c r="K102" s="201">
        <f>SUM(H102:I102)</f>
        <v>1015740103</v>
      </c>
      <c r="L102" s="673"/>
      <c r="M102" s="401"/>
      <c r="N102" s="441"/>
    </row>
    <row r="103" spans="1:20" s="97" customFormat="1" ht="27" customHeight="1">
      <c r="A103" s="241" t="s">
        <v>2951</v>
      </c>
      <c r="B103" s="199">
        <f>K64</f>
        <v>121332860</v>
      </c>
      <c r="C103" s="199"/>
      <c r="D103" s="200" t="s">
        <v>252</v>
      </c>
      <c r="E103" s="216"/>
      <c r="F103" s="294">
        <f>K16</f>
        <v>189789455</v>
      </c>
      <c r="G103" s="211" t="s">
        <v>723</v>
      </c>
      <c r="H103" s="651">
        <f>SUM(J77,J86)</f>
        <v>106976503</v>
      </c>
      <c r="I103" s="199">
        <f>SUM(I80:I84)</f>
        <v>42702046</v>
      </c>
      <c r="J103" s="199">
        <f>SUM(K87,K78)</f>
        <v>107033827</v>
      </c>
      <c r="K103" s="201">
        <f>SUM(H103:I103)</f>
        <v>149678549</v>
      </c>
      <c r="L103" s="673"/>
      <c r="M103" s="401"/>
      <c r="N103" s="441"/>
    </row>
    <row r="104" spans="1:20" s="97" customFormat="1" ht="27" customHeight="1" thickBot="1">
      <c r="A104" s="215" t="s">
        <v>2646</v>
      </c>
      <c r="B104" s="213">
        <f>K90</f>
        <v>0</v>
      </c>
      <c r="C104" s="213"/>
      <c r="D104" s="214"/>
      <c r="E104" s="318"/>
      <c r="F104" s="242"/>
      <c r="G104" s="299" t="s">
        <v>1177</v>
      </c>
      <c r="H104" s="652">
        <v>0</v>
      </c>
      <c r="I104" s="311">
        <f>I95</f>
        <v>87806291</v>
      </c>
      <c r="J104" s="311">
        <v>0</v>
      </c>
      <c r="K104" s="312">
        <f>SUM(H104:I104)</f>
        <v>87806291</v>
      </c>
      <c r="L104" s="674"/>
      <c r="M104" s="364" t="b">
        <f>J105=F105</f>
        <v>1</v>
      </c>
      <c r="N104" s="441"/>
      <c r="O104" s="403"/>
      <c r="P104" s="403"/>
      <c r="Q104" s="403"/>
    </row>
    <row r="105" spans="1:20" s="97" customFormat="1" ht="27" customHeight="1" thickTop="1" thickBot="1">
      <c r="A105" s="243"/>
      <c r="B105" s="244" t="s">
        <v>49</v>
      </c>
      <c r="C105" s="244"/>
      <c r="D105" s="245"/>
      <c r="E105" s="244"/>
      <c r="F105" s="246">
        <f>SUM(B98:B104,F98:F104)</f>
        <v>2642477145</v>
      </c>
      <c r="G105" s="236" t="s">
        <v>16</v>
      </c>
      <c r="H105" s="653">
        <f>SUM(H100:H104)</f>
        <v>674807437</v>
      </c>
      <c r="I105" s="237">
        <f>SUM(I100:I104)</f>
        <v>2857957722</v>
      </c>
      <c r="J105" s="210">
        <f>SUM(J100:J104)</f>
        <v>2642477145</v>
      </c>
      <c r="K105" s="238">
        <f>+H105+I105</f>
        <v>3532765159</v>
      </c>
      <c r="L105" s="675"/>
      <c r="M105" s="364" t="b">
        <f>J98=I105+H105</f>
        <v>1</v>
      </c>
      <c r="N105" s="441"/>
      <c r="O105" s="403"/>
      <c r="P105" s="403"/>
      <c r="Q105" s="403"/>
    </row>
    <row r="106" spans="1:20" s="97" customFormat="1" ht="27" customHeight="1" thickBot="1">
      <c r="A106"/>
      <c r="B106"/>
      <c r="C106"/>
      <c r="D106"/>
      <c r="E106"/>
      <c r="F106"/>
      <c r="G106" s="2047" t="s">
        <v>1685</v>
      </c>
      <c r="H106" s="2048"/>
      <c r="I106" s="2048"/>
      <c r="J106" s="2049"/>
      <c r="K106" s="404">
        <f>K105-K104</f>
        <v>3444958868</v>
      </c>
      <c r="L106" s="675"/>
      <c r="M106" s="366"/>
      <c r="N106" s="441"/>
      <c r="O106" s="403"/>
      <c r="P106" s="403"/>
      <c r="Q106" s="403"/>
    </row>
    <row r="107" spans="1:20" s="97" customFormat="1" ht="27" customHeight="1">
      <c r="A107"/>
      <c r="B107" s="291"/>
      <c r="C107" s="291"/>
      <c r="D107" s="290"/>
      <c r="E107" s="290"/>
      <c r="F107" s="26">
        <f>F105-J105</f>
        <v>0</v>
      </c>
      <c r="G107" s="292"/>
      <c r="H107" s="78"/>
      <c r="I107" s="412"/>
      <c r="J107" s="412" t="s">
        <v>3255</v>
      </c>
      <c r="K107" s="13">
        <v>3444958868</v>
      </c>
      <c r="L107" s="83">
        <f>K107-K106</f>
        <v>0</v>
      </c>
      <c r="M107" s="175"/>
      <c r="N107" s="441"/>
      <c r="O107" s="403"/>
      <c r="P107" s="403"/>
      <c r="Q107" s="403"/>
    </row>
    <row r="108" spans="1:20" s="126" customFormat="1" ht="27" customHeight="1">
      <c r="A108"/>
      <c r="B108"/>
      <c r="C108"/>
      <c r="D108" s="290"/>
      <c r="E108" s="290"/>
      <c r="F108" s="26"/>
      <c r="G108" s="292"/>
      <c r="H108" s="78"/>
      <c r="I108" s="412"/>
      <c r="J108"/>
      <c r="K108" s="412" t="b">
        <f>K106=K107</f>
        <v>1</v>
      </c>
      <c r="L108" s="676"/>
      <c r="M108" s="175"/>
      <c r="N108" s="443"/>
      <c r="O108" s="403"/>
      <c r="P108" s="403"/>
      <c r="Q108" s="403"/>
      <c r="R108" s="97"/>
    </row>
    <row r="109" spans="1:20" s="126" customFormat="1" ht="27" customHeight="1">
      <c r="A109"/>
      <c r="B109"/>
      <c r="C109"/>
      <c r="D109" s="290"/>
      <c r="E109" s="290"/>
      <c r="G109" s="292"/>
      <c r="H109" s="78"/>
      <c r="I109" s="26"/>
      <c r="J109"/>
      <c r="K109" s="22"/>
      <c r="L109" s="15"/>
      <c r="M109" s="366"/>
      <c r="N109" s="443"/>
      <c r="O109" s="403"/>
      <c r="P109" s="403"/>
      <c r="Q109" s="403"/>
      <c r="R109" s="97"/>
    </row>
    <row r="110" spans="1:20" s="126" customFormat="1" ht="27" customHeight="1">
      <c r="A110"/>
      <c r="B110"/>
      <c r="C110"/>
      <c r="D110" s="290"/>
      <c r="E110" s="290"/>
      <c r="F110" s="26"/>
      <c r="G110" s="292"/>
      <c r="H110" s="78"/>
      <c r="I110" s="26"/>
      <c r="J110"/>
      <c r="K110" s="26"/>
      <c r="L110" s="15"/>
      <c r="M110" s="364"/>
      <c r="N110" s="443"/>
      <c r="P110" s="205"/>
      <c r="Q110" s="205"/>
    </row>
    <row r="111" spans="1:20" s="126" customFormat="1" ht="27" customHeight="1">
      <c r="A111"/>
      <c r="B111"/>
      <c r="C111"/>
      <c r="D111" s="290"/>
      <c r="E111" s="290"/>
      <c r="F111"/>
      <c r="G111" s="13"/>
      <c r="H111" s="78"/>
      <c r="I111" s="26"/>
      <c r="J111"/>
      <c r="K111" s="26"/>
      <c r="L111" s="15"/>
      <c r="M111" s="364"/>
      <c r="N111" s="443"/>
    </row>
    <row r="112" spans="1:20" s="19" customFormat="1" ht="27" customHeight="1">
      <c r="A112"/>
      <c r="B112"/>
      <c r="C112"/>
      <c r="D112"/>
      <c r="E112"/>
      <c r="F112"/>
      <c r="G112" s="13"/>
      <c r="H112" s="78"/>
      <c r="I112"/>
      <c r="J112"/>
      <c r="K112"/>
      <c r="M112" s="410"/>
      <c r="N112" s="443"/>
      <c r="O112" s="15"/>
    </row>
    <row r="113" spans="1:20">
      <c r="I113" s="47"/>
      <c r="K113" s="26"/>
      <c r="L113" s="15"/>
      <c r="N113" s="441"/>
      <c r="O113" s="26"/>
      <c r="P113"/>
      <c r="Q113"/>
      <c r="R113"/>
      <c r="S113"/>
      <c r="T113"/>
    </row>
    <row r="114" spans="1:20" s="24" customFormat="1">
      <c r="A114"/>
      <c r="B114"/>
      <c r="C114"/>
      <c r="D114"/>
      <c r="E114"/>
      <c r="F114"/>
      <c r="G114"/>
      <c r="H114" s="78"/>
      <c r="I114"/>
      <c r="J114"/>
      <c r="K114"/>
      <c r="L114" s="19"/>
      <c r="N114" s="445"/>
    </row>
    <row r="115" spans="1:20" s="24" customFormat="1">
      <c r="A115"/>
      <c r="B115"/>
      <c r="C115"/>
      <c r="D115"/>
      <c r="E115"/>
      <c r="F115"/>
      <c r="G115"/>
      <c r="H115" s="78"/>
      <c r="I115"/>
      <c r="J115"/>
      <c r="K115" s="26"/>
      <c r="L115" s="15"/>
      <c r="N115" s="445"/>
    </row>
    <row r="116" spans="1:20" s="24" customFormat="1">
      <c r="A116"/>
      <c r="B116"/>
      <c r="C116"/>
      <c r="D116"/>
      <c r="E116"/>
      <c r="F116"/>
      <c r="G116"/>
      <c r="H116" s="78"/>
      <c r="I116" s="26"/>
      <c r="J116"/>
      <c r="K116"/>
      <c r="L116" s="19"/>
      <c r="O116" s="434"/>
      <c r="P116" s="440"/>
      <c r="Q116" s="440"/>
      <c r="R116" s="440"/>
      <c r="S116" s="440"/>
      <c r="T116" s="445"/>
    </row>
    <row r="117" spans="1:20" s="24" customFormat="1">
      <c r="A117"/>
      <c r="B117"/>
      <c r="C117"/>
      <c r="D117"/>
      <c r="E117"/>
      <c r="F117"/>
      <c r="G117"/>
      <c r="H117" s="78"/>
      <c r="I117"/>
      <c r="J117"/>
      <c r="K117" s="26"/>
      <c r="L117" s="15"/>
      <c r="O117" s="434"/>
      <c r="P117" s="440"/>
      <c r="Q117" s="440"/>
      <c r="R117" s="440"/>
      <c r="S117" s="440"/>
      <c r="T117" s="445"/>
    </row>
    <row r="118" spans="1:20" s="24" customFormat="1">
      <c r="A118"/>
      <c r="B118"/>
      <c r="C118"/>
      <c r="D118"/>
      <c r="E118"/>
      <c r="F118"/>
      <c r="G118"/>
      <c r="H118" s="78"/>
      <c r="I118"/>
      <c r="J118"/>
      <c r="K118"/>
      <c r="L118" s="19"/>
      <c r="O118" s="434"/>
      <c r="P118" s="440"/>
      <c r="Q118" s="440"/>
      <c r="R118" s="440"/>
      <c r="S118" s="440"/>
      <c r="T118" s="445"/>
    </row>
  </sheetData>
  <autoFilter ref="A10:G109" xr:uid="{00000000-0009-0000-0000-00005E000000}"/>
  <mergeCells count="39">
    <mergeCell ref="A85:G85"/>
    <mergeCell ref="A91:A94"/>
    <mergeCell ref="G96:G98"/>
    <mergeCell ref="G106:J106"/>
    <mergeCell ref="H10:K10"/>
    <mergeCell ref="A20:G20"/>
    <mergeCell ref="A21:A29"/>
    <mergeCell ref="A88:G88"/>
    <mergeCell ref="A31:A53"/>
    <mergeCell ref="A54:G54"/>
    <mergeCell ref="A55:A57"/>
    <mergeCell ref="A58:G58"/>
    <mergeCell ref="A59:A63"/>
    <mergeCell ref="A64:G64"/>
    <mergeCell ref="A65:A75"/>
    <mergeCell ref="A86:A87"/>
    <mergeCell ref="A77:A78"/>
    <mergeCell ref="A76:G76"/>
    <mergeCell ref="A79:G79"/>
    <mergeCell ref="A80:A84"/>
    <mergeCell ref="A30:G30"/>
    <mergeCell ref="F10:F11"/>
    <mergeCell ref="A12:A15"/>
    <mergeCell ref="G10:G11"/>
    <mergeCell ref="A5:H9"/>
    <mergeCell ref="O5:O9"/>
    <mergeCell ref="A10:A11"/>
    <mergeCell ref="B10:B11"/>
    <mergeCell ref="C10:C11"/>
    <mergeCell ref="D10:D11"/>
    <mergeCell ref="E10:E11"/>
    <mergeCell ref="P5:P9"/>
    <mergeCell ref="Q5:Q9"/>
    <mergeCell ref="R5:R9"/>
    <mergeCell ref="N3:N9"/>
    <mergeCell ref="O3:O4"/>
    <mergeCell ref="P3:P4"/>
    <mergeCell ref="Q3:Q4"/>
    <mergeCell ref="R3:R4"/>
  </mergeCells>
  <phoneticPr fontId="2" type="noConversion"/>
  <conditionalFormatting sqref="A12">
    <cfRule type="expression" dxfId="363" priority="4">
      <formula>#REF!="*01월*"</formula>
    </cfRule>
  </conditionalFormatting>
  <conditionalFormatting sqref="A20 B21:L29 B31:L53 B65:L75 C86:H87 J86:J87">
    <cfRule type="expression" dxfId="362" priority="41">
      <formula>#REF!="*01월*"</formula>
    </cfRule>
  </conditionalFormatting>
  <conditionalFormatting sqref="A30">
    <cfRule type="expression" dxfId="361" priority="42">
      <formula>#REF!="*01월*"</formula>
    </cfRule>
  </conditionalFormatting>
  <conditionalFormatting sqref="A54:A56">
    <cfRule type="expression" dxfId="360" priority="31">
      <formula>#REF!="*01월*"</formula>
    </cfRule>
  </conditionalFormatting>
  <conditionalFormatting sqref="A64 I64:L64">
    <cfRule type="expression" dxfId="359" priority="59">
      <formula>$F76="*01월*"</formula>
    </cfRule>
  </conditionalFormatting>
  <conditionalFormatting sqref="A65">
    <cfRule type="expression" dxfId="358" priority="54">
      <formula>$F76="*01월*"</formula>
    </cfRule>
  </conditionalFormatting>
  <conditionalFormatting sqref="A76 H76:J76 H85">
    <cfRule type="expression" dxfId="357" priority="51">
      <formula>$F79="*01월*"</formula>
    </cfRule>
  </conditionalFormatting>
  <conditionalFormatting sqref="A79">
    <cfRule type="expression" dxfId="356" priority="39">
      <formula>#REF!="*01월*"</formula>
    </cfRule>
  </conditionalFormatting>
  <conditionalFormatting sqref="A85:A86">
    <cfRule type="expression" dxfId="355" priority="35">
      <formula>#REF!="*01월*"</formula>
    </cfRule>
  </conditionalFormatting>
  <conditionalFormatting sqref="A88">
    <cfRule type="expression" dxfId="354" priority="34">
      <formula>#REF!="*01월*"</formula>
    </cfRule>
  </conditionalFormatting>
  <conditionalFormatting sqref="A91:A92 D91:F92 I91:L92">
    <cfRule type="expression" dxfId="353" priority="19">
      <formula>$F95="*01월*"</formula>
    </cfRule>
  </conditionalFormatting>
  <conditionalFormatting sqref="A93 D93:F93 I93:L93">
    <cfRule type="expression" dxfId="352" priority="14">
      <formula>$F96="*01월*"</formula>
    </cfRule>
  </conditionalFormatting>
  <conditionalFormatting sqref="A11:B11">
    <cfRule type="expression" dxfId="351" priority="46">
      <formula>#REF!="*01월*"</formula>
    </cfRule>
  </conditionalFormatting>
  <conditionalFormatting sqref="A10:L10 A16:A18 H18:L18 F22 H88:L88 A105:L105">
    <cfRule type="expression" dxfId="350" priority="1462">
      <formula>#REF!="*01월*"</formula>
    </cfRule>
  </conditionalFormatting>
  <conditionalFormatting sqref="B86:B87 K86:L87 D94:F94 I94:L94 A95:A104 B97:L104 G106 G108:G110 D108:E111">
    <cfRule type="expression" dxfId="349" priority="36">
      <formula>$F88="*01월*"</formula>
    </cfRule>
  </conditionalFormatting>
  <conditionalFormatting sqref="B84:C84 F84">
    <cfRule type="expression" dxfId="348" priority="22">
      <formula>$F85="*01월*"</formula>
    </cfRule>
  </conditionalFormatting>
  <conditionalFormatting sqref="B89:C89">
    <cfRule type="expression" dxfId="347" priority="23">
      <formula>#REF!="*01월*"</formula>
    </cfRule>
  </conditionalFormatting>
  <conditionalFormatting sqref="B91:C94">
    <cfRule type="expression" dxfId="346" priority="13">
      <formula>#REF!="*01월*"</formula>
    </cfRule>
  </conditionalFormatting>
  <conditionalFormatting sqref="D17:E17">
    <cfRule type="expression" dxfId="345" priority="6">
      <formula>$F19="*01월*"</formula>
    </cfRule>
  </conditionalFormatting>
  <conditionalFormatting sqref="D107:E107 G107">
    <cfRule type="expression" dxfId="344" priority="1483">
      <formula>$F107="*01월*"</formula>
    </cfRule>
  </conditionalFormatting>
  <conditionalFormatting sqref="D89:F89 A89:A90 I90:L90">
    <cfRule type="expression" dxfId="343" priority="53">
      <formula>$F96="*01월*"</formula>
    </cfRule>
  </conditionalFormatting>
  <conditionalFormatting sqref="D11:L11 B12:L15 B17:L17 A19:L19 B55:L57 A58:A63 B59:L59 B60:G63 I60:L63 H60:H64 A77:L77 B78:L78 B80:L84">
    <cfRule type="expression" dxfId="342" priority="40">
      <formula>#REF!="*01월*"</formula>
    </cfRule>
  </conditionalFormatting>
  <conditionalFormatting sqref="F21">
    <cfRule type="expression" dxfId="341" priority="24">
      <formula>$F23="*01월*"</formula>
    </cfRule>
  </conditionalFormatting>
  <conditionalFormatting sqref="F22">
    <cfRule type="expression" dxfId="340" priority="1466">
      <formula>$F30="*01월*"</formula>
    </cfRule>
  </conditionalFormatting>
  <conditionalFormatting sqref="F23:F24">
    <cfRule type="expression" dxfId="339" priority="65">
      <formula>$F38="*01월*"</formula>
    </cfRule>
  </conditionalFormatting>
  <conditionalFormatting sqref="F23:F25">
    <cfRule type="expression" dxfId="338" priority="64">
      <formula>$F37="*01월*"</formula>
    </cfRule>
  </conditionalFormatting>
  <conditionalFormatting sqref="F25">
    <cfRule type="expression" dxfId="337" priority="1467">
      <formula>$F38="*01월*"</formula>
    </cfRule>
  </conditionalFormatting>
  <conditionalFormatting sqref="F26">
    <cfRule type="expression" dxfId="336" priority="2">
      <formula>$F43="*01월*"</formula>
    </cfRule>
    <cfRule type="expression" dxfId="335" priority="1">
      <formula>$F42="*01월*"</formula>
    </cfRule>
  </conditionalFormatting>
  <conditionalFormatting sqref="F27">
    <cfRule type="expression" dxfId="334" priority="3">
      <formula>$F41="*01월*"</formula>
    </cfRule>
    <cfRule type="expression" dxfId="333" priority="63">
      <formula>$F40="*01월*"</formula>
    </cfRule>
  </conditionalFormatting>
  <conditionalFormatting sqref="F28">
    <cfRule type="expression" dxfId="332" priority="62">
      <formula>$F39="*01월*"</formula>
    </cfRule>
  </conditionalFormatting>
  <conditionalFormatting sqref="F28:F29">
    <cfRule type="expression" dxfId="331" priority="57">
      <formula>$F38="*01월*"</formula>
    </cfRule>
  </conditionalFormatting>
  <conditionalFormatting sqref="F29">
    <cfRule type="expression" dxfId="330" priority="61">
      <formula>$F38="*01월*"</formula>
    </cfRule>
  </conditionalFormatting>
  <conditionalFormatting sqref="F50">
    <cfRule type="expression" dxfId="329" priority="1476">
      <formula>$F64="*01월*"</formula>
    </cfRule>
    <cfRule type="expression" dxfId="328" priority="1477">
      <formula>#REF!="*01월*"</formula>
    </cfRule>
    <cfRule type="expression" dxfId="327" priority="1478">
      <formula>$F76="*01월*"</formula>
    </cfRule>
    <cfRule type="expression" dxfId="326" priority="1479">
      <formula>$F77="*01월*"</formula>
    </cfRule>
  </conditionalFormatting>
  <conditionalFormatting sqref="G89:H89">
    <cfRule type="expression" dxfId="325" priority="27">
      <formula>#REF!="*01월*"</formula>
    </cfRule>
  </conditionalFormatting>
  <conditionalFormatting sqref="G91:H94">
    <cfRule type="expression" dxfId="324" priority="20">
      <formula>#REF!="*01월*"</formula>
    </cfRule>
  </conditionalFormatting>
  <conditionalFormatting sqref="G96:L96">
    <cfRule type="expression" dxfId="323" priority="18">
      <formula>$F98="*01월*"</formula>
    </cfRule>
  </conditionalFormatting>
  <conditionalFormatting sqref="H2:H4">
    <cfRule type="expression" dxfId="322" priority="10">
      <formula>#REF!="*01월*"</formula>
    </cfRule>
  </conditionalFormatting>
  <conditionalFormatting sqref="H90">
    <cfRule type="expression" dxfId="321" priority="45">
      <formula>#REF!="*01월*"</formula>
    </cfRule>
  </conditionalFormatting>
  <conditionalFormatting sqref="H95:J95">
    <cfRule type="expression" dxfId="320" priority="38">
      <formula>$F97="*01월*"</formula>
    </cfRule>
  </conditionalFormatting>
  <conditionalFormatting sqref="H16:L16">
    <cfRule type="expression" dxfId="319" priority="5">
      <formula>#REF!="*01월*"</formula>
    </cfRule>
  </conditionalFormatting>
  <conditionalFormatting sqref="H20:L20">
    <cfRule type="expression" dxfId="318" priority="29">
      <formula>#REF!="*01월*"</formula>
    </cfRule>
  </conditionalFormatting>
  <conditionalFormatting sqref="H30:L30">
    <cfRule type="expression" dxfId="317" priority="28">
      <formula>#REF!="*01월*"</formula>
    </cfRule>
  </conditionalFormatting>
  <conditionalFormatting sqref="H54:L54">
    <cfRule type="expression" dxfId="316" priority="25">
      <formula>#REF!="*01월*"</formula>
    </cfRule>
  </conditionalFormatting>
  <conditionalFormatting sqref="H58:L58">
    <cfRule type="expression" dxfId="315" priority="21">
      <formula>#REF!="*01월*"</formula>
    </cfRule>
  </conditionalFormatting>
  <conditionalFormatting sqref="H79:L79">
    <cfRule type="expression" dxfId="314" priority="16">
      <formula>#REF!="*01월*"</formula>
    </cfRule>
  </conditionalFormatting>
  <conditionalFormatting sqref="I85">
    <cfRule type="expression" dxfId="313" priority="26">
      <formula>#REF!="*01월*"</formula>
    </cfRule>
  </conditionalFormatting>
  <conditionalFormatting sqref="I86:I87">
    <cfRule type="expression" dxfId="312" priority="52">
      <formula>$F88="*01월*"</formula>
    </cfRule>
  </conditionalFormatting>
  <conditionalFormatting sqref="I89:J89">
    <cfRule type="expression" dxfId="311" priority="48">
      <formula>$F96="*01월*"</formula>
    </cfRule>
  </conditionalFormatting>
  <conditionalFormatting sqref="J85:L85">
    <cfRule type="expression" dxfId="310" priority="37">
      <formula>$F88="*01월*"</formula>
    </cfRule>
  </conditionalFormatting>
  <conditionalFormatting sqref="K89">
    <cfRule type="expression" dxfId="309" priority="43">
      <formula>#REF!="*01월*"</formula>
    </cfRule>
  </conditionalFormatting>
  <conditionalFormatting sqref="K76:L76">
    <cfRule type="expression" dxfId="308" priority="50">
      <formula>#REF!="*01월*"</formula>
    </cfRule>
  </conditionalFormatting>
  <conditionalFormatting sqref="K95:L95">
    <cfRule type="expression" dxfId="307" priority="33">
      <formula>$F101="*01월*"</formula>
    </cfRule>
  </conditionalFormatting>
  <conditionalFormatting sqref="K106:L106">
    <cfRule type="expression" dxfId="306" priority="32">
      <formula>$F108="*01월*"</formula>
    </cfRule>
  </conditionalFormatting>
  <conditionalFormatting sqref="L89">
    <cfRule type="expression" dxfId="305" priority="17">
      <formula>$F90="*01월*"</formula>
    </cfRule>
  </conditionalFormatting>
  <printOptions horizontalCentered="1"/>
  <pageMargins left="0" right="0" top="0.70866141732283472" bottom="0.23622047244094491" header="0" footer="0"/>
  <pageSetup paperSize="9" scale="44" fitToHeight="0" orientation="portrait" r:id="rId1"/>
  <rowBreaks count="1" manualBreakCount="1">
    <brk id="64" max="10" man="1"/>
  </rowBreaks>
  <colBreaks count="1" manualBreakCount="1">
    <brk id="10" max="1048575" man="1"/>
  </colBreaks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pageSetUpPr fitToPage="1"/>
  </sheetPr>
  <dimension ref="A2:U128"/>
  <sheetViews>
    <sheetView zoomScale="70" zoomScaleNormal="70" zoomScaleSheetLayoutView="70" workbookViewId="0">
      <pane xSplit="1" ySplit="11" topLeftCell="B108" activePane="bottomRight" state="frozen"/>
      <selection activeCell="H12" sqref="H12"/>
      <selection pane="topRight" activeCell="H12" sqref="H12"/>
      <selection pane="bottomLeft" activeCell="H12" sqref="H12"/>
      <selection pane="bottomRight" activeCell="H114" sqref="H114"/>
    </sheetView>
  </sheetViews>
  <sheetFormatPr defaultRowHeight="25.2"/>
  <cols>
    <col min="1" max="1" width="18.69921875" customWidth="1"/>
    <col min="2" max="2" width="22.8984375" customWidth="1"/>
    <col min="3" max="3" width="14.69921875" hidden="1" customWidth="1"/>
    <col min="4" max="4" width="25.09765625" customWidth="1"/>
    <col min="5" max="5" width="12.09765625" style="696" customWidth="1"/>
    <col min="6" max="6" width="12.09765625" customWidth="1"/>
    <col min="7" max="7" width="18.69921875" customWidth="1"/>
    <col min="8" max="8" width="25.69921875" style="78" customWidth="1"/>
    <col min="9" max="9" width="26.5" customWidth="1"/>
    <col min="10" max="10" width="25.09765625" customWidth="1"/>
    <col min="11" max="11" width="29.19921875" customWidth="1"/>
    <col min="12" max="12" width="17.19921875" style="21" customWidth="1"/>
    <col min="13" max="13" width="17.59765625" customWidth="1"/>
    <col min="14" max="14" width="9.19921875" style="19" customWidth="1"/>
    <col min="15" max="15" width="26.8984375" style="24" bestFit="1" customWidth="1"/>
    <col min="16" max="20" width="17.09765625" style="434" customWidth="1"/>
    <col min="21" max="21" width="9" style="441"/>
  </cols>
  <sheetData>
    <row r="2" spans="1:21" ht="21.75" customHeight="1" thickBot="1">
      <c r="F2" s="507"/>
      <c r="H2" s="454" t="s">
        <v>3749</v>
      </c>
      <c r="I2" s="434"/>
      <c r="J2" s="434"/>
      <c r="K2" s="434"/>
      <c r="L2" s="771"/>
      <c r="M2" s="434"/>
      <c r="N2" s="436"/>
      <c r="O2"/>
      <c r="P2"/>
      <c r="Q2"/>
      <c r="R2"/>
      <c r="S2"/>
      <c r="T2"/>
      <c r="U2"/>
    </row>
    <row r="3" spans="1:21" ht="21.75" customHeight="1" thickTop="1">
      <c r="F3" s="507"/>
      <c r="H3" s="547" t="s">
        <v>3750</v>
      </c>
      <c r="O3" s="2058" t="s">
        <v>2041</v>
      </c>
      <c r="P3" s="2082" t="s">
        <v>2034</v>
      </c>
      <c r="Q3" s="2084" t="s">
        <v>2035</v>
      </c>
      <c r="R3" s="2084" t="s">
        <v>2063</v>
      </c>
      <c r="S3" s="2086" t="s">
        <v>2036</v>
      </c>
      <c r="T3" s="441"/>
      <c r="U3"/>
    </row>
    <row r="4" spans="1:21" ht="21.75" customHeight="1">
      <c r="H4" s="682" t="s">
        <v>3748</v>
      </c>
      <c r="O4" s="2080"/>
      <c r="P4" s="2083"/>
      <c r="Q4" s="2085"/>
      <c r="R4" s="2085"/>
      <c r="S4" s="2087"/>
      <c r="T4" s="441"/>
      <c r="U4"/>
    </row>
    <row r="5" spans="1:21" ht="19.5" customHeight="1">
      <c r="A5" s="2020" t="s">
        <v>3873</v>
      </c>
      <c r="B5" s="2020"/>
      <c r="C5" s="2020"/>
      <c r="D5" s="2020"/>
      <c r="E5" s="2020"/>
      <c r="F5" s="2020"/>
      <c r="G5" s="2020"/>
      <c r="H5" s="2020"/>
      <c r="I5" s="1"/>
      <c r="J5" s="1"/>
      <c r="K5" s="1"/>
      <c r="L5" s="772"/>
      <c r="M5" s="1"/>
      <c r="N5" s="661"/>
      <c r="O5" s="2080"/>
      <c r="P5" s="2091"/>
      <c r="Q5" s="2088"/>
      <c r="R5" s="2088"/>
      <c r="S5" s="2077"/>
      <c r="T5" s="441"/>
      <c r="U5"/>
    </row>
    <row r="6" spans="1:21" ht="19.5" customHeight="1">
      <c r="A6" s="2020"/>
      <c r="B6" s="2020"/>
      <c r="C6" s="2020"/>
      <c r="D6" s="2020"/>
      <c r="E6" s="2020"/>
      <c r="F6" s="2020"/>
      <c r="G6" s="2020"/>
      <c r="H6" s="2020"/>
      <c r="I6" s="1"/>
      <c r="J6" s="1"/>
      <c r="K6" s="1"/>
      <c r="L6" s="772"/>
      <c r="M6" s="1"/>
      <c r="N6" s="661"/>
      <c r="O6" s="2080"/>
      <c r="P6" s="2092"/>
      <c r="Q6" s="2089"/>
      <c r="R6" s="2089"/>
      <c r="S6" s="2078"/>
      <c r="T6" s="441"/>
      <c r="U6"/>
    </row>
    <row r="7" spans="1:21" ht="19.5" customHeight="1">
      <c r="A7" s="2020"/>
      <c r="B7" s="2020"/>
      <c r="C7" s="2020"/>
      <c r="D7" s="2020"/>
      <c r="E7" s="2020"/>
      <c r="F7" s="2020"/>
      <c r="G7" s="2020"/>
      <c r="H7" s="2020"/>
      <c r="I7" s="1"/>
      <c r="J7" s="1"/>
      <c r="K7" s="1"/>
      <c r="L7" s="772"/>
      <c r="M7" s="1"/>
      <c r="N7" s="661"/>
      <c r="O7" s="2080"/>
      <c r="P7" s="2092"/>
      <c r="Q7" s="2089"/>
      <c r="R7" s="2089"/>
      <c r="S7" s="2078"/>
      <c r="T7" s="441"/>
      <c r="U7"/>
    </row>
    <row r="8" spans="1:21" ht="19.5" customHeight="1">
      <c r="A8" s="2020"/>
      <c r="B8" s="2020"/>
      <c r="C8" s="2020"/>
      <c r="D8" s="2020"/>
      <c r="E8" s="2020"/>
      <c r="F8" s="2020"/>
      <c r="G8" s="2020"/>
      <c r="H8" s="2020"/>
      <c r="I8" s="2"/>
      <c r="J8" s="2"/>
      <c r="K8" s="2"/>
      <c r="L8" s="773"/>
      <c r="M8" s="2"/>
      <c r="N8" s="662"/>
      <c r="O8" s="2080"/>
      <c r="P8" s="2092"/>
      <c r="Q8" s="2089"/>
      <c r="R8" s="2089"/>
      <c r="S8" s="2078"/>
      <c r="T8" s="441"/>
      <c r="U8"/>
    </row>
    <row r="9" spans="1:21" ht="19.5" customHeight="1" thickBot="1">
      <c r="A9" s="2052"/>
      <c r="B9" s="2052"/>
      <c r="C9" s="2052"/>
      <c r="D9" s="2052"/>
      <c r="E9" s="2052"/>
      <c r="F9" s="2052"/>
      <c r="G9" s="2052"/>
      <c r="H9" s="2052"/>
      <c r="I9" s="2"/>
      <c r="J9" s="2"/>
      <c r="K9" s="2"/>
      <c r="L9" s="773"/>
      <c r="M9" s="2"/>
      <c r="N9" s="662"/>
      <c r="O9" s="2081"/>
      <c r="P9" s="2093"/>
      <c r="Q9" s="2090"/>
      <c r="R9" s="2090"/>
      <c r="S9" s="2079"/>
      <c r="T9" s="441"/>
      <c r="U9"/>
    </row>
    <row r="10" spans="1:21" ht="23.25" customHeight="1">
      <c r="A10" s="2021" t="s">
        <v>0</v>
      </c>
      <c r="B10" s="2107" t="s">
        <v>1</v>
      </c>
      <c r="C10" s="2107" t="s">
        <v>3744</v>
      </c>
      <c r="D10" s="2114" t="s">
        <v>2</v>
      </c>
      <c r="E10" s="2120" t="s">
        <v>4009</v>
      </c>
      <c r="F10" s="2114" t="s">
        <v>3</v>
      </c>
      <c r="G10" s="2116" t="s">
        <v>4</v>
      </c>
      <c r="H10" s="2104" t="s">
        <v>2352</v>
      </c>
      <c r="I10" s="2105"/>
      <c r="J10" s="2105"/>
      <c r="K10" s="2106"/>
      <c r="L10" s="774"/>
      <c r="M10" s="658"/>
      <c r="N10" s="658"/>
    </row>
    <row r="11" spans="1:21" ht="23.25" customHeight="1">
      <c r="A11" s="2022"/>
      <c r="B11" s="2108"/>
      <c r="C11" s="2108"/>
      <c r="D11" s="2115"/>
      <c r="E11" s="2121"/>
      <c r="F11" s="2115"/>
      <c r="G11" s="2117"/>
      <c r="H11" s="641" t="s">
        <v>6</v>
      </c>
      <c r="I11" s="3" t="s">
        <v>7</v>
      </c>
      <c r="J11" s="476" t="s">
        <v>2479</v>
      </c>
      <c r="K11" s="271" t="s">
        <v>2336</v>
      </c>
      <c r="L11" s="2122" t="s">
        <v>4020</v>
      </c>
      <c r="M11" s="2123"/>
      <c r="N11" s="2124"/>
      <c r="O11" s="434"/>
    </row>
    <row r="12" spans="1:21" s="97" customFormat="1" ht="27" customHeight="1">
      <c r="A12" s="2010" t="s">
        <v>3108</v>
      </c>
      <c r="B12" s="509" t="s">
        <v>3875</v>
      </c>
      <c r="C12" s="509"/>
      <c r="D12" s="454" t="s">
        <v>3876</v>
      </c>
      <c r="E12" s="697">
        <v>46054</v>
      </c>
      <c r="F12" s="465">
        <v>46054</v>
      </c>
      <c r="G12" s="467">
        <v>9.3289000000000009</v>
      </c>
      <c r="H12" s="692">
        <v>20344248</v>
      </c>
      <c r="I12" s="458">
        <f t="shared" ref="I12:I16" si="0">ROUNDDOWN(H12*G12,0)</f>
        <v>189789455</v>
      </c>
      <c r="J12" s="458">
        <f>I12</f>
        <v>189789455</v>
      </c>
      <c r="K12" s="464"/>
      <c r="L12" s="775" t="s">
        <v>4016</v>
      </c>
      <c r="M12" s="747" t="s">
        <v>4017</v>
      </c>
      <c r="N12" s="748" t="s">
        <v>4018</v>
      </c>
      <c r="O12" s="434"/>
      <c r="P12" s="434"/>
      <c r="Q12" s="434"/>
      <c r="S12" s="434"/>
      <c r="T12" s="434"/>
      <c r="U12" s="441"/>
    </row>
    <row r="13" spans="1:21" s="97" customFormat="1" ht="27" customHeight="1">
      <c r="A13" s="2011"/>
      <c r="B13" s="513" t="s">
        <v>3903</v>
      </c>
      <c r="C13" s="89"/>
      <c r="D13" s="146" t="s">
        <v>3907</v>
      </c>
      <c r="E13" s="698">
        <v>46062</v>
      </c>
      <c r="F13" s="90">
        <v>46060</v>
      </c>
      <c r="G13" s="397">
        <v>9.3246000000000002</v>
      </c>
      <c r="H13" s="693">
        <v>13565748</v>
      </c>
      <c r="I13" s="93">
        <f t="shared" si="0"/>
        <v>126495173</v>
      </c>
      <c r="J13" s="93">
        <f>I13</f>
        <v>126495173</v>
      </c>
      <c r="K13" s="263"/>
      <c r="L13" s="776"/>
      <c r="M13" s="731"/>
      <c r="N13" s="750"/>
      <c r="T13" s="434"/>
      <c r="U13" s="441"/>
    </row>
    <row r="14" spans="1:21" s="97" customFormat="1" ht="27" customHeight="1">
      <c r="A14" s="2011"/>
      <c r="B14" s="513" t="s">
        <v>3904</v>
      </c>
      <c r="C14" s="89"/>
      <c r="D14" s="146" t="s">
        <v>3908</v>
      </c>
      <c r="E14" s="698">
        <v>46068</v>
      </c>
      <c r="F14" s="90">
        <v>46068</v>
      </c>
      <c r="G14" s="397">
        <v>9.3280999999999992</v>
      </c>
      <c r="H14" s="693">
        <v>10183298</v>
      </c>
      <c r="I14" s="93">
        <f t="shared" ref="I14:I15" si="1">ROUNDDOWN(H14*G14,0)</f>
        <v>94990822</v>
      </c>
      <c r="J14" s="93">
        <f t="shared" ref="J14:J15" si="2">I14</f>
        <v>94990822</v>
      </c>
      <c r="K14" s="263"/>
      <c r="L14" s="776"/>
      <c r="M14" s="731"/>
      <c r="N14" s="750"/>
      <c r="T14" s="434"/>
      <c r="U14" s="441"/>
    </row>
    <row r="15" spans="1:21" s="97" customFormat="1" ht="27" customHeight="1">
      <c r="A15" s="2011"/>
      <c r="B15" s="513" t="s">
        <v>3905</v>
      </c>
      <c r="C15" s="89"/>
      <c r="D15" s="146" t="s">
        <v>3909</v>
      </c>
      <c r="E15" s="698">
        <v>46076</v>
      </c>
      <c r="F15" s="90">
        <v>46076</v>
      </c>
      <c r="G15" s="397">
        <v>9.3554999999999993</v>
      </c>
      <c r="H15" s="693">
        <v>18841256</v>
      </c>
      <c r="I15" s="93">
        <f t="shared" si="1"/>
        <v>176269370</v>
      </c>
      <c r="J15" s="93">
        <f t="shared" si="2"/>
        <v>176269370</v>
      </c>
      <c r="K15" s="263"/>
      <c r="L15" s="776"/>
      <c r="M15" s="731"/>
      <c r="N15" s="750"/>
      <c r="T15" s="434"/>
      <c r="U15" s="441"/>
    </row>
    <row r="16" spans="1:21" s="97" customFormat="1" ht="27" customHeight="1">
      <c r="A16" s="2011"/>
      <c r="B16" s="513" t="s">
        <v>3906</v>
      </c>
      <c r="C16" s="89"/>
      <c r="D16" s="146" t="s">
        <v>3910</v>
      </c>
      <c r="E16" s="698">
        <v>46076</v>
      </c>
      <c r="F16" s="90">
        <v>46076</v>
      </c>
      <c r="G16" s="397">
        <v>9.3554999999999993</v>
      </c>
      <c r="H16" s="693">
        <v>4539040</v>
      </c>
      <c r="I16" s="93">
        <f t="shared" si="0"/>
        <v>42464988</v>
      </c>
      <c r="J16" s="93">
        <f t="shared" ref="J16" si="3">I16</f>
        <v>42464988</v>
      </c>
      <c r="K16" s="263"/>
      <c r="L16" s="776"/>
      <c r="M16" s="731"/>
      <c r="N16" s="750"/>
      <c r="T16" s="434"/>
      <c r="U16" s="441"/>
    </row>
    <row r="17" spans="1:21" s="97" customFormat="1" ht="27" customHeight="1">
      <c r="A17" s="361" t="s">
        <v>10</v>
      </c>
      <c r="B17" s="113"/>
      <c r="C17" s="113"/>
      <c r="D17" s="113"/>
      <c r="E17" s="699"/>
      <c r="F17" s="113"/>
      <c r="G17" s="114"/>
      <c r="H17" s="644">
        <f>SUM(H12:H16)</f>
        <v>67473590</v>
      </c>
      <c r="I17" s="116">
        <f t="shared" ref="I17:J17" si="4">SUM(I12:I16)</f>
        <v>630009808</v>
      </c>
      <c r="J17" s="116">
        <f t="shared" si="4"/>
        <v>630009808</v>
      </c>
      <c r="K17" s="260">
        <f>SUM(K12:K16)</f>
        <v>0</v>
      </c>
      <c r="L17" s="777"/>
      <c r="M17" s="732"/>
      <c r="N17" s="751"/>
      <c r="T17" s="434"/>
      <c r="U17" s="441"/>
    </row>
    <row r="18" spans="1:21" s="97" customFormat="1" ht="27" customHeight="1">
      <c r="A18" s="2010" t="s">
        <v>3107</v>
      </c>
      <c r="B18" s="174" t="s">
        <v>3911</v>
      </c>
      <c r="C18" s="174"/>
      <c r="D18" s="174" t="s">
        <v>3913</v>
      </c>
      <c r="E18" s="700">
        <v>46063</v>
      </c>
      <c r="F18" s="146">
        <v>46062</v>
      </c>
      <c r="G18" s="176">
        <v>9.3280999999999992</v>
      </c>
      <c r="H18" s="693">
        <v>6659847</v>
      </c>
      <c r="I18" s="93">
        <f t="shared" ref="I18" si="5">ROUNDDOWN(H18*G18,0)</f>
        <v>62123718</v>
      </c>
      <c r="J18" s="93">
        <f t="shared" ref="J18" si="6">I18</f>
        <v>62123718</v>
      </c>
      <c r="K18" s="256"/>
      <c r="L18" s="778"/>
      <c r="M18" s="733"/>
      <c r="N18" s="752"/>
      <c r="T18" s="434"/>
      <c r="U18" s="441"/>
    </row>
    <row r="19" spans="1:21" s="97" customFormat="1" ht="27" customHeight="1">
      <c r="A19" s="2019"/>
      <c r="B19" s="174" t="s">
        <v>3912</v>
      </c>
      <c r="C19" s="174"/>
      <c r="D19" s="174" t="s">
        <v>3914</v>
      </c>
      <c r="E19" s="700">
        <v>46078</v>
      </c>
      <c r="F19" s="146">
        <v>46078</v>
      </c>
      <c r="G19" s="176">
        <v>9.2766000000000002</v>
      </c>
      <c r="H19" s="693">
        <v>6659847</v>
      </c>
      <c r="I19" s="93">
        <f t="shared" ref="I19" si="7">ROUNDDOWN(H19*G19,0)</f>
        <v>61780736</v>
      </c>
      <c r="J19" s="93">
        <f t="shared" ref="J19" si="8">I19</f>
        <v>61780736</v>
      </c>
      <c r="K19" s="256"/>
      <c r="L19" s="778"/>
      <c r="M19" s="733"/>
      <c r="N19" s="752"/>
      <c r="T19" s="434"/>
      <c r="U19" s="441"/>
    </row>
    <row r="20" spans="1:21" s="97" customFormat="1" ht="27" customHeight="1">
      <c r="A20" s="259"/>
      <c r="B20" s="113"/>
      <c r="C20" s="148"/>
      <c r="D20" s="148"/>
      <c r="E20" s="701"/>
      <c r="F20" s="148"/>
      <c r="G20" s="114"/>
      <c r="H20" s="645">
        <f>SUM(H18:H19)</f>
        <v>13319694</v>
      </c>
      <c r="I20" s="151">
        <f t="shared" ref="I20:K20" si="9">SUM(I18:I19)</f>
        <v>123904454</v>
      </c>
      <c r="J20" s="151">
        <f t="shared" si="9"/>
        <v>123904454</v>
      </c>
      <c r="K20" s="633">
        <f t="shared" si="9"/>
        <v>0</v>
      </c>
      <c r="L20" s="779"/>
      <c r="M20" s="734"/>
      <c r="N20" s="753"/>
      <c r="T20" s="434"/>
      <c r="U20" s="441"/>
    </row>
    <row r="21" spans="1:21" ht="38.4">
      <c r="A21" s="350" t="s">
        <v>3766</v>
      </c>
      <c r="B21" s="155" t="s">
        <v>3915</v>
      </c>
      <c r="C21" s="155"/>
      <c r="D21" s="89" t="s">
        <v>3916</v>
      </c>
      <c r="E21" s="702">
        <v>46062</v>
      </c>
      <c r="F21" s="90">
        <v>46062</v>
      </c>
      <c r="G21" s="91">
        <f>VLOOKUP(F21,환율!A:B,2,0)</f>
        <v>1470.3</v>
      </c>
      <c r="H21" s="118">
        <v>12902.34</v>
      </c>
      <c r="I21" s="93">
        <f t="shared" ref="I21" si="10">ROUNDDOWN(H21*G21,0)</f>
        <v>18970310</v>
      </c>
      <c r="J21" s="93">
        <f t="shared" ref="J21" si="11">I21</f>
        <v>18970310</v>
      </c>
      <c r="K21" s="254"/>
      <c r="L21" s="780"/>
      <c r="M21" s="735"/>
      <c r="N21" s="754"/>
      <c r="O21" s="434"/>
    </row>
    <row r="22" spans="1:21" s="97" customFormat="1" ht="27" customHeight="1">
      <c r="A22" s="2035" t="s">
        <v>10</v>
      </c>
      <c r="B22" s="2036"/>
      <c r="C22" s="2036"/>
      <c r="D22" s="2036"/>
      <c r="E22" s="2036"/>
      <c r="F22" s="2036"/>
      <c r="G22" s="2037"/>
      <c r="H22" s="642">
        <f>SUM(H21:H21)</f>
        <v>12902.34</v>
      </c>
      <c r="I22" s="116">
        <f>SUM(I21:I21)</f>
        <v>18970310</v>
      </c>
      <c r="J22" s="116">
        <f>SUM(J21:J21)</f>
        <v>18970310</v>
      </c>
      <c r="K22" s="260">
        <f>SUM(K21:K21)</f>
        <v>0</v>
      </c>
      <c r="L22" s="777">
        <v>12902.34</v>
      </c>
      <c r="M22" s="732">
        <v>18970310</v>
      </c>
      <c r="N22" s="751" t="s">
        <v>4019</v>
      </c>
      <c r="O22" s="434"/>
      <c r="P22" s="434"/>
      <c r="Q22" s="434"/>
      <c r="R22" s="434"/>
      <c r="S22" s="434"/>
      <c r="T22" s="434"/>
      <c r="U22" s="441"/>
    </row>
    <row r="23" spans="1:21" s="97" customFormat="1" ht="27" customHeight="1">
      <c r="A23" s="2010" t="s">
        <v>3099</v>
      </c>
      <c r="B23" s="509" t="s">
        <v>3783</v>
      </c>
      <c r="C23" s="509"/>
      <c r="D23" s="454" t="s">
        <v>3877</v>
      </c>
      <c r="E23" s="697">
        <v>46063</v>
      </c>
      <c r="F23" s="465">
        <v>46063</v>
      </c>
      <c r="G23" s="456">
        <f>VLOOKUP(F23,환율!A:B,2,0)</f>
        <v>1464.3</v>
      </c>
      <c r="H23" s="462">
        <v>61473.599999999999</v>
      </c>
      <c r="I23" s="458">
        <f t="shared" ref="I23:I27" si="12">ROUNDDOWN(H23*G23,0)</f>
        <v>90015792</v>
      </c>
      <c r="J23" s="458">
        <f>I23</f>
        <v>90015792</v>
      </c>
      <c r="K23" s="464"/>
      <c r="L23" s="781"/>
      <c r="M23" s="730"/>
      <c r="N23" s="748"/>
      <c r="O23" s="434"/>
      <c r="P23" s="434"/>
      <c r="Q23" s="434"/>
      <c r="R23" s="434"/>
      <c r="S23" s="434"/>
      <c r="T23" s="434"/>
      <c r="U23" s="441"/>
    </row>
    <row r="24" spans="1:21" s="120" customFormat="1" ht="27" customHeight="1">
      <c r="A24" s="2011"/>
      <c r="B24" s="509" t="s">
        <v>3785</v>
      </c>
      <c r="C24" s="509"/>
      <c r="D24" s="454" t="s">
        <v>3878</v>
      </c>
      <c r="E24" s="697">
        <v>46063</v>
      </c>
      <c r="F24" s="465">
        <v>46063</v>
      </c>
      <c r="G24" s="456">
        <f>VLOOKUP(F24,환율!A:B,2,0)</f>
        <v>1464.3</v>
      </c>
      <c r="H24" s="462">
        <v>44966.879999999997</v>
      </c>
      <c r="I24" s="458">
        <f t="shared" si="12"/>
        <v>65845002</v>
      </c>
      <c r="J24" s="458">
        <f>I24</f>
        <v>65845002</v>
      </c>
      <c r="K24" s="464"/>
      <c r="L24" s="781"/>
      <c r="M24" s="730"/>
      <c r="N24" s="748"/>
      <c r="T24" s="435"/>
      <c r="U24" s="442"/>
    </row>
    <row r="25" spans="1:21" s="120" customFormat="1" ht="27" customHeight="1">
      <c r="A25" s="2011"/>
      <c r="B25" s="509" t="s">
        <v>3787</v>
      </c>
      <c r="C25" s="509"/>
      <c r="D25" s="454" t="s">
        <v>3879</v>
      </c>
      <c r="E25" s="697">
        <v>46063</v>
      </c>
      <c r="F25" s="465">
        <v>46063</v>
      </c>
      <c r="G25" s="456">
        <f>VLOOKUP(F25,환율!A:B,2,0)</f>
        <v>1464.3</v>
      </c>
      <c r="H25" s="462">
        <v>558.25</v>
      </c>
      <c r="I25" s="458">
        <f t="shared" si="12"/>
        <v>817445</v>
      </c>
      <c r="J25" s="458">
        <f t="shared" ref="J25:J27" si="13">I25</f>
        <v>817445</v>
      </c>
      <c r="K25" s="464"/>
      <c r="L25" s="781"/>
      <c r="M25" s="730"/>
      <c r="N25" s="748"/>
      <c r="T25" s="435"/>
      <c r="U25" s="442"/>
    </row>
    <row r="26" spans="1:21" s="120" customFormat="1" ht="27" customHeight="1">
      <c r="A26" s="2011"/>
      <c r="B26" s="509" t="s">
        <v>3788</v>
      </c>
      <c r="C26" s="509"/>
      <c r="D26" s="454" t="s">
        <v>3880</v>
      </c>
      <c r="E26" s="697">
        <v>46063</v>
      </c>
      <c r="F26" s="465">
        <v>46063</v>
      </c>
      <c r="G26" s="456">
        <f>VLOOKUP(F26,환율!A:B,2,0)</f>
        <v>1464.3</v>
      </c>
      <c r="H26" s="462">
        <v>1350.25</v>
      </c>
      <c r="I26" s="458">
        <f t="shared" si="12"/>
        <v>1977171</v>
      </c>
      <c r="J26" s="458">
        <f t="shared" si="13"/>
        <v>1977171</v>
      </c>
      <c r="K26" s="464"/>
      <c r="L26" s="781"/>
      <c r="M26" s="730"/>
      <c r="N26" s="748"/>
      <c r="T26" s="435"/>
      <c r="U26" s="442"/>
    </row>
    <row r="27" spans="1:21" s="120" customFormat="1" ht="27" customHeight="1">
      <c r="A27" s="2011"/>
      <c r="B27" s="155" t="s">
        <v>3917</v>
      </c>
      <c r="C27" s="155"/>
      <c r="D27" s="89" t="s">
        <v>3925</v>
      </c>
      <c r="E27" s="702">
        <v>46068</v>
      </c>
      <c r="F27" s="136">
        <v>46068</v>
      </c>
      <c r="G27" s="91">
        <f>VLOOKUP(F27,환율!A:B,2,0)</f>
        <v>1443.4</v>
      </c>
      <c r="H27" s="134">
        <v>39941.279999999999</v>
      </c>
      <c r="I27" s="93">
        <f t="shared" si="12"/>
        <v>57651243</v>
      </c>
      <c r="J27" s="93">
        <f t="shared" si="13"/>
        <v>57651243</v>
      </c>
      <c r="K27" s="254"/>
      <c r="L27" s="780"/>
      <c r="M27" s="735"/>
      <c r="N27" s="754"/>
      <c r="T27" s="435"/>
      <c r="U27" s="442"/>
    </row>
    <row r="28" spans="1:21" s="120" customFormat="1" ht="27" customHeight="1">
      <c r="A28" s="2011"/>
      <c r="B28" s="155" t="s">
        <v>3918</v>
      </c>
      <c r="C28" s="155"/>
      <c r="D28" s="89" t="s">
        <v>3926</v>
      </c>
      <c r="E28" s="702">
        <v>46072</v>
      </c>
      <c r="F28" s="136">
        <v>46072</v>
      </c>
      <c r="G28" s="91">
        <f>VLOOKUP(F28,환율!A:B,2,0)</f>
        <v>1443.1</v>
      </c>
      <c r="H28" s="134">
        <v>39035.519999999997</v>
      </c>
      <c r="I28" s="93">
        <f t="shared" ref="I28:I35" si="14">ROUNDDOWN(H28*G28,0)</f>
        <v>56332158</v>
      </c>
      <c r="J28" s="93">
        <f t="shared" ref="J28:J30" si="15">I28</f>
        <v>56332158</v>
      </c>
      <c r="K28" s="254"/>
      <c r="L28" s="780"/>
      <c r="M28" s="735"/>
      <c r="N28" s="754"/>
      <c r="T28" s="435"/>
      <c r="U28" s="442"/>
    </row>
    <row r="29" spans="1:21" s="120" customFormat="1" ht="27" customHeight="1">
      <c r="A29" s="2011"/>
      <c r="B29" s="155" t="s">
        <v>3919</v>
      </c>
      <c r="C29" s="155"/>
      <c r="D29" s="89" t="s">
        <v>3927</v>
      </c>
      <c r="E29" s="702">
        <v>46066</v>
      </c>
      <c r="F29" s="136">
        <v>46066</v>
      </c>
      <c r="G29" s="91">
        <f>VLOOKUP(F29,환율!A:B,2,0)</f>
        <v>1443.4</v>
      </c>
      <c r="H29" s="134">
        <v>47384.639999999999</v>
      </c>
      <c r="I29" s="93">
        <f t="shared" si="14"/>
        <v>68394989</v>
      </c>
      <c r="J29" s="93">
        <f t="shared" si="15"/>
        <v>68394989</v>
      </c>
      <c r="K29" s="254"/>
      <c r="L29" s="780"/>
      <c r="M29" s="735"/>
      <c r="N29" s="754"/>
      <c r="T29" s="435"/>
      <c r="U29" s="442"/>
    </row>
    <row r="30" spans="1:21" s="120" customFormat="1" ht="27" customHeight="1">
      <c r="A30" s="2011"/>
      <c r="B30" s="155" t="s">
        <v>3920</v>
      </c>
      <c r="C30" s="155"/>
      <c r="D30" s="89" t="s">
        <v>3928</v>
      </c>
      <c r="E30" s="702">
        <v>46072</v>
      </c>
      <c r="F30" s="136">
        <v>46072</v>
      </c>
      <c r="G30" s="91">
        <f>VLOOKUP(F30,환율!A:B,2,0)</f>
        <v>1443.1</v>
      </c>
      <c r="H30" s="134">
        <v>26208</v>
      </c>
      <c r="I30" s="93">
        <f t="shared" si="14"/>
        <v>37820764</v>
      </c>
      <c r="J30" s="93">
        <f t="shared" si="15"/>
        <v>37820764</v>
      </c>
      <c r="K30" s="254"/>
      <c r="L30" s="780"/>
      <c r="M30" s="735"/>
      <c r="N30" s="754"/>
      <c r="T30" s="435"/>
      <c r="U30" s="442"/>
    </row>
    <row r="31" spans="1:21" s="120" customFormat="1" ht="27" customHeight="1">
      <c r="A31" s="2011"/>
      <c r="B31" s="155" t="s">
        <v>3924</v>
      </c>
      <c r="C31" s="155"/>
      <c r="D31" s="89" t="s">
        <v>3932</v>
      </c>
      <c r="E31" s="702">
        <v>46066</v>
      </c>
      <c r="F31" s="136">
        <v>46066</v>
      </c>
      <c r="G31" s="91">
        <f>VLOOKUP(F31,환율!A:B,2,0)</f>
        <v>1443.4</v>
      </c>
      <c r="H31" s="134">
        <v>558.25</v>
      </c>
      <c r="I31" s="93">
        <f t="shared" ref="I31:I32" si="16">ROUNDDOWN(H31*G31,0)</f>
        <v>805778</v>
      </c>
      <c r="J31" s="93">
        <f t="shared" ref="J31:J32" si="17">I31</f>
        <v>805778</v>
      </c>
      <c r="K31" s="254"/>
      <c r="L31" s="780"/>
      <c r="M31" s="735"/>
      <c r="N31" s="754"/>
      <c r="T31" s="435"/>
      <c r="U31" s="442"/>
    </row>
    <row r="32" spans="1:21" s="120" customFormat="1" ht="27" customHeight="1">
      <c r="A32" s="2011"/>
      <c r="B32" s="155" t="s">
        <v>3933</v>
      </c>
      <c r="C32" s="155"/>
      <c r="D32" s="89" t="s">
        <v>3934</v>
      </c>
      <c r="E32" s="702">
        <v>46060</v>
      </c>
      <c r="F32" s="136">
        <v>46060</v>
      </c>
      <c r="G32" s="91">
        <f>VLOOKUP(F32,환율!A:B,2,0)</f>
        <v>1464.1</v>
      </c>
      <c r="H32" s="134">
        <v>138.1</v>
      </c>
      <c r="I32" s="93">
        <f t="shared" si="16"/>
        <v>202192</v>
      </c>
      <c r="J32" s="93">
        <f t="shared" si="17"/>
        <v>202192</v>
      </c>
      <c r="K32" s="254"/>
      <c r="L32" s="780"/>
      <c r="M32" s="735"/>
      <c r="N32" s="754"/>
      <c r="T32" s="435"/>
      <c r="U32" s="442"/>
    </row>
    <row r="33" spans="1:21" s="120" customFormat="1" ht="27" customHeight="1">
      <c r="A33" s="2011"/>
      <c r="B33" s="546" t="s">
        <v>3921</v>
      </c>
      <c r="C33" s="546"/>
      <c r="D33" s="547" t="s">
        <v>3929</v>
      </c>
      <c r="E33" s="703" t="s">
        <v>4011</v>
      </c>
      <c r="F33" s="550">
        <v>46088</v>
      </c>
      <c r="G33" s="528">
        <f>VLOOKUP(F33,환율!A:B,2,0)</f>
        <v>1464.3</v>
      </c>
      <c r="H33" s="551">
        <v>69960.509999999995</v>
      </c>
      <c r="I33" s="530">
        <f t="shared" si="14"/>
        <v>102443174</v>
      </c>
      <c r="J33" s="530"/>
      <c r="K33" s="548">
        <f>I33</f>
        <v>102443174</v>
      </c>
      <c r="L33" s="782"/>
      <c r="M33" s="736"/>
      <c r="N33" s="755"/>
      <c r="T33" s="435"/>
      <c r="U33" s="442"/>
    </row>
    <row r="34" spans="1:21" s="120" customFormat="1" ht="27" customHeight="1">
      <c r="A34" s="2011"/>
      <c r="B34" s="546" t="s">
        <v>3922</v>
      </c>
      <c r="C34" s="546"/>
      <c r="D34" s="547" t="s">
        <v>3930</v>
      </c>
      <c r="E34" s="709">
        <v>46086</v>
      </c>
      <c r="F34" s="550">
        <v>46086</v>
      </c>
      <c r="G34" s="528">
        <f>VLOOKUP(F34,환율!A:B,2,0)</f>
        <v>1478.8</v>
      </c>
      <c r="H34" s="551">
        <v>22832.639999999999</v>
      </c>
      <c r="I34" s="530">
        <f t="shared" si="14"/>
        <v>33764908</v>
      </c>
      <c r="J34" s="530"/>
      <c r="K34" s="548">
        <f t="shared" ref="K34:K35" si="18">I34</f>
        <v>33764908</v>
      </c>
      <c r="L34" s="782"/>
      <c r="M34" s="736"/>
      <c r="N34" s="755"/>
      <c r="T34" s="435"/>
      <c r="U34" s="442"/>
    </row>
    <row r="35" spans="1:21" s="120" customFormat="1" ht="27" customHeight="1">
      <c r="A35" s="2011"/>
      <c r="B35" s="546" t="s">
        <v>3923</v>
      </c>
      <c r="C35" s="546"/>
      <c r="D35" s="547" t="s">
        <v>3931</v>
      </c>
      <c r="E35" s="703" t="s">
        <v>4011</v>
      </c>
      <c r="F35" s="550">
        <v>46085</v>
      </c>
      <c r="G35" s="528">
        <f>VLOOKUP(F35,환율!A:B,2,0)</f>
        <v>1464.5</v>
      </c>
      <c r="H35" s="551">
        <v>23716.799999999999</v>
      </c>
      <c r="I35" s="530">
        <f t="shared" si="14"/>
        <v>34733253</v>
      </c>
      <c r="J35" s="530"/>
      <c r="K35" s="548">
        <f t="shared" si="18"/>
        <v>34733253</v>
      </c>
      <c r="L35" s="782"/>
      <c r="M35" s="736"/>
      <c r="N35" s="755"/>
      <c r="T35" s="435"/>
      <c r="U35" s="442"/>
    </row>
    <row r="36" spans="1:21" s="97" customFormat="1" ht="27" customHeight="1">
      <c r="A36" s="2035" t="s">
        <v>10</v>
      </c>
      <c r="B36" s="2036"/>
      <c r="C36" s="2036"/>
      <c r="D36" s="2036"/>
      <c r="E36" s="2036"/>
      <c r="F36" s="2036"/>
      <c r="G36" s="2037"/>
      <c r="H36" s="643">
        <f>SUM(H23:H35)</f>
        <v>378124.72</v>
      </c>
      <c r="I36" s="116">
        <f t="shared" ref="I36:K36" si="19">SUM(I23:I35)</f>
        <v>550803869</v>
      </c>
      <c r="J36" s="116">
        <f t="shared" si="19"/>
        <v>379862534</v>
      </c>
      <c r="K36" s="116">
        <f t="shared" si="19"/>
        <v>170941335</v>
      </c>
      <c r="L36" s="777">
        <v>261614.77</v>
      </c>
      <c r="M36" s="732">
        <v>379862534</v>
      </c>
      <c r="N36" s="749" t="s">
        <v>4019</v>
      </c>
      <c r="O36" s="434"/>
      <c r="P36" s="434"/>
      <c r="Q36" s="434"/>
      <c r="R36" s="434"/>
      <c r="S36" s="434"/>
      <c r="T36" s="434"/>
      <c r="U36" s="441"/>
    </row>
    <row r="37" spans="1:21" s="97" customFormat="1" ht="27" customHeight="1">
      <c r="A37" s="2010" t="s">
        <v>3100</v>
      </c>
      <c r="B37" s="510" t="s">
        <v>3881</v>
      </c>
      <c r="C37" s="561"/>
      <c r="D37" s="460" t="s">
        <v>3882</v>
      </c>
      <c r="E37" s="704">
        <v>46061</v>
      </c>
      <c r="F37" s="465">
        <v>46061</v>
      </c>
      <c r="G37" s="456">
        <f>VLOOKUP(F37,환율!A:B,2,0)</f>
        <v>1464.1</v>
      </c>
      <c r="H37" s="462">
        <v>76584.78</v>
      </c>
      <c r="I37" s="458">
        <f t="shared" ref="I37:I43" si="20">ROUNDDOWN(H37*G37,0)</f>
        <v>112127776</v>
      </c>
      <c r="J37" s="458">
        <f>I37</f>
        <v>112127776</v>
      </c>
      <c r="K37" s="464"/>
      <c r="L37" s="781"/>
      <c r="M37" s="730"/>
      <c r="N37" s="748"/>
      <c r="T37" s="434"/>
      <c r="U37" s="441"/>
    </row>
    <row r="38" spans="1:21" s="97" customFormat="1" ht="27" customHeight="1">
      <c r="A38" s="2011"/>
      <c r="B38" s="510" t="s">
        <v>3813</v>
      </c>
      <c r="C38" s="561"/>
      <c r="D38" s="460" t="s">
        <v>3883</v>
      </c>
      <c r="E38" s="704">
        <v>46061</v>
      </c>
      <c r="F38" s="465">
        <v>46061</v>
      </c>
      <c r="G38" s="456">
        <f>VLOOKUP(F38,환율!A:B,2,0)</f>
        <v>1464.1</v>
      </c>
      <c r="H38" s="462">
        <v>75545.22</v>
      </c>
      <c r="I38" s="458">
        <f t="shared" si="20"/>
        <v>110605756</v>
      </c>
      <c r="J38" s="458">
        <f t="shared" ref="J38:J43" si="21">I38</f>
        <v>110605756</v>
      </c>
      <c r="K38" s="464"/>
      <c r="L38" s="781"/>
      <c r="M38" s="730"/>
      <c r="N38" s="748"/>
      <c r="T38" s="434"/>
      <c r="U38" s="441"/>
    </row>
    <row r="39" spans="1:21" s="97" customFormat="1" ht="27" customHeight="1">
      <c r="A39" s="2011"/>
      <c r="B39" s="510" t="s">
        <v>3814</v>
      </c>
      <c r="C39" s="561"/>
      <c r="D39" s="460" t="s">
        <v>3884</v>
      </c>
      <c r="E39" s="704">
        <v>46062</v>
      </c>
      <c r="F39" s="455">
        <v>46062</v>
      </c>
      <c r="G39" s="456">
        <f>VLOOKUP(F39,환율!A:B,2,0)</f>
        <v>1470.3</v>
      </c>
      <c r="H39" s="462">
        <v>50020.42</v>
      </c>
      <c r="I39" s="458">
        <f t="shared" si="20"/>
        <v>73545023</v>
      </c>
      <c r="J39" s="458">
        <f t="shared" si="21"/>
        <v>73545023</v>
      </c>
      <c r="K39" s="464"/>
      <c r="L39" s="781"/>
      <c r="M39" s="730"/>
      <c r="N39" s="748"/>
      <c r="T39" s="434"/>
      <c r="U39" s="441"/>
    </row>
    <row r="40" spans="1:21" s="97" customFormat="1" ht="27" customHeight="1">
      <c r="A40" s="2011"/>
      <c r="B40" s="510" t="s">
        <v>3885</v>
      </c>
      <c r="C40" s="561"/>
      <c r="D40" s="460" t="s">
        <v>3886</v>
      </c>
      <c r="E40" s="704">
        <v>46068</v>
      </c>
      <c r="F40" s="455">
        <v>46068</v>
      </c>
      <c r="G40" s="456">
        <f>VLOOKUP(F40,환율!A:B,2,0)</f>
        <v>1443.4</v>
      </c>
      <c r="H40" s="462">
        <v>93082.06</v>
      </c>
      <c r="I40" s="458">
        <f t="shared" si="20"/>
        <v>134354645</v>
      </c>
      <c r="J40" s="458">
        <f t="shared" si="21"/>
        <v>134354645</v>
      </c>
      <c r="K40" s="464"/>
      <c r="L40" s="781"/>
      <c r="M40" s="730"/>
      <c r="N40" s="748"/>
      <c r="T40" s="434"/>
      <c r="U40" s="441"/>
    </row>
    <row r="41" spans="1:21" s="97" customFormat="1" ht="27" customHeight="1">
      <c r="A41" s="2011"/>
      <c r="B41" s="510" t="s">
        <v>3887</v>
      </c>
      <c r="C41" s="561"/>
      <c r="D41" s="460" t="s">
        <v>3888</v>
      </c>
      <c r="E41" s="704">
        <v>46068</v>
      </c>
      <c r="F41" s="455">
        <v>46068</v>
      </c>
      <c r="G41" s="456">
        <f>VLOOKUP(F41,환율!A:B,2,0)</f>
        <v>1443.4</v>
      </c>
      <c r="H41" s="462">
        <v>97808.49</v>
      </c>
      <c r="I41" s="458">
        <f t="shared" si="20"/>
        <v>141176774</v>
      </c>
      <c r="J41" s="458">
        <f t="shared" si="21"/>
        <v>141176774</v>
      </c>
      <c r="K41" s="464"/>
      <c r="L41" s="781"/>
      <c r="M41" s="730"/>
      <c r="N41" s="748"/>
      <c r="T41" s="434"/>
      <c r="U41" s="441"/>
    </row>
    <row r="42" spans="1:21" s="126" customFormat="1" ht="27" customHeight="1">
      <c r="A42" s="2011"/>
      <c r="B42" s="510" t="s">
        <v>3889</v>
      </c>
      <c r="C42" s="619"/>
      <c r="D42" s="460" t="s">
        <v>3890</v>
      </c>
      <c r="E42" s="704">
        <v>46054</v>
      </c>
      <c r="F42" s="455">
        <v>46054</v>
      </c>
      <c r="G42" s="456">
        <f>VLOOKUP(F42,환율!A:B,2,0)</f>
        <v>1427</v>
      </c>
      <c r="H42" s="462">
        <v>7038.36</v>
      </c>
      <c r="I42" s="458">
        <f t="shared" si="20"/>
        <v>10043739</v>
      </c>
      <c r="J42" s="458">
        <f t="shared" si="21"/>
        <v>10043739</v>
      </c>
      <c r="K42" s="464"/>
      <c r="L42" s="781"/>
      <c r="M42" s="730"/>
      <c r="N42" s="748"/>
      <c r="O42" s="97"/>
      <c r="P42" s="97"/>
      <c r="Q42" s="97"/>
      <c r="R42" s="97"/>
      <c r="S42" s="97"/>
      <c r="T42" s="436"/>
      <c r="U42" s="443"/>
    </row>
    <row r="43" spans="1:21" s="126" customFormat="1" ht="27" customHeight="1">
      <c r="A43" s="2011"/>
      <c r="B43" s="510" t="s">
        <v>3935</v>
      </c>
      <c r="C43" s="619"/>
      <c r="D43" s="460" t="s">
        <v>3891</v>
      </c>
      <c r="E43" s="704">
        <v>46054</v>
      </c>
      <c r="F43" s="455">
        <v>46054</v>
      </c>
      <c r="G43" s="456">
        <f>VLOOKUP(F43,환율!A:B,2,0)</f>
        <v>1427</v>
      </c>
      <c r="H43" s="462">
        <v>891.52</v>
      </c>
      <c r="I43" s="458">
        <f t="shared" si="20"/>
        <v>1272199</v>
      </c>
      <c r="J43" s="458">
        <f t="shared" si="21"/>
        <v>1272199</v>
      </c>
      <c r="K43" s="464">
        <f>SUM(J37:J43)</f>
        <v>583125912</v>
      </c>
      <c r="L43" s="781"/>
      <c r="M43" s="730"/>
      <c r="N43" s="748"/>
      <c r="O43" s="97"/>
      <c r="P43" s="97"/>
      <c r="Q43" s="97"/>
      <c r="R43" s="97"/>
      <c r="S43" s="97"/>
      <c r="T43" s="436"/>
      <c r="U43" s="443"/>
    </row>
    <row r="44" spans="1:21" s="126" customFormat="1" ht="27" customHeight="1">
      <c r="A44" s="2011"/>
      <c r="B44" s="513" t="s">
        <v>3936</v>
      </c>
      <c r="C44" s="563"/>
      <c r="D44" s="129" t="s">
        <v>3944</v>
      </c>
      <c r="E44" s="705">
        <v>46069</v>
      </c>
      <c r="F44" s="136">
        <v>46069</v>
      </c>
      <c r="G44" s="91">
        <f>VLOOKUP(F44,환율!A:B,2,0)</f>
        <v>1443.4</v>
      </c>
      <c r="H44" s="134">
        <v>22934.7</v>
      </c>
      <c r="I44" s="93">
        <f t="shared" ref="I44:I60" si="22">ROUNDDOWN(H44*G44,0)</f>
        <v>33103945</v>
      </c>
      <c r="J44" s="93">
        <f t="shared" ref="J44:J47" si="23">I44</f>
        <v>33103945</v>
      </c>
      <c r="K44" s="254"/>
      <c r="L44" s="780"/>
      <c r="M44" s="735"/>
      <c r="N44" s="754"/>
      <c r="O44" s="97"/>
      <c r="P44" s="97"/>
      <c r="Q44" s="97"/>
      <c r="R44" s="97"/>
      <c r="S44" s="97"/>
      <c r="T44" s="436"/>
      <c r="U44" s="443"/>
    </row>
    <row r="45" spans="1:21" s="126" customFormat="1" ht="27" customHeight="1">
      <c r="A45" s="2011"/>
      <c r="B45" s="513" t="s">
        <v>3937</v>
      </c>
      <c r="C45" s="563"/>
      <c r="D45" s="129" t="s">
        <v>3945</v>
      </c>
      <c r="E45" s="705">
        <v>46079</v>
      </c>
      <c r="F45" s="136">
        <v>46079</v>
      </c>
      <c r="G45" s="91">
        <f>VLOOKUP(F45,환율!A:B,2,0)</f>
        <v>1435.3</v>
      </c>
      <c r="H45" s="134">
        <v>65995.72</v>
      </c>
      <c r="I45" s="93">
        <f t="shared" si="22"/>
        <v>94723656</v>
      </c>
      <c r="J45" s="93">
        <f t="shared" si="23"/>
        <v>94723656</v>
      </c>
      <c r="K45" s="254"/>
      <c r="L45" s="780"/>
      <c r="M45" s="735"/>
      <c r="N45" s="754"/>
      <c r="O45" s="97"/>
      <c r="P45" s="97"/>
      <c r="Q45" s="97"/>
      <c r="R45" s="97"/>
      <c r="S45" s="97"/>
      <c r="T45" s="436"/>
      <c r="U45" s="443"/>
    </row>
    <row r="46" spans="1:21" s="126" customFormat="1" ht="27" customHeight="1">
      <c r="A46" s="2011"/>
      <c r="B46" s="513" t="s">
        <v>3938</v>
      </c>
      <c r="C46" s="563"/>
      <c r="D46" s="129" t="s">
        <v>3946</v>
      </c>
      <c r="E46" s="705">
        <v>46076</v>
      </c>
      <c r="F46" s="136">
        <v>46076</v>
      </c>
      <c r="G46" s="91">
        <f>VLOOKUP(F46,환율!A:B,2,0)</f>
        <v>1448.7</v>
      </c>
      <c r="H46" s="134">
        <v>66278.48</v>
      </c>
      <c r="I46" s="93">
        <f t="shared" si="22"/>
        <v>96017633</v>
      </c>
      <c r="J46" s="93">
        <f t="shared" si="23"/>
        <v>96017633</v>
      </c>
      <c r="K46" s="254"/>
      <c r="L46" s="780"/>
      <c r="M46" s="735"/>
      <c r="N46" s="754"/>
      <c r="O46" s="97"/>
      <c r="P46" s="97"/>
      <c r="Q46" s="97"/>
      <c r="R46" s="97"/>
      <c r="S46" s="97"/>
      <c r="T46" s="436"/>
      <c r="U46" s="443"/>
    </row>
    <row r="47" spans="1:21" s="126" customFormat="1" ht="27" customHeight="1">
      <c r="A47" s="2011"/>
      <c r="B47" s="513" t="s">
        <v>3939</v>
      </c>
      <c r="C47" s="563"/>
      <c r="D47" s="129" t="s">
        <v>3947</v>
      </c>
      <c r="E47" s="705">
        <v>46076</v>
      </c>
      <c r="F47" s="136">
        <v>46076</v>
      </c>
      <c r="G47" s="91">
        <f>VLOOKUP(F47,환율!A:B,2,0)</f>
        <v>1448.7</v>
      </c>
      <c r="H47" s="134">
        <v>65076.480000000003</v>
      </c>
      <c r="I47" s="93">
        <f t="shared" si="22"/>
        <v>94276296</v>
      </c>
      <c r="J47" s="93">
        <f t="shared" si="23"/>
        <v>94276296</v>
      </c>
      <c r="K47" s="254"/>
      <c r="L47" s="780"/>
      <c r="M47" s="735"/>
      <c r="N47" s="754"/>
      <c r="O47" s="97"/>
      <c r="P47" s="97"/>
      <c r="Q47" s="97"/>
      <c r="R47" s="97"/>
      <c r="S47" s="97"/>
      <c r="T47" s="436"/>
      <c r="U47" s="443"/>
    </row>
    <row r="48" spans="1:21" s="126" customFormat="1" ht="27" customHeight="1">
      <c r="A48" s="2011"/>
      <c r="B48" s="513" t="s">
        <v>3942</v>
      </c>
      <c r="C48" s="563"/>
      <c r="D48" s="129" t="s">
        <v>3950</v>
      </c>
      <c r="E48" s="705">
        <v>46080</v>
      </c>
      <c r="F48" s="136">
        <v>46080</v>
      </c>
      <c r="G48" s="91">
        <f>VLOOKUP(F48,환율!A:B,2,0)</f>
        <v>1424.5</v>
      </c>
      <c r="H48" s="134">
        <v>14021.88</v>
      </c>
      <c r="I48" s="93">
        <f t="shared" ref="I48:I51" si="24">ROUNDDOWN(H48*G48,0)</f>
        <v>19974168</v>
      </c>
      <c r="J48" s="93">
        <f t="shared" ref="J48:J51" si="25">I48</f>
        <v>19974168</v>
      </c>
      <c r="K48" s="254"/>
      <c r="L48" s="780"/>
      <c r="M48" s="735"/>
      <c r="N48" s="754"/>
      <c r="O48" s="97"/>
      <c r="P48" s="97"/>
      <c r="Q48" s="97"/>
      <c r="R48" s="97"/>
      <c r="S48" s="97"/>
      <c r="T48" s="436"/>
      <c r="U48" s="443"/>
    </row>
    <row r="49" spans="1:21" s="126" customFormat="1" ht="27" customHeight="1">
      <c r="A49" s="2011"/>
      <c r="B49" s="513" t="s">
        <v>3943</v>
      </c>
      <c r="C49" s="563"/>
      <c r="D49" s="129" t="s">
        <v>3951</v>
      </c>
      <c r="E49" s="705">
        <v>46076</v>
      </c>
      <c r="F49" s="136">
        <v>46076</v>
      </c>
      <c r="G49" s="91">
        <f>VLOOKUP(F49,환율!A:B,2,0)</f>
        <v>1448.7</v>
      </c>
      <c r="H49" s="134">
        <v>36779.4</v>
      </c>
      <c r="I49" s="93">
        <f t="shared" si="24"/>
        <v>53282316</v>
      </c>
      <c r="J49" s="93">
        <f t="shared" si="25"/>
        <v>53282316</v>
      </c>
      <c r="K49" s="254"/>
      <c r="L49" s="780"/>
      <c r="M49" s="735"/>
      <c r="N49" s="754"/>
      <c r="O49" s="97"/>
      <c r="P49" s="97"/>
      <c r="Q49" s="97"/>
      <c r="R49" s="97"/>
      <c r="S49" s="97"/>
      <c r="T49" s="436"/>
      <c r="U49" s="443"/>
    </row>
    <row r="50" spans="1:21" s="126" customFormat="1" ht="27" customHeight="1">
      <c r="A50" s="2011"/>
      <c r="B50" s="513" t="s">
        <v>3954</v>
      </c>
      <c r="C50" s="563"/>
      <c r="D50" s="129" t="s">
        <v>3961</v>
      </c>
      <c r="E50" s="705">
        <v>46076</v>
      </c>
      <c r="F50" s="136">
        <v>46076</v>
      </c>
      <c r="G50" s="91">
        <f>VLOOKUP(F50,환율!A:B,2,0)</f>
        <v>1448.7</v>
      </c>
      <c r="H50" s="134">
        <v>79506.960000000006</v>
      </c>
      <c r="I50" s="93">
        <f t="shared" si="24"/>
        <v>115181732</v>
      </c>
      <c r="J50" s="93">
        <f t="shared" si="25"/>
        <v>115181732</v>
      </c>
      <c r="K50" s="254"/>
      <c r="L50" s="780"/>
      <c r="M50" s="735"/>
      <c r="N50" s="754"/>
      <c r="O50" s="97"/>
      <c r="P50" s="97"/>
      <c r="Q50" s="97"/>
      <c r="R50" s="97"/>
      <c r="S50" s="97"/>
      <c r="T50" s="436"/>
      <c r="U50" s="443"/>
    </row>
    <row r="51" spans="1:21" s="126" customFormat="1" ht="27" customHeight="1">
      <c r="A51" s="2011"/>
      <c r="B51" s="513" t="s">
        <v>3967</v>
      </c>
      <c r="C51" s="563"/>
      <c r="D51" s="129" t="s">
        <v>3969</v>
      </c>
      <c r="E51" s="705">
        <v>46065</v>
      </c>
      <c r="F51" s="136">
        <v>46065</v>
      </c>
      <c r="G51" s="91">
        <f>VLOOKUP(F51,환율!A:B,2,0)</f>
        <v>1454.4</v>
      </c>
      <c r="H51" s="134">
        <v>7038.36</v>
      </c>
      <c r="I51" s="93">
        <f t="shared" si="24"/>
        <v>10236590</v>
      </c>
      <c r="J51" s="93">
        <f t="shared" si="25"/>
        <v>10236590</v>
      </c>
      <c r="K51" s="254"/>
      <c r="L51" s="780"/>
      <c r="M51" s="735"/>
      <c r="N51" s="754"/>
      <c r="O51" s="97"/>
      <c r="P51" s="97"/>
      <c r="Q51" s="97"/>
      <c r="R51" s="97"/>
      <c r="S51" s="97"/>
      <c r="T51" s="436"/>
      <c r="U51" s="443"/>
    </row>
    <row r="52" spans="1:21" s="126" customFormat="1" ht="27" customHeight="1">
      <c r="A52" s="2011"/>
      <c r="B52" s="556" t="s">
        <v>3940</v>
      </c>
      <c r="C52" s="564"/>
      <c r="D52" s="557" t="s">
        <v>3948</v>
      </c>
      <c r="E52" s="703" t="s">
        <v>4011</v>
      </c>
      <c r="F52" s="550">
        <v>46085</v>
      </c>
      <c r="G52" s="528">
        <f>VLOOKUP(F52,환율!A:B,2,0)</f>
        <v>1464.5</v>
      </c>
      <c r="H52" s="551">
        <v>752.84</v>
      </c>
      <c r="I52" s="530">
        <f t="shared" si="22"/>
        <v>1102534</v>
      </c>
      <c r="J52" s="530"/>
      <c r="K52" s="548">
        <f>I52</f>
        <v>1102534</v>
      </c>
      <c r="L52" s="782"/>
      <c r="M52" s="736"/>
      <c r="N52" s="755"/>
      <c r="O52" s="97"/>
      <c r="P52" s="97"/>
      <c r="Q52" s="97"/>
      <c r="R52" s="97"/>
      <c r="S52" s="97"/>
      <c r="T52" s="436"/>
      <c r="U52" s="443"/>
    </row>
    <row r="53" spans="1:21" s="126" customFormat="1" ht="27" customHeight="1">
      <c r="A53" s="2011"/>
      <c r="B53" s="556" t="s">
        <v>3941</v>
      </c>
      <c r="C53" s="564"/>
      <c r="D53" s="557" t="s">
        <v>3949</v>
      </c>
      <c r="E53" s="703" t="s">
        <v>4011</v>
      </c>
      <c r="F53" s="550">
        <v>46091</v>
      </c>
      <c r="G53" s="528">
        <f>VLOOKUP(F53,환율!A:B,2,0)</f>
        <v>1493.1</v>
      </c>
      <c r="H53" s="551">
        <v>7619.84</v>
      </c>
      <c r="I53" s="530">
        <f t="shared" si="22"/>
        <v>11377183</v>
      </c>
      <c r="J53" s="530"/>
      <c r="K53" s="548">
        <f t="shared" ref="K53:K62" si="26">I53</f>
        <v>11377183</v>
      </c>
      <c r="L53" s="782"/>
      <c r="M53" s="736"/>
      <c r="N53" s="755"/>
      <c r="O53" s="97"/>
      <c r="P53" s="97"/>
      <c r="Q53" s="97"/>
      <c r="R53" s="97"/>
      <c r="S53" s="97"/>
      <c r="T53" s="436"/>
      <c r="U53" s="443"/>
    </row>
    <row r="54" spans="1:21" s="126" customFormat="1" ht="27" customHeight="1">
      <c r="A54" s="2011"/>
      <c r="B54" s="556" t="s">
        <v>3952</v>
      </c>
      <c r="C54" s="564"/>
      <c r="D54" s="556" t="s">
        <v>3959</v>
      </c>
      <c r="E54" s="707">
        <v>46084</v>
      </c>
      <c r="F54" s="550">
        <v>46084</v>
      </c>
      <c r="G54" s="528">
        <f>VLOOKUP(F54,환율!A:B,2,0)</f>
        <v>1435.4</v>
      </c>
      <c r="H54" s="551">
        <v>100541.24</v>
      </c>
      <c r="I54" s="530">
        <f t="shared" si="22"/>
        <v>144316895</v>
      </c>
      <c r="J54" s="530"/>
      <c r="K54" s="548">
        <f t="shared" si="26"/>
        <v>144316895</v>
      </c>
      <c r="L54" s="782"/>
      <c r="M54" s="736"/>
      <c r="N54" s="755"/>
      <c r="O54" s="97"/>
      <c r="P54" s="97"/>
      <c r="Q54" s="97"/>
      <c r="R54" s="97"/>
      <c r="S54" s="97"/>
      <c r="T54" s="436"/>
      <c r="U54" s="443"/>
    </row>
    <row r="55" spans="1:21" s="126" customFormat="1" ht="27" customHeight="1">
      <c r="A55" s="2011"/>
      <c r="B55" s="556" t="s">
        <v>3953</v>
      </c>
      <c r="C55" s="564"/>
      <c r="D55" s="557" t="s">
        <v>3960</v>
      </c>
      <c r="E55" s="707">
        <v>46084</v>
      </c>
      <c r="F55" s="550">
        <v>46084</v>
      </c>
      <c r="G55" s="528">
        <f>VLOOKUP(F55,환율!A:B,2,0)</f>
        <v>1435.4</v>
      </c>
      <c r="H55" s="551">
        <v>81853.14</v>
      </c>
      <c r="I55" s="530">
        <f t="shared" si="22"/>
        <v>117491997</v>
      </c>
      <c r="J55" s="530"/>
      <c r="K55" s="548">
        <f t="shared" si="26"/>
        <v>117491997</v>
      </c>
      <c r="L55" s="782"/>
      <c r="M55" s="736"/>
      <c r="N55" s="755"/>
      <c r="O55" s="97"/>
      <c r="P55" s="97"/>
      <c r="Q55" s="97"/>
      <c r="R55" s="97"/>
      <c r="S55" s="97"/>
      <c r="T55" s="436"/>
      <c r="U55" s="443"/>
    </row>
    <row r="56" spans="1:21" s="126" customFormat="1" ht="27" customHeight="1">
      <c r="A56" s="2011"/>
      <c r="B56" s="556" t="s">
        <v>3955</v>
      </c>
      <c r="C56" s="564"/>
      <c r="D56" s="557" t="s">
        <v>3962</v>
      </c>
      <c r="E56" s="703" t="s">
        <v>4011</v>
      </c>
      <c r="F56" s="527">
        <v>46087</v>
      </c>
      <c r="G56" s="528">
        <f>VLOOKUP(F56,환율!A:B,2,0)</f>
        <v>1464.3</v>
      </c>
      <c r="H56" s="551">
        <v>21563.5</v>
      </c>
      <c r="I56" s="530">
        <f t="shared" si="22"/>
        <v>31575433</v>
      </c>
      <c r="J56" s="530"/>
      <c r="K56" s="548">
        <f t="shared" si="26"/>
        <v>31575433</v>
      </c>
      <c r="L56" s="782"/>
      <c r="M56" s="736"/>
      <c r="N56" s="755"/>
      <c r="O56" s="97"/>
      <c r="P56" s="97"/>
      <c r="Q56" s="97"/>
      <c r="R56" s="97"/>
      <c r="S56" s="97"/>
      <c r="T56" s="436"/>
      <c r="U56" s="443"/>
    </row>
    <row r="57" spans="1:21" s="126" customFormat="1" ht="27" customHeight="1">
      <c r="A57" s="2011"/>
      <c r="B57" s="556" t="s">
        <v>3956</v>
      </c>
      <c r="C57" s="564"/>
      <c r="D57" s="557" t="s">
        <v>3963</v>
      </c>
      <c r="E57" s="707">
        <v>46086</v>
      </c>
      <c r="F57" s="527">
        <v>46086</v>
      </c>
      <c r="G57" s="528">
        <f>VLOOKUP(F57,환율!A:B,2,0)</f>
        <v>1478.8</v>
      </c>
      <c r="H57" s="551">
        <v>41282.46</v>
      </c>
      <c r="I57" s="530">
        <f t="shared" si="22"/>
        <v>61048501</v>
      </c>
      <c r="J57" s="530"/>
      <c r="K57" s="548">
        <f t="shared" si="26"/>
        <v>61048501</v>
      </c>
      <c r="L57" s="782"/>
      <c r="M57" s="736"/>
      <c r="N57" s="755"/>
      <c r="O57" s="97"/>
      <c r="P57" s="97"/>
      <c r="Q57" s="97"/>
      <c r="R57" s="97"/>
      <c r="S57" s="97"/>
      <c r="T57" s="436"/>
      <c r="U57" s="443"/>
    </row>
    <row r="58" spans="1:21" s="126" customFormat="1" ht="27" customHeight="1">
      <c r="A58" s="2011"/>
      <c r="B58" s="556" t="s">
        <v>3957</v>
      </c>
      <c r="C58" s="564"/>
      <c r="D58" s="557" t="s">
        <v>3964</v>
      </c>
      <c r="E58" s="707">
        <v>46086</v>
      </c>
      <c r="F58" s="527">
        <v>46086</v>
      </c>
      <c r="G58" s="528">
        <f>VLOOKUP(F58,환율!A:B,2,0)</f>
        <v>1478.8</v>
      </c>
      <c r="H58" s="551">
        <v>113072.4</v>
      </c>
      <c r="I58" s="530">
        <f t="shared" si="22"/>
        <v>167211465</v>
      </c>
      <c r="J58" s="530"/>
      <c r="K58" s="548">
        <f t="shared" si="26"/>
        <v>167211465</v>
      </c>
      <c r="L58" s="782"/>
      <c r="M58" s="736"/>
      <c r="N58" s="755"/>
      <c r="O58" s="97"/>
      <c r="P58" s="97"/>
      <c r="Q58" s="97"/>
      <c r="R58" s="97"/>
      <c r="S58" s="97"/>
      <c r="T58" s="436"/>
      <c r="U58" s="443"/>
    </row>
    <row r="59" spans="1:21" s="126" customFormat="1" ht="27" customHeight="1">
      <c r="A59" s="2011"/>
      <c r="B59" s="556" t="s">
        <v>3958</v>
      </c>
      <c r="C59" s="556"/>
      <c r="D59" s="552" t="s">
        <v>3965</v>
      </c>
      <c r="E59" s="703" t="s">
        <v>4011</v>
      </c>
      <c r="F59" s="547">
        <v>46091</v>
      </c>
      <c r="G59" s="528">
        <f>VLOOKUP(F59,환율!A:B,2,0)</f>
        <v>1493.1</v>
      </c>
      <c r="H59" s="554">
        <v>63752.86</v>
      </c>
      <c r="I59" s="530">
        <f t="shared" si="22"/>
        <v>95189395</v>
      </c>
      <c r="J59" s="530"/>
      <c r="K59" s="604">
        <f t="shared" si="26"/>
        <v>95189395</v>
      </c>
      <c r="L59" s="783"/>
      <c r="M59" s="736"/>
      <c r="N59" s="757"/>
      <c r="O59" s="97"/>
      <c r="P59" s="97"/>
      <c r="Q59" s="97"/>
      <c r="R59" s="97"/>
      <c r="S59" s="97"/>
      <c r="T59" s="436"/>
      <c r="U59" s="443"/>
    </row>
    <row r="60" spans="1:21" s="126" customFormat="1" ht="27" customHeight="1">
      <c r="A60" s="2011"/>
      <c r="B60" s="556" t="s">
        <v>3966</v>
      </c>
      <c r="C60" s="556"/>
      <c r="D60" s="552" t="s">
        <v>3968</v>
      </c>
      <c r="E60" s="703" t="s">
        <v>4011</v>
      </c>
      <c r="F60" s="547">
        <v>46085</v>
      </c>
      <c r="G60" s="528">
        <f>VLOOKUP(F60,환율!A:B,2,0)</f>
        <v>1464.5</v>
      </c>
      <c r="H60" s="554">
        <v>2440</v>
      </c>
      <c r="I60" s="530">
        <f t="shared" si="22"/>
        <v>3573380</v>
      </c>
      <c r="J60" s="530"/>
      <c r="K60" s="604">
        <f t="shared" si="26"/>
        <v>3573380</v>
      </c>
      <c r="L60" s="783"/>
      <c r="M60" s="736"/>
      <c r="N60" s="757"/>
      <c r="O60" s="97"/>
      <c r="P60" s="97"/>
      <c r="Q60" s="97"/>
      <c r="R60" s="97"/>
      <c r="S60" s="97"/>
      <c r="T60" s="436"/>
      <c r="U60" s="443"/>
    </row>
    <row r="61" spans="1:21" s="126" customFormat="1" ht="27" customHeight="1">
      <c r="A61" s="2011"/>
      <c r="B61" s="556" t="s">
        <v>4015</v>
      </c>
      <c r="C61" s="556"/>
      <c r="D61" s="552" t="s">
        <v>3971</v>
      </c>
      <c r="E61" s="708">
        <v>46083</v>
      </c>
      <c r="F61" s="547">
        <v>46080</v>
      </c>
      <c r="G61" s="528">
        <f>VLOOKUP(F61,환율!A:B,2,0)</f>
        <v>1424.5</v>
      </c>
      <c r="H61" s="554">
        <v>1340.64</v>
      </c>
      <c r="I61" s="530">
        <f t="shared" ref="I61" si="27">ROUNDDOWN(H61*G61,0)</f>
        <v>1909741</v>
      </c>
      <c r="J61" s="530"/>
      <c r="K61" s="548">
        <f>I61</f>
        <v>1909741</v>
      </c>
      <c r="L61" s="782"/>
      <c r="M61" s="736"/>
      <c r="N61" s="755"/>
      <c r="O61" s="97"/>
      <c r="P61" s="97"/>
      <c r="Q61" s="97"/>
      <c r="R61" s="97"/>
      <c r="S61" s="97"/>
      <c r="T61" s="436"/>
      <c r="U61" s="443"/>
    </row>
    <row r="62" spans="1:21" s="126" customFormat="1" ht="27" customHeight="1">
      <c r="A62" s="2019"/>
      <c r="B62" s="556" t="s">
        <v>3970</v>
      </c>
      <c r="C62" s="556"/>
      <c r="D62" s="552" t="s">
        <v>3972</v>
      </c>
      <c r="E62" s="708">
        <v>46090</v>
      </c>
      <c r="F62" s="547">
        <v>46090</v>
      </c>
      <c r="G62" s="528">
        <f>VLOOKUP(F62,환율!A:B,2,0)</f>
        <v>1474.5</v>
      </c>
      <c r="H62" s="554">
        <v>7038.36</v>
      </c>
      <c r="I62" s="530">
        <f>ROUNDDOWN(H62*G62,0)</f>
        <v>10378061</v>
      </c>
      <c r="J62" s="530"/>
      <c r="K62" s="604">
        <f t="shared" si="26"/>
        <v>10378061</v>
      </c>
      <c r="L62" s="783"/>
      <c r="M62" s="736"/>
      <c r="N62" s="757"/>
      <c r="O62" s="97"/>
      <c r="P62" s="97"/>
      <c r="Q62" s="97"/>
      <c r="R62" s="97"/>
      <c r="S62" s="97"/>
      <c r="T62" s="436"/>
      <c r="U62" s="443"/>
    </row>
    <row r="63" spans="1:21" s="97" customFormat="1" ht="27" customHeight="1">
      <c r="A63" s="361" t="s">
        <v>10</v>
      </c>
      <c r="B63" s="113"/>
      <c r="C63" s="113"/>
      <c r="D63" s="113"/>
      <c r="E63" s="113"/>
      <c r="F63" s="113"/>
      <c r="G63" s="114"/>
      <c r="H63" s="643">
        <f>SUM(H37:H62)</f>
        <v>1199860.1099999999</v>
      </c>
      <c r="I63" s="116">
        <f>SUM(I37:I62)</f>
        <v>1745096833</v>
      </c>
      <c r="J63" s="116">
        <f>SUM(J37:J62)</f>
        <v>1099922248</v>
      </c>
      <c r="K63" s="260">
        <f>SUM(K37:K62)</f>
        <v>1228300497</v>
      </c>
      <c r="L63" s="777">
        <v>758602.83</v>
      </c>
      <c r="M63" s="732">
        <v>1099922248</v>
      </c>
      <c r="N63" s="751" t="s">
        <v>4019</v>
      </c>
      <c r="O63" s="434"/>
      <c r="P63" s="434"/>
      <c r="Q63" s="434"/>
      <c r="R63" s="434"/>
      <c r="S63" s="434"/>
      <c r="T63" s="434"/>
      <c r="U63" s="441"/>
    </row>
    <row r="64" spans="1:21" s="97" customFormat="1" ht="39" customHeight="1">
      <c r="A64" s="2010" t="s">
        <v>3101</v>
      </c>
      <c r="B64" s="513" t="s">
        <v>3999</v>
      </c>
      <c r="C64" s="513"/>
      <c r="D64" s="513" t="s">
        <v>4000</v>
      </c>
      <c r="E64" s="702">
        <v>46063</v>
      </c>
      <c r="F64" s="89">
        <v>46062</v>
      </c>
      <c r="G64" s="91">
        <f>VLOOKUP(F64,환율!A:B,2,0)</f>
        <v>1470.3</v>
      </c>
      <c r="H64" s="118">
        <v>65644.2</v>
      </c>
      <c r="I64" s="93">
        <f t="shared" ref="I64:I67" si="28">ROUNDDOWN(H64*G64,0)</f>
        <v>96516667</v>
      </c>
      <c r="J64" s="93">
        <f>I64</f>
        <v>96516667</v>
      </c>
      <c r="K64" s="254"/>
      <c r="L64" s="780"/>
      <c r="M64" s="735"/>
      <c r="N64" s="754"/>
      <c r="T64" s="434"/>
      <c r="U64" s="441"/>
    </row>
    <row r="65" spans="1:21" s="97" customFormat="1" ht="39" customHeight="1">
      <c r="A65" s="2011"/>
      <c r="B65" s="556" t="s">
        <v>4001</v>
      </c>
      <c r="C65" s="556"/>
      <c r="D65" s="556" t="s">
        <v>4002</v>
      </c>
      <c r="E65" s="709">
        <v>46085</v>
      </c>
      <c r="F65" s="547">
        <v>46085</v>
      </c>
      <c r="G65" s="528">
        <f>VLOOKUP(F65,환율!A:B,2,0)</f>
        <v>1464.5</v>
      </c>
      <c r="H65" s="554">
        <v>122819.52</v>
      </c>
      <c r="I65" s="530">
        <f t="shared" si="28"/>
        <v>179869187</v>
      </c>
      <c r="J65" s="530"/>
      <c r="K65" s="548">
        <f>I65</f>
        <v>179869187</v>
      </c>
      <c r="L65" s="782"/>
      <c r="M65" s="736"/>
      <c r="N65" s="755"/>
      <c r="T65" s="434"/>
      <c r="U65" s="441"/>
    </row>
    <row r="66" spans="1:21" s="97" customFormat="1" ht="39" customHeight="1">
      <c r="A66" s="2011"/>
      <c r="B66" s="556" t="s">
        <v>4003</v>
      </c>
      <c r="C66" s="556"/>
      <c r="D66" s="556" t="s">
        <v>4021</v>
      </c>
      <c r="E66" s="703" t="s">
        <v>4011</v>
      </c>
      <c r="F66" s="547">
        <v>46085</v>
      </c>
      <c r="G66" s="528">
        <f>VLOOKUP(F66,환율!A:B,2,0)</f>
        <v>1464.5</v>
      </c>
      <c r="H66" s="554">
        <v>128.63999999999999</v>
      </c>
      <c r="I66" s="530">
        <f t="shared" ref="I66" si="29">ROUNDDOWN(H66*G66,0)</f>
        <v>188393</v>
      </c>
      <c r="J66" s="530"/>
      <c r="K66" s="548">
        <f>I66</f>
        <v>188393</v>
      </c>
      <c r="L66" s="782"/>
      <c r="M66" s="736"/>
      <c r="N66" s="755"/>
      <c r="T66" s="434"/>
      <c r="U66" s="441"/>
    </row>
    <row r="67" spans="1:21" s="97" customFormat="1" ht="39" customHeight="1">
      <c r="A67" s="2019"/>
      <c r="B67" s="556" t="s">
        <v>4022</v>
      </c>
      <c r="C67" s="556"/>
      <c r="D67" s="556" t="s">
        <v>4021</v>
      </c>
      <c r="E67" s="703" t="s">
        <v>4011</v>
      </c>
      <c r="F67" s="547">
        <v>46085</v>
      </c>
      <c r="G67" s="528">
        <f>VLOOKUP(F67,환율!A:B,2,0)</f>
        <v>1464.5</v>
      </c>
      <c r="H67" s="554">
        <v>583.36</v>
      </c>
      <c r="I67" s="530">
        <f t="shared" si="28"/>
        <v>854330</v>
      </c>
      <c r="J67" s="530"/>
      <c r="K67" s="548">
        <f>I67</f>
        <v>854330</v>
      </c>
      <c r="L67" s="782"/>
      <c r="M67" s="736"/>
      <c r="N67" s="755"/>
      <c r="T67" s="434"/>
      <c r="U67" s="441"/>
    </row>
    <row r="68" spans="1:21" s="97" customFormat="1" ht="27" customHeight="1">
      <c r="A68" s="361" t="s">
        <v>10</v>
      </c>
      <c r="B68" s="113"/>
      <c r="C68" s="113"/>
      <c r="D68" s="113"/>
      <c r="E68" s="113"/>
      <c r="F68" s="113"/>
      <c r="G68" s="114"/>
      <c r="H68" s="643">
        <f>SUM(H64:H67)</f>
        <v>189175.72</v>
      </c>
      <c r="I68" s="116">
        <f t="shared" ref="I68:K68" si="30">SUM(I64:I67)</f>
        <v>277428577</v>
      </c>
      <c r="J68" s="116">
        <f t="shared" si="30"/>
        <v>96516667</v>
      </c>
      <c r="K68" s="260">
        <f t="shared" si="30"/>
        <v>180911910</v>
      </c>
      <c r="L68" s="777">
        <v>65644.2</v>
      </c>
      <c r="M68" s="732">
        <v>96516667</v>
      </c>
      <c r="N68" s="751" t="s">
        <v>4019</v>
      </c>
      <c r="O68" s="434"/>
      <c r="P68" s="434"/>
      <c r="Q68" s="434"/>
      <c r="R68" s="434"/>
      <c r="S68" s="434"/>
      <c r="T68" s="434"/>
      <c r="U68" s="441"/>
    </row>
    <row r="69" spans="1:21" s="97" customFormat="1" ht="27" customHeight="1">
      <c r="A69" s="2012" t="s">
        <v>3102</v>
      </c>
      <c r="B69" s="510" t="s">
        <v>3899</v>
      </c>
      <c r="C69" s="619" t="s">
        <v>2504</v>
      </c>
      <c r="D69" s="460" t="s">
        <v>3892</v>
      </c>
      <c r="E69" s="704">
        <v>46062</v>
      </c>
      <c r="F69" s="455">
        <v>46062</v>
      </c>
      <c r="G69" s="456">
        <f>VLOOKUP(F69,환율!A:B,2,0)</f>
        <v>1470.3</v>
      </c>
      <c r="H69" s="462"/>
      <c r="I69" s="458">
        <v>121332860</v>
      </c>
      <c r="J69" s="458">
        <f>I69</f>
        <v>121332860</v>
      </c>
      <c r="K69" s="464"/>
      <c r="L69" s="781"/>
      <c r="M69" s="730"/>
      <c r="N69" s="748"/>
      <c r="T69" s="434"/>
      <c r="U69" s="441"/>
    </row>
    <row r="70" spans="1:21" s="97" customFormat="1" ht="27" customHeight="1">
      <c r="A70" s="2053"/>
      <c r="B70" s="510" t="s">
        <v>3900</v>
      </c>
      <c r="C70" s="619" t="s">
        <v>2504</v>
      </c>
      <c r="D70" s="460" t="s">
        <v>3901</v>
      </c>
      <c r="E70" s="704">
        <v>46066</v>
      </c>
      <c r="F70" s="455">
        <v>46066</v>
      </c>
      <c r="G70" s="456">
        <f>VLOOKUP(F70,환율!A:B,2,0)</f>
        <v>1443.4</v>
      </c>
      <c r="H70" s="462"/>
      <c r="I70" s="458">
        <v>7669710</v>
      </c>
      <c r="J70" s="458">
        <f>I70</f>
        <v>7669710</v>
      </c>
      <c r="K70" s="464"/>
      <c r="L70" s="781"/>
      <c r="M70" s="730"/>
      <c r="N70" s="748"/>
      <c r="T70" s="434"/>
      <c r="U70" s="441"/>
    </row>
    <row r="71" spans="1:21" s="97" customFormat="1" ht="27" customHeight="1">
      <c r="A71" s="2053"/>
      <c r="B71" s="524" t="s">
        <v>3973</v>
      </c>
      <c r="C71" s="546"/>
      <c r="D71" s="524" t="s">
        <v>3977</v>
      </c>
      <c r="E71" s="708">
        <v>46082</v>
      </c>
      <c r="F71" s="547">
        <v>46082</v>
      </c>
      <c r="G71" s="528">
        <f>VLOOKUP(F71,환율!A:B,2,0)</f>
        <v>1424.5</v>
      </c>
      <c r="H71" s="554"/>
      <c r="I71" s="530">
        <v>6064021</v>
      </c>
      <c r="J71" s="530"/>
      <c r="K71" s="548">
        <f>I71</f>
        <v>6064021</v>
      </c>
      <c r="L71" s="782"/>
      <c r="M71" s="736"/>
      <c r="N71" s="755"/>
      <c r="T71" s="434"/>
      <c r="U71" s="441"/>
    </row>
    <row r="72" spans="1:21" s="97" customFormat="1" ht="27" customHeight="1">
      <c r="A72" s="2053"/>
      <c r="B72" s="524" t="s">
        <v>3974</v>
      </c>
      <c r="C72" s="546"/>
      <c r="D72" s="524" t="s">
        <v>4004</v>
      </c>
      <c r="E72" s="703" t="s">
        <v>4011</v>
      </c>
      <c r="F72" s="547">
        <v>46082</v>
      </c>
      <c r="G72" s="528">
        <f>VLOOKUP(F72,환율!A:B,2,0)</f>
        <v>1424.5</v>
      </c>
      <c r="H72" s="554"/>
      <c r="I72" s="530">
        <v>93030844</v>
      </c>
      <c r="J72" s="530"/>
      <c r="K72" s="548">
        <f t="shared" ref="K72:K74" si="31">I72</f>
        <v>93030844</v>
      </c>
      <c r="L72" s="782"/>
      <c r="M72" s="736"/>
      <c r="N72" s="755"/>
      <c r="T72" s="434"/>
      <c r="U72" s="441"/>
    </row>
    <row r="73" spans="1:21" s="97" customFormat="1" ht="27" customHeight="1">
      <c r="A73" s="2053"/>
      <c r="B73" s="524" t="s">
        <v>3975</v>
      </c>
      <c r="C73" s="546"/>
      <c r="D73" s="524" t="s">
        <v>4005</v>
      </c>
      <c r="E73" s="708">
        <v>46085</v>
      </c>
      <c r="F73" s="547">
        <v>46085</v>
      </c>
      <c r="G73" s="528">
        <f>VLOOKUP(F73,환율!A:B,2,0)</f>
        <v>1464.5</v>
      </c>
      <c r="H73" s="554"/>
      <c r="I73" s="530">
        <v>27059123</v>
      </c>
      <c r="J73" s="530"/>
      <c r="K73" s="548">
        <f t="shared" si="31"/>
        <v>27059123</v>
      </c>
      <c r="L73" s="782"/>
      <c r="M73" s="736"/>
      <c r="N73" s="755"/>
      <c r="T73" s="434"/>
      <c r="U73" s="441"/>
    </row>
    <row r="74" spans="1:21" s="97" customFormat="1" ht="27" customHeight="1">
      <c r="A74" s="2013"/>
      <c r="B74" s="524" t="s">
        <v>3976</v>
      </c>
      <c r="C74" s="546"/>
      <c r="D74" s="524" t="s">
        <v>4006</v>
      </c>
      <c r="E74" s="708">
        <v>46088</v>
      </c>
      <c r="F74" s="547">
        <v>46088</v>
      </c>
      <c r="G74" s="528">
        <f>VLOOKUP(F74,환율!A:B,2,0)</f>
        <v>1464.3</v>
      </c>
      <c r="H74" s="554"/>
      <c r="I74" s="530">
        <v>32273329</v>
      </c>
      <c r="J74" s="530"/>
      <c r="K74" s="548">
        <f t="shared" si="31"/>
        <v>32273329</v>
      </c>
      <c r="L74" s="782"/>
      <c r="M74" s="736"/>
      <c r="N74" s="755"/>
      <c r="T74" s="434"/>
      <c r="U74" s="441"/>
    </row>
    <row r="75" spans="1:21" s="97" customFormat="1" ht="27" customHeight="1">
      <c r="A75" s="361" t="s">
        <v>10</v>
      </c>
      <c r="B75" s="113"/>
      <c r="C75" s="113"/>
      <c r="D75" s="113"/>
      <c r="E75" s="113"/>
      <c r="F75" s="113"/>
      <c r="G75" s="114"/>
      <c r="H75" s="643">
        <f>SUM(H69:H74)</f>
        <v>0</v>
      </c>
      <c r="I75" s="116">
        <f t="shared" ref="I75:K75" si="32">SUM(I69:I74)</f>
        <v>287429887</v>
      </c>
      <c r="J75" s="116">
        <f t="shared" si="32"/>
        <v>129002570</v>
      </c>
      <c r="K75" s="260">
        <f t="shared" si="32"/>
        <v>158427317</v>
      </c>
      <c r="L75" s="777">
        <v>87815.62</v>
      </c>
      <c r="M75" s="732">
        <f>SUM(J69:J70)</f>
        <v>129002570</v>
      </c>
      <c r="N75" s="751" t="s">
        <v>4019</v>
      </c>
      <c r="O75" s="434"/>
      <c r="P75" s="434"/>
      <c r="Q75" s="434"/>
      <c r="S75" s="434"/>
      <c r="T75" s="434"/>
      <c r="U75" s="441"/>
    </row>
    <row r="76" spans="1:21" s="97" customFormat="1" ht="34.5" customHeight="1">
      <c r="A76" s="2012" t="s">
        <v>3767</v>
      </c>
      <c r="B76" s="510" t="s">
        <v>3893</v>
      </c>
      <c r="C76" s="619"/>
      <c r="D76" s="460" t="s">
        <v>3894</v>
      </c>
      <c r="E76" s="704">
        <v>46059</v>
      </c>
      <c r="F76" s="455">
        <v>46059</v>
      </c>
      <c r="G76" s="456">
        <f>VLOOKUP(F76,환율!A:B,2,0)</f>
        <v>1464.1</v>
      </c>
      <c r="H76" s="462">
        <v>381773.96</v>
      </c>
      <c r="I76" s="458">
        <f t="shared" ref="I76:I79" si="33">ROUNDDOWN(H76*G76,0)</f>
        <v>558955254</v>
      </c>
      <c r="J76" s="458">
        <f>I76</f>
        <v>558955254</v>
      </c>
      <c r="K76" s="464"/>
      <c r="L76" s="781"/>
      <c r="M76" s="730"/>
      <c r="N76" s="748"/>
      <c r="O76" s="434"/>
      <c r="P76" s="434"/>
      <c r="Q76" s="434"/>
      <c r="S76" s="434"/>
      <c r="T76" s="434"/>
      <c r="U76" s="441"/>
    </row>
    <row r="77" spans="1:21" s="97" customFormat="1">
      <c r="A77" s="2053"/>
      <c r="B77" s="510" t="s">
        <v>3895</v>
      </c>
      <c r="C77" s="619"/>
      <c r="D77" s="460" t="s">
        <v>2504</v>
      </c>
      <c r="E77" s="704">
        <v>46059</v>
      </c>
      <c r="F77" s="455">
        <v>46059</v>
      </c>
      <c r="G77" s="456">
        <f>VLOOKUP(F77,환율!A:B,2,0)</f>
        <v>1464.1</v>
      </c>
      <c r="H77" s="462">
        <v>90569.48</v>
      </c>
      <c r="I77" s="458">
        <f t="shared" si="33"/>
        <v>132602775</v>
      </c>
      <c r="J77" s="458">
        <f t="shared" ref="J77" si="34">I77</f>
        <v>132602775</v>
      </c>
      <c r="K77" s="464"/>
      <c r="L77" s="781"/>
      <c r="M77" s="730"/>
      <c r="N77" s="748"/>
      <c r="O77" s="434"/>
      <c r="P77" s="434"/>
      <c r="Q77" s="434"/>
      <c r="S77" s="434"/>
      <c r="T77" s="434"/>
      <c r="U77" s="441"/>
    </row>
    <row r="78" spans="1:21" s="97" customFormat="1">
      <c r="A78" s="2053"/>
      <c r="B78" s="510" t="s">
        <v>3896</v>
      </c>
      <c r="C78" s="619"/>
      <c r="D78" s="460" t="s">
        <v>3902</v>
      </c>
      <c r="E78" s="704">
        <v>46063</v>
      </c>
      <c r="F78" s="455">
        <v>46063</v>
      </c>
      <c r="G78" s="456">
        <f>VLOOKUP(F78,환율!A:B,2,0)</f>
        <v>1464.3</v>
      </c>
      <c r="H78" s="462">
        <v>436328.12</v>
      </c>
      <c r="I78" s="458">
        <f t="shared" si="33"/>
        <v>638915266</v>
      </c>
      <c r="J78" s="458">
        <f>I78</f>
        <v>638915266</v>
      </c>
      <c r="K78" s="464"/>
      <c r="L78" s="781"/>
      <c r="M78" s="730"/>
      <c r="N78" s="748"/>
      <c r="O78" s="434"/>
      <c r="P78" s="434"/>
      <c r="Q78" s="434"/>
      <c r="S78" s="434"/>
      <c r="T78" s="434"/>
      <c r="U78" s="441"/>
    </row>
    <row r="79" spans="1:21" s="97" customFormat="1">
      <c r="A79" s="2053"/>
      <c r="B79" s="510" t="s">
        <v>3897</v>
      </c>
      <c r="C79" s="619"/>
      <c r="D79" s="460" t="s">
        <v>2504</v>
      </c>
      <c r="E79" s="704">
        <v>46063</v>
      </c>
      <c r="F79" s="455">
        <v>46063</v>
      </c>
      <c r="G79" s="456">
        <f>VLOOKUP(F79,환율!A:B,2,0)</f>
        <v>1464.3</v>
      </c>
      <c r="H79" s="462">
        <v>102762.75</v>
      </c>
      <c r="I79" s="458">
        <f t="shared" si="33"/>
        <v>150475494</v>
      </c>
      <c r="J79" s="458">
        <f>I79</f>
        <v>150475494</v>
      </c>
      <c r="K79" s="464"/>
      <c r="L79" s="781"/>
      <c r="M79" s="730"/>
      <c r="N79" s="748"/>
      <c r="O79" s="434"/>
      <c r="P79" s="434"/>
      <c r="Q79" s="434"/>
      <c r="S79" s="434"/>
      <c r="T79" s="434"/>
      <c r="U79" s="441"/>
    </row>
    <row r="80" spans="1:21" s="97" customFormat="1">
      <c r="A80" s="2053"/>
      <c r="B80" s="635" t="s">
        <v>3978</v>
      </c>
      <c r="C80" s="691"/>
      <c r="D80" s="146" t="s">
        <v>3982</v>
      </c>
      <c r="E80" s="700">
        <v>46073</v>
      </c>
      <c r="F80" s="89">
        <v>46073</v>
      </c>
      <c r="G80" s="91">
        <f>VLOOKUP(F80,환율!A:B,2,0)</f>
        <v>1450.7</v>
      </c>
      <c r="H80" s="118">
        <v>383259.16</v>
      </c>
      <c r="I80" s="93">
        <f t="shared" ref="I80" si="35">ROUNDDOWN(H80*G80,0)</f>
        <v>555994063</v>
      </c>
      <c r="J80" s="93">
        <f>I80</f>
        <v>555994063</v>
      </c>
      <c r="K80" s="694"/>
      <c r="L80" s="795"/>
      <c r="M80" s="735"/>
      <c r="N80" s="758"/>
      <c r="O80" s="434"/>
      <c r="P80" s="434"/>
      <c r="Q80" s="434"/>
      <c r="S80" s="434"/>
      <c r="T80" s="434"/>
      <c r="U80" s="441"/>
    </row>
    <row r="81" spans="1:21" s="97" customFormat="1">
      <c r="A81" s="2053"/>
      <c r="B81" s="683" t="s">
        <v>3980</v>
      </c>
      <c r="C81" s="684"/>
      <c r="D81" s="583"/>
      <c r="E81" s="706">
        <v>46073</v>
      </c>
      <c r="F81" s="144">
        <v>46073</v>
      </c>
      <c r="G81" s="163">
        <f>VLOOKUP(F81,환율!A:B,2,0)</f>
        <v>1450.7</v>
      </c>
      <c r="H81" s="394">
        <v>90591.46</v>
      </c>
      <c r="I81" s="93">
        <f t="shared" ref="I81:I85" si="36">ROUNDDOWN(H81*G81,0)</f>
        <v>131421031</v>
      </c>
      <c r="J81" s="93">
        <f t="shared" ref="J81:J82" si="37">I81</f>
        <v>131421031</v>
      </c>
      <c r="K81" s="694"/>
      <c r="L81" s="795"/>
      <c r="M81" s="735"/>
      <c r="N81" s="758"/>
      <c r="O81" s="434"/>
      <c r="P81" s="434"/>
      <c r="Q81" s="434"/>
      <c r="S81" s="434"/>
      <c r="T81" s="434"/>
      <c r="U81" s="441"/>
    </row>
    <row r="82" spans="1:21" s="718" customFormat="1">
      <c r="A82" s="2053"/>
      <c r="B82" s="720" t="s">
        <v>4013</v>
      </c>
      <c r="C82" s="721"/>
      <c r="D82" s="722"/>
      <c r="E82" s="723" t="s">
        <v>4011</v>
      </c>
      <c r="F82" s="724">
        <v>46080</v>
      </c>
      <c r="G82" s="725">
        <f>VLOOKUP(F82,환율!A:B,2,0)</f>
        <v>1424.5</v>
      </c>
      <c r="H82" s="726">
        <v>14150</v>
      </c>
      <c r="I82" s="727">
        <f t="shared" si="36"/>
        <v>20156675</v>
      </c>
      <c r="J82" s="727">
        <f t="shared" si="37"/>
        <v>20156675</v>
      </c>
      <c r="K82" s="793"/>
      <c r="L82" s="796"/>
      <c r="M82" s="738"/>
      <c r="N82" s="759"/>
      <c r="O82" s="717"/>
      <c r="P82" s="717"/>
      <c r="Q82" s="717"/>
      <c r="S82" s="717"/>
      <c r="T82" s="717"/>
      <c r="U82" s="719"/>
    </row>
    <row r="83" spans="1:21" s="718" customFormat="1">
      <c r="A83" s="2053"/>
      <c r="B83" s="720" t="s">
        <v>4012</v>
      </c>
      <c r="C83" s="721"/>
      <c r="D83" s="722"/>
      <c r="E83" s="723" t="s">
        <v>4011</v>
      </c>
      <c r="F83" s="724">
        <v>46057</v>
      </c>
      <c r="G83" s="725">
        <f>VLOOKUP(F83,환율!A:B,2,0)</f>
        <v>1449</v>
      </c>
      <c r="H83" s="726">
        <v>11850</v>
      </c>
      <c r="I83" s="727">
        <f t="shared" ref="I83" si="38">ROUNDDOWN(H83*G83,0)</f>
        <v>17170650</v>
      </c>
      <c r="J83" s="727">
        <f t="shared" ref="J83" si="39">I83</f>
        <v>17170650</v>
      </c>
      <c r="K83" s="793"/>
      <c r="L83" s="796"/>
      <c r="M83" s="738"/>
      <c r="N83" s="759"/>
      <c r="O83" s="717"/>
      <c r="P83" s="717"/>
      <c r="Q83" s="717"/>
      <c r="S83" s="717"/>
      <c r="T83" s="717"/>
      <c r="U83" s="719"/>
    </row>
    <row r="84" spans="1:21" s="97" customFormat="1">
      <c r="A84" s="2053"/>
      <c r="B84" s="656" t="s">
        <v>3979</v>
      </c>
      <c r="C84" s="657"/>
      <c r="D84" s="552" t="s">
        <v>4007</v>
      </c>
      <c r="E84" s="708">
        <v>46083</v>
      </c>
      <c r="F84" s="547">
        <v>46083</v>
      </c>
      <c r="G84" s="528">
        <f>VLOOKUP(F84,환율!A:B,2,0)</f>
        <v>1424.5</v>
      </c>
      <c r="H84" s="554">
        <v>437202.08</v>
      </c>
      <c r="I84" s="530">
        <f t="shared" si="36"/>
        <v>622794362</v>
      </c>
      <c r="J84" s="530"/>
      <c r="K84" s="604">
        <f>I84</f>
        <v>622794362</v>
      </c>
      <c r="L84" s="783"/>
      <c r="M84" s="736"/>
      <c r="N84" s="757"/>
      <c r="O84" s="434"/>
      <c r="P84" s="434"/>
      <c r="Q84" s="434"/>
      <c r="S84" s="434"/>
      <c r="T84" s="434"/>
      <c r="U84" s="441"/>
    </row>
    <row r="85" spans="1:21" s="97" customFormat="1">
      <c r="A85" s="2053"/>
      <c r="B85" s="656" t="s">
        <v>3981</v>
      </c>
      <c r="C85" s="657"/>
      <c r="D85" s="552"/>
      <c r="E85" s="708">
        <v>46083</v>
      </c>
      <c r="F85" s="547">
        <v>46083</v>
      </c>
      <c r="G85" s="528">
        <f>VLOOKUP(F85,환율!A:B,2,0)</f>
        <v>1424.5</v>
      </c>
      <c r="H85" s="554">
        <v>103153.97</v>
      </c>
      <c r="I85" s="530">
        <f t="shared" si="36"/>
        <v>146942830</v>
      </c>
      <c r="J85" s="530"/>
      <c r="K85" s="604">
        <f>I85</f>
        <v>146942830</v>
      </c>
      <c r="L85" s="783"/>
      <c r="M85" s="736"/>
      <c r="N85" s="757"/>
      <c r="O85" s="434"/>
      <c r="P85" s="434"/>
      <c r="Q85" s="434"/>
      <c r="S85" s="434"/>
      <c r="T85" s="434"/>
      <c r="U85" s="441"/>
    </row>
    <row r="86" spans="1:21" s="97" customFormat="1" ht="27" customHeight="1">
      <c r="A86" s="361" t="s">
        <v>10</v>
      </c>
      <c r="B86" s="113"/>
      <c r="C86" s="113"/>
      <c r="D86" s="113"/>
      <c r="E86" s="113"/>
      <c r="F86" s="113"/>
      <c r="G86" s="114"/>
      <c r="H86" s="643">
        <f>SUM(H76:H85)</f>
        <v>2051640.98</v>
      </c>
      <c r="I86" s="116">
        <f t="shared" ref="I86:K86" si="40">SUM(I76:I85)</f>
        <v>2975428400</v>
      </c>
      <c r="J86" s="116">
        <f t="shared" si="40"/>
        <v>2205691208</v>
      </c>
      <c r="K86" s="794">
        <f t="shared" si="40"/>
        <v>769737192</v>
      </c>
      <c r="L86" s="797">
        <v>1511284.93</v>
      </c>
      <c r="M86" s="732">
        <v>2205691208</v>
      </c>
      <c r="N86" s="751" t="s">
        <v>4019</v>
      </c>
      <c r="O86" s="434"/>
      <c r="P86" s="434"/>
      <c r="Q86" s="434"/>
      <c r="S86" s="434"/>
      <c r="T86" s="434"/>
      <c r="U86" s="441"/>
    </row>
    <row r="87" spans="1:21" s="97" customFormat="1" ht="37.5" customHeight="1">
      <c r="A87" s="2010" t="s">
        <v>3763</v>
      </c>
      <c r="B87" s="510" t="s">
        <v>4023</v>
      </c>
      <c r="C87" s="695"/>
      <c r="D87" s="466" t="s">
        <v>4024</v>
      </c>
      <c r="E87" s="710">
        <v>46057</v>
      </c>
      <c r="F87" s="454">
        <v>46057</v>
      </c>
      <c r="G87" s="456">
        <f>VLOOKUP(F87,환율!A:B,2,0)</f>
        <v>1449</v>
      </c>
      <c r="H87" s="478">
        <v>39476</v>
      </c>
      <c r="I87" s="458">
        <f>ROUNDDOWN(H87*G87,0)</f>
        <v>57200724</v>
      </c>
      <c r="J87" s="458">
        <f>I87</f>
        <v>57200724</v>
      </c>
      <c r="K87" s="618"/>
      <c r="L87" s="798"/>
      <c r="M87" s="730"/>
      <c r="N87" s="760"/>
      <c r="T87" s="434"/>
      <c r="U87" s="441"/>
    </row>
    <row r="88" spans="1:21" s="97" customFormat="1" ht="37.5" customHeight="1">
      <c r="A88" s="2011"/>
      <c r="B88" s="511" t="s">
        <v>3983</v>
      </c>
      <c r="C88" s="684" t="s">
        <v>38</v>
      </c>
      <c r="D88" s="583" t="s">
        <v>3985</v>
      </c>
      <c r="E88" s="706">
        <v>46064</v>
      </c>
      <c r="F88" s="144">
        <v>46064</v>
      </c>
      <c r="G88" s="163">
        <f>VLOOKUP(F88,환율!A:B,2,0)</f>
        <v>1457.7</v>
      </c>
      <c r="H88" s="394">
        <v>19738</v>
      </c>
      <c r="I88" s="164">
        <f>ROUNDDOWN(H88*G88,0)</f>
        <v>28772082</v>
      </c>
      <c r="J88" s="164">
        <f>I88</f>
        <v>28772082</v>
      </c>
      <c r="K88" s="588"/>
      <c r="L88" s="799"/>
      <c r="M88" s="737"/>
      <c r="N88" s="800"/>
      <c r="T88" s="434"/>
      <c r="U88" s="441"/>
    </row>
    <row r="89" spans="1:21" s="97" customFormat="1" ht="37.5" customHeight="1">
      <c r="A89" s="2019"/>
      <c r="B89" s="556" t="s">
        <v>3984</v>
      </c>
      <c r="C89" s="657"/>
      <c r="D89" s="552" t="s">
        <v>3998</v>
      </c>
      <c r="E89" s="703" t="s">
        <v>4011</v>
      </c>
      <c r="F89" s="547">
        <v>46084</v>
      </c>
      <c r="G89" s="528">
        <f>VLOOKUP(F89,환율!A:B,2,0)</f>
        <v>1435.4</v>
      </c>
      <c r="H89" s="554">
        <v>27633.200000000001</v>
      </c>
      <c r="I89" s="530">
        <f t="shared" ref="I89" si="41">ROUNDDOWN(H89*G89,0)</f>
        <v>39664695</v>
      </c>
      <c r="J89" s="530"/>
      <c r="K89" s="604">
        <f>I89</f>
        <v>39664695</v>
      </c>
      <c r="L89" s="783"/>
      <c r="M89" s="736"/>
      <c r="N89" s="761"/>
      <c r="T89" s="434"/>
      <c r="U89" s="441"/>
    </row>
    <row r="90" spans="1:21" s="97" customFormat="1" ht="27" customHeight="1">
      <c r="A90" s="361" t="s">
        <v>10</v>
      </c>
      <c r="B90" s="113"/>
      <c r="C90" s="113"/>
      <c r="D90" s="113"/>
      <c r="E90" s="113"/>
      <c r="F90" s="113"/>
      <c r="G90" s="114"/>
      <c r="H90" s="643">
        <f>SUM(H88:H89)</f>
        <v>47371.199999999997</v>
      </c>
      <c r="I90" s="116">
        <f>SUM(I88:I89)</f>
        <v>68436777</v>
      </c>
      <c r="J90" s="116">
        <f>SUM(J88:J89)</f>
        <v>28772082</v>
      </c>
      <c r="K90" s="794">
        <f>SUM(K88:K89)</f>
        <v>39664695</v>
      </c>
      <c r="L90" s="797">
        <v>59214</v>
      </c>
      <c r="M90" s="732">
        <v>85972806</v>
      </c>
      <c r="N90" s="751" t="s">
        <v>4019</v>
      </c>
      <c r="O90" s="434"/>
      <c r="P90" s="434"/>
      <c r="Q90" s="434"/>
      <c r="S90" s="434"/>
      <c r="T90" s="434"/>
      <c r="U90" s="441"/>
    </row>
    <row r="91" spans="1:21" s="97" customFormat="1" ht="27" customHeight="1">
      <c r="A91" s="2010" t="s">
        <v>3208</v>
      </c>
      <c r="B91" s="515" t="s">
        <v>3987</v>
      </c>
      <c r="C91" s="484"/>
      <c r="D91" s="484" t="s">
        <v>3992</v>
      </c>
      <c r="E91" s="711">
        <v>46065</v>
      </c>
      <c r="F91" s="130">
        <v>46065</v>
      </c>
      <c r="G91" s="163">
        <f>VLOOKUP(F91,환율!A:B,2,0)</f>
        <v>1454.4</v>
      </c>
      <c r="H91" s="394">
        <v>3282.2</v>
      </c>
      <c r="I91" s="164">
        <f t="shared" ref="I91" si="42">ROUNDDOWN(H91*G91,0)</f>
        <v>4773631</v>
      </c>
      <c r="J91" s="164">
        <f t="shared" ref="J91" si="43">I91</f>
        <v>4773631</v>
      </c>
      <c r="K91" s="588"/>
      <c r="L91" s="799"/>
      <c r="M91" s="737"/>
      <c r="N91" s="756"/>
      <c r="T91" s="434"/>
      <c r="U91" s="441"/>
    </row>
    <row r="92" spans="1:21" s="97" customFormat="1" ht="27" customHeight="1">
      <c r="A92" s="2011"/>
      <c r="B92" s="515" t="s">
        <v>3988</v>
      </c>
      <c r="C92" s="484"/>
      <c r="D92" s="484" t="s">
        <v>3993</v>
      </c>
      <c r="E92" s="711">
        <v>46067</v>
      </c>
      <c r="F92" s="130">
        <v>46067</v>
      </c>
      <c r="G92" s="163">
        <f>VLOOKUP(F92,환율!A:B,2,0)</f>
        <v>1443.4</v>
      </c>
      <c r="H92" s="394">
        <v>1086.32</v>
      </c>
      <c r="I92" s="164">
        <f t="shared" ref="I92:I96" si="44">ROUNDDOWN(H92*G92,0)</f>
        <v>1567994</v>
      </c>
      <c r="J92" s="164">
        <f t="shared" ref="J92:J93" si="45">I92</f>
        <v>1567994</v>
      </c>
      <c r="K92" s="588"/>
      <c r="L92" s="799"/>
      <c r="M92" s="737"/>
      <c r="N92" s="756"/>
      <c r="T92" s="434"/>
      <c r="U92" s="441"/>
    </row>
    <row r="93" spans="1:21" s="97" customFormat="1" ht="27" customHeight="1">
      <c r="A93" s="2011"/>
      <c r="B93" s="515" t="s">
        <v>3995</v>
      </c>
      <c r="C93" s="484"/>
      <c r="D93" s="484" t="s">
        <v>3997</v>
      </c>
      <c r="E93" s="711">
        <v>46057</v>
      </c>
      <c r="F93" s="130">
        <v>46057</v>
      </c>
      <c r="G93" s="163">
        <f>VLOOKUP(F93,환율!A:B,2,0)</f>
        <v>1449</v>
      </c>
      <c r="H93" s="394">
        <v>451.08</v>
      </c>
      <c r="I93" s="164">
        <f t="shared" si="44"/>
        <v>653614</v>
      </c>
      <c r="J93" s="164">
        <f t="shared" si="45"/>
        <v>653614</v>
      </c>
      <c r="K93" s="588"/>
      <c r="L93" s="799"/>
      <c r="M93" s="737"/>
      <c r="N93" s="756"/>
      <c r="T93" s="434"/>
      <c r="U93" s="441"/>
    </row>
    <row r="94" spans="1:21" s="97" customFormat="1" ht="27" customHeight="1">
      <c r="A94" s="2011"/>
      <c r="B94" s="524" t="s">
        <v>3990</v>
      </c>
      <c r="C94" s="525"/>
      <c r="D94" s="525" t="s">
        <v>3991</v>
      </c>
      <c r="E94" s="712">
        <v>46082</v>
      </c>
      <c r="F94" s="550">
        <v>46082</v>
      </c>
      <c r="G94" s="528">
        <f>VLOOKUP(F94,환율!A:B,2,0)</f>
        <v>1424.5</v>
      </c>
      <c r="H94" s="554">
        <v>17252</v>
      </c>
      <c r="I94" s="530">
        <f t="shared" ref="I94" si="46">ROUNDDOWN(H94*G94,0)</f>
        <v>24575474</v>
      </c>
      <c r="J94" s="530"/>
      <c r="K94" s="604">
        <f>I94</f>
        <v>24575474</v>
      </c>
      <c r="L94" s="783"/>
      <c r="M94" s="736"/>
      <c r="N94" s="755"/>
      <c r="T94" s="434"/>
      <c r="U94" s="441"/>
    </row>
    <row r="95" spans="1:21" s="97" customFormat="1" ht="27" customHeight="1">
      <c r="A95" s="2011"/>
      <c r="B95" s="524" t="s">
        <v>3989</v>
      </c>
      <c r="C95" s="525"/>
      <c r="D95" s="525" t="s">
        <v>3994</v>
      </c>
      <c r="E95" s="712">
        <v>46084</v>
      </c>
      <c r="F95" s="550">
        <v>46084</v>
      </c>
      <c r="G95" s="528">
        <f>VLOOKUP(F95,환율!A:B,2,0)</f>
        <v>1435.4</v>
      </c>
      <c r="H95" s="554">
        <v>1338.76</v>
      </c>
      <c r="I95" s="530">
        <f t="shared" ref="I95" si="47">ROUNDDOWN(H95*G95,0)</f>
        <v>1921656</v>
      </c>
      <c r="J95" s="530"/>
      <c r="K95" s="604">
        <f>I95</f>
        <v>1921656</v>
      </c>
      <c r="L95" s="783"/>
      <c r="M95" s="736"/>
      <c r="N95" s="755"/>
      <c r="T95" s="434"/>
      <c r="U95" s="441"/>
    </row>
    <row r="96" spans="1:21" s="97" customFormat="1" ht="27" customHeight="1">
      <c r="A96" s="2019"/>
      <c r="B96" s="524" t="s">
        <v>3996</v>
      </c>
      <c r="C96" s="525"/>
      <c r="D96" s="525" t="s">
        <v>4008</v>
      </c>
      <c r="E96" s="703" t="s">
        <v>4011</v>
      </c>
      <c r="F96" s="550">
        <v>46084</v>
      </c>
      <c r="G96" s="528">
        <f>VLOOKUP(F96,환율!A:B,2,0)</f>
        <v>1435.4</v>
      </c>
      <c r="H96" s="554">
        <v>15936</v>
      </c>
      <c r="I96" s="530">
        <f t="shared" si="44"/>
        <v>22874534</v>
      </c>
      <c r="J96" s="530"/>
      <c r="K96" s="548">
        <f>I96</f>
        <v>22874534</v>
      </c>
      <c r="L96" s="782"/>
      <c r="M96" s="736"/>
      <c r="N96" s="755"/>
      <c r="T96" s="434"/>
      <c r="U96" s="441"/>
    </row>
    <row r="97" spans="1:21" s="97" customFormat="1" ht="27" customHeight="1">
      <c r="A97" s="361" t="s">
        <v>10</v>
      </c>
      <c r="B97" s="113"/>
      <c r="C97" s="113"/>
      <c r="D97" s="113"/>
      <c r="E97" s="699"/>
      <c r="F97" s="113"/>
      <c r="G97" s="114"/>
      <c r="H97" s="643">
        <f>SUM(H91:H96)</f>
        <v>39346.36</v>
      </c>
      <c r="I97" s="160">
        <f t="shared" ref="I97:K97" si="48">SUM(I91:I96)</f>
        <v>56366903</v>
      </c>
      <c r="J97" s="116">
        <f t="shared" si="48"/>
        <v>6995239</v>
      </c>
      <c r="K97" s="260">
        <f t="shared" si="48"/>
        <v>49371664</v>
      </c>
      <c r="L97" s="777">
        <v>4819.6000000000004</v>
      </c>
      <c r="M97" s="732">
        <v>6995239</v>
      </c>
      <c r="N97" s="751" t="s">
        <v>4019</v>
      </c>
      <c r="O97" s="434"/>
      <c r="P97" s="434"/>
      <c r="Q97" s="434"/>
      <c r="S97" s="434"/>
      <c r="T97" s="434"/>
      <c r="U97" s="441"/>
    </row>
    <row r="98" spans="1:21" s="97" customFormat="1" ht="34.5" customHeight="1">
      <c r="A98" s="2010" t="s">
        <v>3106</v>
      </c>
      <c r="B98" s="514" t="s">
        <v>3898</v>
      </c>
      <c r="C98" s="487"/>
      <c r="D98" s="487" t="s">
        <v>3986</v>
      </c>
      <c r="E98" s="713">
        <v>46070</v>
      </c>
      <c r="F98" s="465">
        <v>46070</v>
      </c>
      <c r="G98" s="456">
        <f>VLOOKUP(F98,환율!A:B,2,0)</f>
        <v>1443.4</v>
      </c>
      <c r="H98" s="478">
        <v>86846.07</v>
      </c>
      <c r="I98" s="458">
        <f t="shared" ref="I98" si="49">ROUNDDOWN(H98*G98,0)</f>
        <v>125353617</v>
      </c>
      <c r="J98" s="458">
        <f>I98</f>
        <v>125353617</v>
      </c>
      <c r="K98" s="464"/>
      <c r="L98" s="781"/>
      <c r="M98" s="730"/>
      <c r="N98" s="748"/>
      <c r="O98" s="434"/>
      <c r="P98" s="434"/>
      <c r="Q98" s="434"/>
      <c r="S98" s="434"/>
      <c r="T98" s="434"/>
      <c r="U98" s="441"/>
    </row>
    <row r="99" spans="1:21" s="97" customFormat="1" ht="34.5" hidden="1" customHeight="1">
      <c r="A99" s="2019"/>
      <c r="B99" s="174"/>
      <c r="C99" s="174"/>
      <c r="D99" s="174"/>
      <c r="E99" s="700"/>
      <c r="F99" s="146"/>
      <c r="G99" s="91"/>
      <c r="H99" s="118"/>
      <c r="I99" s="93">
        <f t="shared" ref="I99" si="50">ROUNDDOWN(H99*G99,0)</f>
        <v>0</v>
      </c>
      <c r="J99" s="93"/>
      <c r="K99" s="93">
        <f>I99</f>
        <v>0</v>
      </c>
      <c r="L99" s="780"/>
      <c r="M99" s="735"/>
      <c r="N99" s="758"/>
      <c r="O99" s="434"/>
      <c r="P99" s="434"/>
      <c r="Q99" s="434"/>
      <c r="S99" s="434"/>
      <c r="T99" s="434"/>
      <c r="U99" s="441"/>
    </row>
    <row r="100" spans="1:21" s="97" customFormat="1" ht="27" customHeight="1">
      <c r="A100" s="361" t="s">
        <v>10</v>
      </c>
      <c r="B100" s="113"/>
      <c r="C100" s="113"/>
      <c r="D100" s="113"/>
      <c r="E100" s="699"/>
      <c r="F100" s="113"/>
      <c r="G100" s="114"/>
      <c r="H100" s="643">
        <f>SUM(H98:H98)</f>
        <v>86846.07</v>
      </c>
      <c r="I100" s="116">
        <f>SUM(I98:I98)</f>
        <v>125353617</v>
      </c>
      <c r="J100" s="116">
        <f>SUM(J98:J98)</f>
        <v>125353617</v>
      </c>
      <c r="K100" s="260">
        <f>SUM(K98:K98)</f>
        <v>0</v>
      </c>
      <c r="L100" s="777">
        <v>86846.07</v>
      </c>
      <c r="M100" s="732">
        <v>125353617</v>
      </c>
      <c r="N100" s="751" t="s">
        <v>4019</v>
      </c>
      <c r="O100" s="434"/>
      <c r="P100" s="434"/>
      <c r="Q100" s="434"/>
      <c r="S100" s="434"/>
      <c r="T100" s="434"/>
      <c r="U100" s="441"/>
    </row>
    <row r="101" spans="1:21" s="97" customFormat="1" ht="38.4" hidden="1">
      <c r="A101" s="541" t="s">
        <v>3109</v>
      </c>
      <c r="B101" s="174"/>
      <c r="C101" s="339"/>
      <c r="D101" s="136"/>
      <c r="E101" s="698"/>
      <c r="F101" s="136"/>
      <c r="G101" s="166"/>
      <c r="H101" s="341"/>
      <c r="I101" s="542">
        <f t="shared" ref="I101" si="51">ROUNDDOWN(H101*G101,0)</f>
        <v>0</v>
      </c>
      <c r="J101" s="542">
        <f>I101</f>
        <v>0</v>
      </c>
      <c r="K101" s="254"/>
      <c r="L101" s="780"/>
      <c r="M101" s="735"/>
      <c r="N101" s="754"/>
      <c r="T101" s="434"/>
      <c r="U101" s="441"/>
    </row>
    <row r="102" spans="1:21" s="97" customFormat="1" ht="27" hidden="1" customHeight="1">
      <c r="A102" s="361" t="s">
        <v>10</v>
      </c>
      <c r="B102" s="113"/>
      <c r="C102" s="113"/>
      <c r="D102" s="113"/>
      <c r="E102" s="699"/>
      <c r="F102" s="113"/>
      <c r="G102" s="114"/>
      <c r="H102" s="643">
        <f>SUM(H101)</f>
        <v>0</v>
      </c>
      <c r="I102" s="116">
        <f>SUM(I101)</f>
        <v>0</v>
      </c>
      <c r="J102" s="116">
        <f>SUM(J101)</f>
        <v>0</v>
      </c>
      <c r="K102" s="260">
        <f>SUM(K101)</f>
        <v>0</v>
      </c>
      <c r="L102" s="777"/>
      <c r="M102" s="732"/>
      <c r="N102" s="751"/>
      <c r="T102" s="434"/>
      <c r="U102" s="441"/>
    </row>
    <row r="103" spans="1:21" s="97" customFormat="1" ht="34.5" customHeight="1">
      <c r="A103" s="543" t="s">
        <v>3110</v>
      </c>
      <c r="B103" s="679" t="s">
        <v>4014</v>
      </c>
      <c r="C103" s="332"/>
      <c r="D103" s="303" t="s">
        <v>2504</v>
      </c>
      <c r="E103" s="714" t="s">
        <v>4010</v>
      </c>
      <c r="F103" s="303">
        <v>46063</v>
      </c>
      <c r="G103" s="304">
        <f>VLOOKUP(F103,환율!A:B,2,0)</f>
        <v>1464.3</v>
      </c>
      <c r="H103" s="341"/>
      <c r="I103" s="335">
        <v>21526400</v>
      </c>
      <c r="J103" s="335">
        <f>I103</f>
        <v>21526400</v>
      </c>
      <c r="K103" s="337"/>
      <c r="L103" s="784"/>
      <c r="M103" s="739"/>
      <c r="N103" s="762"/>
      <c r="T103" s="434"/>
      <c r="U103" s="441"/>
    </row>
    <row r="104" spans="1:21" s="496" customFormat="1" ht="27" customHeight="1" thickBot="1">
      <c r="A104" s="599" t="s">
        <v>10</v>
      </c>
      <c r="B104" s="266"/>
      <c r="C104" s="266"/>
      <c r="D104" s="266"/>
      <c r="E104" s="715"/>
      <c r="F104" s="266"/>
      <c r="G104" s="267"/>
      <c r="H104" s="646"/>
      <c r="I104" s="269">
        <f>SUM(I103:I103)</f>
        <v>21526400</v>
      </c>
      <c r="J104" s="269">
        <f>SUM(J103:J103)</f>
        <v>21526400</v>
      </c>
      <c r="K104" s="506">
        <f>SUM(K103:K103)</f>
        <v>0</v>
      </c>
      <c r="L104" s="785"/>
      <c r="M104" s="740">
        <v>21526400</v>
      </c>
      <c r="N104" s="763" t="s">
        <v>4019</v>
      </c>
      <c r="O104" s="434"/>
      <c r="P104" s="434"/>
      <c r="Q104" s="434"/>
      <c r="R104" s="434"/>
      <c r="S104" s="434"/>
      <c r="T104" s="494"/>
      <c r="U104" s="495"/>
    </row>
    <row r="105" spans="1:21" s="496" customFormat="1" ht="27" customHeight="1" thickBot="1">
      <c r="A105" s="599" t="s">
        <v>16</v>
      </c>
      <c r="B105" s="266"/>
      <c r="C105" s="266"/>
      <c r="D105" s="266"/>
      <c r="E105" s="715"/>
      <c r="F105" s="266"/>
      <c r="G105" s="267"/>
      <c r="H105" s="646"/>
      <c r="I105" s="269">
        <f>SUM(I104,I102,I100,I97,I90,I86,I75,I68,I63,I36,I22,I20,I17)</f>
        <v>6880755835</v>
      </c>
      <c r="J105" s="269">
        <f>SUM(J104,J102,J100,J97,J90,J86,J75,J68,J63,J36,J22,J20,J17)</f>
        <v>4866527137</v>
      </c>
      <c r="K105" s="801">
        <f>SUM(K104,K102,K100,K97,K90,K86,K75,K68,K63,K36,K22,K20,K17)</f>
        <v>2597354610</v>
      </c>
      <c r="L105" s="802">
        <f>SUM(L13:L104)</f>
        <v>2848744.3599999994</v>
      </c>
      <c r="M105" s="803">
        <f>SUM(M13:M104)</f>
        <v>4169813599</v>
      </c>
      <c r="N105" s="804" t="s">
        <v>4019</v>
      </c>
      <c r="O105" s="434"/>
      <c r="P105" s="434"/>
      <c r="Q105" s="434"/>
      <c r="R105" s="434"/>
      <c r="S105" s="434"/>
      <c r="T105" s="494"/>
      <c r="U105" s="495"/>
    </row>
    <row r="106" spans="1:21" s="496" customFormat="1" ht="27" customHeight="1" thickBot="1">
      <c r="A106" s="2094" t="s">
        <v>1176</v>
      </c>
      <c r="B106" s="2030"/>
      <c r="C106" s="2030"/>
      <c r="D106" s="2030"/>
      <c r="E106" s="2030"/>
      <c r="F106" s="2031"/>
      <c r="G106" s="2095" t="s">
        <v>2334</v>
      </c>
      <c r="H106" s="647" t="s">
        <v>17</v>
      </c>
      <c r="I106" s="194">
        <f>+I108-I107</f>
        <v>6859229435</v>
      </c>
      <c r="J106" s="210">
        <f>J108-J107</f>
        <v>4845000737</v>
      </c>
      <c r="K106" s="210">
        <f>K108-K107</f>
        <v>2597354610</v>
      </c>
      <c r="L106" s="786"/>
      <c r="M106" s="535"/>
      <c r="N106" s="764"/>
      <c r="O106" s="434"/>
      <c r="P106" s="434"/>
      <c r="Q106" s="434"/>
      <c r="R106" s="434"/>
      <c r="S106" s="434"/>
      <c r="T106" s="494"/>
      <c r="U106" s="495"/>
    </row>
    <row r="107" spans="1:21" s="496" customFormat="1" ht="27" customHeight="1">
      <c r="A107" s="239" t="s">
        <v>20</v>
      </c>
      <c r="B107" s="195" t="s">
        <v>21</v>
      </c>
      <c r="C107" s="196"/>
      <c r="D107" s="196" t="s">
        <v>20</v>
      </c>
      <c r="E107" s="2125" t="s">
        <v>21</v>
      </c>
      <c r="F107" s="2126"/>
      <c r="G107" s="2096"/>
      <c r="H107" s="648" t="s">
        <v>18</v>
      </c>
      <c r="I107" s="210">
        <f>SUM(I103:I103)</f>
        <v>21526400</v>
      </c>
      <c r="J107" s="210">
        <f>I107</f>
        <v>21526400</v>
      </c>
      <c r="K107" s="219">
        <v>0</v>
      </c>
      <c r="L107" s="786"/>
      <c r="M107" s="535"/>
      <c r="N107" s="765"/>
      <c r="O107" s="434"/>
      <c r="P107" s="434"/>
      <c r="Q107" s="434"/>
      <c r="R107" s="434"/>
      <c r="S107" s="434"/>
      <c r="T107" s="494"/>
      <c r="U107" s="495"/>
    </row>
    <row r="108" spans="1:21" s="496" customFormat="1" ht="27" customHeight="1" thickBot="1">
      <c r="A108" s="200" t="s">
        <v>252</v>
      </c>
      <c r="B108" s="199">
        <v>0</v>
      </c>
      <c r="C108" s="199"/>
      <c r="D108" s="200" t="s">
        <v>4029</v>
      </c>
      <c r="E108" s="2127">
        <f>K86</f>
        <v>769737192</v>
      </c>
      <c r="F108" s="2128"/>
      <c r="G108" s="2097"/>
      <c r="H108" s="649" t="s">
        <v>19</v>
      </c>
      <c r="I108" s="210">
        <f>SUM(I104,I102,I100,I97,I90,I86,I75,I68,I63,I36,I22,I20,I17)</f>
        <v>6880755835</v>
      </c>
      <c r="J108" s="221">
        <f>SUM(J17,J20,J22,J36,J63,J68,J75,J86,J90,J97,J100,J102,J104)</f>
        <v>4866527137</v>
      </c>
      <c r="K108" s="728">
        <f>SUM(K104,K102,K100,K97,K90,K86,K75,K68,K63,K36,K22,K20,K17)</f>
        <v>2597354610</v>
      </c>
      <c r="L108" s="787"/>
      <c r="M108" s="741"/>
      <c r="N108" s="766"/>
      <c r="O108" s="636"/>
      <c r="P108" s="434"/>
      <c r="Q108" s="434"/>
      <c r="R108" s="434"/>
      <c r="S108" s="434"/>
      <c r="T108" s="494"/>
      <c r="U108" s="495"/>
    </row>
    <row r="109" spans="1:21" s="496" customFormat="1" ht="27" customHeight="1">
      <c r="A109" s="805" t="s">
        <v>2787</v>
      </c>
      <c r="B109" s="199">
        <v>0</v>
      </c>
      <c r="C109" s="199"/>
      <c r="D109" s="200" t="s">
        <v>4030</v>
      </c>
      <c r="E109" s="2127">
        <f>K90</f>
        <v>39664695</v>
      </c>
      <c r="F109" s="2128"/>
      <c r="G109" s="296" t="s">
        <v>20</v>
      </c>
      <c r="H109" s="650" t="s">
        <v>3874</v>
      </c>
      <c r="I109" s="298" t="s">
        <v>934</v>
      </c>
      <c r="J109" s="298" t="s">
        <v>1299</v>
      </c>
      <c r="K109" s="234" t="s">
        <v>32</v>
      </c>
      <c r="L109" s="788"/>
      <c r="M109" s="742"/>
      <c r="N109" s="729"/>
      <c r="O109" s="636"/>
      <c r="P109" s="434"/>
      <c r="Q109" s="434"/>
      <c r="R109" s="434"/>
      <c r="S109" s="434"/>
      <c r="T109" s="494"/>
      <c r="U109" s="495"/>
    </row>
    <row r="110" spans="1:21" s="496" customFormat="1" ht="27" customHeight="1">
      <c r="A110" s="806" t="s">
        <v>4026</v>
      </c>
      <c r="B110" s="199">
        <v>0</v>
      </c>
      <c r="C110" s="199"/>
      <c r="D110" s="293" t="s">
        <v>4031</v>
      </c>
      <c r="E110" s="2127">
        <f>K97</f>
        <v>49371664</v>
      </c>
      <c r="F110" s="2128"/>
      <c r="G110" s="211" t="s">
        <v>22</v>
      </c>
      <c r="H110" s="651">
        <f>SUM(J12)</f>
        <v>189789455</v>
      </c>
      <c r="I110" s="199">
        <f>SUM(J13:J16,J18:J19)</f>
        <v>564124807</v>
      </c>
      <c r="J110" s="199">
        <f>K17</f>
        <v>0</v>
      </c>
      <c r="K110" s="201">
        <f t="shared" ref="K110:K115" si="52">SUM(H110:I110)</f>
        <v>753914262</v>
      </c>
      <c r="L110" s="789"/>
      <c r="M110" s="743"/>
      <c r="N110" s="767"/>
      <c r="O110" s="434"/>
      <c r="P110" s="434"/>
      <c r="Q110" s="434"/>
      <c r="R110" s="434"/>
      <c r="S110" s="434"/>
      <c r="T110" s="494"/>
      <c r="U110" s="495"/>
    </row>
    <row r="111" spans="1:21" s="97" customFormat="1" ht="27" customHeight="1">
      <c r="A111" s="806" t="s">
        <v>660</v>
      </c>
      <c r="B111" s="199">
        <f>SUM(K36)</f>
        <v>170941335</v>
      </c>
      <c r="C111" s="199"/>
      <c r="D111" s="293" t="s">
        <v>4032</v>
      </c>
      <c r="E111" s="2127">
        <f>K100</f>
        <v>0</v>
      </c>
      <c r="F111" s="2128"/>
      <c r="G111" s="211" t="s">
        <v>23</v>
      </c>
      <c r="H111" s="651">
        <f>SUM(J23:J26,J37:J43,J69:J70,)</f>
        <v>870783892</v>
      </c>
      <c r="I111" s="651">
        <f>SUM(J21,J27:J32,J44:J51,J64)</f>
        <v>853490437</v>
      </c>
      <c r="J111" s="651">
        <f>SUM(K22,K36,K63,K68,K75)</f>
        <v>1738581059</v>
      </c>
      <c r="K111" s="201">
        <f t="shared" si="52"/>
        <v>1724274329</v>
      </c>
      <c r="L111" s="789"/>
      <c r="M111" s="743"/>
      <c r="N111" s="767"/>
      <c r="O111" s="438"/>
      <c r="P111" s="434"/>
      <c r="Q111" s="434"/>
      <c r="R111" s="434"/>
      <c r="S111" s="434"/>
    </row>
    <row r="112" spans="1:21" s="97" customFormat="1" ht="27" customHeight="1">
      <c r="A112" s="241" t="s">
        <v>4027</v>
      </c>
      <c r="B112" s="199">
        <f>K63</f>
        <v>1228300497</v>
      </c>
      <c r="C112" s="199"/>
      <c r="D112" s="293" t="s">
        <v>4033</v>
      </c>
      <c r="E112" s="2127">
        <f>K104</f>
        <v>0</v>
      </c>
      <c r="F112" s="2128"/>
      <c r="G112" s="211" t="s">
        <v>24</v>
      </c>
      <c r="H112" s="651">
        <f>SUM(J76:J79)</f>
        <v>1480948789</v>
      </c>
      <c r="I112" s="199">
        <f>SUM(J80:J83)</f>
        <v>724742419</v>
      </c>
      <c r="J112" s="199">
        <f>SUM(K86)</f>
        <v>769737192</v>
      </c>
      <c r="K112" s="201">
        <f t="shared" si="52"/>
        <v>2205691208</v>
      </c>
      <c r="L112" s="789"/>
      <c r="M112" s="743"/>
      <c r="N112" s="767"/>
      <c r="O112" s="441"/>
    </row>
    <row r="113" spans="1:21" s="97" customFormat="1" ht="27" customHeight="1">
      <c r="A113" s="241" t="s">
        <v>4028</v>
      </c>
      <c r="B113" s="199">
        <f>K68</f>
        <v>180911910</v>
      </c>
      <c r="C113" s="199"/>
      <c r="D113" s="200"/>
      <c r="E113" s="2127"/>
      <c r="F113" s="2128"/>
      <c r="G113" s="211" t="s">
        <v>723</v>
      </c>
      <c r="H113" s="651">
        <f>SUM(J87,J98)</f>
        <v>182554341</v>
      </c>
      <c r="I113" s="199">
        <f>SUM(J88,J91:J93)</f>
        <v>35767321</v>
      </c>
      <c r="J113" s="199">
        <f>SUM(K90,K97,K100,K102,K104)</f>
        <v>89036359</v>
      </c>
      <c r="K113" s="201">
        <f t="shared" si="52"/>
        <v>218321662</v>
      </c>
      <c r="L113" s="789"/>
      <c r="M113" s="743"/>
      <c r="N113" s="767"/>
      <c r="O113" s="441"/>
    </row>
    <row r="114" spans="1:21" s="97" customFormat="1" ht="27" customHeight="1" thickBot="1">
      <c r="A114" s="807" t="s">
        <v>2951</v>
      </c>
      <c r="B114" s="213">
        <f>K75</f>
        <v>158427317</v>
      </c>
      <c r="C114" s="213"/>
      <c r="D114" s="214"/>
      <c r="E114" s="2129"/>
      <c r="F114" s="2130"/>
      <c r="G114" s="299" t="s">
        <v>1177</v>
      </c>
      <c r="H114" s="652"/>
      <c r="I114" s="311">
        <f>I104</f>
        <v>21526400</v>
      </c>
      <c r="J114" s="311">
        <v>0</v>
      </c>
      <c r="K114" s="312">
        <f t="shared" si="52"/>
        <v>21526400</v>
      </c>
      <c r="L114" s="790"/>
      <c r="M114" s="744"/>
      <c r="N114" s="768"/>
      <c r="O114" s="441"/>
      <c r="P114" s="403"/>
      <c r="Q114" s="403"/>
      <c r="R114" s="403"/>
    </row>
    <row r="115" spans="1:21" s="97" customFormat="1" ht="27" customHeight="1" thickTop="1" thickBot="1">
      <c r="A115" s="243"/>
      <c r="B115" s="244" t="s">
        <v>4034</v>
      </c>
      <c r="C115" s="244"/>
      <c r="D115" s="245"/>
      <c r="E115" s="2131">
        <f>SUM(B108:B114,E108:F114)</f>
        <v>2597354610</v>
      </c>
      <c r="F115" s="2132"/>
      <c r="G115" s="236" t="s">
        <v>16</v>
      </c>
      <c r="H115" s="653">
        <f>SUM(H110:H114)</f>
        <v>2724076477</v>
      </c>
      <c r="I115" s="237">
        <f>SUM(I110:I114)</f>
        <v>2199651384</v>
      </c>
      <c r="J115" s="728">
        <f>SUM(J110:J114)</f>
        <v>2597354610</v>
      </c>
      <c r="K115" s="238">
        <f t="shared" si="52"/>
        <v>4923727861</v>
      </c>
      <c r="L115" s="791"/>
      <c r="M115" s="745"/>
      <c r="N115" s="769"/>
      <c r="O115" s="441"/>
      <c r="P115" s="403"/>
      <c r="Q115" s="403"/>
      <c r="R115" s="403"/>
    </row>
    <row r="116" spans="1:21" s="97" customFormat="1" ht="27" customHeight="1" thickBot="1">
      <c r="A116"/>
      <c r="B116"/>
      <c r="C116"/>
      <c r="D116"/>
      <c r="E116" s="696"/>
      <c r="F116"/>
      <c r="G116" s="2047" t="s">
        <v>1685</v>
      </c>
      <c r="H116" s="2048"/>
      <c r="I116" s="2048"/>
      <c r="J116" s="2049"/>
      <c r="K116" s="404">
        <f>K115-K114</f>
        <v>4902201461</v>
      </c>
      <c r="L116" s="792"/>
      <c r="M116" s="746"/>
      <c r="N116" s="770"/>
      <c r="O116" s="441"/>
      <c r="P116" s="403"/>
      <c r="Q116" s="403"/>
      <c r="R116" s="403"/>
    </row>
    <row r="117" spans="1:21" s="97" customFormat="1" ht="27" customHeight="1">
      <c r="A117"/>
      <c r="B117" s="291"/>
      <c r="C117" s="291"/>
      <c r="D117" s="290"/>
      <c r="E117" s="716"/>
      <c r="F117" s="26">
        <f>E115-J115</f>
        <v>0</v>
      </c>
      <c r="G117" s="292"/>
      <c r="H117" s="78"/>
      <c r="I117" s="412"/>
      <c r="J117" s="412" t="s">
        <v>3255</v>
      </c>
      <c r="K117" s="13">
        <f>K116-J108</f>
        <v>35674324</v>
      </c>
      <c r="L117" s="21">
        <f>L116-K108</f>
        <v>-2597354610</v>
      </c>
      <c r="M117" s="13"/>
      <c r="N117" s="83">
        <f>N116-L108</f>
        <v>0</v>
      </c>
      <c r="O117" s="441"/>
      <c r="P117" s="403"/>
      <c r="Q117" s="403"/>
      <c r="R117" s="403"/>
    </row>
    <row r="118" spans="1:21" s="126" customFormat="1" ht="27" customHeight="1">
      <c r="A118"/>
      <c r="B118"/>
      <c r="C118"/>
      <c r="D118" s="290"/>
      <c r="E118" s="716"/>
      <c r="F118" s="26"/>
      <c r="G118" s="292"/>
      <c r="H118" s="78"/>
      <c r="I118" s="412">
        <f>SUM(I17,I20,I22,I36,I63,I68,I75,I86,I90,I97,I100,I102,I104)</f>
        <v>6880755835</v>
      </c>
      <c r="J118"/>
      <c r="K118" s="412" t="b">
        <f>K116=K117</f>
        <v>0</v>
      </c>
      <c r="L118" s="21" t="b">
        <f>L116=L117</f>
        <v>0</v>
      </c>
      <c r="M118" s="412"/>
      <c r="N118" s="676" t="b">
        <f>N116=N117</f>
        <v>1</v>
      </c>
      <c r="O118" s="443"/>
      <c r="P118" s="403"/>
      <c r="Q118" s="403"/>
      <c r="R118" s="403"/>
      <c r="S118" s="97"/>
    </row>
    <row r="119" spans="1:21" s="126" customFormat="1" ht="27" customHeight="1">
      <c r="A119"/>
      <c r="B119"/>
      <c r="C119"/>
      <c r="D119" s="290"/>
      <c r="E119" s="716"/>
      <c r="G119" s="292"/>
      <c r="H119" s="78"/>
      <c r="I119" s="26"/>
      <c r="J119"/>
      <c r="K119" s="22"/>
      <c r="L119" s="21"/>
      <c r="M119" s="22"/>
      <c r="N119" s="84"/>
      <c r="O119" s="443"/>
      <c r="P119" s="403"/>
      <c r="Q119" s="403"/>
      <c r="R119" s="403"/>
      <c r="S119" s="97"/>
    </row>
    <row r="120" spans="1:21" s="126" customFormat="1" ht="27" customHeight="1">
      <c r="A120"/>
      <c r="B120"/>
      <c r="C120"/>
      <c r="D120" s="290"/>
      <c r="E120" s="716"/>
      <c r="F120" s="26"/>
      <c r="G120" s="292"/>
      <c r="H120" s="78"/>
      <c r="I120" s="26"/>
      <c r="J120"/>
      <c r="K120" s="26"/>
      <c r="L120" s="21"/>
      <c r="M120" s="26"/>
      <c r="N120" s="15"/>
      <c r="O120" s="443"/>
      <c r="Q120" s="205"/>
      <c r="R120" s="205"/>
    </row>
    <row r="121" spans="1:21" s="126" customFormat="1" ht="27" customHeight="1">
      <c r="A121"/>
      <c r="B121"/>
      <c r="C121"/>
      <c r="D121" s="290"/>
      <c r="E121" s="716"/>
      <c r="F121"/>
      <c r="G121" s="13"/>
      <c r="H121" s="78"/>
      <c r="I121" s="26"/>
      <c r="J121"/>
      <c r="K121" s="26"/>
      <c r="L121" s="21"/>
      <c r="M121" s="26"/>
      <c r="N121" s="15"/>
      <c r="O121" s="443"/>
    </row>
    <row r="122" spans="1:21" s="19" customFormat="1" ht="27" customHeight="1">
      <c r="A122"/>
      <c r="B122"/>
      <c r="C122"/>
      <c r="D122"/>
      <c r="E122" s="696"/>
      <c r="F122"/>
      <c r="G122" s="13"/>
      <c r="H122" s="78"/>
      <c r="I122"/>
      <c r="J122"/>
      <c r="K122"/>
      <c r="L122" s="21"/>
      <c r="M122"/>
      <c r="O122" s="443"/>
      <c r="P122" s="15"/>
    </row>
    <row r="123" spans="1:21">
      <c r="I123" s="47"/>
      <c r="K123" s="26"/>
      <c r="M123" s="26"/>
      <c r="N123" s="15"/>
      <c r="O123" s="441"/>
      <c r="P123" s="26"/>
      <c r="Q123"/>
      <c r="R123"/>
      <c r="S123"/>
      <c r="T123"/>
      <c r="U123"/>
    </row>
    <row r="124" spans="1:21" s="24" customFormat="1">
      <c r="A124"/>
      <c r="B124"/>
      <c r="C124"/>
      <c r="D124"/>
      <c r="E124" s="696"/>
      <c r="F124"/>
      <c r="G124"/>
      <c r="H124" s="78"/>
      <c r="I124"/>
      <c r="J124"/>
      <c r="K124"/>
      <c r="L124" s="21"/>
      <c r="M124"/>
      <c r="N124" s="19"/>
      <c r="O124" s="445"/>
    </row>
    <row r="125" spans="1:21" s="24" customFormat="1">
      <c r="A125"/>
      <c r="B125"/>
      <c r="C125"/>
      <c r="D125"/>
      <c r="E125" s="696"/>
      <c r="F125"/>
      <c r="G125"/>
      <c r="H125" s="78"/>
      <c r="I125"/>
      <c r="J125"/>
      <c r="K125" s="26"/>
      <c r="L125" s="21"/>
      <c r="M125" s="26"/>
      <c r="N125" s="15"/>
      <c r="O125" s="445"/>
    </row>
    <row r="126" spans="1:21" s="24" customFormat="1">
      <c r="A126"/>
      <c r="B126"/>
      <c r="C126"/>
      <c r="D126"/>
      <c r="E126" s="696"/>
      <c r="F126"/>
      <c r="G126"/>
      <c r="H126" s="78"/>
      <c r="I126" s="26"/>
      <c r="J126"/>
      <c r="K126"/>
      <c r="L126" s="21"/>
      <c r="M126"/>
      <c r="N126" s="19"/>
      <c r="P126" s="434"/>
      <c r="Q126" s="440"/>
      <c r="R126" s="440"/>
      <c r="S126" s="440"/>
      <c r="T126" s="440"/>
      <c r="U126" s="445"/>
    </row>
    <row r="127" spans="1:21" s="24" customFormat="1">
      <c r="A127"/>
      <c r="B127"/>
      <c r="C127"/>
      <c r="D127"/>
      <c r="E127" s="696"/>
      <c r="F127"/>
      <c r="G127"/>
      <c r="H127" s="78"/>
      <c r="I127"/>
      <c r="J127"/>
      <c r="K127" s="26"/>
      <c r="L127" s="21"/>
      <c r="M127" s="26"/>
      <c r="N127" s="15"/>
      <c r="P127" s="434"/>
      <c r="Q127" s="440"/>
      <c r="R127" s="440"/>
      <c r="S127" s="440"/>
      <c r="T127" s="440"/>
      <c r="U127" s="445"/>
    </row>
    <row r="128" spans="1:21" s="24" customFormat="1">
      <c r="A128"/>
      <c r="B128"/>
      <c r="C128"/>
      <c r="D128"/>
      <c r="E128" s="696"/>
      <c r="F128"/>
      <c r="G128"/>
      <c r="H128" s="78"/>
      <c r="I128"/>
      <c r="J128"/>
      <c r="K128"/>
      <c r="L128" s="21"/>
      <c r="M128"/>
      <c r="N128" s="19"/>
      <c r="P128" s="434"/>
      <c r="Q128" s="440"/>
      <c r="R128" s="440"/>
      <c r="S128" s="440"/>
      <c r="T128" s="440"/>
      <c r="U128" s="445"/>
    </row>
  </sheetData>
  <autoFilter ref="A10:G119" xr:uid="{00000000-0009-0000-0000-00005F000000}"/>
  <mergeCells count="43">
    <mergeCell ref="A98:A99"/>
    <mergeCell ref="G106:G108"/>
    <mergeCell ref="G116:J11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A106:F106"/>
    <mergeCell ref="A91:A96"/>
    <mergeCell ref="A37:A62"/>
    <mergeCell ref="A69:A74"/>
    <mergeCell ref="A87:A89"/>
    <mergeCell ref="A64:A67"/>
    <mergeCell ref="A76:A85"/>
    <mergeCell ref="Q5:Q9"/>
    <mergeCell ref="R5:R9"/>
    <mergeCell ref="S5:S9"/>
    <mergeCell ref="O3:O9"/>
    <mergeCell ref="P3:P4"/>
    <mergeCell ref="Q3:Q4"/>
    <mergeCell ref="R3:R4"/>
    <mergeCell ref="S3:S4"/>
    <mergeCell ref="A5:H9"/>
    <mergeCell ref="P5:P9"/>
    <mergeCell ref="A36:G36"/>
    <mergeCell ref="A10:A11"/>
    <mergeCell ref="B10:B11"/>
    <mergeCell ref="C10:C11"/>
    <mergeCell ref="D10:D11"/>
    <mergeCell ref="E10:E11"/>
    <mergeCell ref="F10:F11"/>
    <mergeCell ref="A18:A19"/>
    <mergeCell ref="G10:G11"/>
    <mergeCell ref="H10:K10"/>
    <mergeCell ref="A12:A16"/>
    <mergeCell ref="A22:G22"/>
    <mergeCell ref="A23:A35"/>
    <mergeCell ref="L11:N11"/>
  </mergeCells>
  <phoneticPr fontId="2" type="noConversion"/>
  <conditionalFormatting sqref="A22 B23:N35 B37:N62 H75 C98:H99 J98:J99 H100:M100 A115:E115 G115:N115">
    <cfRule type="expression" dxfId="304" priority="61">
      <formula>#REF!="*01월*"</formula>
    </cfRule>
  </conditionalFormatting>
  <conditionalFormatting sqref="A36">
    <cfRule type="expression" dxfId="303" priority="62">
      <formula>#REF!="*01월*"</formula>
    </cfRule>
  </conditionalFormatting>
  <conditionalFormatting sqref="A63:A65">
    <cfRule type="expression" dxfId="302" priority="51">
      <formula>#REF!="*01월*"</formula>
    </cfRule>
  </conditionalFormatting>
  <conditionalFormatting sqref="A68:A69">
    <cfRule type="expression" dxfId="301" priority="31">
      <formula>#REF!="*01월*"</formula>
    </cfRule>
  </conditionalFormatting>
  <conditionalFormatting sqref="A75 I75:N75">
    <cfRule type="expression" dxfId="300" priority="73">
      <formula>$F86="*01월*"</formula>
    </cfRule>
  </conditionalFormatting>
  <conditionalFormatting sqref="A76">
    <cfRule type="expression" dxfId="299" priority="71">
      <formula>$F86="*01월*"</formula>
    </cfRule>
  </conditionalFormatting>
  <conditionalFormatting sqref="A86 H86:J86">
    <cfRule type="expression" dxfId="298" priority="1563">
      <formula>$F90="*01월*"</formula>
    </cfRule>
  </conditionalFormatting>
  <conditionalFormatting sqref="A90">
    <cfRule type="expression" dxfId="297" priority="59">
      <formula>#REF!="*01월*"</formula>
    </cfRule>
  </conditionalFormatting>
  <conditionalFormatting sqref="A97:A98">
    <cfRule type="expression" dxfId="296" priority="55">
      <formula>#REF!="*01월*"</formula>
    </cfRule>
  </conditionalFormatting>
  <conditionalFormatting sqref="A100">
    <cfRule type="expression" dxfId="295" priority="54">
      <formula>#REF!="*01월*"</formula>
    </cfRule>
  </conditionalFormatting>
  <conditionalFormatting sqref="A101">
    <cfRule type="expression" dxfId="294" priority="1590">
      <formula>$F106="*01월*"</formula>
    </cfRule>
  </conditionalFormatting>
  <conditionalFormatting sqref="A102">
    <cfRule type="expression" dxfId="293" priority="1583">
      <formula>$E107="*01월*"</formula>
    </cfRule>
  </conditionalFormatting>
  <conditionalFormatting sqref="A103 D103:F103 I103:N103">
    <cfRule type="expression" dxfId="292" priority="40">
      <formula>$F104="*01월*"</formula>
    </cfRule>
  </conditionalFormatting>
  <conditionalFormatting sqref="A104:A105">
    <cfRule type="expression" dxfId="291" priority="1593">
      <formula>$E107="*01월*"</formula>
    </cfRule>
  </conditionalFormatting>
  <conditionalFormatting sqref="A108">
    <cfRule type="expression" dxfId="290" priority="1">
      <formula>$E110="*01월*"</formula>
    </cfRule>
  </conditionalFormatting>
  <conditionalFormatting sqref="A11:B11">
    <cfRule type="expression" dxfId="289" priority="65">
      <formula>#REF!="*01월*"</formula>
    </cfRule>
  </conditionalFormatting>
  <conditionalFormatting sqref="A12:G12">
    <cfRule type="expression" dxfId="288" priority="26">
      <formula>#REF!="*01월*"</formula>
    </cfRule>
  </conditionalFormatting>
  <conditionalFormatting sqref="A10:N10 A17:A18 A20 F24">
    <cfRule type="expression" dxfId="287" priority="79">
      <formula>#REF!="*01월*"</formula>
    </cfRule>
  </conditionalFormatting>
  <conditionalFormatting sqref="A87:N87">
    <cfRule type="expression" dxfId="286" priority="4">
      <formula>#REF!="*01월*"</formula>
    </cfRule>
  </conditionalFormatting>
  <conditionalFormatting sqref="B94 J97:N97">
    <cfRule type="expression" dxfId="285" priority="36">
      <formula>$F97="*01월*"</formula>
    </cfRule>
  </conditionalFormatting>
  <conditionalFormatting sqref="B95 B96:C96 F96">
    <cfRule type="expression" dxfId="284" priority="43">
      <formula>$F96="*01월*"</formula>
    </cfRule>
  </conditionalFormatting>
  <conditionalFormatting sqref="B98:B99 A106:A107 A109:A113 A114:E114 G116 G118:G120 D118:E121">
    <cfRule type="expression" dxfId="283" priority="56">
      <formula>$F100="*01월*"</formula>
    </cfRule>
  </conditionalFormatting>
  <conditionalFormatting sqref="B94:C94 F94 K98:N99 G106:N112 B107:E112 G114:N114 K116:N116">
    <cfRule type="expression" dxfId="282" priority="22">
      <formula>$F96="*01월*"</formula>
    </cfRule>
  </conditionalFormatting>
  <conditionalFormatting sqref="B101:C101">
    <cfRule type="expression" dxfId="281" priority="44">
      <formula>#REF!="*01월*"</formula>
    </cfRule>
  </conditionalFormatting>
  <conditionalFormatting sqref="B103:C103">
    <cfRule type="expression" dxfId="280" priority="35">
      <formula>#REF!="*01월*"</formula>
    </cfRule>
  </conditionalFormatting>
  <conditionalFormatting sqref="B113:E113 G113:N113">
    <cfRule type="expression" dxfId="279" priority="1569">
      <formula>$E115="*01월*"</formula>
    </cfRule>
  </conditionalFormatting>
  <conditionalFormatting sqref="B18:M19">
    <cfRule type="expression" dxfId="278" priority="23">
      <formula>#REF!="*01월*"</formula>
    </cfRule>
  </conditionalFormatting>
  <conditionalFormatting sqref="B64:M67">
    <cfRule type="expression" dxfId="277" priority="17">
      <formula>#REF!="*01월*"</formula>
    </cfRule>
  </conditionalFormatting>
  <conditionalFormatting sqref="B69:M74">
    <cfRule type="expression" dxfId="276" priority="16">
      <formula>#REF!="*01월*"</formula>
    </cfRule>
  </conditionalFormatting>
  <conditionalFormatting sqref="B91:M96">
    <cfRule type="expression" dxfId="275" priority="14">
      <formula>#REF!="*01월*"</formula>
    </cfRule>
  </conditionalFormatting>
  <conditionalFormatting sqref="B76:N85">
    <cfRule type="expression" dxfId="274" priority="12">
      <formula>#REF!="*01월*"</formula>
    </cfRule>
  </conditionalFormatting>
  <conditionalFormatting sqref="B88:N89">
    <cfRule type="expression" dxfId="273" priority="15">
      <formula>#REF!="*01월*"</formula>
    </cfRule>
  </conditionalFormatting>
  <conditionalFormatting sqref="D18:E19">
    <cfRule type="expression" dxfId="272" priority="33">
      <formula>$F21="*01월*"</formula>
    </cfRule>
  </conditionalFormatting>
  <conditionalFormatting sqref="D117:E117 G117">
    <cfRule type="expression" dxfId="271" priority="86">
      <formula>$F117="*01월*"</formula>
    </cfRule>
  </conditionalFormatting>
  <conditionalFormatting sqref="D101:F101">
    <cfRule type="expression" dxfId="270" priority="70">
      <formula>$F106="*01월*"</formula>
    </cfRule>
  </conditionalFormatting>
  <conditionalFormatting sqref="D11:M11 B13:G16 A21:N21">
    <cfRule type="expression" dxfId="269" priority="60">
      <formula>#REF!="*01월*"</formula>
    </cfRule>
  </conditionalFormatting>
  <conditionalFormatting sqref="F12">
    <cfRule type="expression" dxfId="268" priority="25">
      <formula>$F16="*01월*"</formula>
    </cfRule>
  </conditionalFormatting>
  <conditionalFormatting sqref="F23:F26">
    <cfRule type="expression" dxfId="267" priority="45">
      <formula>$F25="*01월*"</formula>
    </cfRule>
  </conditionalFormatting>
  <conditionalFormatting sqref="F24">
    <cfRule type="expression" dxfId="266" priority="80">
      <formula>$F36="*01월*"</formula>
    </cfRule>
  </conditionalFormatting>
  <conditionalFormatting sqref="F25:F26">
    <cfRule type="expression" dxfId="265" priority="78">
      <formula>$F44="*01월*"</formula>
    </cfRule>
  </conditionalFormatting>
  <conditionalFormatting sqref="F25:F29">
    <cfRule type="expression" dxfId="264" priority="1521">
      <formula>$F43="*01월*"</formula>
    </cfRule>
  </conditionalFormatting>
  <conditionalFormatting sqref="F27:F30">
    <cfRule type="expression" dxfId="263" priority="77">
      <formula>$F44="*01월*"</formula>
    </cfRule>
  </conditionalFormatting>
  <conditionalFormatting sqref="F28">
    <cfRule type="expression" dxfId="262" priority="1525">
      <formula>$F53="*01월*"</formula>
    </cfRule>
  </conditionalFormatting>
  <conditionalFormatting sqref="F28:F29">
    <cfRule type="expression" dxfId="261" priority="1537">
      <formula>$F52="*01월*"</formula>
    </cfRule>
  </conditionalFormatting>
  <conditionalFormatting sqref="F29:F35">
    <cfRule type="expression" dxfId="260" priority="1545">
      <formula>#REF!="*01월*"</formula>
    </cfRule>
  </conditionalFormatting>
  <conditionalFormatting sqref="F30">
    <cfRule type="expression" dxfId="259" priority="1538">
      <formula>$F53="*01월*"</formula>
    </cfRule>
  </conditionalFormatting>
  <conditionalFormatting sqref="F30:F31">
    <cfRule type="expression" dxfId="258" priority="1539">
      <formula>$F52="*01월*"</formula>
    </cfRule>
  </conditionalFormatting>
  <conditionalFormatting sqref="F31:F32">
    <cfRule type="expression" dxfId="257" priority="1540">
      <formula>$F52="*01월*"</formula>
    </cfRule>
  </conditionalFormatting>
  <conditionalFormatting sqref="F32:F33">
    <cfRule type="expression" dxfId="256" priority="1541">
      <formula>$F52="*01월*"</formula>
    </cfRule>
  </conditionalFormatting>
  <conditionalFormatting sqref="F33:F34">
    <cfRule type="expression" dxfId="255" priority="1564">
      <formula>$F52="*01월*"</formula>
    </cfRule>
  </conditionalFormatting>
  <conditionalFormatting sqref="F35">
    <cfRule type="expression" dxfId="254" priority="28">
      <formula>$F53="*01월*"</formula>
    </cfRule>
  </conditionalFormatting>
  <conditionalFormatting sqref="F56">
    <cfRule type="expression" dxfId="253" priority="1559">
      <formula>$F75="*01월*"</formula>
    </cfRule>
    <cfRule type="expression" dxfId="252" priority="1560">
      <formula>#REF!="*01월*"</formula>
    </cfRule>
    <cfRule type="expression" dxfId="251" priority="1562">
      <formula>$F88="*01월*"</formula>
    </cfRule>
    <cfRule type="expression" dxfId="250" priority="1561">
      <formula>$F86="*01월*"</formula>
    </cfRule>
  </conditionalFormatting>
  <conditionalFormatting sqref="G101:H101">
    <cfRule type="expression" dxfId="249" priority="48">
      <formula>#REF!="*01월*"</formula>
    </cfRule>
  </conditionalFormatting>
  <conditionalFormatting sqref="G103:H103">
    <cfRule type="expression" dxfId="248" priority="41">
      <formula>#REF!="*01월*"</formula>
    </cfRule>
  </conditionalFormatting>
  <conditionalFormatting sqref="H2:H4">
    <cfRule type="expression" dxfId="247" priority="34">
      <formula>#REF!="*01월*"</formula>
    </cfRule>
  </conditionalFormatting>
  <conditionalFormatting sqref="H97">
    <cfRule type="expression" dxfId="246" priority="68">
      <formula>$F100="*01월*"</formula>
    </cfRule>
  </conditionalFormatting>
  <conditionalFormatting sqref="H102">
    <cfRule type="expression" dxfId="245" priority="64">
      <formula>#REF!="*01월*"</formula>
    </cfRule>
  </conditionalFormatting>
  <conditionalFormatting sqref="H104:J105 K105:N105">
    <cfRule type="expression" dxfId="244" priority="1576">
      <formula>$E107="*01월*"</formula>
    </cfRule>
  </conditionalFormatting>
  <conditionalFormatting sqref="H12:M17">
    <cfRule type="expression" dxfId="243" priority="24">
      <formula>#REF!="*01월*"</formula>
    </cfRule>
  </conditionalFormatting>
  <conditionalFormatting sqref="H68:M68">
    <cfRule type="expression" dxfId="242" priority="18">
      <formula>#REF!="*01월*"</formula>
    </cfRule>
  </conditionalFormatting>
  <conditionalFormatting sqref="H90:M90">
    <cfRule type="expression" dxfId="241" priority="37">
      <formula>#REF!="*01월*"</formula>
    </cfRule>
  </conditionalFormatting>
  <conditionalFormatting sqref="H20:N20">
    <cfRule type="expression" dxfId="240" priority="21">
      <formula>#REF!="*01월*"</formula>
    </cfRule>
  </conditionalFormatting>
  <conditionalFormatting sqref="H22:N22">
    <cfRule type="expression" dxfId="239" priority="20">
      <formula>#REF!="*01월*"</formula>
    </cfRule>
  </conditionalFormatting>
  <conditionalFormatting sqref="H36:N36">
    <cfRule type="expression" dxfId="238" priority="19">
      <formula>#REF!="*01월*"</formula>
    </cfRule>
  </conditionalFormatting>
  <conditionalFormatting sqref="H63:N63">
    <cfRule type="expression" dxfId="237" priority="46">
      <formula>#REF!="*01월*"</formula>
    </cfRule>
  </conditionalFormatting>
  <conditionalFormatting sqref="I97">
    <cfRule type="expression" dxfId="236" priority="47">
      <formula>#REF!="*01월*"</formula>
    </cfRule>
  </conditionalFormatting>
  <conditionalFormatting sqref="I98:I99">
    <cfRule type="expression" dxfId="235" priority="69">
      <formula>$F100="*01월*"</formula>
    </cfRule>
  </conditionalFormatting>
  <conditionalFormatting sqref="I101:J101">
    <cfRule type="expression" dxfId="234" priority="66">
      <formula>$F106="*01월*"</formula>
    </cfRule>
  </conditionalFormatting>
  <conditionalFormatting sqref="I102:N102">
    <cfRule type="expression" dxfId="233" priority="1573">
      <formula>$E107="*01월*"</formula>
    </cfRule>
  </conditionalFormatting>
  <conditionalFormatting sqref="K86:N86">
    <cfRule type="expression" dxfId="232" priority="67">
      <formula>#REF!="*01월*"</formula>
    </cfRule>
  </conditionalFormatting>
  <conditionalFormatting sqref="K101:N101">
    <cfRule type="expression" dxfId="231" priority="63">
      <formula>#REF!="*01월*"</formula>
    </cfRule>
  </conditionalFormatting>
  <conditionalFormatting sqref="K104:N104">
    <cfRule type="expression" dxfId="230" priority="53">
      <formula>$F111="*01월*"</formula>
    </cfRule>
  </conditionalFormatting>
  <conditionalFormatting sqref="N12:N19">
    <cfRule type="expression" dxfId="229" priority="10">
      <formula>#REF!="*01월*"</formula>
    </cfRule>
  </conditionalFormatting>
  <conditionalFormatting sqref="N64:N74">
    <cfRule type="expression" dxfId="228" priority="6">
      <formula>#REF!="*01월*"</formula>
    </cfRule>
  </conditionalFormatting>
  <conditionalFormatting sqref="N90:N96">
    <cfRule type="expression" dxfId="227" priority="3">
      <formula>#REF!="*01월*"</formula>
    </cfRule>
  </conditionalFormatting>
  <conditionalFormatting sqref="N100">
    <cfRule type="expression" dxfId="226" priority="2">
      <formula>$F103="*01월*"</formula>
    </cfRule>
  </conditionalFormatting>
  <printOptions horizontalCentered="1"/>
  <pageMargins left="0" right="0" top="0.70866141732283472" bottom="0.23622047244094491" header="0" footer="0"/>
  <pageSetup paperSize="9" scale="35" fitToHeight="0" orientation="portrait" r:id="rId1"/>
  <rowBreaks count="1" manualBreakCount="1">
    <brk id="70" max="13" man="1"/>
  </rowBreaks>
  <colBreaks count="1" manualBreakCount="1">
    <brk id="10" max="1048575" man="1"/>
  </colBreaks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F8D2F-36BE-46CD-94BA-38FEC2C856C0}">
  <dimension ref="A1:L107"/>
  <sheetViews>
    <sheetView zoomScale="85" zoomScaleNormal="85" zoomScaleSheetLayoutView="100" workbookViewId="0">
      <pane xSplit="2" ySplit="8" topLeftCell="C90" activePane="bottomRight" state="frozen"/>
      <selection pane="topRight" activeCell="C1" sqref="C1"/>
      <selection pane="bottomLeft" activeCell="A9" sqref="A9"/>
      <selection pane="bottomRight" activeCell="F86" sqref="F86"/>
    </sheetView>
  </sheetViews>
  <sheetFormatPr defaultRowHeight="17.399999999999999"/>
  <cols>
    <col min="1" max="1" width="12.8984375" style="809" customWidth="1"/>
    <col min="2" max="2" width="9.59765625" style="809" customWidth="1"/>
    <col min="3" max="3" width="16.5" style="810" customWidth="1"/>
    <col min="4" max="4" width="18.69921875" style="810" customWidth="1"/>
    <col min="5" max="5" width="9.19921875" style="811" customWidth="1"/>
    <col min="6" max="7" width="9.19921875" style="810" customWidth="1"/>
    <col min="8" max="8" width="16.8984375" style="991" customWidth="1"/>
    <col min="9" max="11" width="16.8984375" style="810" customWidth="1"/>
    <col min="12" max="12" width="14.8984375" style="810" customWidth="1"/>
  </cols>
  <sheetData>
    <row r="1" spans="1:12" ht="21.75" customHeight="1">
      <c r="A1" s="2163" t="s">
        <v>3873</v>
      </c>
      <c r="B1" s="2163"/>
      <c r="C1" s="2163"/>
      <c r="D1" s="2163"/>
      <c r="E1" s="2163"/>
      <c r="F1" s="2163"/>
      <c r="G1" s="2163"/>
      <c r="H1" s="981"/>
      <c r="K1"/>
    </row>
    <row r="2" spans="1:12" ht="21.75" customHeight="1">
      <c r="A2" s="2163"/>
      <c r="B2" s="2163"/>
      <c r="C2" s="2163"/>
      <c r="D2" s="2163"/>
      <c r="E2" s="2163"/>
      <c r="F2" s="2163"/>
      <c r="G2" s="2163"/>
      <c r="H2" s="981"/>
      <c r="K2"/>
    </row>
    <row r="3" spans="1:12" ht="19.5" customHeight="1">
      <c r="A3" s="2163"/>
      <c r="B3" s="2163"/>
      <c r="C3" s="2163"/>
      <c r="D3" s="2163"/>
      <c r="E3" s="2163"/>
      <c r="F3" s="2163"/>
      <c r="G3" s="2163"/>
      <c r="H3" s="982"/>
      <c r="I3" s="812"/>
      <c r="J3" s="812"/>
      <c r="K3" s="812"/>
    </row>
    <row r="4" spans="1:12" ht="19.5" customHeight="1">
      <c r="A4" s="2163"/>
      <c r="B4" s="2163"/>
      <c r="C4" s="2163"/>
      <c r="D4" s="2163"/>
      <c r="E4" s="2163"/>
      <c r="F4" s="2163"/>
      <c r="G4" s="2163"/>
      <c r="H4" s="982"/>
      <c r="I4" s="812"/>
      <c r="J4" s="812"/>
      <c r="K4" s="812"/>
    </row>
    <row r="5" spans="1:12" ht="19.5" customHeight="1">
      <c r="A5" s="2175" t="s">
        <v>3749</v>
      </c>
      <c r="B5" s="2175"/>
      <c r="C5" s="944"/>
      <c r="D5" s="944"/>
      <c r="E5" s="944"/>
      <c r="F5" s="944"/>
      <c r="G5" s="944"/>
      <c r="H5" s="982"/>
      <c r="I5" s="812"/>
      <c r="J5" s="812"/>
      <c r="K5" s="812"/>
    </row>
    <row r="6" spans="1:12" ht="19.5" customHeight="1">
      <c r="A6" s="2176" t="s">
        <v>3750</v>
      </c>
      <c r="B6" s="2176"/>
      <c r="C6" s="944"/>
      <c r="D6" s="944"/>
      <c r="E6" s="944"/>
      <c r="F6" s="944"/>
      <c r="G6" s="944"/>
      <c r="H6" s="982"/>
      <c r="I6" s="813"/>
      <c r="J6" s="813"/>
      <c r="K6" s="813"/>
    </row>
    <row r="7" spans="1:12" ht="19.5" customHeight="1" thickBot="1">
      <c r="A7" s="2177" t="s">
        <v>3748</v>
      </c>
      <c r="B7" s="2177"/>
      <c r="C7" s="945"/>
      <c r="D7" s="945"/>
      <c r="E7" s="945"/>
      <c r="F7" s="945"/>
      <c r="G7" s="945"/>
      <c r="H7" s="983"/>
      <c r="I7" s="813"/>
      <c r="J7" s="813"/>
      <c r="K7" s="813"/>
    </row>
    <row r="8" spans="1:12" s="126" customFormat="1" ht="25.5" customHeight="1">
      <c r="A8" s="2178" t="s">
        <v>4057</v>
      </c>
      <c r="B8" s="951" t="s">
        <v>4035</v>
      </c>
      <c r="C8" s="951" t="s">
        <v>236</v>
      </c>
      <c r="D8" s="952" t="s">
        <v>4053</v>
      </c>
      <c r="E8" s="2185" t="s">
        <v>4054</v>
      </c>
      <c r="F8" s="2186"/>
      <c r="G8" s="2187"/>
      <c r="H8" s="984" t="s">
        <v>4051</v>
      </c>
      <c r="I8" s="952" t="s">
        <v>4050</v>
      </c>
      <c r="J8" s="952" t="s">
        <v>4055</v>
      </c>
      <c r="K8" s="953" t="s">
        <v>4058</v>
      </c>
      <c r="L8" s="809"/>
    </row>
    <row r="9" spans="1:12" s="126" customFormat="1" ht="25.5" customHeight="1">
      <c r="A9" s="2092"/>
      <c r="B9" s="954" t="s">
        <v>375</v>
      </c>
      <c r="C9" s="954" t="s">
        <v>4036</v>
      </c>
      <c r="D9" s="955">
        <f>J27</f>
        <v>189789455</v>
      </c>
      <c r="E9" s="2133">
        <f>SUM(J28:J32)</f>
        <v>445413650</v>
      </c>
      <c r="F9" s="2134"/>
      <c r="G9" s="2135"/>
      <c r="H9" s="985"/>
      <c r="I9" s="956">
        <f>SUMIF($A$27:$A$106,C9,I27:I106)</f>
        <v>635203105</v>
      </c>
      <c r="J9" s="956">
        <f>SUM(D9:G9)</f>
        <v>635203105</v>
      </c>
      <c r="K9" s="957"/>
      <c r="L9" s="809"/>
    </row>
    <row r="10" spans="1:12" s="19" customFormat="1" ht="25.5" customHeight="1">
      <c r="A10" s="2092"/>
      <c r="B10" s="964" t="s">
        <v>375</v>
      </c>
      <c r="C10" s="964" t="s">
        <v>4025</v>
      </c>
      <c r="D10" s="965">
        <v>0</v>
      </c>
      <c r="E10" s="2182">
        <f>SUM(J33:J34)</f>
        <v>123904454</v>
      </c>
      <c r="F10" s="2183"/>
      <c r="G10" s="2184"/>
      <c r="H10" s="986"/>
      <c r="I10" s="965">
        <f t="shared" ref="I10:I20" ca="1" si="0">SUMIF($A$27:$A$106,C10,$I$27:$I$105)</f>
        <v>123904454</v>
      </c>
      <c r="J10" s="965">
        <f t="shared" ref="J10:J19" si="1">SUM(D10:G10)</f>
        <v>123904454</v>
      </c>
      <c r="K10" s="966">
        <f>SUM(J9:J10)</f>
        <v>759107559</v>
      </c>
      <c r="L10" s="809"/>
    </row>
    <row r="11" spans="1:12" ht="25.5" customHeight="1">
      <c r="A11" s="2092"/>
      <c r="B11" s="970" t="s">
        <v>478</v>
      </c>
      <c r="C11" s="970" t="s">
        <v>4026</v>
      </c>
      <c r="D11" s="971">
        <v>0</v>
      </c>
      <c r="E11" s="2157">
        <f>SUM(J35)</f>
        <v>18970310</v>
      </c>
      <c r="F11" s="2158"/>
      <c r="G11" s="2159"/>
      <c r="H11" s="987"/>
      <c r="I11" s="971">
        <f t="shared" ca="1" si="0"/>
        <v>18970310</v>
      </c>
      <c r="J11" s="971">
        <f t="shared" si="1"/>
        <v>18970310</v>
      </c>
      <c r="K11" s="972"/>
    </row>
    <row r="12" spans="1:12" s="24" customFormat="1" ht="25.5" customHeight="1">
      <c r="A12" s="2092"/>
      <c r="B12" s="959" t="s">
        <v>478</v>
      </c>
      <c r="C12" s="959" t="s">
        <v>660</v>
      </c>
      <c r="D12" s="956">
        <f>SUM(J36:J39)</f>
        <v>158655410</v>
      </c>
      <c r="E12" s="2133">
        <f>SUM(J40:J45)</f>
        <v>221207124</v>
      </c>
      <c r="F12" s="2134"/>
      <c r="G12" s="2135"/>
      <c r="H12" s="985">
        <f>SUM(K46:K48)</f>
        <v>170941335</v>
      </c>
      <c r="I12" s="956">
        <f t="shared" ca="1" si="0"/>
        <v>550803869</v>
      </c>
      <c r="J12" s="956">
        <f t="shared" si="1"/>
        <v>379862534</v>
      </c>
      <c r="K12" s="960"/>
      <c r="L12" s="1169"/>
    </row>
    <row r="13" spans="1:12" s="24" customFormat="1" ht="25.5" customHeight="1">
      <c r="A13" s="2092"/>
      <c r="B13" s="959" t="s">
        <v>478</v>
      </c>
      <c r="C13" s="959" t="s">
        <v>4042</v>
      </c>
      <c r="D13" s="956">
        <f>SUM(J49:J55)</f>
        <v>583125912</v>
      </c>
      <c r="E13" s="2133">
        <f>SUM(J56:J63)</f>
        <v>516796336</v>
      </c>
      <c r="F13" s="2134"/>
      <c r="G13" s="2135"/>
      <c r="H13" s="985">
        <f>SUM(K64:K74)</f>
        <v>645174585</v>
      </c>
      <c r="I13" s="956">
        <f t="shared" ca="1" si="0"/>
        <v>1745096833</v>
      </c>
      <c r="J13" s="956">
        <f t="shared" si="1"/>
        <v>1099922248</v>
      </c>
      <c r="K13" s="957"/>
      <c r="L13" s="1169"/>
    </row>
    <row r="14" spans="1:12" s="24" customFormat="1" ht="25.5" customHeight="1">
      <c r="A14" s="2092"/>
      <c r="B14" s="959" t="s">
        <v>478</v>
      </c>
      <c r="C14" s="959" t="s">
        <v>4041</v>
      </c>
      <c r="D14" s="956">
        <v>0</v>
      </c>
      <c r="E14" s="2133">
        <f>SUM(J75)</f>
        <v>96516667</v>
      </c>
      <c r="F14" s="2134"/>
      <c r="G14" s="2135"/>
      <c r="H14" s="985">
        <f>SUM(K76:K78)</f>
        <v>180911910</v>
      </c>
      <c r="I14" s="956">
        <f t="shared" ca="1" si="0"/>
        <v>277428577</v>
      </c>
      <c r="J14" s="956">
        <f t="shared" si="1"/>
        <v>96516667</v>
      </c>
      <c r="K14" s="960"/>
      <c r="L14" s="1169"/>
    </row>
    <row r="15" spans="1:12" s="24" customFormat="1" ht="25.5" customHeight="1">
      <c r="A15" s="2092"/>
      <c r="B15" s="973" t="s">
        <v>478</v>
      </c>
      <c r="C15" s="973" t="s">
        <v>4045</v>
      </c>
      <c r="D15" s="974">
        <f>SUM(J79:J80)</f>
        <v>129002570</v>
      </c>
      <c r="E15" s="2160">
        <v>0</v>
      </c>
      <c r="F15" s="2161"/>
      <c r="G15" s="2162"/>
      <c r="H15" s="988">
        <f>SUM(K81:K84)</f>
        <v>158427317</v>
      </c>
      <c r="I15" s="974">
        <f t="shared" ca="1" si="0"/>
        <v>287429887</v>
      </c>
      <c r="J15" s="974">
        <f t="shared" si="1"/>
        <v>129002570</v>
      </c>
      <c r="K15" s="975">
        <f>SUM(J11:J15)</f>
        <v>1724274329</v>
      </c>
      <c r="L15" s="1169"/>
    </row>
    <row r="16" spans="1:12" s="24" customFormat="1" ht="25.5" customHeight="1">
      <c r="A16" s="2092"/>
      <c r="B16" s="946" t="s">
        <v>626</v>
      </c>
      <c r="C16" s="946" t="s">
        <v>664</v>
      </c>
      <c r="D16" s="808">
        <f>SUM(J85:J88)</f>
        <v>1480948789</v>
      </c>
      <c r="E16" s="2188">
        <f>SUM(J89:J92)</f>
        <v>724742419</v>
      </c>
      <c r="F16" s="2189"/>
      <c r="G16" s="2190"/>
      <c r="H16" s="989">
        <f>SUM(K93:K94)</f>
        <v>769737192</v>
      </c>
      <c r="I16" s="808">
        <f t="shared" ca="1" si="0"/>
        <v>2975428400</v>
      </c>
      <c r="J16" s="808">
        <f t="shared" si="1"/>
        <v>2205691208</v>
      </c>
      <c r="K16" s="950">
        <f>J16</f>
        <v>2205691208</v>
      </c>
      <c r="L16" s="1169"/>
    </row>
    <row r="17" spans="1:12" ht="25.5" customHeight="1">
      <c r="A17" s="2092"/>
      <c r="B17" s="967" t="s">
        <v>4048</v>
      </c>
      <c r="C17" s="967" t="s">
        <v>47</v>
      </c>
      <c r="D17" s="968">
        <f>SUM(J95)</f>
        <v>57200724</v>
      </c>
      <c r="E17" s="2191">
        <f>SUM(J96)</f>
        <v>28772082</v>
      </c>
      <c r="F17" s="2192"/>
      <c r="G17" s="2193"/>
      <c r="H17" s="990">
        <f>SUM(K97)</f>
        <v>39664695</v>
      </c>
      <c r="I17" s="968">
        <f t="shared" ca="1" si="0"/>
        <v>125637501</v>
      </c>
      <c r="J17" s="968">
        <f t="shared" si="1"/>
        <v>85972806</v>
      </c>
      <c r="K17" s="969"/>
    </row>
    <row r="18" spans="1:12" ht="25.5" customHeight="1">
      <c r="A18" s="2092"/>
      <c r="B18" s="959" t="s">
        <v>4048</v>
      </c>
      <c r="C18" s="959" t="s">
        <v>40</v>
      </c>
      <c r="D18" s="956">
        <v>0</v>
      </c>
      <c r="E18" s="2133">
        <f>SUM(J98:J100)</f>
        <v>6995239</v>
      </c>
      <c r="F18" s="2134"/>
      <c r="G18" s="2135"/>
      <c r="H18" s="985">
        <f>SUM(K101:K103)</f>
        <v>49371664</v>
      </c>
      <c r="I18" s="956">
        <f t="shared" ca="1" si="0"/>
        <v>56366903</v>
      </c>
      <c r="J18" s="956">
        <f t="shared" si="1"/>
        <v>6995239</v>
      </c>
      <c r="K18" s="960"/>
    </row>
    <row r="19" spans="1:12" ht="25.5" customHeight="1">
      <c r="A19" s="2092"/>
      <c r="B19" s="959" t="s">
        <v>4048</v>
      </c>
      <c r="C19" s="959" t="s">
        <v>15</v>
      </c>
      <c r="D19" s="956">
        <f>SUM(J104)</f>
        <v>125353617</v>
      </c>
      <c r="E19" s="2133">
        <v>0</v>
      </c>
      <c r="F19" s="2134"/>
      <c r="G19" s="2135"/>
      <c r="H19" s="985">
        <v>0</v>
      </c>
      <c r="I19" s="956">
        <f t="shared" ca="1" si="0"/>
        <v>125353617</v>
      </c>
      <c r="J19" s="956">
        <f t="shared" si="1"/>
        <v>125353617</v>
      </c>
      <c r="K19" s="960"/>
    </row>
    <row r="20" spans="1:12" ht="25.5" customHeight="1">
      <c r="A20" s="2092"/>
      <c r="B20" s="959" t="s">
        <v>4048</v>
      </c>
      <c r="C20" s="961" t="s">
        <v>4049</v>
      </c>
      <c r="D20" s="956">
        <v>0</v>
      </c>
      <c r="E20" s="2133">
        <f>SUM(J105)</f>
        <v>21526400</v>
      </c>
      <c r="F20" s="2134"/>
      <c r="G20" s="2135"/>
      <c r="H20" s="985">
        <v>0</v>
      </c>
      <c r="I20" s="956">
        <f t="shared" ca="1" si="0"/>
        <v>21526400</v>
      </c>
      <c r="J20" s="956">
        <f>SUM(D20:G20)</f>
        <v>21526400</v>
      </c>
      <c r="K20" s="958">
        <f>SUM(J17:J20)</f>
        <v>239848062</v>
      </c>
      <c r="L20" s="1170">
        <f>K20-J20</f>
        <v>218321662</v>
      </c>
    </row>
    <row r="21" spans="1:12" ht="30" customHeight="1" thickBot="1">
      <c r="A21" s="2179"/>
      <c r="B21" s="2180" t="s">
        <v>4052</v>
      </c>
      <c r="C21" s="2181"/>
      <c r="D21" s="962">
        <f>SUM(D9:D20)</f>
        <v>2724076477</v>
      </c>
      <c r="E21" s="2172">
        <f>SUM(E9:G20)</f>
        <v>2204844681</v>
      </c>
      <c r="F21" s="2173"/>
      <c r="G21" s="2174"/>
      <c r="H21" s="963">
        <f>SUM(H9:H20)</f>
        <v>2014228698</v>
      </c>
      <c r="I21" s="963">
        <f ca="1">SUM(I9:I20)</f>
        <v>6943149856</v>
      </c>
      <c r="J21" s="962">
        <f>SUM(J9:J20)</f>
        <v>4928921158</v>
      </c>
      <c r="K21" s="976">
        <f>SUM(K9:K20)</f>
        <v>4928921158</v>
      </c>
    </row>
    <row r="22" spans="1:12" ht="30" customHeight="1">
      <c r="A22" s="2149" t="s">
        <v>4059</v>
      </c>
      <c r="B22" s="977" t="s">
        <v>626</v>
      </c>
      <c r="C22" s="977" t="s">
        <v>664</v>
      </c>
      <c r="D22" s="978" t="s">
        <v>4061</v>
      </c>
      <c r="E22" s="2166">
        <f>SUM(I86,I88,I90,I91,I92)</f>
        <v>451826625</v>
      </c>
      <c r="F22" s="2167"/>
      <c r="G22" s="2168"/>
      <c r="H22" s="2151" t="s">
        <v>4068</v>
      </c>
      <c r="I22" s="2152"/>
      <c r="J22" s="2152"/>
      <c r="K22" s="2153"/>
    </row>
    <row r="23" spans="1:12" ht="30" customHeight="1" thickBot="1">
      <c r="A23" s="2150"/>
      <c r="B23" s="979" t="s">
        <v>4062</v>
      </c>
      <c r="C23" s="979" t="s">
        <v>4036</v>
      </c>
      <c r="D23" s="1009" t="s">
        <v>4063</v>
      </c>
      <c r="E23" s="2169">
        <f>J31</f>
        <v>3979448</v>
      </c>
      <c r="F23" s="2170"/>
      <c r="G23" s="2171"/>
      <c r="H23" s="2154" t="s">
        <v>4066</v>
      </c>
      <c r="I23" s="2155"/>
      <c r="J23" s="2155"/>
      <c r="K23" s="2156"/>
    </row>
    <row r="24" spans="1:12" ht="18" thickBot="1">
      <c r="A24" s="980" t="s">
        <v>4060</v>
      </c>
    </row>
    <row r="25" spans="1:12" ht="23.25" customHeight="1">
      <c r="A25" s="2141" t="s">
        <v>0</v>
      </c>
      <c r="B25" s="2143" t="s">
        <v>4035</v>
      </c>
      <c r="C25" s="2143" t="s">
        <v>1</v>
      </c>
      <c r="D25" s="2145" t="s">
        <v>2</v>
      </c>
      <c r="E25" s="2147" t="s">
        <v>4009</v>
      </c>
      <c r="F25" s="2145" t="s">
        <v>3</v>
      </c>
      <c r="G25" s="2136" t="s">
        <v>4</v>
      </c>
      <c r="H25" s="2138" t="s">
        <v>2352</v>
      </c>
      <c r="I25" s="2139"/>
      <c r="J25" s="2139"/>
      <c r="K25" s="2140"/>
    </row>
    <row r="26" spans="1:12" ht="23.25" customHeight="1" thickBot="1">
      <c r="A26" s="2142"/>
      <c r="B26" s="2144"/>
      <c r="C26" s="2144"/>
      <c r="D26" s="2146"/>
      <c r="E26" s="2148"/>
      <c r="F26" s="2146"/>
      <c r="G26" s="2137"/>
      <c r="H26" s="992" t="s">
        <v>6</v>
      </c>
      <c r="I26" s="814" t="s">
        <v>7</v>
      </c>
      <c r="J26" s="814" t="s">
        <v>2479</v>
      </c>
      <c r="K26" s="815" t="s">
        <v>2336</v>
      </c>
    </row>
    <row r="27" spans="1:12" s="97" customFormat="1" ht="27" customHeight="1">
      <c r="A27" s="816" t="s">
        <v>4037</v>
      </c>
      <c r="B27" s="817" t="s">
        <v>375</v>
      </c>
      <c r="C27" s="818" t="s">
        <v>3875</v>
      </c>
      <c r="D27" s="819" t="s">
        <v>3876</v>
      </c>
      <c r="E27" s="820">
        <v>46054</v>
      </c>
      <c r="F27" s="821">
        <v>46054</v>
      </c>
      <c r="G27" s="822">
        <v>9.3289000000000009</v>
      </c>
      <c r="H27" s="993">
        <v>20344248</v>
      </c>
      <c r="I27" s="823">
        <f t="shared" ref="I27:I32" si="2">ROUNDDOWN(H27*G27,0)</f>
        <v>189789455</v>
      </c>
      <c r="J27" s="823">
        <f>I27</f>
        <v>189789455</v>
      </c>
      <c r="K27" s="824"/>
      <c r="L27" s="810"/>
    </row>
    <row r="28" spans="1:12" s="97" customFormat="1" ht="27" customHeight="1">
      <c r="A28" s="825" t="s">
        <v>4036</v>
      </c>
      <c r="B28" s="826" t="s">
        <v>4038</v>
      </c>
      <c r="C28" s="827" t="s">
        <v>3903</v>
      </c>
      <c r="D28" s="828" t="s">
        <v>3907</v>
      </c>
      <c r="E28" s="829">
        <v>46062</v>
      </c>
      <c r="F28" s="830">
        <v>46060</v>
      </c>
      <c r="G28" s="831">
        <v>9.3246000000000002</v>
      </c>
      <c r="H28" s="994">
        <v>13565748</v>
      </c>
      <c r="I28" s="832">
        <f t="shared" si="2"/>
        <v>126495173</v>
      </c>
      <c r="J28" s="832">
        <f>I28</f>
        <v>126495173</v>
      </c>
      <c r="K28" s="833"/>
      <c r="L28" s="810"/>
    </row>
    <row r="29" spans="1:12" s="97" customFormat="1" ht="27" customHeight="1">
      <c r="A29" s="825" t="s">
        <v>4036</v>
      </c>
      <c r="B29" s="826" t="s">
        <v>4038</v>
      </c>
      <c r="C29" s="827" t="s">
        <v>3904</v>
      </c>
      <c r="D29" s="828" t="s">
        <v>3908</v>
      </c>
      <c r="E29" s="829">
        <v>46068</v>
      </c>
      <c r="F29" s="830">
        <v>46068</v>
      </c>
      <c r="G29" s="831">
        <v>9.4473000000000003</v>
      </c>
      <c r="H29" s="994">
        <v>10183298</v>
      </c>
      <c r="I29" s="832">
        <f t="shared" si="2"/>
        <v>96204671</v>
      </c>
      <c r="J29" s="832">
        <f t="shared" ref="J29:J32" si="3">I29</f>
        <v>96204671</v>
      </c>
      <c r="K29" s="833"/>
      <c r="L29" s="810"/>
    </row>
    <row r="30" spans="1:12" s="97" customFormat="1" ht="27" customHeight="1">
      <c r="A30" s="825" t="s">
        <v>4036</v>
      </c>
      <c r="B30" s="826" t="s">
        <v>4038</v>
      </c>
      <c r="C30" s="827" t="s">
        <v>3905</v>
      </c>
      <c r="D30" s="828" t="s">
        <v>3909</v>
      </c>
      <c r="E30" s="829">
        <v>46076</v>
      </c>
      <c r="F30" s="830">
        <v>46076</v>
      </c>
      <c r="G30" s="831">
        <v>9.3554999999999993</v>
      </c>
      <c r="H30" s="994">
        <v>18841256</v>
      </c>
      <c r="I30" s="832">
        <f t="shared" si="2"/>
        <v>176269370</v>
      </c>
      <c r="J30" s="832">
        <f t="shared" si="3"/>
        <v>176269370</v>
      </c>
      <c r="K30" s="833"/>
      <c r="L30" s="810"/>
    </row>
    <row r="31" spans="1:12" s="97" customFormat="1" ht="27" customHeight="1">
      <c r="A31" s="825" t="s">
        <v>4036</v>
      </c>
      <c r="B31" s="826" t="s">
        <v>4038</v>
      </c>
      <c r="C31" s="1010" t="s">
        <v>4064</v>
      </c>
      <c r="D31" s="1011" t="s">
        <v>4065</v>
      </c>
      <c r="E31" s="1012">
        <v>46078</v>
      </c>
      <c r="F31" s="1013">
        <v>46078</v>
      </c>
      <c r="G31" s="1014">
        <v>9.2766000000000002</v>
      </c>
      <c r="H31" s="1015">
        <v>428977</v>
      </c>
      <c r="I31" s="1016">
        <f t="shared" si="2"/>
        <v>3979448</v>
      </c>
      <c r="J31" s="1016">
        <f t="shared" si="3"/>
        <v>3979448</v>
      </c>
      <c r="K31" s="1017"/>
      <c r="L31" s="810"/>
    </row>
    <row r="32" spans="1:12" s="97" customFormat="1" ht="27" customHeight="1" thickBot="1">
      <c r="A32" s="834" t="s">
        <v>4036</v>
      </c>
      <c r="B32" s="835" t="s">
        <v>4038</v>
      </c>
      <c r="C32" s="836" t="s">
        <v>3906</v>
      </c>
      <c r="D32" s="837" t="s">
        <v>3910</v>
      </c>
      <c r="E32" s="838">
        <v>46076</v>
      </c>
      <c r="F32" s="839">
        <v>46076</v>
      </c>
      <c r="G32" s="840">
        <v>9.3554999999999993</v>
      </c>
      <c r="H32" s="995">
        <v>4539040</v>
      </c>
      <c r="I32" s="841">
        <f t="shared" si="2"/>
        <v>42464988</v>
      </c>
      <c r="J32" s="841">
        <f t="shared" si="3"/>
        <v>42464988</v>
      </c>
      <c r="K32" s="842"/>
      <c r="L32" s="810"/>
    </row>
    <row r="33" spans="1:12" s="97" customFormat="1" ht="27" customHeight="1">
      <c r="A33" s="843" t="s">
        <v>2787</v>
      </c>
      <c r="B33" s="844" t="s">
        <v>375</v>
      </c>
      <c r="C33" s="845" t="s">
        <v>3911</v>
      </c>
      <c r="D33" s="845" t="s">
        <v>3913</v>
      </c>
      <c r="E33" s="846">
        <v>46063</v>
      </c>
      <c r="F33" s="847">
        <v>46062</v>
      </c>
      <c r="G33" s="848">
        <v>9.3280999999999992</v>
      </c>
      <c r="H33" s="996">
        <v>6659847</v>
      </c>
      <c r="I33" s="849">
        <f t="shared" ref="I33:I34" si="4">ROUNDDOWN(H33*G33,0)</f>
        <v>62123718</v>
      </c>
      <c r="J33" s="849">
        <f t="shared" ref="J33:J34" si="5">I33</f>
        <v>62123718</v>
      </c>
      <c r="K33" s="850"/>
      <c r="L33" s="810"/>
    </row>
    <row r="34" spans="1:12" s="97" customFormat="1" ht="27" customHeight="1" thickBot="1">
      <c r="A34" s="834" t="s">
        <v>4025</v>
      </c>
      <c r="B34" s="835" t="s">
        <v>375</v>
      </c>
      <c r="C34" s="851" t="s">
        <v>3912</v>
      </c>
      <c r="D34" s="851" t="s">
        <v>3914</v>
      </c>
      <c r="E34" s="838">
        <v>46078</v>
      </c>
      <c r="F34" s="837">
        <v>46078</v>
      </c>
      <c r="G34" s="840">
        <v>9.2766000000000002</v>
      </c>
      <c r="H34" s="995">
        <v>6659847</v>
      </c>
      <c r="I34" s="841">
        <f t="shared" si="4"/>
        <v>61780736</v>
      </c>
      <c r="J34" s="841">
        <f t="shared" si="5"/>
        <v>61780736</v>
      </c>
      <c r="K34" s="852"/>
      <c r="L34" s="810"/>
    </row>
    <row r="35" spans="1:12" ht="18" thickBot="1">
      <c r="A35" s="853" t="s">
        <v>4026</v>
      </c>
      <c r="B35" s="854" t="s">
        <v>478</v>
      </c>
      <c r="C35" s="855" t="s">
        <v>3915</v>
      </c>
      <c r="D35" s="856" t="s">
        <v>3916</v>
      </c>
      <c r="E35" s="857">
        <v>46062</v>
      </c>
      <c r="F35" s="856">
        <v>46062</v>
      </c>
      <c r="G35" s="858">
        <f>VLOOKUP(F35,환율!A:B,2,0)</f>
        <v>1470.3</v>
      </c>
      <c r="H35" s="997">
        <v>12902.34</v>
      </c>
      <c r="I35" s="859">
        <f t="shared" ref="I35" si="6">ROUNDDOWN(H35*G35,0)</f>
        <v>18970310</v>
      </c>
      <c r="J35" s="859">
        <f t="shared" ref="J35" si="7">I35</f>
        <v>18970310</v>
      </c>
      <c r="K35" s="860"/>
    </row>
    <row r="36" spans="1:12" s="97" customFormat="1" ht="27" customHeight="1">
      <c r="A36" s="816" t="s">
        <v>660</v>
      </c>
      <c r="B36" s="817" t="s">
        <v>478</v>
      </c>
      <c r="C36" s="818" t="s">
        <v>3783</v>
      </c>
      <c r="D36" s="819" t="s">
        <v>3877</v>
      </c>
      <c r="E36" s="820">
        <v>46063</v>
      </c>
      <c r="F36" s="821">
        <v>46063</v>
      </c>
      <c r="G36" s="861">
        <f>VLOOKUP(F36,환율!A:B,2,0)</f>
        <v>1464.3</v>
      </c>
      <c r="H36" s="998">
        <v>61473.599999999999</v>
      </c>
      <c r="I36" s="823">
        <f t="shared" ref="I36:I48" si="8">ROUNDDOWN(H36*G36,0)</f>
        <v>90015792</v>
      </c>
      <c r="J36" s="823">
        <f>I36</f>
        <v>90015792</v>
      </c>
      <c r="K36" s="824"/>
      <c r="L36" s="810"/>
    </row>
    <row r="37" spans="1:12" s="120" customFormat="1" ht="27" customHeight="1">
      <c r="A37" s="862" t="s">
        <v>698</v>
      </c>
      <c r="B37" s="863" t="s">
        <v>4039</v>
      </c>
      <c r="C37" s="864" t="s">
        <v>3785</v>
      </c>
      <c r="D37" s="865" t="s">
        <v>3878</v>
      </c>
      <c r="E37" s="866">
        <v>46063</v>
      </c>
      <c r="F37" s="867">
        <v>46063</v>
      </c>
      <c r="G37" s="868">
        <f>VLOOKUP(F37,환율!A:B,2,0)</f>
        <v>1464.3</v>
      </c>
      <c r="H37" s="999">
        <v>44966.879999999997</v>
      </c>
      <c r="I37" s="869">
        <f t="shared" si="8"/>
        <v>65845002</v>
      </c>
      <c r="J37" s="869">
        <f>I37</f>
        <v>65845002</v>
      </c>
      <c r="K37" s="870"/>
      <c r="L37" s="1171"/>
    </row>
    <row r="38" spans="1:12" s="120" customFormat="1" ht="27" customHeight="1">
      <c r="A38" s="862" t="s">
        <v>698</v>
      </c>
      <c r="B38" s="863" t="s">
        <v>4039</v>
      </c>
      <c r="C38" s="864" t="s">
        <v>3787</v>
      </c>
      <c r="D38" s="865" t="s">
        <v>3879</v>
      </c>
      <c r="E38" s="866">
        <v>46063</v>
      </c>
      <c r="F38" s="867">
        <v>46063</v>
      </c>
      <c r="G38" s="868">
        <f>VLOOKUP(F38,환율!A:B,2,0)</f>
        <v>1464.3</v>
      </c>
      <c r="H38" s="999">
        <v>558.25</v>
      </c>
      <c r="I38" s="869">
        <f t="shared" si="8"/>
        <v>817445</v>
      </c>
      <c r="J38" s="869">
        <f t="shared" ref="J38:J45" si="9">I38</f>
        <v>817445</v>
      </c>
      <c r="K38" s="870"/>
      <c r="L38" s="1171"/>
    </row>
    <row r="39" spans="1:12" s="120" customFormat="1" ht="27" customHeight="1">
      <c r="A39" s="862" t="s">
        <v>698</v>
      </c>
      <c r="B39" s="863" t="s">
        <v>4039</v>
      </c>
      <c r="C39" s="864" t="s">
        <v>3788</v>
      </c>
      <c r="D39" s="865" t="s">
        <v>3880</v>
      </c>
      <c r="E39" s="866">
        <v>46063</v>
      </c>
      <c r="F39" s="867">
        <v>46063</v>
      </c>
      <c r="G39" s="868">
        <f>VLOOKUP(F39,환율!A:B,2,0)</f>
        <v>1464.3</v>
      </c>
      <c r="H39" s="999">
        <v>1350.25</v>
      </c>
      <c r="I39" s="869">
        <f t="shared" si="8"/>
        <v>1977171</v>
      </c>
      <c r="J39" s="869">
        <f t="shared" si="9"/>
        <v>1977171</v>
      </c>
      <c r="K39" s="870"/>
      <c r="L39" s="1171"/>
    </row>
    <row r="40" spans="1:12" s="120" customFormat="1" ht="27" customHeight="1">
      <c r="A40" s="825" t="s">
        <v>698</v>
      </c>
      <c r="B40" s="826" t="s">
        <v>4039</v>
      </c>
      <c r="C40" s="871" t="s">
        <v>3917</v>
      </c>
      <c r="D40" s="830" t="s">
        <v>3925</v>
      </c>
      <c r="E40" s="872">
        <v>46068</v>
      </c>
      <c r="F40" s="828">
        <v>46068</v>
      </c>
      <c r="G40" s="873">
        <f>VLOOKUP(F40,환율!A:B,2,0)</f>
        <v>1443.4</v>
      </c>
      <c r="H40" s="1000">
        <v>39941.279999999999</v>
      </c>
      <c r="I40" s="832">
        <f t="shared" si="8"/>
        <v>57651243</v>
      </c>
      <c r="J40" s="832">
        <f t="shared" si="9"/>
        <v>57651243</v>
      </c>
      <c r="K40" s="874"/>
      <c r="L40" s="1171"/>
    </row>
    <row r="41" spans="1:12" s="120" customFormat="1" ht="27" customHeight="1">
      <c r="A41" s="825" t="s">
        <v>698</v>
      </c>
      <c r="B41" s="826" t="s">
        <v>4039</v>
      </c>
      <c r="C41" s="871" t="s">
        <v>3918</v>
      </c>
      <c r="D41" s="830" t="s">
        <v>3926</v>
      </c>
      <c r="E41" s="872">
        <v>46072</v>
      </c>
      <c r="F41" s="828">
        <v>46072</v>
      </c>
      <c r="G41" s="873">
        <f>VLOOKUP(F41,환율!A:B,2,0)</f>
        <v>1443.1</v>
      </c>
      <c r="H41" s="1000">
        <v>39035.519999999997</v>
      </c>
      <c r="I41" s="832">
        <f t="shared" si="8"/>
        <v>56332158</v>
      </c>
      <c r="J41" s="832">
        <f t="shared" si="9"/>
        <v>56332158</v>
      </c>
      <c r="K41" s="874"/>
      <c r="L41" s="1171"/>
    </row>
    <row r="42" spans="1:12" s="120" customFormat="1" ht="27" customHeight="1">
      <c r="A42" s="825" t="s">
        <v>698</v>
      </c>
      <c r="B42" s="826" t="s">
        <v>4039</v>
      </c>
      <c r="C42" s="871" t="s">
        <v>3919</v>
      </c>
      <c r="D42" s="830" t="s">
        <v>3927</v>
      </c>
      <c r="E42" s="872">
        <v>46066</v>
      </c>
      <c r="F42" s="828">
        <v>46066</v>
      </c>
      <c r="G42" s="873">
        <f>VLOOKUP(F42,환율!A:B,2,0)</f>
        <v>1443.4</v>
      </c>
      <c r="H42" s="1000">
        <v>47384.639999999999</v>
      </c>
      <c r="I42" s="832">
        <f t="shared" si="8"/>
        <v>68394989</v>
      </c>
      <c r="J42" s="832">
        <f t="shared" si="9"/>
        <v>68394989</v>
      </c>
      <c r="K42" s="874"/>
      <c r="L42" s="1171"/>
    </row>
    <row r="43" spans="1:12" s="120" customFormat="1" ht="27" customHeight="1">
      <c r="A43" s="825" t="s">
        <v>698</v>
      </c>
      <c r="B43" s="826" t="s">
        <v>4039</v>
      </c>
      <c r="C43" s="871" t="s">
        <v>3920</v>
      </c>
      <c r="D43" s="830" t="s">
        <v>3928</v>
      </c>
      <c r="E43" s="872">
        <v>46072</v>
      </c>
      <c r="F43" s="828">
        <v>46072</v>
      </c>
      <c r="G43" s="873">
        <f>VLOOKUP(F43,환율!A:B,2,0)</f>
        <v>1443.1</v>
      </c>
      <c r="H43" s="1000">
        <v>26208</v>
      </c>
      <c r="I43" s="832">
        <f t="shared" si="8"/>
        <v>37820764</v>
      </c>
      <c r="J43" s="832">
        <f t="shared" si="9"/>
        <v>37820764</v>
      </c>
      <c r="K43" s="874"/>
      <c r="L43" s="1171"/>
    </row>
    <row r="44" spans="1:12" s="120" customFormat="1" ht="27" customHeight="1">
      <c r="A44" s="825" t="s">
        <v>698</v>
      </c>
      <c r="B44" s="826" t="s">
        <v>4039</v>
      </c>
      <c r="C44" s="871" t="s">
        <v>3924</v>
      </c>
      <c r="D44" s="830" t="s">
        <v>3932</v>
      </c>
      <c r="E44" s="872">
        <v>46066</v>
      </c>
      <c r="F44" s="828">
        <v>46066</v>
      </c>
      <c r="G44" s="873">
        <f>VLOOKUP(F44,환율!A:B,2,0)</f>
        <v>1443.4</v>
      </c>
      <c r="H44" s="1000">
        <v>558.25</v>
      </c>
      <c r="I44" s="832">
        <f t="shared" si="8"/>
        <v>805778</v>
      </c>
      <c r="J44" s="832">
        <f t="shared" si="9"/>
        <v>805778</v>
      </c>
      <c r="K44" s="874"/>
      <c r="L44" s="1171"/>
    </row>
    <row r="45" spans="1:12" s="120" customFormat="1" ht="27" customHeight="1">
      <c r="A45" s="825" t="s">
        <v>698</v>
      </c>
      <c r="B45" s="826" t="s">
        <v>4039</v>
      </c>
      <c r="C45" s="871" t="s">
        <v>3933</v>
      </c>
      <c r="D45" s="830" t="s">
        <v>3934</v>
      </c>
      <c r="E45" s="872">
        <v>46060</v>
      </c>
      <c r="F45" s="828">
        <v>46060</v>
      </c>
      <c r="G45" s="873">
        <f>VLOOKUP(F45,환율!A:B,2,0)</f>
        <v>1464.1</v>
      </c>
      <c r="H45" s="1000">
        <v>138.1</v>
      </c>
      <c r="I45" s="832">
        <f t="shared" si="8"/>
        <v>202192</v>
      </c>
      <c r="J45" s="832">
        <f t="shared" si="9"/>
        <v>202192</v>
      </c>
      <c r="K45" s="874"/>
      <c r="L45" s="1171"/>
    </row>
    <row r="46" spans="1:12" s="120" customFormat="1" ht="27" customHeight="1">
      <c r="A46" s="875" t="s">
        <v>698</v>
      </c>
      <c r="B46" s="876" t="s">
        <v>4039</v>
      </c>
      <c r="C46" s="877" t="s">
        <v>3921</v>
      </c>
      <c r="D46" s="878" t="s">
        <v>3929</v>
      </c>
      <c r="E46" s="879" t="s">
        <v>4011</v>
      </c>
      <c r="F46" s="880">
        <v>46088</v>
      </c>
      <c r="G46" s="881">
        <f>VLOOKUP(F46,환율!A:B,2,0)</f>
        <v>1464.3</v>
      </c>
      <c r="H46" s="1001">
        <v>69960.509999999995</v>
      </c>
      <c r="I46" s="882">
        <f t="shared" si="8"/>
        <v>102443174</v>
      </c>
      <c r="J46" s="882"/>
      <c r="K46" s="883">
        <f>I46</f>
        <v>102443174</v>
      </c>
      <c r="L46" s="1171"/>
    </row>
    <row r="47" spans="1:12" s="120" customFormat="1" ht="27" customHeight="1">
      <c r="A47" s="875" t="s">
        <v>698</v>
      </c>
      <c r="B47" s="876" t="s">
        <v>4039</v>
      </c>
      <c r="C47" s="877" t="s">
        <v>3922</v>
      </c>
      <c r="D47" s="878" t="s">
        <v>3930</v>
      </c>
      <c r="E47" s="879">
        <v>46086</v>
      </c>
      <c r="F47" s="880">
        <v>46086</v>
      </c>
      <c r="G47" s="881">
        <f>VLOOKUP(F47,환율!A:B,2,0)</f>
        <v>1478.8</v>
      </c>
      <c r="H47" s="1001">
        <v>22832.639999999999</v>
      </c>
      <c r="I47" s="882">
        <f t="shared" si="8"/>
        <v>33764908</v>
      </c>
      <c r="J47" s="882"/>
      <c r="K47" s="883">
        <f t="shared" ref="K47:K48" si="10">I47</f>
        <v>33764908</v>
      </c>
      <c r="L47" s="1171"/>
    </row>
    <row r="48" spans="1:12" s="120" customFormat="1" ht="27" customHeight="1" thickBot="1">
      <c r="A48" s="884" t="s">
        <v>698</v>
      </c>
      <c r="B48" s="885" t="s">
        <v>4039</v>
      </c>
      <c r="C48" s="886" t="s">
        <v>3923</v>
      </c>
      <c r="D48" s="887" t="s">
        <v>3931</v>
      </c>
      <c r="E48" s="888" t="s">
        <v>4011</v>
      </c>
      <c r="F48" s="889">
        <v>46085</v>
      </c>
      <c r="G48" s="890">
        <f>VLOOKUP(F48,환율!A:B,2,0)</f>
        <v>1464.5</v>
      </c>
      <c r="H48" s="1002">
        <v>23716.799999999999</v>
      </c>
      <c r="I48" s="891">
        <f t="shared" si="8"/>
        <v>34733253</v>
      </c>
      <c r="J48" s="891"/>
      <c r="K48" s="892">
        <f t="shared" si="10"/>
        <v>34733253</v>
      </c>
      <c r="L48" s="1171"/>
    </row>
    <row r="49" spans="1:12" s="97" customFormat="1" ht="27" customHeight="1">
      <c r="A49" s="816" t="s">
        <v>4042</v>
      </c>
      <c r="B49" s="817" t="s">
        <v>478</v>
      </c>
      <c r="C49" s="893" t="s">
        <v>3881</v>
      </c>
      <c r="D49" s="821" t="s">
        <v>3882</v>
      </c>
      <c r="E49" s="894">
        <v>46061</v>
      </c>
      <c r="F49" s="821">
        <v>46061</v>
      </c>
      <c r="G49" s="861">
        <f>VLOOKUP(F49,환율!A:B,2,0)</f>
        <v>1464.1</v>
      </c>
      <c r="H49" s="998">
        <v>76584.78</v>
      </c>
      <c r="I49" s="823">
        <f t="shared" ref="I49:I73" si="11">ROUNDDOWN(H49*G49,0)</f>
        <v>112127776</v>
      </c>
      <c r="J49" s="823">
        <f>I49</f>
        <v>112127776</v>
      </c>
      <c r="K49" s="824"/>
      <c r="L49" s="810"/>
    </row>
    <row r="50" spans="1:12" s="97" customFormat="1" ht="27" customHeight="1">
      <c r="A50" s="862" t="s">
        <v>4042</v>
      </c>
      <c r="B50" s="863" t="s">
        <v>4039</v>
      </c>
      <c r="C50" s="895" t="s">
        <v>3813</v>
      </c>
      <c r="D50" s="867" t="s">
        <v>3883</v>
      </c>
      <c r="E50" s="896">
        <v>46061</v>
      </c>
      <c r="F50" s="867">
        <v>46061</v>
      </c>
      <c r="G50" s="868">
        <f>VLOOKUP(F50,환율!A:B,2,0)</f>
        <v>1464.1</v>
      </c>
      <c r="H50" s="999">
        <v>75545.22</v>
      </c>
      <c r="I50" s="869">
        <f t="shared" si="11"/>
        <v>110605756</v>
      </c>
      <c r="J50" s="869">
        <f t="shared" ref="J50:J63" si="12">I50</f>
        <v>110605756</v>
      </c>
      <c r="K50" s="870"/>
      <c r="L50" s="810"/>
    </row>
    <row r="51" spans="1:12" s="97" customFormat="1" ht="27" customHeight="1">
      <c r="A51" s="862" t="s">
        <v>4042</v>
      </c>
      <c r="B51" s="863" t="s">
        <v>4039</v>
      </c>
      <c r="C51" s="895" t="s">
        <v>3814</v>
      </c>
      <c r="D51" s="867" t="s">
        <v>3884</v>
      </c>
      <c r="E51" s="896">
        <v>46062</v>
      </c>
      <c r="F51" s="865">
        <v>46062</v>
      </c>
      <c r="G51" s="868">
        <f>VLOOKUP(F51,환율!A:B,2,0)</f>
        <v>1470.3</v>
      </c>
      <c r="H51" s="999">
        <v>50020.42</v>
      </c>
      <c r="I51" s="869">
        <f t="shared" si="11"/>
        <v>73545023</v>
      </c>
      <c r="J51" s="869">
        <f t="shared" si="12"/>
        <v>73545023</v>
      </c>
      <c r="K51" s="870"/>
      <c r="L51" s="810"/>
    </row>
    <row r="52" spans="1:12" s="97" customFormat="1" ht="27" customHeight="1">
      <c r="A52" s="862" t="s">
        <v>4042</v>
      </c>
      <c r="B52" s="863" t="s">
        <v>4039</v>
      </c>
      <c r="C52" s="895" t="s">
        <v>3885</v>
      </c>
      <c r="D52" s="867" t="s">
        <v>3886</v>
      </c>
      <c r="E52" s="896">
        <v>46068</v>
      </c>
      <c r="F52" s="865">
        <v>46068</v>
      </c>
      <c r="G52" s="868">
        <f>VLOOKUP(F52,환율!A:B,2,0)</f>
        <v>1443.4</v>
      </c>
      <c r="H52" s="999">
        <v>93082.06</v>
      </c>
      <c r="I52" s="869">
        <f t="shared" si="11"/>
        <v>134354645</v>
      </c>
      <c r="J52" s="869">
        <f t="shared" si="12"/>
        <v>134354645</v>
      </c>
      <c r="K52" s="870"/>
      <c r="L52" s="810"/>
    </row>
    <row r="53" spans="1:12" s="97" customFormat="1" ht="27" customHeight="1">
      <c r="A53" s="862" t="s">
        <v>4042</v>
      </c>
      <c r="B53" s="863" t="s">
        <v>4039</v>
      </c>
      <c r="C53" s="895" t="s">
        <v>3887</v>
      </c>
      <c r="D53" s="867" t="s">
        <v>3888</v>
      </c>
      <c r="E53" s="896">
        <v>46068</v>
      </c>
      <c r="F53" s="865">
        <v>46068</v>
      </c>
      <c r="G53" s="868">
        <f>VLOOKUP(F53,환율!A:B,2,0)</f>
        <v>1443.4</v>
      </c>
      <c r="H53" s="999">
        <v>97808.49</v>
      </c>
      <c r="I53" s="869">
        <f t="shared" si="11"/>
        <v>141176774</v>
      </c>
      <c r="J53" s="869">
        <f t="shared" si="12"/>
        <v>141176774</v>
      </c>
      <c r="K53" s="870"/>
      <c r="L53" s="810"/>
    </row>
    <row r="54" spans="1:12" s="126" customFormat="1" ht="27" customHeight="1">
      <c r="A54" s="862" t="s">
        <v>4042</v>
      </c>
      <c r="B54" s="863" t="s">
        <v>4039</v>
      </c>
      <c r="C54" s="895" t="s">
        <v>3889</v>
      </c>
      <c r="D54" s="867" t="s">
        <v>3890</v>
      </c>
      <c r="E54" s="896">
        <v>46054</v>
      </c>
      <c r="F54" s="865">
        <v>46054</v>
      </c>
      <c r="G54" s="868">
        <f>VLOOKUP(F54,환율!A:B,2,0)</f>
        <v>1427</v>
      </c>
      <c r="H54" s="999">
        <v>7038.36</v>
      </c>
      <c r="I54" s="869">
        <f t="shared" si="11"/>
        <v>10043739</v>
      </c>
      <c r="J54" s="869">
        <f t="shared" si="12"/>
        <v>10043739</v>
      </c>
      <c r="K54" s="870"/>
      <c r="L54" s="809"/>
    </row>
    <row r="55" spans="1:12" s="126" customFormat="1" ht="27" customHeight="1">
      <c r="A55" s="862" t="s">
        <v>4042</v>
      </c>
      <c r="B55" s="863" t="s">
        <v>4039</v>
      </c>
      <c r="C55" s="895" t="s">
        <v>3935</v>
      </c>
      <c r="D55" s="867" t="s">
        <v>3891</v>
      </c>
      <c r="E55" s="896">
        <v>46054</v>
      </c>
      <c r="F55" s="865">
        <v>46054</v>
      </c>
      <c r="G55" s="868">
        <f>VLOOKUP(F55,환율!A:B,2,0)</f>
        <v>1427</v>
      </c>
      <c r="H55" s="999">
        <v>891.52</v>
      </c>
      <c r="I55" s="869">
        <f t="shared" si="11"/>
        <v>1272199</v>
      </c>
      <c r="J55" s="869">
        <f t="shared" si="12"/>
        <v>1272199</v>
      </c>
      <c r="K55" s="870"/>
      <c r="L55" s="809"/>
    </row>
    <row r="56" spans="1:12" s="126" customFormat="1" ht="27" customHeight="1">
      <c r="A56" s="825" t="s">
        <v>4042</v>
      </c>
      <c r="B56" s="826" t="s">
        <v>4039</v>
      </c>
      <c r="C56" s="827" t="s">
        <v>3936</v>
      </c>
      <c r="D56" s="828" t="s">
        <v>3944</v>
      </c>
      <c r="E56" s="829">
        <v>46069</v>
      </c>
      <c r="F56" s="828">
        <v>46069</v>
      </c>
      <c r="G56" s="873">
        <f>VLOOKUP(F56,환율!A:B,2,0)</f>
        <v>1443.4</v>
      </c>
      <c r="H56" s="1000">
        <v>22934.7</v>
      </c>
      <c r="I56" s="832">
        <f t="shared" si="11"/>
        <v>33103945</v>
      </c>
      <c r="J56" s="832">
        <f t="shared" si="12"/>
        <v>33103945</v>
      </c>
      <c r="K56" s="874"/>
      <c r="L56" s="809"/>
    </row>
    <row r="57" spans="1:12" s="126" customFormat="1" ht="27" customHeight="1">
      <c r="A57" s="825" t="s">
        <v>4042</v>
      </c>
      <c r="B57" s="826" t="s">
        <v>4039</v>
      </c>
      <c r="C57" s="827" t="s">
        <v>3937</v>
      </c>
      <c r="D57" s="828" t="s">
        <v>3945</v>
      </c>
      <c r="E57" s="829">
        <v>46079</v>
      </c>
      <c r="F57" s="828">
        <v>46079</v>
      </c>
      <c r="G57" s="873">
        <f>VLOOKUP(F57,환율!A:B,2,0)</f>
        <v>1435.3</v>
      </c>
      <c r="H57" s="1000">
        <v>65995.72</v>
      </c>
      <c r="I57" s="832">
        <f t="shared" si="11"/>
        <v>94723656</v>
      </c>
      <c r="J57" s="832">
        <f t="shared" si="12"/>
        <v>94723656</v>
      </c>
      <c r="K57" s="874"/>
      <c r="L57" s="809"/>
    </row>
    <row r="58" spans="1:12" s="126" customFormat="1" ht="27" customHeight="1">
      <c r="A58" s="825" t="s">
        <v>4042</v>
      </c>
      <c r="B58" s="826" t="s">
        <v>4039</v>
      </c>
      <c r="C58" s="827" t="s">
        <v>3938</v>
      </c>
      <c r="D58" s="828" t="s">
        <v>3946</v>
      </c>
      <c r="E58" s="829">
        <v>46076</v>
      </c>
      <c r="F58" s="828">
        <v>46076</v>
      </c>
      <c r="G58" s="873">
        <f>VLOOKUP(F58,환율!A:B,2,0)</f>
        <v>1448.7</v>
      </c>
      <c r="H58" s="1000">
        <v>66278.48</v>
      </c>
      <c r="I58" s="832">
        <f t="shared" si="11"/>
        <v>96017633</v>
      </c>
      <c r="J58" s="832">
        <f t="shared" si="12"/>
        <v>96017633</v>
      </c>
      <c r="K58" s="874"/>
      <c r="L58" s="809"/>
    </row>
    <row r="59" spans="1:12" s="126" customFormat="1" ht="27" customHeight="1">
      <c r="A59" s="825" t="s">
        <v>4042</v>
      </c>
      <c r="B59" s="826" t="s">
        <v>4039</v>
      </c>
      <c r="C59" s="827" t="s">
        <v>3939</v>
      </c>
      <c r="D59" s="828" t="s">
        <v>3947</v>
      </c>
      <c r="E59" s="829">
        <v>46076</v>
      </c>
      <c r="F59" s="828">
        <v>46076</v>
      </c>
      <c r="G59" s="873">
        <f>VLOOKUP(F59,환율!A:B,2,0)</f>
        <v>1448.7</v>
      </c>
      <c r="H59" s="1000">
        <v>65076.480000000003</v>
      </c>
      <c r="I59" s="832">
        <f t="shared" si="11"/>
        <v>94276296</v>
      </c>
      <c r="J59" s="832">
        <f t="shared" si="12"/>
        <v>94276296</v>
      </c>
      <c r="K59" s="874"/>
      <c r="L59" s="809"/>
    </row>
    <row r="60" spans="1:12" s="126" customFormat="1" ht="27" customHeight="1">
      <c r="A60" s="825" t="s">
        <v>4042</v>
      </c>
      <c r="B60" s="826" t="s">
        <v>4039</v>
      </c>
      <c r="C60" s="827" t="s">
        <v>3942</v>
      </c>
      <c r="D60" s="828" t="s">
        <v>3950</v>
      </c>
      <c r="E60" s="829">
        <v>46080</v>
      </c>
      <c r="F60" s="828">
        <v>46080</v>
      </c>
      <c r="G60" s="873">
        <f>VLOOKUP(F60,환율!A:B,2,0)</f>
        <v>1424.5</v>
      </c>
      <c r="H60" s="1000">
        <v>14021.88</v>
      </c>
      <c r="I60" s="832">
        <f t="shared" si="11"/>
        <v>19974168</v>
      </c>
      <c r="J60" s="832">
        <f t="shared" si="12"/>
        <v>19974168</v>
      </c>
      <c r="K60" s="874"/>
      <c r="L60" s="809"/>
    </row>
    <row r="61" spans="1:12" s="126" customFormat="1" ht="27" customHeight="1">
      <c r="A61" s="825" t="s">
        <v>4042</v>
      </c>
      <c r="B61" s="826" t="s">
        <v>4039</v>
      </c>
      <c r="C61" s="827" t="s">
        <v>3943</v>
      </c>
      <c r="D61" s="828" t="s">
        <v>3951</v>
      </c>
      <c r="E61" s="829">
        <v>46076</v>
      </c>
      <c r="F61" s="828">
        <v>46076</v>
      </c>
      <c r="G61" s="873">
        <f>VLOOKUP(F61,환율!A:B,2,0)</f>
        <v>1448.7</v>
      </c>
      <c r="H61" s="1000">
        <v>36779.4</v>
      </c>
      <c r="I61" s="832">
        <f t="shared" si="11"/>
        <v>53282316</v>
      </c>
      <c r="J61" s="832">
        <f t="shared" si="12"/>
        <v>53282316</v>
      </c>
      <c r="K61" s="874"/>
      <c r="L61" s="809"/>
    </row>
    <row r="62" spans="1:12" s="126" customFormat="1" ht="27" customHeight="1">
      <c r="A62" s="825" t="s">
        <v>4042</v>
      </c>
      <c r="B62" s="826" t="s">
        <v>4039</v>
      </c>
      <c r="C62" s="827" t="s">
        <v>3954</v>
      </c>
      <c r="D62" s="828" t="s">
        <v>3961</v>
      </c>
      <c r="E62" s="829">
        <v>46076</v>
      </c>
      <c r="F62" s="828">
        <v>46076</v>
      </c>
      <c r="G62" s="873">
        <f>VLOOKUP(F62,환율!A:B,2,0)</f>
        <v>1448.7</v>
      </c>
      <c r="H62" s="1000">
        <v>79506.960000000006</v>
      </c>
      <c r="I62" s="832">
        <f t="shared" si="11"/>
        <v>115181732</v>
      </c>
      <c r="J62" s="832">
        <f t="shared" si="12"/>
        <v>115181732</v>
      </c>
      <c r="K62" s="874"/>
      <c r="L62" s="809"/>
    </row>
    <row r="63" spans="1:12" s="126" customFormat="1" ht="27" customHeight="1">
      <c r="A63" s="825" t="s">
        <v>4042</v>
      </c>
      <c r="B63" s="826" t="s">
        <v>4039</v>
      </c>
      <c r="C63" s="827" t="s">
        <v>3967</v>
      </c>
      <c r="D63" s="828" t="s">
        <v>3969</v>
      </c>
      <c r="E63" s="829">
        <v>46065</v>
      </c>
      <c r="F63" s="828">
        <v>46065</v>
      </c>
      <c r="G63" s="873">
        <f>VLOOKUP(F63,환율!A:B,2,0)</f>
        <v>1454.4</v>
      </c>
      <c r="H63" s="1000">
        <v>7038.36</v>
      </c>
      <c r="I63" s="832">
        <f t="shared" si="11"/>
        <v>10236590</v>
      </c>
      <c r="J63" s="832">
        <f t="shared" si="12"/>
        <v>10236590</v>
      </c>
      <c r="K63" s="874"/>
      <c r="L63" s="809"/>
    </row>
    <row r="64" spans="1:12" s="126" customFormat="1" ht="27" customHeight="1">
      <c r="A64" s="875" t="s">
        <v>4042</v>
      </c>
      <c r="B64" s="876" t="s">
        <v>4039</v>
      </c>
      <c r="C64" s="897" t="s">
        <v>3940</v>
      </c>
      <c r="D64" s="880" t="s">
        <v>3948</v>
      </c>
      <c r="E64" s="879" t="s">
        <v>4011</v>
      </c>
      <c r="F64" s="880">
        <v>46085</v>
      </c>
      <c r="G64" s="881">
        <f>VLOOKUP(F64,환율!A:B,2,0)</f>
        <v>1464.5</v>
      </c>
      <c r="H64" s="1001">
        <v>752.84</v>
      </c>
      <c r="I64" s="882">
        <f t="shared" si="11"/>
        <v>1102534</v>
      </c>
      <c r="J64" s="882"/>
      <c r="K64" s="883">
        <f>I64</f>
        <v>1102534</v>
      </c>
      <c r="L64" s="809"/>
    </row>
    <row r="65" spans="1:12" s="126" customFormat="1" ht="27" customHeight="1">
      <c r="A65" s="875" t="s">
        <v>4042</v>
      </c>
      <c r="B65" s="876" t="s">
        <v>4039</v>
      </c>
      <c r="C65" s="897" t="s">
        <v>3941</v>
      </c>
      <c r="D65" s="880" t="s">
        <v>3949</v>
      </c>
      <c r="E65" s="879" t="s">
        <v>4011</v>
      </c>
      <c r="F65" s="880">
        <v>46091</v>
      </c>
      <c r="G65" s="881">
        <f>VLOOKUP(F65,환율!A:B,2,0)</f>
        <v>1493.1</v>
      </c>
      <c r="H65" s="1001">
        <v>7619.84</v>
      </c>
      <c r="I65" s="882">
        <f t="shared" si="11"/>
        <v>11377183</v>
      </c>
      <c r="J65" s="882"/>
      <c r="K65" s="883">
        <f t="shared" ref="K65:K74" si="13">I65</f>
        <v>11377183</v>
      </c>
      <c r="L65" s="809"/>
    </row>
    <row r="66" spans="1:12" s="126" customFormat="1" ht="27" customHeight="1">
      <c r="A66" s="875" t="s">
        <v>4042</v>
      </c>
      <c r="B66" s="876" t="s">
        <v>4039</v>
      </c>
      <c r="C66" s="897" t="s">
        <v>3952</v>
      </c>
      <c r="D66" s="897" t="s">
        <v>3959</v>
      </c>
      <c r="E66" s="898">
        <v>46084</v>
      </c>
      <c r="F66" s="880">
        <v>46084</v>
      </c>
      <c r="G66" s="881">
        <f>VLOOKUP(F66,환율!A:B,2,0)</f>
        <v>1435.4</v>
      </c>
      <c r="H66" s="1001">
        <v>100541.24</v>
      </c>
      <c r="I66" s="882">
        <f t="shared" si="11"/>
        <v>144316895</v>
      </c>
      <c r="J66" s="882"/>
      <c r="K66" s="883">
        <f t="shared" si="13"/>
        <v>144316895</v>
      </c>
      <c r="L66" s="809"/>
    </row>
    <row r="67" spans="1:12" s="126" customFormat="1" ht="27" customHeight="1">
      <c r="A67" s="875" t="s">
        <v>4042</v>
      </c>
      <c r="B67" s="876" t="s">
        <v>4039</v>
      </c>
      <c r="C67" s="897" t="s">
        <v>3953</v>
      </c>
      <c r="D67" s="880" t="s">
        <v>3960</v>
      </c>
      <c r="E67" s="898">
        <v>46084</v>
      </c>
      <c r="F67" s="880">
        <v>46084</v>
      </c>
      <c r="G67" s="881">
        <f>VLOOKUP(F67,환율!A:B,2,0)</f>
        <v>1435.4</v>
      </c>
      <c r="H67" s="1001">
        <v>81853.14</v>
      </c>
      <c r="I67" s="882">
        <f t="shared" si="11"/>
        <v>117491997</v>
      </c>
      <c r="J67" s="882"/>
      <c r="K67" s="883">
        <f t="shared" si="13"/>
        <v>117491997</v>
      </c>
      <c r="L67" s="809"/>
    </row>
    <row r="68" spans="1:12" s="126" customFormat="1" ht="27" customHeight="1">
      <c r="A68" s="875" t="s">
        <v>4042</v>
      </c>
      <c r="B68" s="876" t="s">
        <v>4039</v>
      </c>
      <c r="C68" s="897" t="s">
        <v>3955</v>
      </c>
      <c r="D68" s="880" t="s">
        <v>3962</v>
      </c>
      <c r="E68" s="879" t="s">
        <v>4011</v>
      </c>
      <c r="F68" s="878">
        <v>46087</v>
      </c>
      <c r="G68" s="881">
        <f>VLOOKUP(F68,환율!A:B,2,0)</f>
        <v>1464.3</v>
      </c>
      <c r="H68" s="1001">
        <v>21563.5</v>
      </c>
      <c r="I68" s="882">
        <f t="shared" si="11"/>
        <v>31575433</v>
      </c>
      <c r="J68" s="882"/>
      <c r="K68" s="883">
        <f t="shared" si="13"/>
        <v>31575433</v>
      </c>
      <c r="L68" s="809"/>
    </row>
    <row r="69" spans="1:12" s="126" customFormat="1" ht="27" customHeight="1">
      <c r="A69" s="875" t="s">
        <v>4042</v>
      </c>
      <c r="B69" s="876" t="s">
        <v>4039</v>
      </c>
      <c r="C69" s="897" t="s">
        <v>3956</v>
      </c>
      <c r="D69" s="880" t="s">
        <v>3963</v>
      </c>
      <c r="E69" s="898">
        <v>46086</v>
      </c>
      <c r="F69" s="878">
        <v>46086</v>
      </c>
      <c r="G69" s="881">
        <f>VLOOKUP(F69,환율!A:B,2,0)</f>
        <v>1478.8</v>
      </c>
      <c r="H69" s="1001">
        <v>41282.46</v>
      </c>
      <c r="I69" s="882">
        <f t="shared" si="11"/>
        <v>61048501</v>
      </c>
      <c r="J69" s="882"/>
      <c r="K69" s="883">
        <f t="shared" si="13"/>
        <v>61048501</v>
      </c>
      <c r="L69" s="809"/>
    </row>
    <row r="70" spans="1:12" s="126" customFormat="1" ht="27" customHeight="1">
      <c r="A70" s="875" t="s">
        <v>4042</v>
      </c>
      <c r="B70" s="876" t="s">
        <v>4039</v>
      </c>
      <c r="C70" s="897" t="s">
        <v>3957</v>
      </c>
      <c r="D70" s="880" t="s">
        <v>3964</v>
      </c>
      <c r="E70" s="898">
        <v>46086</v>
      </c>
      <c r="F70" s="878">
        <v>46086</v>
      </c>
      <c r="G70" s="881">
        <f>VLOOKUP(F70,환율!A:B,2,0)</f>
        <v>1478.8</v>
      </c>
      <c r="H70" s="1001">
        <v>113072.4</v>
      </c>
      <c r="I70" s="882">
        <f t="shared" si="11"/>
        <v>167211465</v>
      </c>
      <c r="J70" s="882"/>
      <c r="K70" s="883">
        <f t="shared" si="13"/>
        <v>167211465</v>
      </c>
      <c r="L70" s="809"/>
    </row>
    <row r="71" spans="1:12" s="126" customFormat="1" ht="27" customHeight="1">
      <c r="A71" s="875" t="s">
        <v>4042</v>
      </c>
      <c r="B71" s="876" t="s">
        <v>4039</v>
      </c>
      <c r="C71" s="897" t="s">
        <v>3958</v>
      </c>
      <c r="D71" s="880" t="s">
        <v>3965</v>
      </c>
      <c r="E71" s="879" t="s">
        <v>4011</v>
      </c>
      <c r="F71" s="878">
        <v>46091</v>
      </c>
      <c r="G71" s="881">
        <f>VLOOKUP(F71,환율!A:B,2,0)</f>
        <v>1493.1</v>
      </c>
      <c r="H71" s="1001">
        <v>63752.86</v>
      </c>
      <c r="I71" s="882">
        <f t="shared" si="11"/>
        <v>95189395</v>
      </c>
      <c r="J71" s="882"/>
      <c r="K71" s="883">
        <f t="shared" si="13"/>
        <v>95189395</v>
      </c>
      <c r="L71" s="809"/>
    </row>
    <row r="72" spans="1:12" s="126" customFormat="1" ht="27" customHeight="1">
      <c r="A72" s="875" t="s">
        <v>4042</v>
      </c>
      <c r="B72" s="876" t="s">
        <v>4039</v>
      </c>
      <c r="C72" s="897" t="s">
        <v>3966</v>
      </c>
      <c r="D72" s="880" t="s">
        <v>3968</v>
      </c>
      <c r="E72" s="879" t="s">
        <v>4011</v>
      </c>
      <c r="F72" s="878">
        <v>46085</v>
      </c>
      <c r="G72" s="881">
        <f>VLOOKUP(F72,환율!A:B,2,0)</f>
        <v>1464.5</v>
      </c>
      <c r="H72" s="1001">
        <v>2440</v>
      </c>
      <c r="I72" s="882">
        <f t="shared" si="11"/>
        <v>3573380</v>
      </c>
      <c r="J72" s="882"/>
      <c r="K72" s="883">
        <f t="shared" si="13"/>
        <v>3573380</v>
      </c>
      <c r="L72" s="809"/>
    </row>
    <row r="73" spans="1:12" s="126" customFormat="1" ht="27" customHeight="1">
      <c r="A73" s="875" t="s">
        <v>4042</v>
      </c>
      <c r="B73" s="876" t="s">
        <v>4039</v>
      </c>
      <c r="C73" s="897" t="s">
        <v>4015</v>
      </c>
      <c r="D73" s="880" t="s">
        <v>3971</v>
      </c>
      <c r="E73" s="898">
        <v>46083</v>
      </c>
      <c r="F73" s="878">
        <v>46080</v>
      </c>
      <c r="G73" s="881">
        <f>VLOOKUP(F73,환율!A:B,2,0)</f>
        <v>1424.5</v>
      </c>
      <c r="H73" s="1001">
        <v>1340.64</v>
      </c>
      <c r="I73" s="882">
        <f t="shared" si="11"/>
        <v>1909741</v>
      </c>
      <c r="J73" s="882"/>
      <c r="K73" s="883">
        <f>I73</f>
        <v>1909741</v>
      </c>
      <c r="L73" s="809"/>
    </row>
    <row r="74" spans="1:12" s="126" customFormat="1" ht="27" customHeight="1" thickBot="1">
      <c r="A74" s="884" t="s">
        <v>4043</v>
      </c>
      <c r="B74" s="885" t="s">
        <v>4039</v>
      </c>
      <c r="C74" s="899" t="s">
        <v>3970</v>
      </c>
      <c r="D74" s="889" t="s">
        <v>3972</v>
      </c>
      <c r="E74" s="900">
        <v>46090</v>
      </c>
      <c r="F74" s="887">
        <v>46090</v>
      </c>
      <c r="G74" s="890">
        <f>VLOOKUP(F74,환율!A:B,2,0)</f>
        <v>1474.5</v>
      </c>
      <c r="H74" s="1002">
        <v>7038.36</v>
      </c>
      <c r="I74" s="891">
        <f>ROUNDDOWN(H74*G74,0)</f>
        <v>10378061</v>
      </c>
      <c r="J74" s="891"/>
      <c r="K74" s="892">
        <f t="shared" si="13"/>
        <v>10378061</v>
      </c>
      <c r="L74" s="809"/>
    </row>
    <row r="75" spans="1:12" s="97" customFormat="1" ht="39" customHeight="1">
      <c r="A75" s="843" t="s">
        <v>4041</v>
      </c>
      <c r="B75" s="844" t="s">
        <v>478</v>
      </c>
      <c r="C75" s="901" t="s">
        <v>3999</v>
      </c>
      <c r="D75" s="901" t="s">
        <v>4000</v>
      </c>
      <c r="E75" s="902">
        <v>46063</v>
      </c>
      <c r="F75" s="903">
        <v>46062</v>
      </c>
      <c r="G75" s="904">
        <f>VLOOKUP(F75,환율!A:B,2,0)</f>
        <v>1470.3</v>
      </c>
      <c r="H75" s="1003">
        <v>65644.2</v>
      </c>
      <c r="I75" s="849">
        <f t="shared" ref="I75:I78" si="14">ROUNDDOWN(H75*G75,0)</f>
        <v>96516667</v>
      </c>
      <c r="J75" s="849">
        <f>I75</f>
        <v>96516667</v>
      </c>
      <c r="K75" s="905"/>
      <c r="L75" s="810"/>
    </row>
    <row r="76" spans="1:12" s="97" customFormat="1" ht="39" customHeight="1">
      <c r="A76" s="875" t="s">
        <v>4040</v>
      </c>
      <c r="B76" s="876" t="s">
        <v>4039</v>
      </c>
      <c r="C76" s="897" t="s">
        <v>4001</v>
      </c>
      <c r="D76" s="1072" t="s">
        <v>4002</v>
      </c>
      <c r="E76" s="879">
        <v>46085</v>
      </c>
      <c r="F76" s="878">
        <v>46085</v>
      </c>
      <c r="G76" s="881">
        <f>VLOOKUP(F76,환율!A:B,2,0)</f>
        <v>1464.5</v>
      </c>
      <c r="H76" s="1001">
        <v>122819.52</v>
      </c>
      <c r="I76" s="882">
        <f t="shared" si="14"/>
        <v>179869187</v>
      </c>
      <c r="J76" s="882"/>
      <c r="K76" s="883">
        <f>I76</f>
        <v>179869187</v>
      </c>
      <c r="L76" s="810"/>
    </row>
    <row r="77" spans="1:12" s="97" customFormat="1" ht="39" customHeight="1">
      <c r="A77" s="875" t="s">
        <v>4040</v>
      </c>
      <c r="B77" s="876" t="s">
        <v>4039</v>
      </c>
      <c r="C77" s="897" t="s">
        <v>4003</v>
      </c>
      <c r="D77" s="1072" t="s">
        <v>4021</v>
      </c>
      <c r="E77" s="879" t="s">
        <v>4011</v>
      </c>
      <c r="F77" s="878">
        <v>46085</v>
      </c>
      <c r="G77" s="881">
        <f>VLOOKUP(F77,환율!A:B,2,0)</f>
        <v>1464.5</v>
      </c>
      <c r="H77" s="1001">
        <v>128.63999999999999</v>
      </c>
      <c r="I77" s="882">
        <f t="shared" si="14"/>
        <v>188393</v>
      </c>
      <c r="J77" s="882"/>
      <c r="K77" s="883">
        <f>I77</f>
        <v>188393</v>
      </c>
      <c r="L77" s="810"/>
    </row>
    <row r="78" spans="1:12" s="97" customFormat="1" ht="39" customHeight="1" thickBot="1">
      <c r="A78" s="884" t="s">
        <v>4040</v>
      </c>
      <c r="B78" s="885" t="s">
        <v>4039</v>
      </c>
      <c r="C78" s="899" t="s">
        <v>4022</v>
      </c>
      <c r="D78" s="1073" t="s">
        <v>4021</v>
      </c>
      <c r="E78" s="888" t="s">
        <v>4011</v>
      </c>
      <c r="F78" s="887">
        <v>46085</v>
      </c>
      <c r="G78" s="890">
        <f>VLOOKUP(F78,환율!A:B,2,0)</f>
        <v>1464.5</v>
      </c>
      <c r="H78" s="1002">
        <v>583.36</v>
      </c>
      <c r="I78" s="891">
        <f t="shared" si="14"/>
        <v>854330</v>
      </c>
      <c r="J78" s="891"/>
      <c r="K78" s="892">
        <f>I78</f>
        <v>854330</v>
      </c>
      <c r="L78" s="810"/>
    </row>
    <row r="79" spans="1:12" s="97" customFormat="1" ht="27" customHeight="1">
      <c r="A79" s="816" t="s">
        <v>4045</v>
      </c>
      <c r="B79" s="817" t="s">
        <v>478</v>
      </c>
      <c r="C79" s="893" t="s">
        <v>3899</v>
      </c>
      <c r="D79" s="821" t="s">
        <v>3892</v>
      </c>
      <c r="E79" s="894">
        <v>46062</v>
      </c>
      <c r="F79" s="819">
        <v>46062</v>
      </c>
      <c r="G79" s="861">
        <f>VLOOKUP(F79,환율!A:B,2,0)</f>
        <v>1470.3</v>
      </c>
      <c r="H79" s="998"/>
      <c r="I79" s="823">
        <v>121332860</v>
      </c>
      <c r="J79" s="823">
        <f>I79</f>
        <v>121332860</v>
      </c>
      <c r="K79" s="824"/>
      <c r="L79" s="810"/>
    </row>
    <row r="80" spans="1:12" s="97" customFormat="1" ht="27" customHeight="1">
      <c r="A80" s="862" t="s">
        <v>4044</v>
      </c>
      <c r="B80" s="863" t="s">
        <v>4039</v>
      </c>
      <c r="C80" s="895" t="s">
        <v>3900</v>
      </c>
      <c r="D80" s="867" t="s">
        <v>3901</v>
      </c>
      <c r="E80" s="896">
        <v>46066</v>
      </c>
      <c r="F80" s="865">
        <v>46066</v>
      </c>
      <c r="G80" s="868">
        <f>VLOOKUP(F80,환율!A:B,2,0)</f>
        <v>1443.4</v>
      </c>
      <c r="H80" s="999"/>
      <c r="I80" s="869">
        <v>7669710</v>
      </c>
      <c r="J80" s="869">
        <f>I80</f>
        <v>7669710</v>
      </c>
      <c r="K80" s="870"/>
      <c r="L80" s="810"/>
    </row>
    <row r="81" spans="1:12" s="97" customFormat="1" ht="27" customHeight="1">
      <c r="A81" s="875" t="s">
        <v>4044</v>
      </c>
      <c r="B81" s="876" t="s">
        <v>4039</v>
      </c>
      <c r="C81" s="906" t="s">
        <v>3973</v>
      </c>
      <c r="D81" s="906" t="s">
        <v>3977</v>
      </c>
      <c r="E81" s="898">
        <v>46082</v>
      </c>
      <c r="F81" s="878">
        <v>46082</v>
      </c>
      <c r="G81" s="881">
        <f>VLOOKUP(F81,환율!A:B,2,0)</f>
        <v>1424.5</v>
      </c>
      <c r="H81" s="1001"/>
      <c r="I81" s="882">
        <v>6064021</v>
      </c>
      <c r="J81" s="882"/>
      <c r="K81" s="883">
        <f>I81</f>
        <v>6064021</v>
      </c>
      <c r="L81" s="810"/>
    </row>
    <row r="82" spans="1:12" s="97" customFormat="1" ht="27" customHeight="1">
      <c r="A82" s="875" t="s">
        <v>4044</v>
      </c>
      <c r="B82" s="876" t="s">
        <v>4039</v>
      </c>
      <c r="C82" s="906" t="s">
        <v>3974</v>
      </c>
      <c r="D82" s="906" t="s">
        <v>4004</v>
      </c>
      <c r="E82" s="898">
        <v>46082</v>
      </c>
      <c r="F82" s="878">
        <v>46082</v>
      </c>
      <c r="G82" s="881">
        <f>VLOOKUP(F82,환율!A:B,2,0)</f>
        <v>1424.5</v>
      </c>
      <c r="H82" s="1001"/>
      <c r="I82" s="882">
        <v>93030844</v>
      </c>
      <c r="J82" s="882"/>
      <c r="K82" s="883">
        <f t="shared" ref="K82:K84" si="15">I82</f>
        <v>93030844</v>
      </c>
      <c r="L82" s="810"/>
    </row>
    <row r="83" spans="1:12" s="97" customFormat="1" ht="27" customHeight="1">
      <c r="A83" s="875" t="s">
        <v>4044</v>
      </c>
      <c r="B83" s="876" t="s">
        <v>4039</v>
      </c>
      <c r="C83" s="906" t="s">
        <v>3975</v>
      </c>
      <c r="D83" s="906" t="s">
        <v>4005</v>
      </c>
      <c r="E83" s="898">
        <v>46085</v>
      </c>
      <c r="F83" s="878">
        <v>46085</v>
      </c>
      <c r="G83" s="881">
        <f>VLOOKUP(F83,환율!A:B,2,0)</f>
        <v>1464.5</v>
      </c>
      <c r="H83" s="1001"/>
      <c r="I83" s="882">
        <v>27059123</v>
      </c>
      <c r="J83" s="882"/>
      <c r="K83" s="883">
        <f t="shared" si="15"/>
        <v>27059123</v>
      </c>
      <c r="L83" s="810"/>
    </row>
    <row r="84" spans="1:12" s="97" customFormat="1" ht="27" customHeight="1" thickBot="1">
      <c r="A84" s="884" t="s">
        <v>4044</v>
      </c>
      <c r="B84" s="885" t="s">
        <v>4039</v>
      </c>
      <c r="C84" s="907" t="s">
        <v>3976</v>
      </c>
      <c r="D84" s="907" t="s">
        <v>4006</v>
      </c>
      <c r="E84" s="900">
        <v>46088</v>
      </c>
      <c r="F84" s="887">
        <v>46088</v>
      </c>
      <c r="G84" s="890">
        <f>VLOOKUP(F84,환율!A:B,2,0)</f>
        <v>1464.3</v>
      </c>
      <c r="H84" s="1002"/>
      <c r="I84" s="891">
        <v>32273329</v>
      </c>
      <c r="J84" s="891"/>
      <c r="K84" s="892">
        <f t="shared" si="15"/>
        <v>32273329</v>
      </c>
      <c r="L84" s="810"/>
    </row>
    <row r="85" spans="1:12" s="97" customFormat="1" ht="34.5" customHeight="1">
      <c r="A85" s="816" t="s">
        <v>664</v>
      </c>
      <c r="B85" s="817" t="s">
        <v>626</v>
      </c>
      <c r="C85" s="893" t="s">
        <v>3893</v>
      </c>
      <c r="D85" s="821" t="s">
        <v>3894</v>
      </c>
      <c r="E85" s="894">
        <v>46059</v>
      </c>
      <c r="F85" s="819">
        <v>46059</v>
      </c>
      <c r="G85" s="861">
        <f>VLOOKUP(F85,환율!A:B,2,0)</f>
        <v>1464.1</v>
      </c>
      <c r="H85" s="998">
        <v>381773.96</v>
      </c>
      <c r="I85" s="823">
        <f t="shared" ref="I85:I94" si="16">ROUNDDOWN(H85*G85,0)</f>
        <v>558955254</v>
      </c>
      <c r="J85" s="823">
        <f>I85</f>
        <v>558955254</v>
      </c>
      <c r="K85" s="824"/>
      <c r="L85" s="810"/>
    </row>
    <row r="86" spans="1:12" s="97" customFormat="1" ht="19.2">
      <c r="A86" s="862" t="s">
        <v>29</v>
      </c>
      <c r="B86" s="863" t="s">
        <v>4046</v>
      </c>
      <c r="C86" s="895" t="s">
        <v>3895</v>
      </c>
      <c r="D86" s="867" t="s">
        <v>2504</v>
      </c>
      <c r="E86" s="896">
        <v>46059</v>
      </c>
      <c r="F86" s="865">
        <v>46059</v>
      </c>
      <c r="G86" s="868">
        <f>VLOOKUP(F86,환율!A:B,2,0)</f>
        <v>1464.1</v>
      </c>
      <c r="H86" s="999">
        <v>90569.48</v>
      </c>
      <c r="I86" s="869">
        <f t="shared" si="16"/>
        <v>132602775</v>
      </c>
      <c r="J86" s="869">
        <f t="shared" ref="J86" si="17">I86</f>
        <v>132602775</v>
      </c>
      <c r="K86" s="870"/>
      <c r="L86" s="810"/>
    </row>
    <row r="87" spans="1:12" s="97" customFormat="1" ht="19.2">
      <c r="A87" s="862" t="s">
        <v>29</v>
      </c>
      <c r="B87" s="863" t="s">
        <v>4046</v>
      </c>
      <c r="C87" s="895" t="s">
        <v>3896</v>
      </c>
      <c r="D87" s="867" t="s">
        <v>3902</v>
      </c>
      <c r="E87" s="896">
        <v>46063</v>
      </c>
      <c r="F87" s="865">
        <v>46063</v>
      </c>
      <c r="G87" s="868">
        <f>VLOOKUP(F87,환율!A:B,2,0)</f>
        <v>1464.3</v>
      </c>
      <c r="H87" s="999">
        <v>436328.12</v>
      </c>
      <c r="I87" s="869">
        <f t="shared" si="16"/>
        <v>638915266</v>
      </c>
      <c r="J87" s="869">
        <f>I87</f>
        <v>638915266</v>
      </c>
      <c r="K87" s="870"/>
      <c r="L87" s="810"/>
    </row>
    <row r="88" spans="1:12" s="97" customFormat="1" ht="19.2">
      <c r="A88" s="862" t="s">
        <v>29</v>
      </c>
      <c r="B88" s="863" t="s">
        <v>4046</v>
      </c>
      <c r="C88" s="895" t="s">
        <v>3897</v>
      </c>
      <c r="D88" s="867" t="s">
        <v>2504</v>
      </c>
      <c r="E88" s="896">
        <v>46063</v>
      </c>
      <c r="F88" s="865">
        <v>46063</v>
      </c>
      <c r="G88" s="868">
        <f>VLOOKUP(F88,환율!A:B,2,0)</f>
        <v>1464.3</v>
      </c>
      <c r="H88" s="999">
        <v>102762.75</v>
      </c>
      <c r="I88" s="869">
        <f t="shared" si="16"/>
        <v>150475494</v>
      </c>
      <c r="J88" s="869">
        <f>I88</f>
        <v>150475494</v>
      </c>
      <c r="K88" s="870"/>
      <c r="L88" s="810"/>
    </row>
    <row r="89" spans="1:12" s="97" customFormat="1" ht="19.2">
      <c r="A89" s="825" t="s">
        <v>29</v>
      </c>
      <c r="B89" s="826" t="s">
        <v>4046</v>
      </c>
      <c r="C89" s="908" t="s">
        <v>3978</v>
      </c>
      <c r="D89" s="828" t="s">
        <v>3982</v>
      </c>
      <c r="E89" s="829">
        <v>46073</v>
      </c>
      <c r="F89" s="830">
        <v>46073</v>
      </c>
      <c r="G89" s="873">
        <f>VLOOKUP(F89,환율!A:B,2,0)</f>
        <v>1450.7</v>
      </c>
      <c r="H89" s="1000">
        <v>383259.16</v>
      </c>
      <c r="I89" s="832">
        <f t="shared" si="16"/>
        <v>555994063</v>
      </c>
      <c r="J89" s="832">
        <f>I89</f>
        <v>555994063</v>
      </c>
      <c r="K89" s="874"/>
      <c r="L89" s="810"/>
    </row>
    <row r="90" spans="1:12" s="97" customFormat="1" ht="31.2">
      <c r="A90" s="825" t="s">
        <v>29</v>
      </c>
      <c r="B90" s="826" t="s">
        <v>4046</v>
      </c>
      <c r="C90" s="909" t="s">
        <v>3980</v>
      </c>
      <c r="D90" s="910"/>
      <c r="E90" s="911">
        <v>46073</v>
      </c>
      <c r="F90" s="912">
        <v>46073</v>
      </c>
      <c r="G90" s="913">
        <f>VLOOKUP(F90,환율!A:B,2,0)</f>
        <v>1450.7</v>
      </c>
      <c r="H90" s="1004">
        <v>90591.46</v>
      </c>
      <c r="I90" s="832">
        <f t="shared" si="16"/>
        <v>131421031</v>
      </c>
      <c r="J90" s="832">
        <f t="shared" ref="J90:J92" si="18">I90</f>
        <v>131421031</v>
      </c>
      <c r="K90" s="874"/>
      <c r="L90" s="810"/>
    </row>
    <row r="91" spans="1:12" s="718" customFormat="1" ht="19.2">
      <c r="A91" s="914" t="s">
        <v>29</v>
      </c>
      <c r="B91" s="915" t="s">
        <v>4046</v>
      </c>
      <c r="C91" s="916" t="s">
        <v>4013</v>
      </c>
      <c r="D91" s="917"/>
      <c r="E91" s="918" t="s">
        <v>4011</v>
      </c>
      <c r="F91" s="919">
        <v>46080</v>
      </c>
      <c r="G91" s="920">
        <f>VLOOKUP(F91,환율!A:B,2,0)</f>
        <v>1424.5</v>
      </c>
      <c r="H91" s="1005">
        <v>14150</v>
      </c>
      <c r="I91" s="921">
        <f t="shared" si="16"/>
        <v>20156675</v>
      </c>
      <c r="J91" s="921">
        <f t="shared" si="18"/>
        <v>20156675</v>
      </c>
      <c r="K91" s="922"/>
      <c r="L91" s="1172"/>
    </row>
    <row r="92" spans="1:12" s="718" customFormat="1" ht="19.2">
      <c r="A92" s="914" t="s">
        <v>29</v>
      </c>
      <c r="B92" s="915" t="s">
        <v>4046</v>
      </c>
      <c r="C92" s="916" t="s">
        <v>4012</v>
      </c>
      <c r="D92" s="917"/>
      <c r="E92" s="918" t="s">
        <v>4011</v>
      </c>
      <c r="F92" s="919">
        <v>46057</v>
      </c>
      <c r="G92" s="920">
        <f>VLOOKUP(F92,환율!A:B,2,0)</f>
        <v>1449</v>
      </c>
      <c r="H92" s="1005">
        <v>11850</v>
      </c>
      <c r="I92" s="921">
        <f t="shared" si="16"/>
        <v>17170650</v>
      </c>
      <c r="J92" s="921">
        <f t="shared" si="18"/>
        <v>17170650</v>
      </c>
      <c r="K92" s="922"/>
      <c r="L92" s="1172"/>
    </row>
    <row r="93" spans="1:12" s="97" customFormat="1" ht="19.2">
      <c r="A93" s="875" t="s">
        <v>29</v>
      </c>
      <c r="B93" s="876" t="s">
        <v>4046</v>
      </c>
      <c r="C93" s="923" t="s">
        <v>3979</v>
      </c>
      <c r="D93" s="880" t="s">
        <v>4007</v>
      </c>
      <c r="E93" s="898">
        <v>46083</v>
      </c>
      <c r="F93" s="878">
        <v>46083</v>
      </c>
      <c r="G93" s="881">
        <f>VLOOKUP(F93,환율!A:B,2,0)</f>
        <v>1424.5</v>
      </c>
      <c r="H93" s="1001">
        <v>437202.08</v>
      </c>
      <c r="I93" s="882">
        <f t="shared" si="16"/>
        <v>622794362</v>
      </c>
      <c r="J93" s="882"/>
      <c r="K93" s="883">
        <f>I93</f>
        <v>622794362</v>
      </c>
      <c r="L93" s="810"/>
    </row>
    <row r="94" spans="1:12" s="97" customFormat="1" ht="31.8" thickBot="1">
      <c r="A94" s="884" t="s">
        <v>29</v>
      </c>
      <c r="B94" s="885" t="s">
        <v>4046</v>
      </c>
      <c r="C94" s="924" t="s">
        <v>3981</v>
      </c>
      <c r="D94" s="889"/>
      <c r="E94" s="900">
        <v>46083</v>
      </c>
      <c r="F94" s="887">
        <v>46083</v>
      </c>
      <c r="G94" s="890">
        <f>VLOOKUP(F94,환율!A:B,2,0)</f>
        <v>1424.5</v>
      </c>
      <c r="H94" s="1002">
        <v>103153.97</v>
      </c>
      <c r="I94" s="891">
        <f t="shared" si="16"/>
        <v>146942830</v>
      </c>
      <c r="J94" s="891"/>
      <c r="K94" s="892">
        <f>I94</f>
        <v>146942830</v>
      </c>
      <c r="L94" s="810"/>
    </row>
    <row r="95" spans="1:12" s="97" customFormat="1" ht="37.5" customHeight="1">
      <c r="A95" s="816" t="s">
        <v>47</v>
      </c>
      <c r="B95" s="817" t="s">
        <v>4048</v>
      </c>
      <c r="C95" s="893" t="s">
        <v>4023</v>
      </c>
      <c r="D95" s="821" t="s">
        <v>4024</v>
      </c>
      <c r="E95" s="894">
        <v>46057</v>
      </c>
      <c r="F95" s="819">
        <v>46057</v>
      </c>
      <c r="G95" s="861">
        <f>VLOOKUP(F95,환율!A:B,2,0)</f>
        <v>1449</v>
      </c>
      <c r="H95" s="998">
        <v>39476</v>
      </c>
      <c r="I95" s="823">
        <f>ROUNDDOWN(H95*G95,0)</f>
        <v>57200724</v>
      </c>
      <c r="J95" s="823">
        <f>I95</f>
        <v>57200724</v>
      </c>
      <c r="K95" s="824"/>
      <c r="L95" s="810"/>
    </row>
    <row r="96" spans="1:12" s="97" customFormat="1" ht="37.5" customHeight="1">
      <c r="A96" s="825" t="s">
        <v>28</v>
      </c>
      <c r="B96" s="826" t="s">
        <v>4047</v>
      </c>
      <c r="C96" s="925" t="s">
        <v>3983</v>
      </c>
      <c r="D96" s="910" t="s">
        <v>3985</v>
      </c>
      <c r="E96" s="911">
        <v>46064</v>
      </c>
      <c r="F96" s="912">
        <v>46064</v>
      </c>
      <c r="G96" s="913">
        <f>VLOOKUP(F96,환율!A:B,2,0)</f>
        <v>1457.7</v>
      </c>
      <c r="H96" s="1004">
        <v>19738</v>
      </c>
      <c r="I96" s="926">
        <f>ROUNDDOWN(H96*G96,0)</f>
        <v>28772082</v>
      </c>
      <c r="J96" s="926">
        <f>I96</f>
        <v>28772082</v>
      </c>
      <c r="K96" s="927"/>
      <c r="L96" s="810"/>
    </row>
    <row r="97" spans="1:12" s="97" customFormat="1" ht="37.5" customHeight="1" thickBot="1">
      <c r="A97" s="884" t="s">
        <v>28</v>
      </c>
      <c r="B97" s="885" t="s">
        <v>4047</v>
      </c>
      <c r="C97" s="899" t="s">
        <v>3984</v>
      </c>
      <c r="D97" s="889" t="s">
        <v>3998</v>
      </c>
      <c r="E97" s="888" t="s">
        <v>4011</v>
      </c>
      <c r="F97" s="887">
        <v>46084</v>
      </c>
      <c r="G97" s="890">
        <f>VLOOKUP(F97,환율!A:B,2,0)</f>
        <v>1435.4</v>
      </c>
      <c r="H97" s="1002">
        <v>27633.200000000001</v>
      </c>
      <c r="I97" s="891">
        <f t="shared" ref="I97" si="19">ROUNDDOWN(H97*G97,0)</f>
        <v>39664695</v>
      </c>
      <c r="J97" s="891"/>
      <c r="K97" s="892">
        <f>I97</f>
        <v>39664695</v>
      </c>
      <c r="L97" s="810"/>
    </row>
    <row r="98" spans="1:12" s="97" customFormat="1" ht="27" customHeight="1">
      <c r="A98" s="843" t="s">
        <v>40</v>
      </c>
      <c r="B98" s="844" t="s">
        <v>4048</v>
      </c>
      <c r="C98" s="928" t="s">
        <v>3987</v>
      </c>
      <c r="D98" s="928" t="s">
        <v>3992</v>
      </c>
      <c r="E98" s="929">
        <v>46065</v>
      </c>
      <c r="F98" s="930">
        <v>46065</v>
      </c>
      <c r="G98" s="931">
        <f>VLOOKUP(F98,환율!A:B,2,0)</f>
        <v>1454.4</v>
      </c>
      <c r="H98" s="1006">
        <v>3282.2</v>
      </c>
      <c r="I98" s="932">
        <f t="shared" ref="I98:I103" si="20">ROUNDDOWN(H98*G98,0)</f>
        <v>4773631</v>
      </c>
      <c r="J98" s="932">
        <f t="shared" ref="J98:J100" si="21">I98</f>
        <v>4773631</v>
      </c>
      <c r="K98" s="933"/>
      <c r="L98" s="810"/>
    </row>
    <row r="99" spans="1:12" s="97" customFormat="1" ht="27" customHeight="1">
      <c r="A99" s="825" t="s">
        <v>30</v>
      </c>
      <c r="B99" s="826" t="s">
        <v>4047</v>
      </c>
      <c r="C99" s="934" t="s">
        <v>3988</v>
      </c>
      <c r="D99" s="934" t="s">
        <v>3993</v>
      </c>
      <c r="E99" s="911">
        <v>46067</v>
      </c>
      <c r="F99" s="910">
        <v>46067</v>
      </c>
      <c r="G99" s="913">
        <f>VLOOKUP(F99,환율!A:B,2,0)</f>
        <v>1443.4</v>
      </c>
      <c r="H99" s="1004">
        <v>1086.32</v>
      </c>
      <c r="I99" s="926">
        <f t="shared" si="20"/>
        <v>1567994</v>
      </c>
      <c r="J99" s="926">
        <f t="shared" si="21"/>
        <v>1567994</v>
      </c>
      <c r="K99" s="927"/>
      <c r="L99" s="810"/>
    </row>
    <row r="100" spans="1:12" s="97" customFormat="1" ht="27" customHeight="1">
      <c r="A100" s="825" t="s">
        <v>30</v>
      </c>
      <c r="B100" s="826" t="s">
        <v>4047</v>
      </c>
      <c r="C100" s="934" t="s">
        <v>3995</v>
      </c>
      <c r="D100" s="934" t="s">
        <v>3997</v>
      </c>
      <c r="E100" s="911">
        <v>46057</v>
      </c>
      <c r="F100" s="910">
        <v>46057</v>
      </c>
      <c r="G100" s="913">
        <f>VLOOKUP(F100,환율!A:B,2,0)</f>
        <v>1449</v>
      </c>
      <c r="H100" s="1004">
        <v>451.08</v>
      </c>
      <c r="I100" s="926">
        <f t="shared" si="20"/>
        <v>653614</v>
      </c>
      <c r="J100" s="926">
        <f t="shared" si="21"/>
        <v>653614</v>
      </c>
      <c r="K100" s="927"/>
      <c r="L100" s="810"/>
    </row>
    <row r="101" spans="1:12" s="97" customFormat="1" ht="27" customHeight="1">
      <c r="A101" s="875" t="s">
        <v>30</v>
      </c>
      <c r="B101" s="876" t="s">
        <v>4047</v>
      </c>
      <c r="C101" s="906" t="s">
        <v>3990</v>
      </c>
      <c r="D101" s="906" t="s">
        <v>3991</v>
      </c>
      <c r="E101" s="898">
        <v>46082</v>
      </c>
      <c r="F101" s="880">
        <v>46082</v>
      </c>
      <c r="G101" s="881">
        <f>VLOOKUP(F101,환율!A:B,2,0)</f>
        <v>1424.5</v>
      </c>
      <c r="H101" s="1001">
        <v>17252</v>
      </c>
      <c r="I101" s="882">
        <f t="shared" si="20"/>
        <v>24575474</v>
      </c>
      <c r="J101" s="882"/>
      <c r="K101" s="883">
        <f>I101</f>
        <v>24575474</v>
      </c>
      <c r="L101" s="810"/>
    </row>
    <row r="102" spans="1:12" s="97" customFormat="1" ht="27" customHeight="1">
      <c r="A102" s="875" t="s">
        <v>30</v>
      </c>
      <c r="B102" s="876" t="s">
        <v>4047</v>
      </c>
      <c r="C102" s="906" t="s">
        <v>3989</v>
      </c>
      <c r="D102" s="906" t="s">
        <v>3994</v>
      </c>
      <c r="E102" s="898">
        <v>46084</v>
      </c>
      <c r="F102" s="880">
        <v>46084</v>
      </c>
      <c r="G102" s="881">
        <f>VLOOKUP(F102,환율!A:B,2,0)</f>
        <v>1435.4</v>
      </c>
      <c r="H102" s="1001">
        <v>1338.76</v>
      </c>
      <c r="I102" s="882">
        <f t="shared" si="20"/>
        <v>1921656</v>
      </c>
      <c r="J102" s="882"/>
      <c r="K102" s="883">
        <f>I102</f>
        <v>1921656</v>
      </c>
      <c r="L102" s="810"/>
    </row>
    <row r="103" spans="1:12" s="97" customFormat="1" ht="27" customHeight="1" thickBot="1">
      <c r="A103" s="884" t="s">
        <v>30</v>
      </c>
      <c r="B103" s="885" t="s">
        <v>4047</v>
      </c>
      <c r="C103" s="907" t="s">
        <v>3996</v>
      </c>
      <c r="D103" s="907" t="s">
        <v>4008</v>
      </c>
      <c r="E103" s="888" t="s">
        <v>4011</v>
      </c>
      <c r="F103" s="889">
        <v>46084</v>
      </c>
      <c r="G103" s="890">
        <f>VLOOKUP(F103,환율!A:B,2,0)</f>
        <v>1435.4</v>
      </c>
      <c r="H103" s="1002">
        <v>15936</v>
      </c>
      <c r="I103" s="891">
        <f t="shared" si="20"/>
        <v>22874534</v>
      </c>
      <c r="J103" s="891"/>
      <c r="K103" s="892">
        <f>I103</f>
        <v>22874534</v>
      </c>
      <c r="L103" s="810"/>
    </row>
    <row r="104" spans="1:12" s="97" customFormat="1" ht="34.5" customHeight="1">
      <c r="A104" s="816" t="s">
        <v>15</v>
      </c>
      <c r="B104" s="817" t="s">
        <v>4048</v>
      </c>
      <c r="C104" s="935" t="s">
        <v>3898</v>
      </c>
      <c r="D104" s="935" t="s">
        <v>3986</v>
      </c>
      <c r="E104" s="894">
        <v>46070</v>
      </c>
      <c r="F104" s="821">
        <v>46070</v>
      </c>
      <c r="G104" s="861">
        <f>VLOOKUP(F104,환율!A:B,2,0)</f>
        <v>1443.4</v>
      </c>
      <c r="H104" s="998">
        <v>86846.07</v>
      </c>
      <c r="I104" s="823">
        <f t="shared" ref="I104" si="22">ROUNDDOWN(H104*G104,0)</f>
        <v>125353617</v>
      </c>
      <c r="J104" s="823">
        <f>I104</f>
        <v>125353617</v>
      </c>
      <c r="K104" s="824"/>
      <c r="L104" s="810"/>
    </row>
    <row r="105" spans="1:12" s="97" customFormat="1" ht="34.5" customHeight="1" thickBot="1">
      <c r="A105" s="936" t="s">
        <v>4049</v>
      </c>
      <c r="B105" s="937" t="s">
        <v>4048</v>
      </c>
      <c r="C105" s="938" t="s">
        <v>4014</v>
      </c>
      <c r="D105" s="939" t="s">
        <v>2504</v>
      </c>
      <c r="E105" s="940" t="s">
        <v>4010</v>
      </c>
      <c r="F105" s="939">
        <v>46063</v>
      </c>
      <c r="G105" s="941">
        <f>VLOOKUP(F105,환율!A:B,2,0)</f>
        <v>1464.3</v>
      </c>
      <c r="H105" s="1007"/>
      <c r="I105" s="942">
        <v>21526400</v>
      </c>
      <c r="J105" s="942">
        <f>I105</f>
        <v>21526400</v>
      </c>
      <c r="K105" s="943"/>
      <c r="L105" s="810"/>
    </row>
    <row r="106" spans="1:12" s="496" customFormat="1" ht="27" customHeight="1" thickBot="1">
      <c r="A106" s="2165" t="s">
        <v>4056</v>
      </c>
      <c r="B106" s="2164"/>
      <c r="C106" s="2164"/>
      <c r="D106" s="2164"/>
      <c r="E106" s="2164"/>
      <c r="F106" s="2164"/>
      <c r="G106" s="2164"/>
      <c r="H106" s="1008"/>
      <c r="I106" s="947">
        <f>SUM(I27:I105)</f>
        <v>6943149856</v>
      </c>
      <c r="J106" s="948">
        <f>SUM(J27:J105)</f>
        <v>4928921158</v>
      </c>
      <c r="K106" s="949">
        <f t="shared" ref="K106" si="23">SUM(K27:K105)</f>
        <v>2014228698</v>
      </c>
      <c r="L106" s="1173"/>
    </row>
    <row r="107" spans="1:12">
      <c r="H107" s="1019" t="s">
        <v>4067</v>
      </c>
      <c r="I107" s="1018"/>
      <c r="J107" s="1018">
        <f>J106-J105</f>
        <v>4907394758</v>
      </c>
    </row>
  </sheetData>
  <autoFilter ref="A26:L106" xr:uid="{1CCF8D2F-36BE-46CD-94BA-38FEC2C856C0}"/>
  <mergeCells count="35">
    <mergeCell ref="A1:G4"/>
    <mergeCell ref="E106:G106"/>
    <mergeCell ref="A106:D106"/>
    <mergeCell ref="E22:G22"/>
    <mergeCell ref="E23:G23"/>
    <mergeCell ref="E21:G21"/>
    <mergeCell ref="A5:B5"/>
    <mergeCell ref="A6:B6"/>
    <mergeCell ref="A7:B7"/>
    <mergeCell ref="A8:A21"/>
    <mergeCell ref="B21:C21"/>
    <mergeCell ref="E9:G9"/>
    <mergeCell ref="E10:G10"/>
    <mergeCell ref="E8:G8"/>
    <mergeCell ref="E16:G16"/>
    <mergeCell ref="E17:G17"/>
    <mergeCell ref="E18:G18"/>
    <mergeCell ref="E11:G11"/>
    <mergeCell ref="E12:G12"/>
    <mergeCell ref="E13:G13"/>
    <mergeCell ref="E14:G14"/>
    <mergeCell ref="E15:G15"/>
    <mergeCell ref="E19:G19"/>
    <mergeCell ref="E20:G20"/>
    <mergeCell ref="G25:G26"/>
    <mergeCell ref="H25:K25"/>
    <mergeCell ref="A25:A26"/>
    <mergeCell ref="C25:C26"/>
    <mergeCell ref="D25:D26"/>
    <mergeCell ref="E25:E26"/>
    <mergeCell ref="F25:F26"/>
    <mergeCell ref="B25:B26"/>
    <mergeCell ref="A22:A23"/>
    <mergeCell ref="H22:K22"/>
    <mergeCell ref="H23:K23"/>
  </mergeCells>
  <phoneticPr fontId="2" type="noConversion"/>
  <conditionalFormatting sqref="A5:A7">
    <cfRule type="expression" dxfId="225" priority="15">
      <formula>#REF!="*01월*"</formula>
    </cfRule>
  </conditionalFormatting>
  <conditionalFormatting sqref="A26">
    <cfRule type="expression" dxfId="224" priority="78">
      <formula>#REF!="*01월*"</formula>
    </cfRule>
  </conditionalFormatting>
  <conditionalFormatting sqref="A106">
    <cfRule type="expression" dxfId="223" priority="14">
      <formula>#REF!="*01월*"</formula>
    </cfRule>
  </conditionalFormatting>
  <conditionalFormatting sqref="A25:K25 A27:G27 C28:G32 A33:B33 C33:K34 B34 A35:K35 C36:K94 A75:B76 A79:B79 C96:K103 A104:B105">
    <cfRule type="expression" dxfId="222" priority="74">
      <formula>#REF!="*01월*"</formula>
    </cfRule>
  </conditionalFormatting>
  <conditionalFormatting sqref="A95:K95">
    <cfRule type="expression" dxfId="221" priority="29">
      <formula>#REF!="*01월*"</formula>
    </cfRule>
  </conditionalFormatting>
  <conditionalFormatting sqref="B10:C11 B12:B15">
    <cfRule type="expression" dxfId="220" priority="24">
      <formula>#REF!="*01월*"</formula>
    </cfRule>
  </conditionalFormatting>
  <conditionalFormatting sqref="B16:C17 B18:B20">
    <cfRule type="expression" dxfId="219" priority="20">
      <formula>#REF!="*01월*"</formula>
    </cfRule>
  </conditionalFormatting>
  <conditionalFormatting sqref="B22:C23">
    <cfRule type="expression" dxfId="218" priority="1">
      <formula>#REF!="*01월*"</formula>
    </cfRule>
  </conditionalFormatting>
  <conditionalFormatting sqref="C14:C15">
    <cfRule type="expression" dxfId="217" priority="22">
      <formula>#REF!="*01월*"</formula>
    </cfRule>
  </conditionalFormatting>
  <conditionalFormatting sqref="C19:C20">
    <cfRule type="expression" dxfId="216" priority="18">
      <formula>#REF!="*01월*"</formula>
    </cfRule>
  </conditionalFormatting>
  <conditionalFormatting sqref="C102">
    <cfRule type="expression" dxfId="215" priority="61">
      <formula>$F103="*01월*"</formula>
    </cfRule>
  </conditionalFormatting>
  <conditionalFormatting sqref="C103:C105">
    <cfRule type="expression" dxfId="214" priority="56">
      <formula>#REF!="*01월*"</formula>
    </cfRule>
  </conditionalFormatting>
  <conditionalFormatting sqref="C26:K26">
    <cfRule type="expression" dxfId="213" priority="73">
      <formula>#REF!="*01월*"</formula>
    </cfRule>
  </conditionalFormatting>
  <conditionalFormatting sqref="D5:E7 G5:G7">
    <cfRule type="expression" dxfId="212" priority="1633">
      <formula>$F10="*01월*"</formula>
    </cfRule>
  </conditionalFormatting>
  <conditionalFormatting sqref="D33:E33 F101">
    <cfRule type="expression" dxfId="211" priority="71">
      <formula>$F35="*01월*"</formula>
    </cfRule>
  </conditionalFormatting>
  <conditionalFormatting sqref="D104:K105">
    <cfRule type="expression" dxfId="210" priority="60">
      <formula>#REF!="*01월*"</formula>
    </cfRule>
  </conditionalFormatting>
  <conditionalFormatting sqref="E20 D34:E34 A85:B85 C101 F103 H106:K106">
    <cfRule type="expression" dxfId="209" priority="1620">
      <formula>#REF!="*01월*"</formula>
    </cfRule>
  </conditionalFormatting>
  <conditionalFormatting sqref="F27">
    <cfRule type="expression" dxfId="208" priority="49">
      <formula>$F32="*01월*"</formula>
    </cfRule>
  </conditionalFormatting>
  <conditionalFormatting sqref="F36:F39">
    <cfRule type="expression" dxfId="207" priority="63">
      <formula>$F38="*01월*"</formula>
    </cfRule>
  </conditionalFormatting>
  <conditionalFormatting sqref="F37">
    <cfRule type="expression" dxfId="206" priority="88">
      <formula>#REF!="*01월*"</formula>
    </cfRule>
  </conditionalFormatting>
  <conditionalFormatting sqref="F38:F39">
    <cfRule type="expression" dxfId="205" priority="87">
      <formula>$F56="*01월*"</formula>
    </cfRule>
  </conditionalFormatting>
  <conditionalFormatting sqref="F38:F42">
    <cfRule type="expression" dxfId="204" priority="91">
      <formula>$F55="*01월*"</formula>
    </cfRule>
  </conditionalFormatting>
  <conditionalFormatting sqref="F40:F43">
    <cfRule type="expression" dxfId="203" priority="86">
      <formula>$F56="*01월*"</formula>
    </cfRule>
  </conditionalFormatting>
  <conditionalFormatting sqref="F41">
    <cfRule type="expression" dxfId="202" priority="92">
      <formula>$F65="*01월*"</formula>
    </cfRule>
  </conditionalFormatting>
  <conditionalFormatting sqref="F41:F42">
    <cfRule type="expression" dxfId="201" priority="93">
      <formula>$F64="*01월*"</formula>
    </cfRule>
  </conditionalFormatting>
  <conditionalFormatting sqref="F42:F48">
    <cfRule type="expression" dxfId="200" priority="98">
      <formula>#REF!="*01월*"</formula>
    </cfRule>
  </conditionalFormatting>
  <conditionalFormatting sqref="F43">
    <cfRule type="expression" dxfId="199" priority="94">
      <formula>$F65="*01월*"</formula>
    </cfRule>
  </conditionalFormatting>
  <conditionalFormatting sqref="F43:F44">
    <cfRule type="expression" dxfId="198" priority="95">
      <formula>$F64="*01월*"</formula>
    </cfRule>
  </conditionalFormatting>
  <conditionalFormatting sqref="F44:F45">
    <cfRule type="expression" dxfId="197" priority="96">
      <formula>$F64="*01월*"</formula>
    </cfRule>
  </conditionalFormatting>
  <conditionalFormatting sqref="F45:F46">
    <cfRule type="expression" dxfId="196" priority="97">
      <formula>$F64="*01월*"</formula>
    </cfRule>
  </conditionalFormatting>
  <conditionalFormatting sqref="F46:F47">
    <cfRule type="expression" dxfId="195" priority="104">
      <formula>$F64="*01월*"</formula>
    </cfRule>
  </conditionalFormatting>
  <conditionalFormatting sqref="F48">
    <cfRule type="expression" dxfId="194" priority="52">
      <formula>$F65="*01월*"</formula>
    </cfRule>
  </conditionalFormatting>
  <conditionalFormatting sqref="F68">
    <cfRule type="expression" dxfId="193" priority="1629">
      <formula>#REF!="*01월*"</formula>
    </cfRule>
    <cfRule type="expression" dxfId="192" priority="1632">
      <formula>$F96="*01월*"</formula>
    </cfRule>
  </conditionalFormatting>
  <conditionalFormatting sqref="H8:J8 D8:E9 E10:E19 C101">
    <cfRule type="expression" dxfId="191" priority="46">
      <formula>$F10="*01월*"</formula>
    </cfRule>
  </conditionalFormatting>
  <conditionalFormatting sqref="H27:K32">
    <cfRule type="expression" dxfId="190" priority="48">
      <formula>#REF!="*01월*"</formula>
    </cfRule>
  </conditionalFormatting>
  <pageMargins left="0.43307086614173229" right="0" top="0.59055118110236227" bottom="0.56999999999999995" header="0" footer="0"/>
  <pageSetup paperSize="9" scale="57" fitToHeight="0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457A1-F170-4421-B455-E7B181EF8B32}">
  <dimension ref="A1:T127"/>
  <sheetViews>
    <sheetView zoomScale="85" zoomScaleNormal="85" zoomScaleSheetLayoutView="100" workbookViewId="0">
      <pane xSplit="1" ySplit="8" topLeftCell="B24" activePane="bottomRight" state="frozen"/>
      <selection pane="topRight" activeCell="B1" sqref="B1"/>
      <selection pane="bottomLeft" activeCell="A9" sqref="A9"/>
      <selection pane="bottomRight" activeCell="E117" sqref="E117"/>
    </sheetView>
  </sheetViews>
  <sheetFormatPr defaultRowHeight="17.399999999999999"/>
  <cols>
    <col min="1" max="1" width="13.59765625" style="809" customWidth="1"/>
    <col min="2" max="2" width="9.59765625" style="809" customWidth="1"/>
    <col min="3" max="3" width="16.5" style="810" customWidth="1"/>
    <col min="4" max="4" width="18.69921875" style="810" customWidth="1"/>
    <col min="5" max="5" width="9.19921875" style="811" customWidth="1"/>
    <col min="6" max="6" width="9.19921875" style="1172" customWidth="1"/>
    <col min="7" max="7" width="9.19921875" style="810" customWidth="1"/>
    <col min="8" max="8" width="16.8984375" style="1119" customWidth="1"/>
    <col min="9" max="11" width="16.8984375" style="810" customWidth="1"/>
    <col min="12" max="12" width="13.8984375" style="1108" hidden="1" customWidth="1"/>
    <col min="13" max="13" width="13.8984375" style="1105" hidden="1" customWidth="1"/>
    <col min="14" max="20" width="13.8984375" style="1108" customWidth="1"/>
  </cols>
  <sheetData>
    <row r="1" spans="1:20" ht="21.75" customHeight="1">
      <c r="A1" s="2163" t="s">
        <v>4069</v>
      </c>
      <c r="B1" s="2163"/>
      <c r="C1" s="2163"/>
      <c r="D1" s="2163"/>
      <c r="E1" s="2163"/>
      <c r="F1" s="2163"/>
      <c r="G1" s="2163"/>
      <c r="H1" s="810"/>
      <c r="K1"/>
      <c r="L1" s="1105"/>
    </row>
    <row r="2" spans="1:20" ht="21.75" customHeight="1">
      <c r="A2" s="2163"/>
      <c r="B2" s="2163"/>
      <c r="C2" s="2163"/>
      <c r="D2" s="2163"/>
      <c r="E2" s="2163"/>
      <c r="F2" s="2163"/>
      <c r="G2" s="2163"/>
      <c r="H2" s="810"/>
      <c r="K2"/>
      <c r="L2" s="1105"/>
    </row>
    <row r="3" spans="1:20" ht="19.5" customHeight="1">
      <c r="A3" s="2163"/>
      <c r="B3" s="2163"/>
      <c r="C3" s="2163"/>
      <c r="D3" s="2163"/>
      <c r="E3" s="2163"/>
      <c r="F3" s="2163"/>
      <c r="G3" s="2163"/>
      <c r="H3" s="1114"/>
      <c r="I3" s="1115"/>
      <c r="J3" s="812"/>
      <c r="K3" s="812"/>
      <c r="L3" s="1105"/>
    </row>
    <row r="4" spans="1:20" ht="19.5" customHeight="1">
      <c r="A4" s="2163"/>
      <c r="B4" s="2163"/>
      <c r="C4" s="2163"/>
      <c r="D4" s="2163"/>
      <c r="E4" s="2163"/>
      <c r="F4" s="2163"/>
      <c r="G4" s="2163"/>
      <c r="H4" s="1114"/>
      <c r="I4" s="1115"/>
      <c r="J4" s="812"/>
      <c r="K4" s="812"/>
      <c r="L4" s="1105"/>
      <c r="P4" s="1108" t="s">
        <v>4234</v>
      </c>
    </row>
    <row r="5" spans="1:20" ht="19.5" customHeight="1">
      <c r="A5" s="2175" t="s">
        <v>3749</v>
      </c>
      <c r="B5" s="2175"/>
      <c r="C5" s="944"/>
      <c r="D5" s="944"/>
      <c r="E5" s="944"/>
      <c r="F5" s="1210"/>
      <c r="G5" s="944"/>
      <c r="H5" s="1114"/>
      <c r="I5" s="1115"/>
      <c r="J5" s="812"/>
      <c r="K5" s="812"/>
      <c r="L5" s="1105"/>
      <c r="P5" s="1108" t="s">
        <v>4236</v>
      </c>
    </row>
    <row r="6" spans="1:20" ht="19.5" customHeight="1">
      <c r="A6" s="2176" t="s">
        <v>4226</v>
      </c>
      <c r="B6" s="2176"/>
      <c r="C6" s="944"/>
      <c r="D6" s="944"/>
      <c r="E6" s="944"/>
      <c r="F6" s="1210"/>
      <c r="G6" s="944"/>
      <c r="H6" s="1114"/>
      <c r="I6" s="1116"/>
      <c r="J6" s="813"/>
      <c r="K6" s="813"/>
      <c r="L6" s="1105"/>
    </row>
    <row r="7" spans="1:20" ht="19.5" customHeight="1" thickBot="1">
      <c r="A7" s="2209" t="s">
        <v>3748</v>
      </c>
      <c r="B7" s="2209"/>
      <c r="C7" s="945"/>
      <c r="D7" s="945"/>
      <c r="E7" s="945"/>
      <c r="F7" s="1211"/>
      <c r="G7" s="945"/>
      <c r="H7" s="1117"/>
      <c r="I7" s="1116"/>
      <c r="J7" s="813"/>
      <c r="K7" s="813"/>
      <c r="L7" s="1105"/>
    </row>
    <row r="8" spans="1:20" s="126" customFormat="1" ht="25.5" customHeight="1">
      <c r="A8" s="2178" t="s">
        <v>4057</v>
      </c>
      <c r="B8" s="951" t="s">
        <v>4035</v>
      </c>
      <c r="C8" s="951" t="s">
        <v>236</v>
      </c>
      <c r="D8" s="952" t="s">
        <v>4053</v>
      </c>
      <c r="E8" s="2185" t="s">
        <v>4054</v>
      </c>
      <c r="F8" s="2186"/>
      <c r="G8" s="2187"/>
      <c r="H8" s="1155" t="s">
        <v>4051</v>
      </c>
      <c r="I8" s="1118" t="s">
        <v>4050</v>
      </c>
      <c r="J8" s="1258" t="s">
        <v>4055</v>
      </c>
      <c r="K8" s="953" t="s">
        <v>4058</v>
      </c>
      <c r="L8" s="1106" t="s">
        <v>4218</v>
      </c>
      <c r="M8" s="1106" t="s">
        <v>4219</v>
      </c>
      <c r="N8" s="1109" t="s">
        <v>4220</v>
      </c>
      <c r="O8" s="1109" t="s">
        <v>4221</v>
      </c>
      <c r="P8" s="1109" t="s">
        <v>4222</v>
      </c>
      <c r="Q8" s="1109" t="s">
        <v>4223</v>
      </c>
      <c r="R8" s="1109" t="s">
        <v>4224</v>
      </c>
      <c r="S8" s="1109" t="s">
        <v>4052</v>
      </c>
      <c r="T8" s="1109" t="s">
        <v>4225</v>
      </c>
    </row>
    <row r="9" spans="1:20" s="126" customFormat="1" ht="25.5" customHeight="1">
      <c r="A9" s="2092"/>
      <c r="B9" s="954" t="s">
        <v>375</v>
      </c>
      <c r="C9" s="954" t="s">
        <v>4036</v>
      </c>
      <c r="D9" s="955">
        <v>0</v>
      </c>
      <c r="E9" s="2133">
        <f>SUM(J30:J36)</f>
        <v>622858761</v>
      </c>
      <c r="F9" s="2134"/>
      <c r="G9" s="2135"/>
      <c r="H9" s="1156">
        <f>SUM(K32:K36)</f>
        <v>188338650</v>
      </c>
      <c r="I9" s="956">
        <f>SUM(D9:G9)</f>
        <v>622858761</v>
      </c>
      <c r="J9" s="1235">
        <f>SUM(D9:G9)</f>
        <v>622858761</v>
      </c>
      <c r="K9" s="957"/>
      <c r="L9" s="1105"/>
      <c r="M9" s="1105"/>
      <c r="N9" s="1108"/>
      <c r="O9" s="1108"/>
      <c r="P9" s="1108"/>
      <c r="Q9" s="1108"/>
      <c r="R9" s="1108"/>
      <c r="S9" s="1108"/>
      <c r="T9" s="1108"/>
    </row>
    <row r="10" spans="1:20" s="19" customFormat="1" ht="25.5" customHeight="1">
      <c r="A10" s="2092"/>
      <c r="B10" s="964" t="s">
        <v>375</v>
      </c>
      <c r="C10" s="964" t="s">
        <v>4025</v>
      </c>
      <c r="D10" s="965">
        <v>0</v>
      </c>
      <c r="E10" s="2182">
        <f>SUM(J37:J38)</f>
        <v>124699640</v>
      </c>
      <c r="F10" s="2183"/>
      <c r="G10" s="2184"/>
      <c r="H10" s="1157">
        <v>0</v>
      </c>
      <c r="I10" s="965">
        <f ca="1">SUMIF($A$32:$A$124,C10,$I$32:$I$123)</f>
        <v>124699640</v>
      </c>
      <c r="J10" s="1242">
        <f t="shared" ref="J10:J20" si="0">SUM(D10:G10)</f>
        <v>124699640</v>
      </c>
      <c r="K10" s="966">
        <f>SUM(J9:J10)</f>
        <v>747558401</v>
      </c>
      <c r="L10" s="1105"/>
      <c r="M10" s="1105"/>
      <c r="N10" s="1108"/>
      <c r="O10" s="1108"/>
      <c r="P10" s="1108"/>
      <c r="Q10" s="1108"/>
      <c r="R10" s="1108"/>
      <c r="S10" s="1108"/>
      <c r="T10" s="1108"/>
    </row>
    <row r="11" spans="1:20" s="19" customFormat="1" ht="25.5" customHeight="1">
      <c r="A11" s="2092"/>
      <c r="B11" s="2210" t="s">
        <v>4244</v>
      </c>
      <c r="C11" s="2211"/>
      <c r="D11" s="1112">
        <f>SUM(D9:D10)</f>
        <v>0</v>
      </c>
      <c r="E11" s="2200">
        <f>SUM(E9:G10)</f>
        <v>747558401</v>
      </c>
      <c r="F11" s="2201"/>
      <c r="G11" s="2202"/>
      <c r="H11" s="1158">
        <f t="shared" ref="H11:K11" si="1">SUM(H9:H10)</f>
        <v>188338650</v>
      </c>
      <c r="I11" s="1112">
        <f t="shared" ca="1" si="1"/>
        <v>747558401</v>
      </c>
      <c r="J11" s="1184">
        <f t="shared" si="1"/>
        <v>747558401</v>
      </c>
      <c r="K11" s="1113">
        <f t="shared" si="1"/>
        <v>747558401</v>
      </c>
      <c r="L11" s="1105"/>
      <c r="M11" s="1105"/>
      <c r="N11" s="1108"/>
      <c r="O11" s="1108"/>
      <c r="P11" s="1108"/>
      <c r="Q11" s="1108"/>
      <c r="R11" s="1108"/>
      <c r="S11" s="1108"/>
      <c r="T11" s="1108"/>
    </row>
    <row r="12" spans="1:20" ht="25.5" customHeight="1">
      <c r="A12" s="2092"/>
      <c r="B12" s="970" t="s">
        <v>478</v>
      </c>
      <c r="C12" s="970" t="s">
        <v>4026</v>
      </c>
      <c r="D12" s="971">
        <v>0</v>
      </c>
      <c r="E12" s="2157">
        <f>SUM(J39)</f>
        <v>18377764</v>
      </c>
      <c r="F12" s="2158"/>
      <c r="G12" s="2159"/>
      <c r="H12" s="1159">
        <v>0</v>
      </c>
      <c r="I12" s="971">
        <f t="shared" ref="I12:I21" ca="1" si="2">SUMIF($A$32:$A$124,C12,$I$32:$I$123)</f>
        <v>18377764</v>
      </c>
      <c r="J12" s="1234">
        <f>SUM(D12:G12)</f>
        <v>18377764</v>
      </c>
      <c r="K12" s="972"/>
      <c r="L12" s="1105"/>
    </row>
    <row r="13" spans="1:20" s="24" customFormat="1" ht="25.5" customHeight="1">
      <c r="A13" s="2092"/>
      <c r="B13" s="959" t="s">
        <v>478</v>
      </c>
      <c r="C13" s="959" t="s">
        <v>660</v>
      </c>
      <c r="D13" s="956">
        <f>SUM(J42:J44)</f>
        <v>171650189</v>
      </c>
      <c r="E13" s="2133">
        <f>SUM(J40:J41,J45:J52)</f>
        <v>362711664</v>
      </c>
      <c r="F13" s="2134"/>
      <c r="G13" s="2135"/>
      <c r="H13" s="1156">
        <f>SUM(K42:K54)</f>
        <v>91677537</v>
      </c>
      <c r="I13" s="956">
        <f ca="1">SUMIF($A$30:$A$124,C13,$I$30:$I$123)</f>
        <v>626039390</v>
      </c>
      <c r="J13" s="1235">
        <f>SUM(D13:G13)</f>
        <v>534361853</v>
      </c>
      <c r="K13" s="1233"/>
      <c r="L13" s="1105"/>
      <c r="M13" s="1105"/>
      <c r="N13" s="1108"/>
      <c r="O13" s="1108"/>
      <c r="P13" s="1108"/>
      <c r="Q13" s="1108"/>
      <c r="R13" s="1108"/>
      <c r="S13" s="1108"/>
      <c r="T13" s="1108"/>
    </row>
    <row r="14" spans="1:20" s="24" customFormat="1" ht="25.5" customHeight="1">
      <c r="A14" s="2092"/>
      <c r="B14" s="959" t="s">
        <v>478</v>
      </c>
      <c r="C14" s="959" t="s">
        <v>4042</v>
      </c>
      <c r="D14" s="956">
        <f>SUM(J55:J65)</f>
        <v>643615682</v>
      </c>
      <c r="E14" s="2133">
        <f>SUM(J66:J75)</f>
        <v>694913195</v>
      </c>
      <c r="F14" s="2134"/>
      <c r="G14" s="2135"/>
      <c r="H14" s="1156">
        <f>SUM(K55:K83)</f>
        <v>824215630</v>
      </c>
      <c r="I14" s="956">
        <f t="shared" ca="1" si="2"/>
        <v>2162744507</v>
      </c>
      <c r="J14" s="1235">
        <f>SUM(D14:G14)</f>
        <v>1338528877</v>
      </c>
      <c r="K14" s="957"/>
      <c r="L14" s="1105"/>
      <c r="M14" s="1105"/>
      <c r="N14" s="1108"/>
      <c r="O14" s="1108">
        <f>J14-N14</f>
        <v>1338528877</v>
      </c>
      <c r="P14" s="1108"/>
      <c r="Q14" s="1108"/>
      <c r="R14" s="1108"/>
      <c r="S14" s="1108"/>
      <c r="T14" s="1108"/>
    </row>
    <row r="15" spans="1:20" s="24" customFormat="1" ht="25.5" customHeight="1">
      <c r="A15" s="2092"/>
      <c r="B15" s="959" t="s">
        <v>478</v>
      </c>
      <c r="C15" s="959" t="s">
        <v>4041</v>
      </c>
      <c r="D15" s="956">
        <f>SUM(J84:J84)</f>
        <v>180911911</v>
      </c>
      <c r="E15" s="2133">
        <f>SUM(J85:J87)</f>
        <v>250617182</v>
      </c>
      <c r="F15" s="2134"/>
      <c r="G15" s="2135"/>
      <c r="H15" s="1156"/>
      <c r="I15" s="956">
        <f t="shared" ca="1" si="2"/>
        <v>431529093</v>
      </c>
      <c r="J15" s="1235">
        <f>SUM(D15:G15)</f>
        <v>431529093</v>
      </c>
      <c r="K15" s="960"/>
      <c r="L15" s="1105"/>
      <c r="M15" s="1105"/>
      <c r="N15" s="1108"/>
      <c r="O15" s="1108">
        <f>N15-J15</f>
        <v>-431529093</v>
      </c>
      <c r="P15" s="1108"/>
      <c r="Q15" s="1108"/>
      <c r="R15" s="1108"/>
      <c r="S15" s="1108"/>
      <c r="T15" s="1108"/>
    </row>
    <row r="16" spans="1:20" s="24" customFormat="1" ht="25.5" customHeight="1">
      <c r="A16" s="2092"/>
      <c r="B16" s="973" t="s">
        <v>478</v>
      </c>
      <c r="C16" s="973" t="s">
        <v>4045</v>
      </c>
      <c r="D16" s="974">
        <f>SUM(J88:J91)</f>
        <v>158427317</v>
      </c>
      <c r="E16" s="2160">
        <f>SUM(J92)</f>
        <v>24994132</v>
      </c>
      <c r="F16" s="2161"/>
      <c r="G16" s="2162"/>
      <c r="H16" s="1160">
        <f>SUM(K88:K94)</f>
        <v>131336542</v>
      </c>
      <c r="I16" s="974">
        <f t="shared" ca="1" si="2"/>
        <v>314757991</v>
      </c>
      <c r="J16" s="1236">
        <f t="shared" si="0"/>
        <v>183421449</v>
      </c>
      <c r="K16" s="975">
        <f>SUM(J12:J16)</f>
        <v>2506219036</v>
      </c>
      <c r="L16" s="1105"/>
      <c r="M16" s="1105"/>
      <c r="N16" s="1108"/>
      <c r="O16" s="1108"/>
      <c r="P16" s="1108"/>
      <c r="Q16" s="1108"/>
      <c r="R16" s="1108"/>
      <c r="S16" s="1108"/>
      <c r="T16" s="1108"/>
    </row>
    <row r="17" spans="1:20" s="24" customFormat="1" ht="25.5" customHeight="1">
      <c r="A17" s="2092"/>
      <c r="B17" s="946" t="s">
        <v>626</v>
      </c>
      <c r="C17" s="946" t="s">
        <v>664</v>
      </c>
      <c r="D17" s="808">
        <f>SUM(J95:J96)</f>
        <v>769737192</v>
      </c>
      <c r="E17" s="2188">
        <f>SUM(J96:J106)</f>
        <v>2462320011</v>
      </c>
      <c r="F17" s="2189"/>
      <c r="G17" s="2190"/>
      <c r="H17" s="1161"/>
      <c r="I17" s="808">
        <f t="shared" ca="1" si="2"/>
        <v>3085114373</v>
      </c>
      <c r="J17" s="1237">
        <f>SUM(J95:J106)</f>
        <v>3085114373</v>
      </c>
      <c r="K17" s="950">
        <f>J17</f>
        <v>3085114373</v>
      </c>
      <c r="L17" s="1105"/>
      <c r="M17" s="1105"/>
      <c r="N17" s="1108"/>
      <c r="O17" s="1108"/>
      <c r="P17" s="1108"/>
      <c r="Q17" s="1108"/>
      <c r="R17" s="1108"/>
      <c r="S17" s="1108"/>
      <c r="T17" s="1108"/>
    </row>
    <row r="18" spans="1:20" ht="25.5" customHeight="1">
      <c r="A18" s="2092"/>
      <c r="B18" s="967" t="s">
        <v>4048</v>
      </c>
      <c r="C18" s="967" t="s">
        <v>47</v>
      </c>
      <c r="D18" s="968">
        <f>SUM(J107)</f>
        <v>40698176</v>
      </c>
      <c r="E18" s="2191">
        <f>SUM(J108:J109)</f>
        <v>64214819</v>
      </c>
      <c r="F18" s="2192"/>
      <c r="G18" s="2193"/>
      <c r="H18" s="1183">
        <f>SUM(K110)</f>
        <v>24167207</v>
      </c>
      <c r="I18" s="968">
        <f t="shared" ca="1" si="2"/>
        <v>129080202</v>
      </c>
      <c r="J18" s="1238">
        <f t="shared" si="0"/>
        <v>104912995</v>
      </c>
      <c r="K18" s="969"/>
      <c r="L18" s="1105"/>
    </row>
    <row r="19" spans="1:20" ht="25.5" customHeight="1">
      <c r="A19" s="2092"/>
      <c r="B19" s="959" t="s">
        <v>4048</v>
      </c>
      <c r="C19" s="959" t="s">
        <v>40</v>
      </c>
      <c r="D19" s="956">
        <f>SUM(J111:J113)</f>
        <v>49967670</v>
      </c>
      <c r="E19" s="2133">
        <f>SUM(J114:J117)</f>
        <v>18048675</v>
      </c>
      <c r="F19" s="2134"/>
      <c r="G19" s="2135"/>
      <c r="H19" s="1156">
        <f>SUM(K117:K118)</f>
        <v>62551083</v>
      </c>
      <c r="I19" s="956">
        <f t="shared" ca="1" si="2"/>
        <v>130567428</v>
      </c>
      <c r="J19" s="1235">
        <f t="shared" si="0"/>
        <v>68016345</v>
      </c>
      <c r="K19" s="960"/>
      <c r="L19" s="1105"/>
    </row>
    <row r="20" spans="1:20" ht="25.5" customHeight="1">
      <c r="A20" s="2092"/>
      <c r="B20" s="973" t="s">
        <v>4048</v>
      </c>
      <c r="C20" s="973" t="s">
        <v>15</v>
      </c>
      <c r="D20" s="974">
        <v>0</v>
      </c>
      <c r="E20" s="2160">
        <f>SUM(J119:J119)</f>
        <v>73408005</v>
      </c>
      <c r="F20" s="2161"/>
      <c r="G20" s="2162"/>
      <c r="H20" s="1160">
        <f>SUM(K120)</f>
        <v>72700219</v>
      </c>
      <c r="I20" s="974">
        <f t="shared" ca="1" si="2"/>
        <v>146108224</v>
      </c>
      <c r="J20" s="1236">
        <f t="shared" si="0"/>
        <v>73408005</v>
      </c>
      <c r="K20" s="975">
        <f>SUM(J18:J20)</f>
        <v>246337345</v>
      </c>
      <c r="L20" s="1105"/>
    </row>
    <row r="21" spans="1:20" ht="25.5" customHeight="1">
      <c r="A21" s="2092"/>
      <c r="B21" s="967" t="s">
        <v>4048</v>
      </c>
      <c r="C21" s="1259" t="s">
        <v>4049</v>
      </c>
      <c r="D21" s="968"/>
      <c r="E21" s="2191">
        <f>SUM(J121:J123)</f>
        <v>64579200</v>
      </c>
      <c r="F21" s="2192"/>
      <c r="G21" s="2193"/>
      <c r="H21" s="1183"/>
      <c r="I21" s="968">
        <f t="shared" ca="1" si="2"/>
        <v>64579200</v>
      </c>
      <c r="J21" s="1183">
        <f>SUM(D21:G21)</f>
        <v>64579200</v>
      </c>
      <c r="K21" s="1260" t="s">
        <v>4241</v>
      </c>
      <c r="L21" s="1105"/>
    </row>
    <row r="22" spans="1:20" ht="25.5" customHeight="1">
      <c r="A22" s="2092"/>
      <c r="B22" s="2210" t="s">
        <v>4245</v>
      </c>
      <c r="C22" s="2211"/>
      <c r="D22" s="1112">
        <f>SUM(D12:D21)</f>
        <v>2015008137</v>
      </c>
      <c r="E22" s="2200">
        <f>SUM(E12:G21)</f>
        <v>4034184647</v>
      </c>
      <c r="F22" s="2201">
        <f t="shared" ref="F22:K22" si="3">SUM(F12:F21)</f>
        <v>0</v>
      </c>
      <c r="G22" s="2202">
        <f t="shared" si="3"/>
        <v>0</v>
      </c>
      <c r="H22" s="1158">
        <f t="shared" si="3"/>
        <v>1206648218</v>
      </c>
      <c r="I22" s="1112">
        <f t="shared" ca="1" si="3"/>
        <v>7108898172</v>
      </c>
      <c r="J22" s="1184">
        <f>SUM(J12:J21)</f>
        <v>5902249954</v>
      </c>
      <c r="K22" s="1113">
        <f t="shared" si="3"/>
        <v>5837670754</v>
      </c>
      <c r="L22" s="1105"/>
    </row>
    <row r="23" spans="1:20" ht="30" customHeight="1" thickBot="1">
      <c r="A23" s="2179"/>
      <c r="B23" s="2180" t="s">
        <v>4052</v>
      </c>
      <c r="C23" s="2181"/>
      <c r="D23" s="962">
        <f>SUM(D22,D11)</f>
        <v>2015008137</v>
      </c>
      <c r="E23" s="2172">
        <f t="shared" ref="E23:K23" si="4">SUM(E22,E11)</f>
        <v>4781743048</v>
      </c>
      <c r="F23" s="2173">
        <f t="shared" si="4"/>
        <v>0</v>
      </c>
      <c r="G23" s="2174">
        <f t="shared" si="4"/>
        <v>0</v>
      </c>
      <c r="H23" s="1162">
        <f t="shared" si="4"/>
        <v>1394986868</v>
      </c>
      <c r="I23" s="962">
        <f t="shared" ca="1" si="4"/>
        <v>7856456573</v>
      </c>
      <c r="J23" s="1162">
        <f>SUM(J22,J11)</f>
        <v>6649808355</v>
      </c>
      <c r="K23" s="976">
        <f t="shared" si="4"/>
        <v>6585229155</v>
      </c>
      <c r="L23" s="1105"/>
    </row>
    <row r="24" spans="1:20" ht="30" customHeight="1" thickBot="1">
      <c r="A24" s="2149" t="s">
        <v>4059</v>
      </c>
      <c r="B24" s="977" t="s">
        <v>478</v>
      </c>
      <c r="C24" s="977" t="s">
        <v>660</v>
      </c>
      <c r="D24" s="978" t="s">
        <v>4230</v>
      </c>
      <c r="E24" s="2166">
        <f>SUM(J40:J41)</f>
        <v>28625784</v>
      </c>
      <c r="F24" s="2167"/>
      <c r="G24" s="2168"/>
      <c r="H24" s="2197">
        <f>SUM(E24:G26)</f>
        <v>657548839</v>
      </c>
      <c r="I24" s="1104" t="s">
        <v>4231</v>
      </c>
      <c r="J24" s="1243" t="s">
        <v>4241</v>
      </c>
      <c r="K24" s="1244">
        <f>J21</f>
        <v>64579200</v>
      </c>
      <c r="L24" s="1105"/>
    </row>
    <row r="25" spans="1:20" ht="30" customHeight="1" thickBot="1">
      <c r="A25" s="2195"/>
      <c r="B25" s="959" t="s">
        <v>4046</v>
      </c>
      <c r="C25" s="1164" t="s">
        <v>664</v>
      </c>
      <c r="D25" s="1091" t="s">
        <v>4229</v>
      </c>
      <c r="E25" s="2203">
        <f>SUM(J96,J98,J100,J102)</f>
        <v>580182246</v>
      </c>
      <c r="F25" s="2204"/>
      <c r="G25" s="2205"/>
      <c r="H25" s="2198"/>
      <c r="I25" s="1092" t="s">
        <v>4232</v>
      </c>
      <c r="J25" s="1245" t="s">
        <v>4242</v>
      </c>
      <c r="K25" s="1246">
        <f>SUM(J9:J10,J12:J20)</f>
        <v>6585229155</v>
      </c>
      <c r="L25" s="1105"/>
    </row>
    <row r="26" spans="1:20" ht="30" customHeight="1" thickBot="1">
      <c r="A26" s="2196"/>
      <c r="B26" s="1093" t="s">
        <v>4048</v>
      </c>
      <c r="C26" s="1093" t="s">
        <v>664</v>
      </c>
      <c r="D26" s="1094" t="s">
        <v>4213</v>
      </c>
      <c r="E26" s="2206">
        <f>SUM(J103:J106)</f>
        <v>48740809</v>
      </c>
      <c r="F26" s="2207"/>
      <c r="G26" s="2208"/>
      <c r="H26" s="2199"/>
      <c r="I26" s="1095" t="s">
        <v>4212</v>
      </c>
      <c r="J26" s="1241" t="s">
        <v>4243</v>
      </c>
      <c r="K26" s="1240">
        <f>SUM(K24:K25)</f>
        <v>6649808355</v>
      </c>
      <c r="L26" s="1105"/>
    </row>
    <row r="27" spans="1:20" ht="18" thickBot="1">
      <c r="A27" s="980" t="s">
        <v>4060</v>
      </c>
      <c r="L27" s="1105"/>
    </row>
    <row r="28" spans="1:20" ht="23.25" customHeight="1">
      <c r="A28" s="2141" t="s">
        <v>0</v>
      </c>
      <c r="B28" s="2143" t="s">
        <v>4035</v>
      </c>
      <c r="C28" s="2143" t="s">
        <v>1</v>
      </c>
      <c r="D28" s="2145" t="s">
        <v>2</v>
      </c>
      <c r="E28" s="2147" t="s">
        <v>4103</v>
      </c>
      <c r="F28" s="2145" t="s">
        <v>3</v>
      </c>
      <c r="G28" s="2136" t="s">
        <v>4</v>
      </c>
      <c r="H28" s="2138" t="s">
        <v>2352</v>
      </c>
      <c r="I28" s="2139"/>
      <c r="J28" s="2139"/>
      <c r="K28" s="2140"/>
      <c r="L28" s="1105"/>
    </row>
    <row r="29" spans="1:20" ht="23.25" customHeight="1" thickBot="1">
      <c r="A29" s="2142"/>
      <c r="B29" s="2144"/>
      <c r="C29" s="2144"/>
      <c r="D29" s="2146"/>
      <c r="E29" s="2148"/>
      <c r="F29" s="2146"/>
      <c r="G29" s="2137"/>
      <c r="H29" s="1120" t="s">
        <v>6</v>
      </c>
      <c r="I29" s="1121" t="s">
        <v>7</v>
      </c>
      <c r="J29" s="814" t="s">
        <v>2479</v>
      </c>
      <c r="K29" s="815" t="s">
        <v>2336</v>
      </c>
      <c r="L29" s="1105"/>
    </row>
    <row r="30" spans="1:20" ht="23.25" customHeight="1">
      <c r="A30" s="1202" t="s">
        <v>4037</v>
      </c>
      <c r="B30" s="1203" t="s">
        <v>375</v>
      </c>
      <c r="C30" s="1204" t="s">
        <v>4235</v>
      </c>
      <c r="D30" s="1041" t="s">
        <v>3971</v>
      </c>
      <c r="E30" s="1205">
        <v>46082</v>
      </c>
      <c r="F30" s="1212">
        <v>46082</v>
      </c>
      <c r="G30" s="1206">
        <v>9.1338000000000008</v>
      </c>
      <c r="H30" s="1207">
        <v>16094477</v>
      </c>
      <c r="I30" s="1247">
        <f t="shared" ref="I30:I31" si="5">ROUNDDOWN(H30*G30,0)</f>
        <v>147003734</v>
      </c>
      <c r="J30" s="1208">
        <f>I30</f>
        <v>147003734</v>
      </c>
      <c r="K30" s="1209"/>
      <c r="L30" s="1105"/>
    </row>
    <row r="31" spans="1:20" ht="23.25" customHeight="1">
      <c r="A31" s="825" t="s">
        <v>4036</v>
      </c>
      <c r="B31" s="826" t="s">
        <v>4038</v>
      </c>
      <c r="C31" s="827" t="s">
        <v>4237</v>
      </c>
      <c r="D31" s="912" t="s">
        <v>4238</v>
      </c>
      <c r="E31" s="1022">
        <v>46082</v>
      </c>
      <c r="F31" s="910">
        <v>46082</v>
      </c>
      <c r="G31" s="1200">
        <v>9.1338000000000008</v>
      </c>
      <c r="H31" s="1122">
        <v>4501800</v>
      </c>
      <c r="I31" s="1135">
        <f t="shared" si="5"/>
        <v>41118540</v>
      </c>
      <c r="J31" s="832">
        <f>I31</f>
        <v>41118540</v>
      </c>
      <c r="K31" s="833"/>
      <c r="L31" s="1105"/>
    </row>
    <row r="32" spans="1:20" s="97" customFormat="1" ht="24" customHeight="1">
      <c r="A32" s="1020" t="s">
        <v>4037</v>
      </c>
      <c r="B32" s="1021" t="s">
        <v>375</v>
      </c>
      <c r="C32" s="1039" t="s">
        <v>4100</v>
      </c>
      <c r="D32" s="912" t="s">
        <v>4105</v>
      </c>
      <c r="E32" s="1022">
        <v>46090</v>
      </c>
      <c r="F32" s="910">
        <v>46089</v>
      </c>
      <c r="G32" s="1200">
        <v>9.2933000000000003</v>
      </c>
      <c r="H32" s="1201">
        <v>10486995</v>
      </c>
      <c r="I32" s="1135">
        <f t="shared" ref="I32:I82" si="6">ROUNDDOWN(H32*G32,0)</f>
        <v>97458790</v>
      </c>
      <c r="J32" s="926">
        <f>I32</f>
        <v>97458790</v>
      </c>
      <c r="K32" s="927"/>
      <c r="L32" s="1105"/>
      <c r="M32" s="1105"/>
      <c r="N32" s="1108"/>
      <c r="O32" s="1108"/>
      <c r="P32" s="1108"/>
      <c r="Q32" s="1108"/>
      <c r="R32" s="1108"/>
      <c r="S32" s="1108"/>
      <c r="T32" s="1108"/>
    </row>
    <row r="33" spans="1:20" s="97" customFormat="1" ht="24" customHeight="1">
      <c r="A33" s="825" t="s">
        <v>4036</v>
      </c>
      <c r="B33" s="826" t="s">
        <v>4038</v>
      </c>
      <c r="C33" s="827" t="s">
        <v>4101</v>
      </c>
      <c r="D33" s="912" t="s">
        <v>4106</v>
      </c>
      <c r="E33" s="829">
        <v>46097</v>
      </c>
      <c r="F33" s="912">
        <v>46096</v>
      </c>
      <c r="G33" s="831">
        <v>9.2894000000000005</v>
      </c>
      <c r="H33" s="1122">
        <v>15861632</v>
      </c>
      <c r="I33" s="1135">
        <f t="shared" si="6"/>
        <v>147345044</v>
      </c>
      <c r="J33" s="832">
        <f>I33</f>
        <v>147345044</v>
      </c>
      <c r="K33" s="833"/>
      <c r="L33" s="1105"/>
      <c r="M33" s="1105"/>
      <c r="N33" s="1108"/>
      <c r="O33" s="1108"/>
      <c r="P33" s="1108"/>
      <c r="Q33" s="1108"/>
      <c r="R33" s="1108"/>
      <c r="S33" s="1108"/>
      <c r="T33" s="1108"/>
    </row>
    <row r="34" spans="1:20" s="97" customFormat="1" ht="24" customHeight="1">
      <c r="A34" s="825" t="s">
        <v>4036</v>
      </c>
      <c r="B34" s="826" t="s">
        <v>4038</v>
      </c>
      <c r="C34" s="827" t="s">
        <v>4102</v>
      </c>
      <c r="D34" s="828" t="s">
        <v>4107</v>
      </c>
      <c r="E34" s="829">
        <v>46103</v>
      </c>
      <c r="F34" s="912">
        <v>46103</v>
      </c>
      <c r="G34" s="831">
        <v>9.4992999999999999</v>
      </c>
      <c r="H34" s="1122">
        <v>8208340</v>
      </c>
      <c r="I34" s="1135">
        <f t="shared" si="6"/>
        <v>77973484</v>
      </c>
      <c r="J34" s="832">
        <f t="shared" ref="J34:J39" si="7">I34</f>
        <v>77973484</v>
      </c>
      <c r="K34" s="833"/>
      <c r="L34" s="1105"/>
      <c r="M34" s="1105"/>
      <c r="N34" s="1108"/>
      <c r="O34" s="1108"/>
      <c r="P34" s="1108"/>
      <c r="Q34" s="1108"/>
      <c r="R34" s="1108"/>
      <c r="S34" s="1108"/>
      <c r="T34" s="1108"/>
    </row>
    <row r="35" spans="1:20" s="97" customFormat="1" ht="24" customHeight="1">
      <c r="A35" s="825" t="s">
        <v>4036</v>
      </c>
      <c r="B35" s="826" t="s">
        <v>4038</v>
      </c>
      <c r="C35" s="827" t="s">
        <v>4104</v>
      </c>
      <c r="D35" s="828" t="s">
        <v>4108</v>
      </c>
      <c r="E35" s="829">
        <v>46111</v>
      </c>
      <c r="F35" s="912">
        <v>46110</v>
      </c>
      <c r="G35" s="831">
        <v>9.4346999999999994</v>
      </c>
      <c r="H35" s="1122">
        <v>11866744</v>
      </c>
      <c r="I35" s="1135">
        <f t="shared" si="6"/>
        <v>111959169</v>
      </c>
      <c r="J35" s="832">
        <f t="shared" si="7"/>
        <v>111959169</v>
      </c>
      <c r="K35" s="833"/>
      <c r="L35" s="1105"/>
      <c r="M35" s="1105"/>
      <c r="N35" s="1108"/>
      <c r="O35" s="1108"/>
      <c r="P35" s="1108"/>
      <c r="Q35" s="1108"/>
      <c r="R35" s="1108"/>
      <c r="S35" s="1108"/>
      <c r="T35" s="1108"/>
    </row>
    <row r="36" spans="1:20" s="97" customFormat="1" ht="24" customHeight="1" thickBot="1">
      <c r="A36" s="1042" t="s">
        <v>4036</v>
      </c>
      <c r="B36" s="1043" t="s">
        <v>4038</v>
      </c>
      <c r="C36" s="1044" t="s">
        <v>4109</v>
      </c>
      <c r="D36" s="1045" t="s">
        <v>4110</v>
      </c>
      <c r="E36" s="1046" t="s">
        <v>4011</v>
      </c>
      <c r="F36" s="1219">
        <v>46116</v>
      </c>
      <c r="G36" s="1047">
        <v>9.5211000000000006</v>
      </c>
      <c r="H36" s="1124">
        <v>19781186</v>
      </c>
      <c r="I36" s="1125">
        <f t="shared" si="6"/>
        <v>188338650</v>
      </c>
      <c r="J36" s="1048"/>
      <c r="K36" s="1049">
        <f>I36</f>
        <v>188338650</v>
      </c>
      <c r="L36" s="1105"/>
      <c r="M36" s="1105"/>
      <c r="N36" s="1108"/>
      <c r="O36" s="1108"/>
      <c r="P36" s="1108"/>
      <c r="Q36" s="1108"/>
      <c r="R36" s="1108"/>
      <c r="S36" s="1108"/>
      <c r="T36" s="1108"/>
    </row>
    <row r="37" spans="1:20" s="97" customFormat="1" ht="24" customHeight="1">
      <c r="A37" s="1188" t="s">
        <v>2787</v>
      </c>
      <c r="B37" s="1189" t="s">
        <v>375</v>
      </c>
      <c r="C37" s="1190" t="s">
        <v>4233</v>
      </c>
      <c r="D37" s="1190" t="s">
        <v>720</v>
      </c>
      <c r="E37" s="1191">
        <v>46095</v>
      </c>
      <c r="F37" s="1212">
        <v>46095</v>
      </c>
      <c r="G37" s="1192">
        <v>9.2894000000000005</v>
      </c>
      <c r="H37" s="1193">
        <v>6659847</v>
      </c>
      <c r="I37" s="1194">
        <f t="shared" si="6"/>
        <v>61865982</v>
      </c>
      <c r="J37" s="1195">
        <f t="shared" si="7"/>
        <v>61865982</v>
      </c>
      <c r="K37" s="1196"/>
      <c r="L37" s="1106" t="s">
        <v>4218</v>
      </c>
      <c r="M37" s="1106" t="s">
        <v>4219</v>
      </c>
      <c r="N37" s="1109" t="s">
        <v>4220</v>
      </c>
      <c r="O37" s="1109" t="s">
        <v>4221</v>
      </c>
      <c r="P37" s="1109" t="s">
        <v>4222</v>
      </c>
      <c r="Q37" s="1109" t="s">
        <v>4223</v>
      </c>
      <c r="R37" s="1109" t="s">
        <v>4224</v>
      </c>
      <c r="S37" s="1109" t="s">
        <v>4052</v>
      </c>
      <c r="T37" s="1109" t="s">
        <v>4225</v>
      </c>
    </row>
    <row r="38" spans="1:20" s="97" customFormat="1" ht="24" customHeight="1" thickBot="1">
      <c r="A38" s="834" t="s">
        <v>2787</v>
      </c>
      <c r="B38" s="835" t="s">
        <v>375</v>
      </c>
      <c r="C38" s="851" t="s">
        <v>4111</v>
      </c>
      <c r="D38" s="851" t="s">
        <v>4112</v>
      </c>
      <c r="E38" s="838">
        <v>46111</v>
      </c>
      <c r="F38" s="1213">
        <v>46110</v>
      </c>
      <c r="G38" s="840">
        <v>9.4346999999999994</v>
      </c>
      <c r="H38" s="1197">
        <v>6659847</v>
      </c>
      <c r="I38" s="1198">
        <f t="shared" ref="I38" si="8">ROUNDDOWN(H38*G38,0)</f>
        <v>62833658</v>
      </c>
      <c r="J38" s="841">
        <f t="shared" ref="J38" si="9">I38</f>
        <v>62833658</v>
      </c>
      <c r="K38" s="852"/>
      <c r="L38" s="1106"/>
      <c r="M38" s="1106"/>
      <c r="N38" s="1109"/>
      <c r="O38" s="1109"/>
      <c r="P38" s="1109"/>
      <c r="Q38" s="1109"/>
      <c r="R38" s="1109"/>
      <c r="S38" s="1109"/>
      <c r="T38" s="1109"/>
    </row>
    <row r="39" spans="1:20" ht="24" customHeight="1" thickBot="1">
      <c r="A39" s="853" t="s">
        <v>4026</v>
      </c>
      <c r="B39" s="854" t="s">
        <v>478</v>
      </c>
      <c r="C39" s="855" t="s">
        <v>4113</v>
      </c>
      <c r="D39" s="856" t="s">
        <v>4114</v>
      </c>
      <c r="E39" s="857">
        <v>46099</v>
      </c>
      <c r="F39" s="1214">
        <v>46099</v>
      </c>
      <c r="G39" s="858">
        <f>VLOOKUP(F39,환율!A:B,2,0)</f>
        <v>1491.6</v>
      </c>
      <c r="H39" s="1126">
        <v>12320.84</v>
      </c>
      <c r="I39" s="1127">
        <f t="shared" si="6"/>
        <v>18377764</v>
      </c>
      <c r="J39" s="859">
        <f t="shared" si="7"/>
        <v>18377764</v>
      </c>
      <c r="K39" s="860"/>
      <c r="N39" s="1108">
        <f>J39*0.97</f>
        <v>17826431.079999998</v>
      </c>
      <c r="Q39" s="1108">
        <f>J39-N39</f>
        <v>551332.92000000179</v>
      </c>
      <c r="S39" s="1108">
        <f>SUM(L39:R39)</f>
        <v>18377764</v>
      </c>
      <c r="T39" s="1108">
        <f>J39-S39</f>
        <v>0</v>
      </c>
    </row>
    <row r="40" spans="1:20" s="97" customFormat="1" ht="24" customHeight="1">
      <c r="A40" s="1074" t="s">
        <v>660</v>
      </c>
      <c r="B40" s="1075" t="s">
        <v>478</v>
      </c>
      <c r="C40" s="1076" t="s">
        <v>4210</v>
      </c>
      <c r="D40" s="1077"/>
      <c r="E40" s="1078"/>
      <c r="F40" s="1220">
        <v>46107</v>
      </c>
      <c r="G40" s="1079">
        <f>VLOOKUP(F40,환율!A:B,2,0)</f>
        <v>1495.6</v>
      </c>
      <c r="H40" s="1128">
        <v>9570</v>
      </c>
      <c r="I40" s="1129">
        <f t="shared" si="6"/>
        <v>14312892</v>
      </c>
      <c r="J40" s="1080">
        <f>I40</f>
        <v>14312892</v>
      </c>
      <c r="K40" s="1081"/>
      <c r="L40" s="1108"/>
      <c r="M40" s="1105"/>
      <c r="N40" s="1176">
        <f t="shared" ref="N40:N54" si="10">J40*0.7</f>
        <v>10019024.399999999</v>
      </c>
      <c r="O40" s="1108"/>
      <c r="P40" s="1108"/>
      <c r="Q40" s="1176">
        <f t="shared" ref="Q40:Q54" si="11">J40-N40</f>
        <v>4293867.6000000015</v>
      </c>
      <c r="R40" s="1108"/>
      <c r="S40" s="1108">
        <f t="shared" ref="S40:S107" si="12">SUM(L40:R40)</f>
        <v>14312892</v>
      </c>
      <c r="T40" s="1108">
        <v>0</v>
      </c>
    </row>
    <row r="41" spans="1:20" s="120" customFormat="1" ht="24" customHeight="1">
      <c r="A41" s="1082" t="s">
        <v>698</v>
      </c>
      <c r="B41" s="1083" t="s">
        <v>4039</v>
      </c>
      <c r="C41" s="1084" t="s">
        <v>4211</v>
      </c>
      <c r="D41" s="1085"/>
      <c r="E41" s="1086"/>
      <c r="F41" s="1087">
        <v>46107</v>
      </c>
      <c r="G41" s="1088">
        <f>VLOOKUP(F41,환율!A:B,2,0)</f>
        <v>1495.6</v>
      </c>
      <c r="H41" s="1130">
        <v>9570</v>
      </c>
      <c r="I41" s="1131">
        <f t="shared" si="6"/>
        <v>14312892</v>
      </c>
      <c r="J41" s="1089">
        <f>I41</f>
        <v>14312892</v>
      </c>
      <c r="K41" s="1090"/>
      <c r="L41" s="1110"/>
      <c r="M41" s="1107"/>
      <c r="N41" s="1176">
        <f t="shared" si="10"/>
        <v>10019024.399999999</v>
      </c>
      <c r="O41" s="1108"/>
      <c r="P41" s="1108"/>
      <c r="Q41" s="1176">
        <f t="shared" si="11"/>
        <v>4293867.6000000015</v>
      </c>
      <c r="R41" s="1110"/>
      <c r="S41" s="1108">
        <f t="shared" si="12"/>
        <v>14312892</v>
      </c>
      <c r="T41" s="1108">
        <v>0</v>
      </c>
    </row>
    <row r="42" spans="1:20" s="120" customFormat="1" ht="24" customHeight="1">
      <c r="A42" s="1261" t="s">
        <v>660</v>
      </c>
      <c r="B42" s="1262" t="s">
        <v>478</v>
      </c>
      <c r="C42" s="1263" t="s">
        <v>3921</v>
      </c>
      <c r="D42" s="1264" t="s">
        <v>4070</v>
      </c>
      <c r="E42" s="1265">
        <v>46090</v>
      </c>
      <c r="F42" s="1264">
        <v>46090</v>
      </c>
      <c r="G42" s="1266">
        <f>VLOOKUP(F42,환율!A:B,2,0)</f>
        <v>1474.5</v>
      </c>
      <c r="H42" s="1267">
        <v>69960.509999999995</v>
      </c>
      <c r="I42" s="1268">
        <f t="shared" si="6"/>
        <v>103156771</v>
      </c>
      <c r="J42" s="1268">
        <f>I42</f>
        <v>103156771</v>
      </c>
      <c r="K42" s="1269"/>
      <c r="L42" s="1110"/>
      <c r="M42" s="1107"/>
      <c r="N42" s="1110">
        <f t="shared" si="10"/>
        <v>72209739.699999988</v>
      </c>
      <c r="O42" s="1110"/>
      <c r="P42" s="1110"/>
      <c r="Q42" s="1110">
        <f t="shared" si="11"/>
        <v>30947031.300000012</v>
      </c>
      <c r="R42" s="1110"/>
      <c r="S42" s="1110">
        <f t="shared" si="12"/>
        <v>103156771</v>
      </c>
      <c r="T42" s="1110">
        <f t="shared" ref="T42:T107" si="13">J42-S42</f>
        <v>0</v>
      </c>
    </row>
    <row r="43" spans="1:20" s="120" customFormat="1" ht="24" customHeight="1">
      <c r="A43" s="862" t="s">
        <v>698</v>
      </c>
      <c r="B43" s="863" t="s">
        <v>4039</v>
      </c>
      <c r="C43" s="864" t="s">
        <v>3922</v>
      </c>
      <c r="D43" s="865" t="s">
        <v>4071</v>
      </c>
      <c r="E43" s="866">
        <v>46086</v>
      </c>
      <c r="F43" s="867">
        <v>46086</v>
      </c>
      <c r="G43" s="868">
        <f>VLOOKUP(F43,환율!A:B,2,0)</f>
        <v>1478.8</v>
      </c>
      <c r="H43" s="1132">
        <v>22832.639999999999</v>
      </c>
      <c r="I43" s="1133">
        <f t="shared" si="6"/>
        <v>33764908</v>
      </c>
      <c r="J43" s="869">
        <f>I43</f>
        <v>33764908</v>
      </c>
      <c r="K43" s="870"/>
      <c r="L43" s="1110"/>
      <c r="M43" s="1107"/>
      <c r="N43" s="1108">
        <f t="shared" si="10"/>
        <v>23635435.599999998</v>
      </c>
      <c r="O43" s="1108"/>
      <c r="P43" s="1108"/>
      <c r="Q43" s="1108">
        <f t="shared" si="11"/>
        <v>10129472.400000002</v>
      </c>
      <c r="R43" s="1110"/>
      <c r="S43" s="1108">
        <f t="shared" si="12"/>
        <v>33764908</v>
      </c>
      <c r="T43" s="1108">
        <f t="shared" si="13"/>
        <v>0</v>
      </c>
    </row>
    <row r="44" spans="1:20" s="120" customFormat="1" ht="24" customHeight="1">
      <c r="A44" s="862" t="s">
        <v>698</v>
      </c>
      <c r="B44" s="863" t="s">
        <v>4039</v>
      </c>
      <c r="C44" s="864" t="s">
        <v>3923</v>
      </c>
      <c r="D44" s="865" t="s">
        <v>4072</v>
      </c>
      <c r="E44" s="866">
        <v>46088</v>
      </c>
      <c r="F44" s="867">
        <v>46088</v>
      </c>
      <c r="G44" s="868">
        <f>VLOOKUP(F44,환율!A:B,2,0)</f>
        <v>1464.3</v>
      </c>
      <c r="H44" s="1132">
        <v>23716.799999999999</v>
      </c>
      <c r="I44" s="1133">
        <f t="shared" si="6"/>
        <v>34728510</v>
      </c>
      <c r="J44" s="869">
        <f t="shared" ref="J44:J52" si="14">I44</f>
        <v>34728510</v>
      </c>
      <c r="K44" s="870"/>
      <c r="L44" s="1110"/>
      <c r="M44" s="1107"/>
      <c r="N44" s="1108">
        <f t="shared" si="10"/>
        <v>24309957</v>
      </c>
      <c r="O44" s="1108"/>
      <c r="P44" s="1108"/>
      <c r="Q44" s="1108">
        <f t="shared" si="11"/>
        <v>10418553</v>
      </c>
      <c r="R44" s="1110"/>
      <c r="S44" s="1108">
        <f t="shared" si="12"/>
        <v>34728510</v>
      </c>
      <c r="T44" s="1108">
        <f t="shared" si="13"/>
        <v>0</v>
      </c>
    </row>
    <row r="45" spans="1:20" s="1040" customFormat="1" ht="24" customHeight="1">
      <c r="A45" s="1020" t="s">
        <v>698</v>
      </c>
      <c r="B45" s="1021" t="s">
        <v>4039</v>
      </c>
      <c r="C45" s="1039" t="s">
        <v>4115</v>
      </c>
      <c r="D45" s="912" t="s">
        <v>4116</v>
      </c>
      <c r="E45" s="1022">
        <v>46098</v>
      </c>
      <c r="F45" s="910">
        <v>46098</v>
      </c>
      <c r="G45" s="913">
        <f>VLOOKUP(F45,환율!A:B,2,0)</f>
        <v>1496</v>
      </c>
      <c r="H45" s="1134">
        <v>36020.160000000003</v>
      </c>
      <c r="I45" s="1135">
        <f t="shared" si="6"/>
        <v>53886159</v>
      </c>
      <c r="J45" s="926">
        <f t="shared" si="14"/>
        <v>53886159</v>
      </c>
      <c r="K45" s="927"/>
      <c r="L45" s="1110"/>
      <c r="M45" s="1107"/>
      <c r="N45" s="1108">
        <f t="shared" si="10"/>
        <v>37720311.299999997</v>
      </c>
      <c r="O45" s="1108"/>
      <c r="P45" s="1108"/>
      <c r="Q45" s="1108">
        <f t="shared" si="11"/>
        <v>16165847.700000003</v>
      </c>
      <c r="R45" s="1111"/>
      <c r="S45" s="1108">
        <f t="shared" si="12"/>
        <v>53886159</v>
      </c>
      <c r="T45" s="1108">
        <f t="shared" si="13"/>
        <v>0</v>
      </c>
    </row>
    <row r="46" spans="1:20" s="120" customFormat="1" ht="24" customHeight="1">
      <c r="A46" s="825" t="s">
        <v>698</v>
      </c>
      <c r="B46" s="826" t="s">
        <v>4039</v>
      </c>
      <c r="C46" s="871" t="s">
        <v>4117</v>
      </c>
      <c r="D46" s="830" t="s">
        <v>4118</v>
      </c>
      <c r="E46" s="872">
        <v>46093</v>
      </c>
      <c r="F46" s="910">
        <v>46093</v>
      </c>
      <c r="G46" s="873">
        <f>VLOOKUP(F46,환율!A:B,2,0)</f>
        <v>1467.3</v>
      </c>
      <c r="H46" s="1136">
        <v>48536.639999999999</v>
      </c>
      <c r="I46" s="1123">
        <f t="shared" si="6"/>
        <v>71217811</v>
      </c>
      <c r="J46" s="832">
        <f t="shared" si="14"/>
        <v>71217811</v>
      </c>
      <c r="K46" s="874"/>
      <c r="L46" s="1110"/>
      <c r="M46" s="1107"/>
      <c r="N46" s="1108">
        <f t="shared" si="10"/>
        <v>49852467.699999996</v>
      </c>
      <c r="O46" s="1108"/>
      <c r="P46" s="1108"/>
      <c r="Q46" s="1108">
        <f t="shared" si="11"/>
        <v>21365343.300000004</v>
      </c>
      <c r="R46" s="1110"/>
      <c r="S46" s="1108">
        <f t="shared" si="12"/>
        <v>71217811</v>
      </c>
      <c r="T46" s="1108">
        <f t="shared" si="13"/>
        <v>0</v>
      </c>
    </row>
    <row r="47" spans="1:20" s="120" customFormat="1" ht="24" customHeight="1">
      <c r="A47" s="825" t="s">
        <v>698</v>
      </c>
      <c r="B47" s="826" t="s">
        <v>4039</v>
      </c>
      <c r="C47" s="871" t="s">
        <v>4119</v>
      </c>
      <c r="D47" s="830" t="s">
        <v>4120</v>
      </c>
      <c r="E47" s="872">
        <v>46098</v>
      </c>
      <c r="F47" s="910">
        <v>46098</v>
      </c>
      <c r="G47" s="873">
        <f>VLOOKUP(F47,환율!A:B,2,0)</f>
        <v>1496</v>
      </c>
      <c r="H47" s="1136">
        <v>62704.35</v>
      </c>
      <c r="I47" s="1123">
        <f t="shared" si="6"/>
        <v>93805707</v>
      </c>
      <c r="J47" s="832">
        <f t="shared" si="14"/>
        <v>93805707</v>
      </c>
      <c r="K47" s="874"/>
      <c r="L47" s="1110"/>
      <c r="M47" s="1107"/>
      <c r="N47" s="1108">
        <f t="shared" si="10"/>
        <v>65663994.899999999</v>
      </c>
      <c r="O47" s="1108"/>
      <c r="P47" s="1108"/>
      <c r="Q47" s="1108">
        <f t="shared" si="11"/>
        <v>28141712.100000001</v>
      </c>
      <c r="R47" s="1110"/>
      <c r="S47" s="1108">
        <f t="shared" si="12"/>
        <v>93805707</v>
      </c>
      <c r="T47" s="1108">
        <f t="shared" si="13"/>
        <v>0</v>
      </c>
    </row>
    <row r="48" spans="1:20" s="120" customFormat="1" ht="24" customHeight="1">
      <c r="A48" s="825" t="s">
        <v>698</v>
      </c>
      <c r="B48" s="826" t="s">
        <v>4039</v>
      </c>
      <c r="C48" s="871" t="s">
        <v>4121</v>
      </c>
      <c r="D48" s="830" t="s">
        <v>4122</v>
      </c>
      <c r="E48" s="872">
        <v>46103</v>
      </c>
      <c r="F48" s="910">
        <v>46103</v>
      </c>
      <c r="G48" s="873">
        <f>VLOOKUP(F48,환율!A:B,2,0)</f>
        <v>1499.7</v>
      </c>
      <c r="H48" s="1136">
        <v>56589.120000000003</v>
      </c>
      <c r="I48" s="1123">
        <f t="shared" si="6"/>
        <v>84866703</v>
      </c>
      <c r="J48" s="832">
        <f t="shared" si="14"/>
        <v>84866703</v>
      </c>
      <c r="K48" s="874"/>
      <c r="L48" s="1110"/>
      <c r="M48" s="1107"/>
      <c r="N48" s="1108">
        <f t="shared" si="10"/>
        <v>59406692.099999994</v>
      </c>
      <c r="O48" s="1108"/>
      <c r="P48" s="1108"/>
      <c r="Q48" s="1108">
        <f t="shared" si="11"/>
        <v>25460010.900000006</v>
      </c>
      <c r="R48" s="1110"/>
      <c r="S48" s="1108">
        <f t="shared" si="12"/>
        <v>84866703</v>
      </c>
      <c r="T48" s="1108">
        <f t="shared" si="13"/>
        <v>0</v>
      </c>
    </row>
    <row r="49" spans="1:20" s="120" customFormat="1" ht="24" customHeight="1">
      <c r="A49" s="825" t="s">
        <v>698</v>
      </c>
      <c r="B49" s="826" t="s">
        <v>4039</v>
      </c>
      <c r="C49" s="871" t="s">
        <v>4123</v>
      </c>
      <c r="D49" s="830" t="s">
        <v>4207</v>
      </c>
      <c r="E49" s="872">
        <v>46101</v>
      </c>
      <c r="F49" s="910">
        <v>46101</v>
      </c>
      <c r="G49" s="873">
        <f>VLOOKUP(F49,환율!A:B,2,0)</f>
        <v>1499.7</v>
      </c>
      <c r="H49" s="1136">
        <v>18292.32</v>
      </c>
      <c r="I49" s="1123">
        <f t="shared" si="6"/>
        <v>27432992</v>
      </c>
      <c r="J49" s="832">
        <f t="shared" si="14"/>
        <v>27432992</v>
      </c>
      <c r="K49" s="874"/>
      <c r="L49" s="1110"/>
      <c r="M49" s="1107"/>
      <c r="N49" s="1108">
        <f>J49*0.7</f>
        <v>19203094.399999999</v>
      </c>
      <c r="O49" s="1108"/>
      <c r="P49" s="1108"/>
      <c r="Q49" s="1108">
        <f t="shared" si="11"/>
        <v>8229897.6000000015</v>
      </c>
      <c r="R49" s="1110"/>
      <c r="S49" s="1108">
        <f t="shared" si="12"/>
        <v>27432992</v>
      </c>
      <c r="T49" s="1108">
        <f t="shared" si="13"/>
        <v>0</v>
      </c>
    </row>
    <row r="50" spans="1:20" s="120" customFormat="1" ht="24" customHeight="1">
      <c r="A50" s="825" t="s">
        <v>698</v>
      </c>
      <c r="B50" s="826" t="s">
        <v>4039</v>
      </c>
      <c r="C50" s="871" t="s">
        <v>4124</v>
      </c>
      <c r="D50" s="830" t="s">
        <v>4125</v>
      </c>
      <c r="E50" s="872">
        <v>46098</v>
      </c>
      <c r="F50" s="910">
        <v>46098</v>
      </c>
      <c r="G50" s="873">
        <f>VLOOKUP(F50,환율!A:B,2,0)</f>
        <v>1496</v>
      </c>
      <c r="H50" s="1136">
        <v>503.45</v>
      </c>
      <c r="I50" s="1123">
        <f t="shared" si="6"/>
        <v>753161</v>
      </c>
      <c r="J50" s="832">
        <f t="shared" si="14"/>
        <v>753161</v>
      </c>
      <c r="K50" s="874"/>
      <c r="L50" s="1110"/>
      <c r="M50" s="1107"/>
      <c r="N50" s="1108">
        <f t="shared" si="10"/>
        <v>527212.69999999995</v>
      </c>
      <c r="O50" s="1108"/>
      <c r="P50" s="1108"/>
      <c r="Q50" s="1108">
        <f t="shared" si="11"/>
        <v>225948.30000000005</v>
      </c>
      <c r="R50" s="1110"/>
      <c r="S50" s="1108">
        <f t="shared" si="12"/>
        <v>753161</v>
      </c>
      <c r="T50" s="1108">
        <f t="shared" si="13"/>
        <v>0</v>
      </c>
    </row>
    <row r="51" spans="1:20" s="120" customFormat="1" ht="24" customHeight="1">
      <c r="A51" s="825" t="s">
        <v>698</v>
      </c>
      <c r="B51" s="826" t="s">
        <v>4039</v>
      </c>
      <c r="C51" s="871" t="s">
        <v>4126</v>
      </c>
      <c r="D51" s="830" t="s">
        <v>4127</v>
      </c>
      <c r="E51" s="872">
        <v>46098</v>
      </c>
      <c r="F51" s="910">
        <v>46098</v>
      </c>
      <c r="G51" s="873">
        <f>VLOOKUP(F51,환율!A:B,2,0)</f>
        <v>1496</v>
      </c>
      <c r="H51" s="1136">
        <v>617.70000000000005</v>
      </c>
      <c r="I51" s="1123">
        <f t="shared" si="6"/>
        <v>924079</v>
      </c>
      <c r="J51" s="832">
        <f t="shared" si="14"/>
        <v>924079</v>
      </c>
      <c r="K51" s="874"/>
      <c r="L51" s="1110"/>
      <c r="M51" s="1107"/>
      <c r="N51" s="1108">
        <f t="shared" si="10"/>
        <v>646855.29999999993</v>
      </c>
      <c r="O51" s="1108"/>
      <c r="P51" s="1108"/>
      <c r="Q51" s="1108">
        <f t="shared" si="11"/>
        <v>277223.70000000007</v>
      </c>
      <c r="R51" s="1110"/>
      <c r="S51" s="1108">
        <f t="shared" si="12"/>
        <v>924079</v>
      </c>
      <c r="T51" s="1108">
        <f t="shared" si="13"/>
        <v>0</v>
      </c>
    </row>
    <row r="52" spans="1:20" s="120" customFormat="1" ht="24" customHeight="1">
      <c r="A52" s="1020" t="s">
        <v>698</v>
      </c>
      <c r="B52" s="1021" t="s">
        <v>4039</v>
      </c>
      <c r="C52" s="1039" t="s">
        <v>4128</v>
      </c>
      <c r="D52" s="912" t="s">
        <v>4129</v>
      </c>
      <c r="E52" s="1022">
        <v>46098</v>
      </c>
      <c r="F52" s="910">
        <v>46098</v>
      </c>
      <c r="G52" s="913">
        <f>VLOOKUP(F52,환율!A:B,2,0)</f>
        <v>1496</v>
      </c>
      <c r="H52" s="1134">
        <v>801.65</v>
      </c>
      <c r="I52" s="1135">
        <f t="shared" si="6"/>
        <v>1199268</v>
      </c>
      <c r="J52" s="832">
        <f t="shared" si="14"/>
        <v>1199268</v>
      </c>
      <c r="K52" s="927"/>
      <c r="L52" s="1110"/>
      <c r="M52" s="1107"/>
      <c r="N52" s="1108">
        <f t="shared" si="10"/>
        <v>839487.6</v>
      </c>
      <c r="O52" s="1108"/>
      <c r="P52" s="1108"/>
      <c r="Q52" s="1108">
        <f t="shared" si="11"/>
        <v>359780.4</v>
      </c>
      <c r="R52" s="1110"/>
      <c r="S52" s="1108">
        <f t="shared" si="12"/>
        <v>1199268</v>
      </c>
      <c r="T52" s="1108">
        <f t="shared" si="13"/>
        <v>0</v>
      </c>
    </row>
    <row r="53" spans="1:20" s="120" customFormat="1" ht="24" customHeight="1">
      <c r="A53" s="875" t="s">
        <v>698</v>
      </c>
      <c r="B53" s="876" t="s">
        <v>4039</v>
      </c>
      <c r="C53" s="877" t="s">
        <v>4181</v>
      </c>
      <c r="D53" s="878" t="s">
        <v>4182</v>
      </c>
      <c r="E53" s="879">
        <v>46114</v>
      </c>
      <c r="F53" s="878">
        <v>46114</v>
      </c>
      <c r="G53" s="881">
        <f>VLOOKUP(F53,환율!A:B,2,0)</f>
        <v>1507.8</v>
      </c>
      <c r="H53" s="1137">
        <v>29439.360000000001</v>
      </c>
      <c r="I53" s="1138">
        <f t="shared" si="6"/>
        <v>44388667</v>
      </c>
      <c r="J53" s="882"/>
      <c r="K53" s="883">
        <f>I53</f>
        <v>44388667</v>
      </c>
      <c r="L53" s="1110"/>
      <c r="M53" s="1107"/>
      <c r="N53" s="1108">
        <f t="shared" si="10"/>
        <v>0</v>
      </c>
      <c r="O53" s="1108"/>
      <c r="P53" s="1108"/>
      <c r="Q53" s="1108">
        <f t="shared" si="11"/>
        <v>0</v>
      </c>
      <c r="R53" s="1110"/>
      <c r="S53" s="1108">
        <f t="shared" si="12"/>
        <v>0</v>
      </c>
      <c r="T53" s="1108">
        <f t="shared" si="13"/>
        <v>0</v>
      </c>
    </row>
    <row r="54" spans="1:20" s="120" customFormat="1" ht="24" customHeight="1" thickBot="1">
      <c r="A54" s="884" t="s">
        <v>698</v>
      </c>
      <c r="B54" s="885" t="s">
        <v>4039</v>
      </c>
      <c r="C54" s="886" t="s">
        <v>4183</v>
      </c>
      <c r="D54" s="887" t="s">
        <v>4184</v>
      </c>
      <c r="E54" s="888" t="s">
        <v>4011</v>
      </c>
      <c r="F54" s="887">
        <v>46117</v>
      </c>
      <c r="G54" s="890">
        <f>VLOOKUP(F54,환율!A:B,2,0)</f>
        <v>1518.8</v>
      </c>
      <c r="H54" s="1139">
        <v>31135.68</v>
      </c>
      <c r="I54" s="1140">
        <f t="shared" si="6"/>
        <v>47288870</v>
      </c>
      <c r="J54" s="891"/>
      <c r="K54" s="892">
        <f>I54</f>
        <v>47288870</v>
      </c>
      <c r="L54" s="1110"/>
      <c r="M54" s="1107"/>
      <c r="N54" s="1108">
        <f t="shared" si="10"/>
        <v>0</v>
      </c>
      <c r="O54" s="1108"/>
      <c r="P54" s="1108"/>
      <c r="Q54" s="1108">
        <f t="shared" si="11"/>
        <v>0</v>
      </c>
      <c r="R54" s="1110"/>
      <c r="S54" s="1108">
        <f t="shared" si="12"/>
        <v>0</v>
      </c>
      <c r="T54" s="1108">
        <f t="shared" si="13"/>
        <v>0</v>
      </c>
    </row>
    <row r="55" spans="1:20" s="97" customFormat="1" ht="24" customHeight="1">
      <c r="A55" s="816" t="s">
        <v>4042</v>
      </c>
      <c r="B55" s="817" t="s">
        <v>478</v>
      </c>
      <c r="C55" s="893" t="s">
        <v>3940</v>
      </c>
      <c r="D55" s="821" t="s">
        <v>4073</v>
      </c>
      <c r="E55" s="894">
        <v>46093</v>
      </c>
      <c r="F55" s="821">
        <v>46093</v>
      </c>
      <c r="G55" s="861">
        <f>VLOOKUP(F55,환율!A:B,2,0)</f>
        <v>1467.3</v>
      </c>
      <c r="H55" s="1141">
        <v>752.84</v>
      </c>
      <c r="I55" s="1142">
        <f t="shared" si="6"/>
        <v>1104642</v>
      </c>
      <c r="J55" s="823">
        <f>I55</f>
        <v>1104642</v>
      </c>
      <c r="K55" s="824"/>
      <c r="L55" s="1108"/>
      <c r="M55" s="1105"/>
      <c r="N55" s="1108">
        <f>J55*0.72</f>
        <v>795342.24</v>
      </c>
      <c r="O55" s="1108"/>
      <c r="P55" s="1108">
        <f>J55*0.14</f>
        <v>154649.88</v>
      </c>
      <c r="Q55" s="1108">
        <f>J55*0.14</f>
        <v>154649.88</v>
      </c>
      <c r="R55" s="1108"/>
      <c r="S55" s="1108">
        <f t="shared" si="12"/>
        <v>1104642</v>
      </c>
      <c r="T55" s="1108">
        <f t="shared" si="13"/>
        <v>0</v>
      </c>
    </row>
    <row r="56" spans="1:20" s="97" customFormat="1" ht="24" customHeight="1">
      <c r="A56" s="862" t="s">
        <v>4042</v>
      </c>
      <c r="B56" s="863" t="s">
        <v>4039</v>
      </c>
      <c r="C56" s="895" t="s">
        <v>3941</v>
      </c>
      <c r="D56" s="867" t="s">
        <v>4074</v>
      </c>
      <c r="E56" s="896">
        <v>46093</v>
      </c>
      <c r="F56" s="867">
        <v>46093</v>
      </c>
      <c r="G56" s="868">
        <f>VLOOKUP(F56,환율!A:B,2,0)</f>
        <v>1467.3</v>
      </c>
      <c r="H56" s="1132">
        <v>7619.84</v>
      </c>
      <c r="I56" s="1133">
        <f t="shared" si="6"/>
        <v>11180591</v>
      </c>
      <c r="J56" s="869">
        <f t="shared" ref="J56:J75" si="15">I56</f>
        <v>11180591</v>
      </c>
      <c r="K56" s="870"/>
      <c r="L56" s="1108"/>
      <c r="M56" s="1105"/>
      <c r="N56" s="1108">
        <f t="shared" ref="N56:N75" si="16">J56*0.72</f>
        <v>8050025.5199999996</v>
      </c>
      <c r="O56" s="1108"/>
      <c r="P56" s="1108">
        <f t="shared" ref="P56:P75" si="17">J56*0.14</f>
        <v>1565282.7400000002</v>
      </c>
      <c r="Q56" s="1108">
        <f t="shared" ref="Q56:Q75" si="18">J56*0.14</f>
        <v>1565282.7400000002</v>
      </c>
      <c r="R56" s="1108"/>
      <c r="S56" s="1108">
        <f t="shared" si="12"/>
        <v>11180591</v>
      </c>
      <c r="T56" s="1108">
        <f t="shared" si="13"/>
        <v>0</v>
      </c>
    </row>
    <row r="57" spans="1:20" s="97" customFormat="1" ht="24" customHeight="1">
      <c r="A57" s="862" t="s">
        <v>4042</v>
      </c>
      <c r="B57" s="863" t="s">
        <v>4039</v>
      </c>
      <c r="C57" s="895" t="s">
        <v>3952</v>
      </c>
      <c r="D57" s="867" t="s">
        <v>4075</v>
      </c>
      <c r="E57" s="896">
        <v>46084</v>
      </c>
      <c r="F57" s="865">
        <v>46084</v>
      </c>
      <c r="G57" s="868">
        <f>VLOOKUP(F57,환율!A:B,2,0)</f>
        <v>1435.4</v>
      </c>
      <c r="H57" s="1132">
        <v>100541.24</v>
      </c>
      <c r="I57" s="1133">
        <f t="shared" si="6"/>
        <v>144316895</v>
      </c>
      <c r="J57" s="869">
        <f t="shared" si="15"/>
        <v>144316895</v>
      </c>
      <c r="K57" s="870"/>
      <c r="L57" s="1108"/>
      <c r="M57" s="1105"/>
      <c r="N57" s="1108">
        <f t="shared" si="16"/>
        <v>103908164.39999999</v>
      </c>
      <c r="O57" s="1108"/>
      <c r="P57" s="1108">
        <f t="shared" si="17"/>
        <v>20204365.300000001</v>
      </c>
      <c r="Q57" s="1108">
        <f t="shared" si="18"/>
        <v>20204365.300000001</v>
      </c>
      <c r="R57" s="1108"/>
      <c r="S57" s="1108">
        <f t="shared" si="12"/>
        <v>144316895</v>
      </c>
      <c r="T57" s="1108">
        <f t="shared" si="13"/>
        <v>0</v>
      </c>
    </row>
    <row r="58" spans="1:20" s="97" customFormat="1" ht="24" customHeight="1">
      <c r="A58" s="862" t="s">
        <v>4042</v>
      </c>
      <c r="B58" s="863" t="s">
        <v>4039</v>
      </c>
      <c r="C58" s="895" t="s">
        <v>3953</v>
      </c>
      <c r="D58" s="867" t="s">
        <v>4076</v>
      </c>
      <c r="E58" s="896">
        <v>46084</v>
      </c>
      <c r="F58" s="865">
        <v>46084</v>
      </c>
      <c r="G58" s="868">
        <f>VLOOKUP(F58,환율!A:B,2,0)</f>
        <v>1435.4</v>
      </c>
      <c r="H58" s="1132">
        <v>81853.14</v>
      </c>
      <c r="I58" s="1133">
        <f t="shared" si="6"/>
        <v>117491997</v>
      </c>
      <c r="J58" s="869">
        <f t="shared" si="15"/>
        <v>117491997</v>
      </c>
      <c r="K58" s="870"/>
      <c r="L58" s="1108"/>
      <c r="M58" s="1105"/>
      <c r="N58" s="1108">
        <f t="shared" si="16"/>
        <v>84594237.840000004</v>
      </c>
      <c r="O58" s="1108"/>
      <c r="P58" s="1108">
        <f t="shared" si="17"/>
        <v>16448879.580000002</v>
      </c>
      <c r="Q58" s="1108">
        <f t="shared" si="18"/>
        <v>16448879.580000002</v>
      </c>
      <c r="R58" s="1108"/>
      <c r="S58" s="1108">
        <f t="shared" si="12"/>
        <v>117491997</v>
      </c>
      <c r="T58" s="1108">
        <f t="shared" si="13"/>
        <v>0</v>
      </c>
    </row>
    <row r="59" spans="1:20" s="97" customFormat="1" ht="24" customHeight="1">
      <c r="A59" s="862" t="s">
        <v>4042</v>
      </c>
      <c r="B59" s="863" t="s">
        <v>4039</v>
      </c>
      <c r="C59" s="895" t="s">
        <v>3955</v>
      </c>
      <c r="D59" s="867" t="s">
        <v>4077</v>
      </c>
      <c r="E59" s="896">
        <v>46090</v>
      </c>
      <c r="F59" s="865">
        <v>46090</v>
      </c>
      <c r="G59" s="868">
        <f>VLOOKUP(F59,환율!A:B,2,0)</f>
        <v>1474.5</v>
      </c>
      <c r="H59" s="1132">
        <v>21563.5</v>
      </c>
      <c r="I59" s="1133">
        <f t="shared" si="6"/>
        <v>31795380</v>
      </c>
      <c r="J59" s="869">
        <f t="shared" si="15"/>
        <v>31795380</v>
      </c>
      <c r="K59" s="870"/>
      <c r="L59" s="1108"/>
      <c r="M59" s="1105"/>
      <c r="N59" s="1108">
        <f t="shared" si="16"/>
        <v>22892673.599999998</v>
      </c>
      <c r="O59" s="1108"/>
      <c r="P59" s="1108">
        <f t="shared" si="17"/>
        <v>4451353.2</v>
      </c>
      <c r="Q59" s="1108">
        <f t="shared" si="18"/>
        <v>4451353.2</v>
      </c>
      <c r="R59" s="1108"/>
      <c r="S59" s="1108">
        <f t="shared" si="12"/>
        <v>31795379.999999996</v>
      </c>
      <c r="T59" s="1108">
        <f t="shared" si="13"/>
        <v>0</v>
      </c>
    </row>
    <row r="60" spans="1:20" s="126" customFormat="1" ht="24" customHeight="1">
      <c r="A60" s="862" t="s">
        <v>4042</v>
      </c>
      <c r="B60" s="863" t="s">
        <v>4039</v>
      </c>
      <c r="C60" s="895" t="s">
        <v>3956</v>
      </c>
      <c r="D60" s="867" t="s">
        <v>4078</v>
      </c>
      <c r="E60" s="896">
        <v>46086</v>
      </c>
      <c r="F60" s="865">
        <v>46086</v>
      </c>
      <c r="G60" s="868">
        <f>VLOOKUP(F60,환율!A:B,2,0)</f>
        <v>1478.8</v>
      </c>
      <c r="H60" s="1132">
        <v>41282.46</v>
      </c>
      <c r="I60" s="1133">
        <f t="shared" si="6"/>
        <v>61048501</v>
      </c>
      <c r="J60" s="869">
        <f t="shared" si="15"/>
        <v>61048501</v>
      </c>
      <c r="K60" s="870"/>
      <c r="L60" s="1108"/>
      <c r="M60" s="1105"/>
      <c r="N60" s="1108">
        <f t="shared" si="16"/>
        <v>43954920.719999999</v>
      </c>
      <c r="O60" s="1108"/>
      <c r="P60" s="1108">
        <f t="shared" si="17"/>
        <v>8546790.1400000006</v>
      </c>
      <c r="Q60" s="1108">
        <f t="shared" si="18"/>
        <v>8546790.1400000006</v>
      </c>
      <c r="R60" s="1108"/>
      <c r="S60" s="1108">
        <f t="shared" si="12"/>
        <v>61048501</v>
      </c>
      <c r="T60" s="1108">
        <f t="shared" si="13"/>
        <v>0</v>
      </c>
    </row>
    <row r="61" spans="1:20" s="126" customFormat="1" ht="24" customHeight="1">
      <c r="A61" s="862" t="s">
        <v>4042</v>
      </c>
      <c r="B61" s="863" t="s">
        <v>4039</v>
      </c>
      <c r="C61" s="895" t="s">
        <v>3957</v>
      </c>
      <c r="D61" s="867" t="s">
        <v>4079</v>
      </c>
      <c r="E61" s="896">
        <v>46086</v>
      </c>
      <c r="F61" s="865">
        <v>46086</v>
      </c>
      <c r="G61" s="868">
        <f>VLOOKUP(F61,환율!A:B,2,0)</f>
        <v>1478.8</v>
      </c>
      <c r="H61" s="1132">
        <v>113072.4</v>
      </c>
      <c r="I61" s="1133">
        <f t="shared" si="6"/>
        <v>167211465</v>
      </c>
      <c r="J61" s="869">
        <f t="shared" si="15"/>
        <v>167211465</v>
      </c>
      <c r="K61" s="870"/>
      <c r="L61" s="1108"/>
      <c r="M61" s="1105"/>
      <c r="N61" s="1108">
        <f t="shared" si="16"/>
        <v>120392254.8</v>
      </c>
      <c r="O61" s="1108"/>
      <c r="P61" s="1108">
        <f t="shared" si="17"/>
        <v>23409605.100000001</v>
      </c>
      <c r="Q61" s="1108">
        <f t="shared" si="18"/>
        <v>23409605.100000001</v>
      </c>
      <c r="R61" s="1108"/>
      <c r="S61" s="1108">
        <f t="shared" si="12"/>
        <v>167211465</v>
      </c>
      <c r="T61" s="1108">
        <f t="shared" si="13"/>
        <v>0</v>
      </c>
    </row>
    <row r="62" spans="1:20" s="126" customFormat="1" ht="24" customHeight="1">
      <c r="A62" s="862" t="s">
        <v>4042</v>
      </c>
      <c r="B62" s="863" t="s">
        <v>4039</v>
      </c>
      <c r="C62" s="895" t="s">
        <v>3958</v>
      </c>
      <c r="D62" s="867" t="s">
        <v>4080</v>
      </c>
      <c r="E62" s="896">
        <v>46093</v>
      </c>
      <c r="F62" s="867">
        <v>46093</v>
      </c>
      <c r="G62" s="868">
        <f>VLOOKUP(F62,환율!A:B,2,0)</f>
        <v>1467.3</v>
      </c>
      <c r="H62" s="1132">
        <v>63752.86</v>
      </c>
      <c r="I62" s="1133">
        <f t="shared" si="6"/>
        <v>93544571</v>
      </c>
      <c r="J62" s="869">
        <f t="shared" si="15"/>
        <v>93544571</v>
      </c>
      <c r="K62" s="870"/>
      <c r="L62" s="1108"/>
      <c r="M62" s="1105"/>
      <c r="N62" s="1108">
        <f t="shared" si="16"/>
        <v>67352091.120000005</v>
      </c>
      <c r="O62" s="1108"/>
      <c r="P62" s="1108">
        <f t="shared" si="17"/>
        <v>13096239.940000001</v>
      </c>
      <c r="Q62" s="1108">
        <f t="shared" si="18"/>
        <v>13096239.940000001</v>
      </c>
      <c r="R62" s="1108"/>
      <c r="S62" s="1108">
        <f t="shared" si="12"/>
        <v>93544571</v>
      </c>
      <c r="T62" s="1108">
        <f t="shared" si="13"/>
        <v>0</v>
      </c>
    </row>
    <row r="63" spans="1:20" s="126" customFormat="1" ht="24" customHeight="1">
      <c r="A63" s="862" t="s">
        <v>4042</v>
      </c>
      <c r="B63" s="863" t="s">
        <v>4039</v>
      </c>
      <c r="C63" s="895" t="s">
        <v>3966</v>
      </c>
      <c r="D63" s="867" t="s">
        <v>4081</v>
      </c>
      <c r="E63" s="896">
        <v>46093</v>
      </c>
      <c r="F63" s="867">
        <v>46093</v>
      </c>
      <c r="G63" s="868">
        <f>VLOOKUP(F63,환율!A:B,2,0)</f>
        <v>1467.3</v>
      </c>
      <c r="H63" s="1132">
        <v>2440</v>
      </c>
      <c r="I63" s="1133">
        <f t="shared" si="6"/>
        <v>3580212</v>
      </c>
      <c r="J63" s="869">
        <f t="shared" si="15"/>
        <v>3580212</v>
      </c>
      <c r="K63" s="870"/>
      <c r="L63" s="1108"/>
      <c r="M63" s="1105"/>
      <c r="N63" s="1108">
        <f t="shared" si="16"/>
        <v>2577752.64</v>
      </c>
      <c r="O63" s="1108"/>
      <c r="P63" s="1108">
        <f t="shared" si="17"/>
        <v>501229.68000000005</v>
      </c>
      <c r="Q63" s="1108">
        <f t="shared" si="18"/>
        <v>501229.68000000005</v>
      </c>
      <c r="R63" s="1108"/>
      <c r="S63" s="1108">
        <f t="shared" si="12"/>
        <v>3580212.0000000005</v>
      </c>
      <c r="T63" s="1108">
        <f t="shared" si="13"/>
        <v>0</v>
      </c>
    </row>
    <row r="64" spans="1:20" s="128" customFormat="1" ht="24" customHeight="1">
      <c r="A64" s="862" t="s">
        <v>4042</v>
      </c>
      <c r="B64" s="863" t="s">
        <v>4039</v>
      </c>
      <c r="C64" s="895" t="s">
        <v>4082</v>
      </c>
      <c r="D64" s="865" t="s">
        <v>4240</v>
      </c>
      <c r="E64" s="866">
        <v>46085</v>
      </c>
      <c r="F64" s="865">
        <v>46085</v>
      </c>
      <c r="G64" s="868">
        <f>VLOOKUP(F64,환율!A:B,2,0)</f>
        <v>1464.5</v>
      </c>
      <c r="H64" s="1248">
        <v>1340.64</v>
      </c>
      <c r="I64" s="869">
        <f t="shared" si="6"/>
        <v>1963367</v>
      </c>
      <c r="J64" s="869">
        <f t="shared" si="15"/>
        <v>1963367</v>
      </c>
      <c r="K64" s="870"/>
      <c r="L64" s="1110"/>
      <c r="M64" s="1107"/>
      <c r="N64" s="1110">
        <f t="shared" si="16"/>
        <v>1413624.24</v>
      </c>
      <c r="O64" s="1110"/>
      <c r="P64" s="1110">
        <f t="shared" si="17"/>
        <v>274871.38</v>
      </c>
      <c r="Q64" s="1110">
        <f t="shared" si="18"/>
        <v>274871.38</v>
      </c>
      <c r="R64" s="1110"/>
      <c r="S64" s="1110">
        <f t="shared" si="12"/>
        <v>1963367</v>
      </c>
      <c r="T64" s="1110">
        <f t="shared" si="13"/>
        <v>0</v>
      </c>
    </row>
    <row r="65" spans="1:20" s="126" customFormat="1" ht="24" customHeight="1">
      <c r="A65" s="862" t="s">
        <v>4042</v>
      </c>
      <c r="B65" s="863" t="s">
        <v>4039</v>
      </c>
      <c r="C65" s="895" t="s">
        <v>3970</v>
      </c>
      <c r="D65" s="867" t="s">
        <v>4083</v>
      </c>
      <c r="E65" s="896">
        <v>46090</v>
      </c>
      <c r="F65" s="867">
        <v>46090</v>
      </c>
      <c r="G65" s="868">
        <f>VLOOKUP(F65,환율!A:B,2,0)</f>
        <v>1474.5</v>
      </c>
      <c r="H65" s="1132">
        <v>7038.36</v>
      </c>
      <c r="I65" s="1133">
        <f t="shared" si="6"/>
        <v>10378061</v>
      </c>
      <c r="J65" s="869">
        <f t="shared" si="15"/>
        <v>10378061</v>
      </c>
      <c r="K65" s="870"/>
      <c r="L65" s="1108"/>
      <c r="M65" s="1105"/>
      <c r="N65" s="1108">
        <f t="shared" si="16"/>
        <v>7472203.9199999999</v>
      </c>
      <c r="O65" s="1108"/>
      <c r="P65" s="1108">
        <f t="shared" si="17"/>
        <v>1452928.54</v>
      </c>
      <c r="Q65" s="1108">
        <f t="shared" si="18"/>
        <v>1452928.54</v>
      </c>
      <c r="R65" s="1108"/>
      <c r="S65" s="1108">
        <f t="shared" si="12"/>
        <v>10378061</v>
      </c>
      <c r="T65" s="1108">
        <f t="shared" si="13"/>
        <v>0</v>
      </c>
    </row>
    <row r="66" spans="1:20" s="126" customFormat="1" ht="24" customHeight="1">
      <c r="A66" s="825" t="s">
        <v>4042</v>
      </c>
      <c r="B66" s="826" t="s">
        <v>4039</v>
      </c>
      <c r="C66" s="827" t="s">
        <v>4130</v>
      </c>
      <c r="D66" s="828" t="s">
        <v>4142</v>
      </c>
      <c r="E66" s="829">
        <v>46092</v>
      </c>
      <c r="F66" s="910">
        <v>46092</v>
      </c>
      <c r="G66" s="873">
        <f>VLOOKUP(F66,환율!A:B,2,0)</f>
        <v>1472.8</v>
      </c>
      <c r="H66" s="1136">
        <v>107468.08</v>
      </c>
      <c r="I66" s="1123">
        <f t="shared" si="6"/>
        <v>158278988</v>
      </c>
      <c r="J66" s="832">
        <f t="shared" si="15"/>
        <v>158278988</v>
      </c>
      <c r="K66" s="874"/>
      <c r="L66" s="1108"/>
      <c r="M66" s="1105"/>
      <c r="N66" s="1108">
        <f t="shared" si="16"/>
        <v>113960871.36</v>
      </c>
      <c r="O66" s="1108"/>
      <c r="P66" s="1108">
        <f t="shared" si="17"/>
        <v>22159058.32</v>
      </c>
      <c r="Q66" s="1108">
        <f t="shared" si="18"/>
        <v>22159058.32</v>
      </c>
      <c r="R66" s="1108"/>
      <c r="S66" s="1108">
        <f t="shared" si="12"/>
        <v>158278988</v>
      </c>
      <c r="T66" s="1108">
        <f t="shared" si="13"/>
        <v>0</v>
      </c>
    </row>
    <row r="67" spans="1:20" s="126" customFormat="1" ht="24" customHeight="1">
      <c r="A67" s="825" t="s">
        <v>4042</v>
      </c>
      <c r="B67" s="826" t="s">
        <v>4039</v>
      </c>
      <c r="C67" s="827" t="s">
        <v>4131</v>
      </c>
      <c r="D67" s="828" t="s">
        <v>4143</v>
      </c>
      <c r="E67" s="829">
        <v>46092</v>
      </c>
      <c r="F67" s="910">
        <v>46092</v>
      </c>
      <c r="G67" s="873">
        <f>VLOOKUP(F67,환율!A:B,2,0)</f>
        <v>1472.8</v>
      </c>
      <c r="H67" s="1136">
        <v>92123.22</v>
      </c>
      <c r="I67" s="1123">
        <f t="shared" si="6"/>
        <v>135679078</v>
      </c>
      <c r="J67" s="832">
        <f t="shared" si="15"/>
        <v>135679078</v>
      </c>
      <c r="K67" s="874"/>
      <c r="L67" s="1108"/>
      <c r="M67" s="1105"/>
      <c r="N67" s="1108">
        <f t="shared" si="16"/>
        <v>97688936.159999996</v>
      </c>
      <c r="O67" s="1108"/>
      <c r="P67" s="1108">
        <f t="shared" si="17"/>
        <v>18995070.920000002</v>
      </c>
      <c r="Q67" s="1108">
        <f t="shared" si="18"/>
        <v>18995070.920000002</v>
      </c>
      <c r="R67" s="1108"/>
      <c r="S67" s="1108">
        <f t="shared" si="12"/>
        <v>135679078</v>
      </c>
      <c r="T67" s="1108">
        <f t="shared" si="13"/>
        <v>0</v>
      </c>
    </row>
    <row r="68" spans="1:20" s="126" customFormat="1" ht="24" customHeight="1">
      <c r="A68" s="1270" t="s">
        <v>4042</v>
      </c>
      <c r="B68" s="1271" t="s">
        <v>4039</v>
      </c>
      <c r="C68" s="1272" t="s">
        <v>4132</v>
      </c>
      <c r="D68" s="828" t="s">
        <v>4144</v>
      </c>
      <c r="E68" s="829">
        <v>46093</v>
      </c>
      <c r="F68" s="910">
        <v>46092</v>
      </c>
      <c r="G68" s="1273">
        <f>VLOOKUP(F68,환율!A:B,2,0)</f>
        <v>1472.8</v>
      </c>
      <c r="H68" s="1136">
        <v>48</v>
      </c>
      <c r="I68" s="1123">
        <f t="shared" si="6"/>
        <v>70694</v>
      </c>
      <c r="J68" s="1123">
        <f t="shared" si="15"/>
        <v>70694</v>
      </c>
      <c r="K68" s="1274"/>
      <c r="L68" s="1108"/>
      <c r="M68" s="1105"/>
      <c r="N68" s="1108">
        <f t="shared" si="16"/>
        <v>50899.68</v>
      </c>
      <c r="O68" s="1108"/>
      <c r="P68" s="1108">
        <f t="shared" si="17"/>
        <v>9897.1600000000017</v>
      </c>
      <c r="Q68" s="1108">
        <f t="shared" si="18"/>
        <v>9897.1600000000017</v>
      </c>
      <c r="R68" s="1108"/>
      <c r="S68" s="1108">
        <f t="shared" si="12"/>
        <v>70694</v>
      </c>
      <c r="T68" s="1108">
        <f t="shared" si="13"/>
        <v>0</v>
      </c>
    </row>
    <row r="69" spans="1:20" s="126" customFormat="1" ht="24" customHeight="1">
      <c r="A69" s="825" t="s">
        <v>4042</v>
      </c>
      <c r="B69" s="826" t="s">
        <v>4039</v>
      </c>
      <c r="C69" s="827" t="s">
        <v>4133</v>
      </c>
      <c r="D69" s="828" t="s">
        <v>4145</v>
      </c>
      <c r="E69" s="829">
        <v>46099</v>
      </c>
      <c r="F69" s="910">
        <v>46099</v>
      </c>
      <c r="G69" s="873">
        <f>VLOOKUP(F69,환율!A:B,2,0)</f>
        <v>1491.6</v>
      </c>
      <c r="H69" s="1136">
        <v>819.88</v>
      </c>
      <c r="I69" s="1123">
        <f t="shared" si="6"/>
        <v>1222933</v>
      </c>
      <c r="J69" s="832">
        <f t="shared" si="15"/>
        <v>1222933</v>
      </c>
      <c r="K69" s="874"/>
      <c r="L69" s="1108"/>
      <c r="M69" s="1105"/>
      <c r="N69" s="1108">
        <f t="shared" si="16"/>
        <v>880511.76</v>
      </c>
      <c r="O69" s="1108"/>
      <c r="P69" s="1108">
        <f t="shared" si="17"/>
        <v>171210.62000000002</v>
      </c>
      <c r="Q69" s="1108">
        <f t="shared" si="18"/>
        <v>171210.62000000002</v>
      </c>
      <c r="R69" s="1108"/>
      <c r="S69" s="1108">
        <f t="shared" si="12"/>
        <v>1222933.0000000002</v>
      </c>
      <c r="T69" s="1108">
        <f t="shared" si="13"/>
        <v>0</v>
      </c>
    </row>
    <row r="70" spans="1:20" s="126" customFormat="1" ht="24" customHeight="1">
      <c r="A70" s="1020" t="s">
        <v>4042</v>
      </c>
      <c r="B70" s="1021" t="s">
        <v>4039</v>
      </c>
      <c r="C70" s="925" t="s">
        <v>4134</v>
      </c>
      <c r="D70" s="910" t="s">
        <v>4146</v>
      </c>
      <c r="E70" s="1022">
        <v>46099</v>
      </c>
      <c r="F70" s="910">
        <v>46099</v>
      </c>
      <c r="G70" s="913">
        <f>VLOOKUP(F70,환율!A:B,2,0)</f>
        <v>1491.6</v>
      </c>
      <c r="H70" s="1134">
        <v>14822.1</v>
      </c>
      <c r="I70" s="1135">
        <f t="shared" si="6"/>
        <v>22108644</v>
      </c>
      <c r="J70" s="832">
        <f t="shared" si="15"/>
        <v>22108644</v>
      </c>
      <c r="K70" s="927"/>
      <c r="L70" s="1108"/>
      <c r="M70" s="1105"/>
      <c r="N70" s="1108">
        <f t="shared" si="16"/>
        <v>15918223.68</v>
      </c>
      <c r="O70" s="1108"/>
      <c r="P70" s="1108">
        <f t="shared" si="17"/>
        <v>3095210.16</v>
      </c>
      <c r="Q70" s="1108">
        <f t="shared" si="18"/>
        <v>3095210.16</v>
      </c>
      <c r="R70" s="1108"/>
      <c r="S70" s="1108">
        <f t="shared" si="12"/>
        <v>22108644</v>
      </c>
      <c r="T70" s="1108">
        <f t="shared" si="13"/>
        <v>0</v>
      </c>
    </row>
    <row r="71" spans="1:20" s="126" customFormat="1" ht="24" customHeight="1">
      <c r="A71" s="1020" t="s">
        <v>4042</v>
      </c>
      <c r="B71" s="1021" t="s">
        <v>4039</v>
      </c>
      <c r="C71" s="925" t="s">
        <v>4135</v>
      </c>
      <c r="D71" s="910" t="s">
        <v>4147</v>
      </c>
      <c r="E71" s="1022">
        <v>46104</v>
      </c>
      <c r="F71" s="910">
        <v>46104</v>
      </c>
      <c r="G71" s="913">
        <f>VLOOKUP(F71,환율!A:B,2,0)</f>
        <v>1494.9</v>
      </c>
      <c r="H71" s="1134">
        <v>7320</v>
      </c>
      <c r="I71" s="1135">
        <f t="shared" si="6"/>
        <v>10942668</v>
      </c>
      <c r="J71" s="832">
        <f t="shared" si="15"/>
        <v>10942668</v>
      </c>
      <c r="K71" s="927"/>
      <c r="L71" s="1108"/>
      <c r="M71" s="1105"/>
      <c r="N71" s="1108">
        <f t="shared" si="16"/>
        <v>7878720.96</v>
      </c>
      <c r="O71" s="1108"/>
      <c r="P71" s="1108">
        <f t="shared" si="17"/>
        <v>1531973.5200000003</v>
      </c>
      <c r="Q71" s="1108">
        <f t="shared" si="18"/>
        <v>1531973.5200000003</v>
      </c>
      <c r="R71" s="1108"/>
      <c r="S71" s="1108">
        <f t="shared" si="12"/>
        <v>10942668</v>
      </c>
      <c r="T71" s="1108">
        <f t="shared" si="13"/>
        <v>0</v>
      </c>
    </row>
    <row r="72" spans="1:20" s="126" customFormat="1" ht="24" customHeight="1">
      <c r="A72" s="1020" t="s">
        <v>4042</v>
      </c>
      <c r="B72" s="1021" t="s">
        <v>4039</v>
      </c>
      <c r="C72" s="925" t="s">
        <v>4136</v>
      </c>
      <c r="D72" s="925" t="s">
        <v>4148</v>
      </c>
      <c r="E72" s="911">
        <v>46102</v>
      </c>
      <c r="F72" s="910">
        <v>46102</v>
      </c>
      <c r="G72" s="913">
        <f>VLOOKUP(F72,환율!A:B,2,0)</f>
        <v>1499.7</v>
      </c>
      <c r="H72" s="1134">
        <v>119836.92</v>
      </c>
      <c r="I72" s="1135">
        <f t="shared" si="6"/>
        <v>179719428</v>
      </c>
      <c r="J72" s="832">
        <f t="shared" si="15"/>
        <v>179719428</v>
      </c>
      <c r="K72" s="927"/>
      <c r="L72" s="1108"/>
      <c r="M72" s="1105"/>
      <c r="N72" s="1108">
        <f t="shared" si="16"/>
        <v>129397988.16</v>
      </c>
      <c r="O72" s="1108"/>
      <c r="P72" s="1108">
        <f t="shared" si="17"/>
        <v>25160719.920000002</v>
      </c>
      <c r="Q72" s="1108">
        <f t="shared" si="18"/>
        <v>25160719.920000002</v>
      </c>
      <c r="R72" s="1108"/>
      <c r="S72" s="1108">
        <f t="shared" si="12"/>
        <v>179719428</v>
      </c>
      <c r="T72" s="1108">
        <f t="shared" si="13"/>
        <v>0</v>
      </c>
    </row>
    <row r="73" spans="1:20" s="126" customFormat="1" ht="24" customHeight="1">
      <c r="A73" s="1020" t="s">
        <v>4042</v>
      </c>
      <c r="B73" s="1021" t="s">
        <v>4039</v>
      </c>
      <c r="C73" s="925" t="s">
        <v>4137</v>
      </c>
      <c r="D73" s="910" t="s">
        <v>4149</v>
      </c>
      <c r="E73" s="911">
        <v>46102</v>
      </c>
      <c r="F73" s="910">
        <v>46102</v>
      </c>
      <c r="G73" s="913">
        <f>VLOOKUP(F73,환율!A:B,2,0)</f>
        <v>1499.7</v>
      </c>
      <c r="H73" s="1134">
        <v>116641.96</v>
      </c>
      <c r="I73" s="1135">
        <f t="shared" si="6"/>
        <v>174927947</v>
      </c>
      <c r="J73" s="832">
        <f t="shared" si="15"/>
        <v>174927947</v>
      </c>
      <c r="K73" s="927"/>
      <c r="L73" s="1108"/>
      <c r="M73" s="1105"/>
      <c r="N73" s="1108">
        <f t="shared" si="16"/>
        <v>125948121.83999999</v>
      </c>
      <c r="O73" s="1108"/>
      <c r="P73" s="1108">
        <f t="shared" si="17"/>
        <v>24489912.580000002</v>
      </c>
      <c r="Q73" s="1108">
        <f t="shared" si="18"/>
        <v>24489912.580000002</v>
      </c>
      <c r="R73" s="1108"/>
      <c r="S73" s="1108">
        <f t="shared" si="12"/>
        <v>174927947</v>
      </c>
      <c r="T73" s="1108">
        <f t="shared" si="13"/>
        <v>0</v>
      </c>
    </row>
    <row r="74" spans="1:20" s="126" customFormat="1" ht="24" customHeight="1">
      <c r="A74" s="1020" t="s">
        <v>4042</v>
      </c>
      <c r="B74" s="1021" t="s">
        <v>4039</v>
      </c>
      <c r="C74" s="925" t="s">
        <v>4138</v>
      </c>
      <c r="D74" s="910" t="s">
        <v>4150</v>
      </c>
      <c r="E74" s="1022">
        <v>46107</v>
      </c>
      <c r="F74" s="912">
        <v>46107</v>
      </c>
      <c r="G74" s="913">
        <f>VLOOKUP(F74,환율!A:B,2,0)</f>
        <v>1495.6</v>
      </c>
      <c r="H74" s="1134">
        <v>4919.04</v>
      </c>
      <c r="I74" s="1135">
        <f t="shared" si="6"/>
        <v>7356916</v>
      </c>
      <c r="J74" s="832">
        <f t="shared" si="15"/>
        <v>7356916</v>
      </c>
      <c r="K74" s="927"/>
      <c r="L74" s="1108"/>
      <c r="M74" s="1105"/>
      <c r="N74" s="1108">
        <f t="shared" si="16"/>
        <v>5296979.5199999996</v>
      </c>
      <c r="O74" s="1108"/>
      <c r="P74" s="1108">
        <f t="shared" si="17"/>
        <v>1029968.2400000001</v>
      </c>
      <c r="Q74" s="1108">
        <f t="shared" si="18"/>
        <v>1029968.2400000001</v>
      </c>
      <c r="R74" s="1108"/>
      <c r="S74" s="1108">
        <f t="shared" si="12"/>
        <v>7356916</v>
      </c>
      <c r="T74" s="1108">
        <f t="shared" si="13"/>
        <v>0</v>
      </c>
    </row>
    <row r="75" spans="1:20" s="126" customFormat="1" ht="24" customHeight="1">
      <c r="A75" s="1020" t="s">
        <v>4042</v>
      </c>
      <c r="B75" s="1021" t="s">
        <v>4039</v>
      </c>
      <c r="C75" s="925" t="s">
        <v>4139</v>
      </c>
      <c r="D75" s="910" t="s">
        <v>4151</v>
      </c>
      <c r="E75" s="911">
        <v>46108</v>
      </c>
      <c r="F75" s="912">
        <v>46108</v>
      </c>
      <c r="G75" s="913">
        <f>VLOOKUP(F75,환율!A:B,2,0)</f>
        <v>1506.2</v>
      </c>
      <c r="H75" s="1134">
        <v>3057.96</v>
      </c>
      <c r="I75" s="1135">
        <f t="shared" si="6"/>
        <v>4605899</v>
      </c>
      <c r="J75" s="832">
        <f t="shared" si="15"/>
        <v>4605899</v>
      </c>
      <c r="K75" s="927"/>
      <c r="L75" s="1108"/>
      <c r="M75" s="1105"/>
      <c r="N75" s="1108">
        <f t="shared" si="16"/>
        <v>3316247.28</v>
      </c>
      <c r="O75" s="1108"/>
      <c r="P75" s="1108">
        <f t="shared" si="17"/>
        <v>644825.8600000001</v>
      </c>
      <c r="Q75" s="1108">
        <f t="shared" si="18"/>
        <v>644825.8600000001</v>
      </c>
      <c r="R75" s="1108"/>
      <c r="S75" s="1108">
        <f t="shared" si="12"/>
        <v>4605899</v>
      </c>
      <c r="T75" s="1108">
        <f t="shared" si="13"/>
        <v>0</v>
      </c>
    </row>
    <row r="76" spans="1:20" s="126" customFormat="1" ht="24" customHeight="1">
      <c r="A76" s="875" t="s">
        <v>4042</v>
      </c>
      <c r="B76" s="876" t="s">
        <v>4039</v>
      </c>
      <c r="C76" s="897" t="s">
        <v>4140</v>
      </c>
      <c r="D76" s="880" t="s">
        <v>4152</v>
      </c>
      <c r="E76" s="898" t="s">
        <v>4011</v>
      </c>
      <c r="F76" s="880">
        <v>46117</v>
      </c>
      <c r="G76" s="881">
        <f>VLOOKUP(F76,환율!A:B,2,0)</f>
        <v>1518.8</v>
      </c>
      <c r="H76" s="1137">
        <v>130569.04</v>
      </c>
      <c r="I76" s="1138">
        <f t="shared" si="6"/>
        <v>198308257</v>
      </c>
      <c r="J76" s="882"/>
      <c r="K76" s="883">
        <f>I76</f>
        <v>198308257</v>
      </c>
      <c r="L76" s="1108"/>
      <c r="M76" s="1105"/>
      <c r="N76" s="1108"/>
      <c r="O76" s="1108"/>
      <c r="P76" s="1108"/>
      <c r="Q76" s="1108"/>
      <c r="R76" s="1108"/>
      <c r="S76" s="1108">
        <f t="shared" si="12"/>
        <v>0</v>
      </c>
      <c r="T76" s="1108">
        <f t="shared" si="13"/>
        <v>0</v>
      </c>
    </row>
    <row r="77" spans="1:20" s="126" customFormat="1" ht="24" customHeight="1">
      <c r="A77" s="875" t="s">
        <v>4042</v>
      </c>
      <c r="B77" s="876" t="s">
        <v>4039</v>
      </c>
      <c r="C77" s="897" t="s">
        <v>4141</v>
      </c>
      <c r="D77" s="880" t="s">
        <v>4153</v>
      </c>
      <c r="E77" s="898" t="s">
        <v>4011</v>
      </c>
      <c r="F77" s="880">
        <v>46117</v>
      </c>
      <c r="G77" s="881">
        <f>VLOOKUP(F77,환율!A:B,2,0)</f>
        <v>1518.8</v>
      </c>
      <c r="H77" s="1137">
        <v>97854.720000000001</v>
      </c>
      <c r="I77" s="1138">
        <f t="shared" si="6"/>
        <v>148621748</v>
      </c>
      <c r="J77" s="882"/>
      <c r="K77" s="883">
        <f>I77</f>
        <v>148621748</v>
      </c>
      <c r="L77" s="1108"/>
      <c r="M77" s="1105"/>
      <c r="N77" s="1108"/>
      <c r="O77" s="1108"/>
      <c r="P77" s="1108"/>
      <c r="Q77" s="1108"/>
      <c r="R77" s="1108"/>
      <c r="S77" s="1108">
        <f t="shared" si="12"/>
        <v>0</v>
      </c>
      <c r="T77" s="1108">
        <f t="shared" si="13"/>
        <v>0</v>
      </c>
    </row>
    <row r="78" spans="1:20" s="126" customFormat="1" ht="24" customHeight="1">
      <c r="A78" s="875" t="s">
        <v>4042</v>
      </c>
      <c r="B78" s="876" t="s">
        <v>4039</v>
      </c>
      <c r="C78" s="897" t="s">
        <v>4185</v>
      </c>
      <c r="D78" s="880" t="s">
        <v>4186</v>
      </c>
      <c r="E78" s="879">
        <v>46114</v>
      </c>
      <c r="F78" s="880">
        <v>46114</v>
      </c>
      <c r="G78" s="881">
        <f>VLOOKUP(F78,환율!A:B,2,0)</f>
        <v>1507.8</v>
      </c>
      <c r="H78" s="1137">
        <v>17853.3</v>
      </c>
      <c r="I78" s="1138">
        <f t="shared" si="6"/>
        <v>26919205</v>
      </c>
      <c r="J78" s="882"/>
      <c r="K78" s="883">
        <f t="shared" ref="K78:K83" si="19">I78</f>
        <v>26919205</v>
      </c>
      <c r="L78" s="1108"/>
      <c r="M78" s="1105"/>
      <c r="N78" s="1108"/>
      <c r="O78" s="1108"/>
      <c r="P78" s="1108"/>
      <c r="Q78" s="1108"/>
      <c r="R78" s="1108"/>
      <c r="S78" s="1108">
        <f t="shared" si="12"/>
        <v>0</v>
      </c>
      <c r="T78" s="1108">
        <f t="shared" si="13"/>
        <v>0</v>
      </c>
    </row>
    <row r="79" spans="1:20" s="126" customFormat="1" ht="24" customHeight="1">
      <c r="A79" s="875" t="s">
        <v>4042</v>
      </c>
      <c r="B79" s="876" t="s">
        <v>4039</v>
      </c>
      <c r="C79" s="897" t="s">
        <v>4187</v>
      </c>
      <c r="D79" s="880" t="s">
        <v>4188</v>
      </c>
      <c r="E79" s="898" t="s">
        <v>4011</v>
      </c>
      <c r="F79" s="880">
        <v>46113</v>
      </c>
      <c r="G79" s="881">
        <f>VLOOKUP(F79,환율!A:B,2,0)</f>
        <v>1530.5</v>
      </c>
      <c r="H79" s="1137">
        <v>82564.92</v>
      </c>
      <c r="I79" s="1138">
        <f t="shared" si="6"/>
        <v>126365610</v>
      </c>
      <c r="J79" s="882"/>
      <c r="K79" s="883">
        <f t="shared" si="19"/>
        <v>126365610</v>
      </c>
      <c r="L79" s="1108"/>
      <c r="M79" s="1105"/>
      <c r="N79" s="1108"/>
      <c r="O79" s="1108"/>
      <c r="P79" s="1108"/>
      <c r="Q79" s="1108"/>
      <c r="R79" s="1108"/>
      <c r="S79" s="1108">
        <f t="shared" si="12"/>
        <v>0</v>
      </c>
      <c r="T79" s="1108">
        <f t="shared" si="13"/>
        <v>0</v>
      </c>
    </row>
    <row r="80" spans="1:20" s="126" customFormat="1" ht="24" customHeight="1">
      <c r="A80" s="875" t="s">
        <v>4042</v>
      </c>
      <c r="B80" s="876" t="s">
        <v>4039</v>
      </c>
      <c r="C80" s="897" t="s">
        <v>4189</v>
      </c>
      <c r="D80" s="880" t="s">
        <v>4190</v>
      </c>
      <c r="E80" s="898" t="s">
        <v>4011</v>
      </c>
      <c r="F80" s="880">
        <v>46113</v>
      </c>
      <c r="G80" s="881">
        <f>VLOOKUP(F80,환율!A:B,2,0)</f>
        <v>1530.5</v>
      </c>
      <c r="H80" s="1137">
        <v>144769.1</v>
      </c>
      <c r="I80" s="1138">
        <f t="shared" si="6"/>
        <v>221569107</v>
      </c>
      <c r="J80" s="882"/>
      <c r="K80" s="883">
        <f t="shared" si="19"/>
        <v>221569107</v>
      </c>
      <c r="L80" s="1108"/>
      <c r="M80" s="1105"/>
      <c r="N80" s="1108"/>
      <c r="O80" s="1108"/>
      <c r="P80" s="1108"/>
      <c r="Q80" s="1108"/>
      <c r="R80" s="1108"/>
      <c r="S80" s="1108">
        <f t="shared" si="12"/>
        <v>0</v>
      </c>
      <c r="T80" s="1108">
        <f t="shared" si="13"/>
        <v>0</v>
      </c>
    </row>
    <row r="81" spans="1:20" s="126" customFormat="1" ht="24" customHeight="1">
      <c r="A81" s="875" t="s">
        <v>4042</v>
      </c>
      <c r="B81" s="876" t="s">
        <v>4039</v>
      </c>
      <c r="C81" s="897" t="s">
        <v>4191</v>
      </c>
      <c r="D81" s="880" t="s">
        <v>4192</v>
      </c>
      <c r="E81" s="898">
        <v>46114</v>
      </c>
      <c r="F81" s="880">
        <v>46114</v>
      </c>
      <c r="G81" s="881">
        <f>VLOOKUP(F81,환율!A:B,2,0)</f>
        <v>1507.8</v>
      </c>
      <c r="H81" s="1137">
        <v>13482.24</v>
      </c>
      <c r="I81" s="1138">
        <f t="shared" si="6"/>
        <v>20328521</v>
      </c>
      <c r="J81" s="882"/>
      <c r="K81" s="883">
        <f t="shared" si="19"/>
        <v>20328521</v>
      </c>
      <c r="L81" s="1108"/>
      <c r="M81" s="1105"/>
      <c r="N81" s="1108"/>
      <c r="O81" s="1108"/>
      <c r="P81" s="1108"/>
      <c r="Q81" s="1108"/>
      <c r="R81" s="1108"/>
      <c r="S81" s="1108">
        <f t="shared" si="12"/>
        <v>0</v>
      </c>
      <c r="T81" s="1108">
        <f t="shared" si="13"/>
        <v>0</v>
      </c>
    </row>
    <row r="82" spans="1:20" s="126" customFormat="1" ht="24" customHeight="1">
      <c r="A82" s="875" t="s">
        <v>4042</v>
      </c>
      <c r="B82" s="876" t="s">
        <v>4039</v>
      </c>
      <c r="C82" s="897" t="s">
        <v>4193</v>
      </c>
      <c r="D82" s="880" t="s">
        <v>4194</v>
      </c>
      <c r="E82" s="898" t="s">
        <v>4011</v>
      </c>
      <c r="F82" s="880">
        <v>46113</v>
      </c>
      <c r="G82" s="881">
        <f>VLOOKUP(F82,환율!A:B,2,0)</f>
        <v>1530.5</v>
      </c>
      <c r="H82" s="1137">
        <v>13482.24</v>
      </c>
      <c r="I82" s="1138">
        <f t="shared" si="6"/>
        <v>20634568</v>
      </c>
      <c r="J82" s="882"/>
      <c r="K82" s="883">
        <f>I82</f>
        <v>20634568</v>
      </c>
      <c r="L82" s="1108"/>
      <c r="M82" s="1105"/>
      <c r="N82" s="1108"/>
      <c r="O82" s="1108"/>
      <c r="P82" s="1108"/>
      <c r="Q82" s="1108"/>
      <c r="R82" s="1108"/>
      <c r="S82" s="1108">
        <f t="shared" si="12"/>
        <v>0</v>
      </c>
      <c r="T82" s="1108">
        <f t="shared" si="13"/>
        <v>0</v>
      </c>
    </row>
    <row r="83" spans="1:20" s="126" customFormat="1" ht="24" customHeight="1" thickBot="1">
      <c r="A83" s="884" t="s">
        <v>4043</v>
      </c>
      <c r="B83" s="885" t="s">
        <v>4039</v>
      </c>
      <c r="C83" s="899" t="s">
        <v>4195</v>
      </c>
      <c r="D83" s="889" t="s">
        <v>4196</v>
      </c>
      <c r="E83" s="900" t="s">
        <v>4011</v>
      </c>
      <c r="F83" s="880">
        <v>46113</v>
      </c>
      <c r="G83" s="890">
        <f>VLOOKUP(F83,환율!A:B,2,0)</f>
        <v>1530.5</v>
      </c>
      <c r="H83" s="1139">
        <v>40162.44</v>
      </c>
      <c r="I83" s="1140">
        <f>ROUNDDOWN(H83*G83,0)</f>
        <v>61468614</v>
      </c>
      <c r="J83" s="891"/>
      <c r="K83" s="892">
        <f t="shared" si="19"/>
        <v>61468614</v>
      </c>
      <c r="L83" s="1108"/>
      <c r="M83" s="1105"/>
      <c r="N83" s="1108"/>
      <c r="O83" s="1108"/>
      <c r="P83" s="1108"/>
      <c r="Q83" s="1108"/>
      <c r="R83" s="1108"/>
      <c r="S83" s="1108">
        <f t="shared" si="12"/>
        <v>0</v>
      </c>
      <c r="T83" s="1108">
        <f t="shared" si="13"/>
        <v>0</v>
      </c>
    </row>
    <row r="84" spans="1:20" s="97" customFormat="1" ht="24" customHeight="1">
      <c r="A84" s="1222" t="s">
        <v>4041</v>
      </c>
      <c r="B84" s="1223" t="s">
        <v>478</v>
      </c>
      <c r="C84" s="1224" t="s">
        <v>4084</v>
      </c>
      <c r="D84" s="1224" t="s">
        <v>4021</v>
      </c>
      <c r="E84" s="894">
        <v>46085</v>
      </c>
      <c r="F84" s="821">
        <v>46085</v>
      </c>
      <c r="G84" s="1225">
        <f>VLOOKUP(F84,환율!A:B,2,0)</f>
        <v>1464.5</v>
      </c>
      <c r="H84" s="1141">
        <v>123531.52</v>
      </c>
      <c r="I84" s="1142">
        <f t="shared" ref="I84:I86" si="20">ROUNDDOWN(H84*G84,0)</f>
        <v>180911911</v>
      </c>
      <c r="J84" s="1142">
        <f>I84</f>
        <v>180911911</v>
      </c>
      <c r="K84" s="1226"/>
      <c r="L84" s="1108"/>
      <c r="M84" s="1105"/>
      <c r="N84" s="1108">
        <f t="shared" ref="N84:N86" si="21">J84*0.72</f>
        <v>130256575.92</v>
      </c>
      <c r="O84" s="1108"/>
      <c r="P84" s="1108">
        <f t="shared" ref="P84:P86" si="22">J84*0.14</f>
        <v>25327667.540000003</v>
      </c>
      <c r="Q84" s="1108">
        <f t="shared" ref="Q84:Q86" si="23">J84*0.14</f>
        <v>25327667.540000003</v>
      </c>
      <c r="R84" s="1108"/>
      <c r="S84" s="1108">
        <f t="shared" si="12"/>
        <v>180911911</v>
      </c>
      <c r="T84" s="1108">
        <f t="shared" si="13"/>
        <v>0</v>
      </c>
    </row>
    <row r="85" spans="1:20" s="718" customFormat="1" ht="24" customHeight="1">
      <c r="A85" s="1020" t="s">
        <v>4040</v>
      </c>
      <c r="B85" s="1021" t="s">
        <v>4228</v>
      </c>
      <c r="C85" s="1050" t="s">
        <v>4154</v>
      </c>
      <c r="D85" s="1050" t="s">
        <v>4155</v>
      </c>
      <c r="E85" s="1051">
        <v>46087</v>
      </c>
      <c r="F85" s="1199">
        <v>46087</v>
      </c>
      <c r="G85" s="913">
        <f>VLOOKUP(F85,환율!A:B,2,0)</f>
        <v>1464.3</v>
      </c>
      <c r="H85" s="1143">
        <v>4067.28</v>
      </c>
      <c r="I85" s="1135">
        <f t="shared" si="20"/>
        <v>5955718</v>
      </c>
      <c r="J85" s="926">
        <f t="shared" ref="J85:J86" si="24">I85</f>
        <v>5955718</v>
      </c>
      <c r="K85" s="1052"/>
      <c r="L85" s="1108"/>
      <c r="M85" s="1105"/>
      <c r="N85" s="1108">
        <f t="shared" si="21"/>
        <v>4288116.96</v>
      </c>
      <c r="O85" s="1108"/>
      <c r="P85" s="1108">
        <f t="shared" si="22"/>
        <v>833800.52000000014</v>
      </c>
      <c r="Q85" s="1108">
        <f t="shared" si="23"/>
        <v>833800.52000000014</v>
      </c>
      <c r="R85" s="1108"/>
      <c r="S85" s="1108">
        <f t="shared" si="12"/>
        <v>5955718.0000000009</v>
      </c>
      <c r="T85" s="1108">
        <f t="shared" si="13"/>
        <v>0</v>
      </c>
    </row>
    <row r="86" spans="1:20" s="718" customFormat="1" ht="24" customHeight="1">
      <c r="A86" s="1020" t="s">
        <v>4040</v>
      </c>
      <c r="B86" s="1021" t="s">
        <v>4228</v>
      </c>
      <c r="C86" s="1050" t="s">
        <v>4156</v>
      </c>
      <c r="D86" s="1050" t="s">
        <v>4157</v>
      </c>
      <c r="E86" s="1051">
        <v>46090</v>
      </c>
      <c r="F86" s="1199">
        <v>46090</v>
      </c>
      <c r="G86" s="913">
        <f>VLOOKUP(F86,환율!A:B,2,0)</f>
        <v>1474.5</v>
      </c>
      <c r="H86" s="1143">
        <v>54590.76</v>
      </c>
      <c r="I86" s="1135">
        <f t="shared" si="20"/>
        <v>80494075</v>
      </c>
      <c r="J86" s="926">
        <f t="shared" si="24"/>
        <v>80494075</v>
      </c>
      <c r="K86" s="1052"/>
      <c r="L86" s="1108"/>
      <c r="M86" s="1105"/>
      <c r="N86" s="1108">
        <f t="shared" si="21"/>
        <v>57955734</v>
      </c>
      <c r="O86" s="1108"/>
      <c r="P86" s="1108">
        <f t="shared" si="22"/>
        <v>11269170.500000002</v>
      </c>
      <c r="Q86" s="1108">
        <f t="shared" si="23"/>
        <v>11269170.500000002</v>
      </c>
      <c r="R86" s="1108"/>
      <c r="S86" s="1108">
        <f t="shared" si="12"/>
        <v>80494075</v>
      </c>
      <c r="T86" s="1108">
        <f t="shared" si="13"/>
        <v>0</v>
      </c>
    </row>
    <row r="87" spans="1:20" s="718" customFormat="1" ht="24" customHeight="1" thickBot="1">
      <c r="A87" s="1177" t="s">
        <v>4040</v>
      </c>
      <c r="B87" s="1178" t="s">
        <v>4228</v>
      </c>
      <c r="C87" s="1179" t="s">
        <v>4158</v>
      </c>
      <c r="D87" s="1179" t="s">
        <v>4159</v>
      </c>
      <c r="E87" s="1180">
        <v>46101</v>
      </c>
      <c r="F87" s="1071">
        <v>46101</v>
      </c>
      <c r="G87" s="1181">
        <f>VLOOKUP(F87,환율!A:B,2,0)</f>
        <v>1499.7</v>
      </c>
      <c r="H87" s="1143">
        <v>109466.82</v>
      </c>
      <c r="I87" s="1135">
        <f t="shared" ref="I87" si="25">ROUNDDOWN(H87*G87,0)</f>
        <v>164167389</v>
      </c>
      <c r="J87" s="1135">
        <f t="shared" ref="J87" si="26">I87</f>
        <v>164167389</v>
      </c>
      <c r="K87" s="1182"/>
      <c r="L87" s="1108"/>
      <c r="M87" s="1105"/>
      <c r="N87" s="1108">
        <f t="shared" ref="N87" si="27">J87*0.72</f>
        <v>118200520.08</v>
      </c>
      <c r="O87" s="1108"/>
      <c r="P87" s="1108">
        <f>J87*0.14</f>
        <v>22983434.460000001</v>
      </c>
      <c r="Q87" s="1108">
        <f t="shared" ref="Q87" si="28">J87*0.14</f>
        <v>22983434.460000001</v>
      </c>
      <c r="R87" s="1108"/>
      <c r="S87" s="1108">
        <f t="shared" ref="S87" si="29">SUM(L87:R87)</f>
        <v>164167389</v>
      </c>
      <c r="T87" s="1108">
        <f t="shared" ref="T87" si="30">J87-S87</f>
        <v>0</v>
      </c>
    </row>
    <row r="88" spans="1:20" s="97" customFormat="1" ht="24" customHeight="1">
      <c r="A88" s="816" t="s">
        <v>4045</v>
      </c>
      <c r="B88" s="817" t="s">
        <v>478</v>
      </c>
      <c r="C88" s="893" t="s">
        <v>4085</v>
      </c>
      <c r="D88" s="821" t="s">
        <v>4086</v>
      </c>
      <c r="E88" s="894">
        <v>46082</v>
      </c>
      <c r="F88" s="819">
        <v>46082</v>
      </c>
      <c r="G88" s="861">
        <f>VLOOKUP(F88,환율!A:B,2,0)</f>
        <v>1424.5</v>
      </c>
      <c r="H88" s="1141"/>
      <c r="I88" s="1142">
        <v>6064021</v>
      </c>
      <c r="J88" s="823">
        <f>I88</f>
        <v>6064021</v>
      </c>
      <c r="K88" s="824"/>
      <c r="L88" s="1108">
        <f>J88*0.15</f>
        <v>909603.15</v>
      </c>
      <c r="M88" s="1108">
        <f>J88*0.27</f>
        <v>1637285.6700000002</v>
      </c>
      <c r="N88" s="1108"/>
      <c r="O88" s="1108"/>
      <c r="P88" s="1108"/>
      <c r="Q88" s="1108">
        <f>J88*0.04</f>
        <v>242560.84</v>
      </c>
      <c r="R88" s="1108">
        <f>J88*0.54</f>
        <v>3274571.3400000003</v>
      </c>
      <c r="S88" s="1108">
        <f t="shared" si="12"/>
        <v>6064021</v>
      </c>
      <c r="T88" s="1108">
        <f t="shared" si="13"/>
        <v>0</v>
      </c>
    </row>
    <row r="89" spans="1:20" s="97" customFormat="1" ht="24" customHeight="1">
      <c r="A89" s="862" t="s">
        <v>4044</v>
      </c>
      <c r="B89" s="863" t="s">
        <v>4039</v>
      </c>
      <c r="C89" s="895" t="s">
        <v>4246</v>
      </c>
      <c r="D89" s="867" t="s">
        <v>4087</v>
      </c>
      <c r="E89" s="896">
        <v>46089</v>
      </c>
      <c r="F89" s="865">
        <v>46089</v>
      </c>
      <c r="G89" s="868">
        <f>VLOOKUP(F89,환율!A:B,2,0)</f>
        <v>1464.3</v>
      </c>
      <c r="H89" s="1132"/>
      <c r="I89" s="1133">
        <v>93030844</v>
      </c>
      <c r="J89" s="869">
        <f>I89</f>
        <v>93030844</v>
      </c>
      <c r="K89" s="870"/>
      <c r="L89" s="1108">
        <f t="shared" ref="L89:L91" si="31">J89*0.15</f>
        <v>13954626.6</v>
      </c>
      <c r="M89" s="1108">
        <f t="shared" ref="M89:M91" si="32">J89*0.27</f>
        <v>25118327.880000003</v>
      </c>
      <c r="N89" s="1108"/>
      <c r="O89" s="1108"/>
      <c r="P89" s="1108"/>
      <c r="Q89" s="1108">
        <f t="shared" ref="Q89:Q91" si="33">J89*0.04</f>
        <v>3721233.7600000002</v>
      </c>
      <c r="R89" s="1108">
        <f t="shared" ref="R89:R91" si="34">J89*0.54</f>
        <v>50236655.760000005</v>
      </c>
      <c r="S89" s="1108">
        <f t="shared" si="12"/>
        <v>93030844</v>
      </c>
      <c r="T89" s="1108">
        <f t="shared" si="13"/>
        <v>0</v>
      </c>
    </row>
    <row r="90" spans="1:20" s="97" customFormat="1" ht="24" customHeight="1">
      <c r="A90" s="862" t="s">
        <v>4044</v>
      </c>
      <c r="B90" s="863" t="s">
        <v>4039</v>
      </c>
      <c r="C90" s="1023" t="s">
        <v>3975</v>
      </c>
      <c r="D90" s="1023" t="s">
        <v>4088</v>
      </c>
      <c r="E90" s="896">
        <v>46085</v>
      </c>
      <c r="F90" s="865">
        <v>46085</v>
      </c>
      <c r="G90" s="868">
        <f>VLOOKUP(F90,환율!A:B,2,0)</f>
        <v>1464.5</v>
      </c>
      <c r="H90" s="1132"/>
      <c r="I90" s="1133">
        <v>27059123</v>
      </c>
      <c r="J90" s="869">
        <f t="shared" ref="J90:J91" si="35">I90</f>
        <v>27059123</v>
      </c>
      <c r="K90" s="870"/>
      <c r="L90" s="1108">
        <f t="shared" si="31"/>
        <v>4058868.4499999997</v>
      </c>
      <c r="M90" s="1108">
        <f t="shared" si="32"/>
        <v>7305963.2100000009</v>
      </c>
      <c r="N90" s="1108"/>
      <c r="O90" s="1108"/>
      <c r="P90" s="1108"/>
      <c r="Q90" s="1108">
        <f t="shared" si="33"/>
        <v>1082364.92</v>
      </c>
      <c r="R90" s="1108">
        <f t="shared" si="34"/>
        <v>14611926.420000002</v>
      </c>
      <c r="S90" s="1108">
        <f t="shared" si="12"/>
        <v>27059123</v>
      </c>
      <c r="T90" s="1108">
        <f t="shared" si="13"/>
        <v>0</v>
      </c>
    </row>
    <row r="91" spans="1:20" s="97" customFormat="1" ht="24" customHeight="1">
      <c r="A91" s="862" t="s">
        <v>4044</v>
      </c>
      <c r="B91" s="863" t="s">
        <v>4039</v>
      </c>
      <c r="C91" s="1023" t="s">
        <v>3976</v>
      </c>
      <c r="D91" s="1023" t="s">
        <v>4089</v>
      </c>
      <c r="E91" s="866">
        <v>46088</v>
      </c>
      <c r="F91" s="865">
        <v>46088</v>
      </c>
      <c r="G91" s="868">
        <f>VLOOKUP(F91,환율!A:B,2,0)</f>
        <v>1464.3</v>
      </c>
      <c r="H91" s="1132"/>
      <c r="I91" s="1133">
        <v>32273329</v>
      </c>
      <c r="J91" s="869">
        <f t="shared" si="35"/>
        <v>32273329</v>
      </c>
      <c r="K91" s="870"/>
      <c r="L91" s="1108">
        <f t="shared" si="31"/>
        <v>4840999.3499999996</v>
      </c>
      <c r="M91" s="1108">
        <f t="shared" si="32"/>
        <v>8713798.8300000001</v>
      </c>
      <c r="N91" s="1108"/>
      <c r="O91" s="1108"/>
      <c r="P91" s="1108"/>
      <c r="Q91" s="1108">
        <f t="shared" si="33"/>
        <v>1290933.1599999999</v>
      </c>
      <c r="R91" s="1108">
        <f t="shared" si="34"/>
        <v>17427597.66</v>
      </c>
      <c r="S91" s="1108">
        <f t="shared" si="12"/>
        <v>32273329</v>
      </c>
      <c r="T91" s="1108">
        <f t="shared" si="13"/>
        <v>0</v>
      </c>
    </row>
    <row r="92" spans="1:20" s="97" customFormat="1" ht="24" customHeight="1">
      <c r="A92" s="1020" t="s">
        <v>4044</v>
      </c>
      <c r="B92" s="1021" t="s">
        <v>4039</v>
      </c>
      <c r="C92" s="934" t="s">
        <v>4160</v>
      </c>
      <c r="D92" s="934" t="s">
        <v>4161</v>
      </c>
      <c r="E92" s="911">
        <v>46109</v>
      </c>
      <c r="F92" s="912">
        <v>46109</v>
      </c>
      <c r="G92" s="913">
        <f>VLOOKUP(F92,환율!A:B,2,0)</f>
        <v>1506.2</v>
      </c>
      <c r="H92" s="1134"/>
      <c r="I92" s="1135">
        <v>24994132</v>
      </c>
      <c r="J92" s="926">
        <f>I92</f>
        <v>24994132</v>
      </c>
      <c r="K92" s="927"/>
      <c r="L92" s="1108">
        <f t="shared" ref="L92" si="36">J92*0.15</f>
        <v>3749119.8</v>
      </c>
      <c r="M92" s="1108">
        <f t="shared" ref="M92" si="37">J92*0.27</f>
        <v>6748415.6400000006</v>
      </c>
      <c r="N92" s="1108"/>
      <c r="O92" s="1108"/>
      <c r="P92" s="1108"/>
      <c r="Q92" s="1108">
        <f t="shared" ref="Q92" si="38">J92*0.04</f>
        <v>999765.28</v>
      </c>
      <c r="R92" s="1108">
        <f t="shared" ref="R92" si="39">J92*0.54</f>
        <v>13496831.280000001</v>
      </c>
      <c r="S92" s="1108">
        <f t="shared" si="12"/>
        <v>24994132</v>
      </c>
      <c r="T92" s="1108">
        <f t="shared" si="13"/>
        <v>0</v>
      </c>
    </row>
    <row r="93" spans="1:20" s="97" customFormat="1" ht="24" customHeight="1">
      <c r="A93" s="875" t="s">
        <v>4044</v>
      </c>
      <c r="B93" s="876" t="s">
        <v>4039</v>
      </c>
      <c r="C93" s="1066" t="s">
        <v>4197</v>
      </c>
      <c r="D93" s="1066" t="s">
        <v>4199</v>
      </c>
      <c r="E93" s="1067" t="s">
        <v>4011</v>
      </c>
      <c r="F93" s="1221">
        <v>46113</v>
      </c>
      <c r="G93" s="1068">
        <v>1530.5</v>
      </c>
      <c r="H93" s="1144"/>
      <c r="I93" s="1145">
        <v>64018967</v>
      </c>
      <c r="J93" s="1069" t="s">
        <v>720</v>
      </c>
      <c r="K93" s="1070">
        <f>I93</f>
        <v>64018967</v>
      </c>
      <c r="L93" s="1108"/>
      <c r="M93" s="1105"/>
      <c r="N93" s="1108"/>
      <c r="O93" s="1108"/>
      <c r="P93" s="1108"/>
      <c r="Q93" s="1108"/>
      <c r="R93" s="1108"/>
      <c r="S93" s="1108">
        <f t="shared" si="12"/>
        <v>0</v>
      </c>
      <c r="T93" s="1108">
        <v>0</v>
      </c>
    </row>
    <row r="94" spans="1:20" s="97" customFormat="1" ht="24" customHeight="1" thickBot="1">
      <c r="A94" s="884" t="s">
        <v>4044</v>
      </c>
      <c r="B94" s="885" t="s">
        <v>4039</v>
      </c>
      <c r="C94" s="907" t="s">
        <v>4198</v>
      </c>
      <c r="D94" s="907" t="s">
        <v>4200</v>
      </c>
      <c r="E94" s="900" t="s">
        <v>4011</v>
      </c>
      <c r="F94" s="887">
        <v>46113</v>
      </c>
      <c r="G94" s="890">
        <v>1530.5</v>
      </c>
      <c r="H94" s="1139"/>
      <c r="I94" s="1140">
        <v>67317575</v>
      </c>
      <c r="J94" s="891" t="s">
        <v>720</v>
      </c>
      <c r="K94" s="892">
        <f>I94</f>
        <v>67317575</v>
      </c>
      <c r="L94" s="1108"/>
      <c r="M94" s="1105"/>
      <c r="N94" s="1108"/>
      <c r="O94" s="1108"/>
      <c r="P94" s="1108"/>
      <c r="Q94" s="1108"/>
      <c r="R94" s="1108"/>
      <c r="S94" s="1108">
        <f t="shared" si="12"/>
        <v>0</v>
      </c>
      <c r="T94" s="1108">
        <v>0</v>
      </c>
    </row>
    <row r="95" spans="1:20" s="97" customFormat="1" ht="24" customHeight="1">
      <c r="A95" s="816" t="s">
        <v>664</v>
      </c>
      <c r="B95" s="817" t="s">
        <v>626</v>
      </c>
      <c r="C95" s="893" t="s">
        <v>3979</v>
      </c>
      <c r="D95" s="821" t="s">
        <v>4090</v>
      </c>
      <c r="E95" s="894">
        <v>46083</v>
      </c>
      <c r="F95" s="819">
        <v>46083</v>
      </c>
      <c r="G95" s="861">
        <f>VLOOKUP(F95,환율!A:B,2,0)</f>
        <v>1424.5</v>
      </c>
      <c r="H95" s="1141">
        <v>437202.08</v>
      </c>
      <c r="I95" s="1142">
        <f t="shared" ref="I95:I96" si="40">ROUNDDOWN(H95*G95,0)</f>
        <v>622794362</v>
      </c>
      <c r="J95" s="823">
        <f>I95</f>
        <v>622794362</v>
      </c>
      <c r="K95" s="824"/>
      <c r="L95" s="1108"/>
      <c r="M95" s="1105"/>
      <c r="N95" s="1108"/>
      <c r="O95" s="1108">
        <f>J95*0.59</f>
        <v>367448673.57999998</v>
      </c>
      <c r="P95" s="1108">
        <f>J95*0.41</f>
        <v>255345688.41999999</v>
      </c>
      <c r="Q95" s="1108"/>
      <c r="R95" s="1108"/>
      <c r="S95" s="1108">
        <f t="shared" si="12"/>
        <v>622794362</v>
      </c>
      <c r="T95" s="1108">
        <f t="shared" si="13"/>
        <v>0</v>
      </c>
    </row>
    <row r="96" spans="1:20" s="97" customFormat="1" ht="24" customHeight="1">
      <c r="A96" s="1082" t="s">
        <v>29</v>
      </c>
      <c r="B96" s="1083" t="s">
        <v>4046</v>
      </c>
      <c r="C96" s="1165" t="s">
        <v>4091</v>
      </c>
      <c r="D96" s="1087" t="s">
        <v>4227</v>
      </c>
      <c r="E96" s="1103">
        <v>46083</v>
      </c>
      <c r="F96" s="1085">
        <v>46083</v>
      </c>
      <c r="G96" s="1088">
        <f>VLOOKUP(F96,환율!A:B,2,0)</f>
        <v>1424.5</v>
      </c>
      <c r="H96" s="1130">
        <v>103153.97</v>
      </c>
      <c r="I96" s="1131">
        <f t="shared" si="40"/>
        <v>146942830</v>
      </c>
      <c r="J96" s="1089">
        <f t="shared" ref="J96" si="41">I96</f>
        <v>146942830</v>
      </c>
      <c r="K96" s="1090"/>
      <c r="L96" s="1108"/>
      <c r="M96" s="1105"/>
      <c r="N96" s="1108"/>
      <c r="O96" s="1108"/>
      <c r="P96" s="1108"/>
      <c r="Q96" s="1108"/>
      <c r="R96" s="1108"/>
      <c r="S96" s="1108"/>
      <c r="T96" s="1108">
        <v>0</v>
      </c>
    </row>
    <row r="97" spans="1:20" s="120" customFormat="1" ht="24" customHeight="1">
      <c r="A97" s="1020" t="s">
        <v>29</v>
      </c>
      <c r="B97" s="1021" t="s">
        <v>4046</v>
      </c>
      <c r="C97" s="925" t="s">
        <v>4208</v>
      </c>
      <c r="D97" s="912" t="s">
        <v>4209</v>
      </c>
      <c r="E97" s="1022">
        <v>46092</v>
      </c>
      <c r="F97" s="1022">
        <v>46092</v>
      </c>
      <c r="G97" s="913">
        <f>VLOOKUP(F97,환율!A:B,2,0)</f>
        <v>1472.8</v>
      </c>
      <c r="H97" s="1249">
        <v>378953.84</v>
      </c>
      <c r="I97" s="926">
        <f>ROUNDDOWN(H97*G97,0)</f>
        <v>558123215</v>
      </c>
      <c r="J97" s="926">
        <f>I97</f>
        <v>558123215</v>
      </c>
      <c r="K97" s="927"/>
      <c r="L97" s="1110"/>
      <c r="M97" s="1107"/>
      <c r="N97" s="1110"/>
      <c r="O97" s="1110">
        <f t="shared" ref="O97:O101" si="42">J97*0.59</f>
        <v>329292696.84999996</v>
      </c>
      <c r="P97" s="1110">
        <f t="shared" ref="P97:P101" si="43">J97*0.41</f>
        <v>228830518.14999998</v>
      </c>
      <c r="Q97" s="1110"/>
      <c r="R97" s="1110"/>
      <c r="S97" s="1110">
        <f t="shared" si="12"/>
        <v>558123215</v>
      </c>
      <c r="T97" s="1110">
        <f t="shared" si="13"/>
        <v>0</v>
      </c>
    </row>
    <row r="98" spans="1:20" s="120" customFormat="1" ht="24" customHeight="1">
      <c r="A98" s="1082" t="s">
        <v>29</v>
      </c>
      <c r="B98" s="1083" t="s">
        <v>4046</v>
      </c>
      <c r="C98" s="1165" t="s">
        <v>4162</v>
      </c>
      <c r="D98" s="1085" t="s">
        <v>4227</v>
      </c>
      <c r="E98" s="1086">
        <v>46092</v>
      </c>
      <c r="F98" s="1086">
        <v>46092</v>
      </c>
      <c r="G98" s="1185">
        <f>VLOOKUP(F98,환율!A:B,2,0)</f>
        <v>1472.8</v>
      </c>
      <c r="H98" s="1186">
        <v>89615.28</v>
      </c>
      <c r="I98" s="1187">
        <f t="shared" ref="I98:I106" si="44">ROUNDDOWN(H98*G98,0)</f>
        <v>131985384</v>
      </c>
      <c r="J98" s="1187">
        <f t="shared" ref="J98:J102" si="45">I98</f>
        <v>131985384</v>
      </c>
      <c r="K98" s="1090"/>
      <c r="L98" s="1110"/>
      <c r="M98" s="1107"/>
      <c r="N98" s="1110"/>
      <c r="O98" s="1110">
        <f t="shared" si="42"/>
        <v>77871376.560000002</v>
      </c>
      <c r="P98" s="1110">
        <f t="shared" si="43"/>
        <v>54114007.439999998</v>
      </c>
      <c r="Q98" s="1110"/>
      <c r="R98" s="1110"/>
      <c r="S98" s="1110">
        <f t="shared" si="12"/>
        <v>131985384</v>
      </c>
      <c r="T98" s="1110">
        <f t="shared" si="13"/>
        <v>0</v>
      </c>
    </row>
    <row r="99" spans="1:20" s="120" customFormat="1" ht="24" customHeight="1">
      <c r="A99" s="1020" t="s">
        <v>29</v>
      </c>
      <c r="B99" s="1021" t="s">
        <v>4046</v>
      </c>
      <c r="C99" s="925" t="s">
        <v>4163</v>
      </c>
      <c r="D99" s="912" t="s">
        <v>4164</v>
      </c>
      <c r="E99" s="1022">
        <v>46105</v>
      </c>
      <c r="F99" s="1022">
        <v>46105</v>
      </c>
      <c r="G99" s="913">
        <f>VLOOKUP(F99,환율!A:B,2,0)</f>
        <v>1509.6</v>
      </c>
      <c r="H99" s="1249">
        <v>382325.08</v>
      </c>
      <c r="I99" s="926">
        <f>ROUNDDOWN(H99*G99,0)</f>
        <v>577157940</v>
      </c>
      <c r="J99" s="926">
        <f>I99</f>
        <v>577157940</v>
      </c>
      <c r="K99" s="927"/>
      <c r="L99" s="1110"/>
      <c r="M99" s="1107"/>
      <c r="N99" s="1110"/>
      <c r="O99" s="1110">
        <f t="shared" si="42"/>
        <v>340523184.59999996</v>
      </c>
      <c r="P99" s="1110">
        <f t="shared" si="43"/>
        <v>236634755.39999998</v>
      </c>
      <c r="Q99" s="1110"/>
      <c r="R99" s="1110"/>
      <c r="S99" s="1110">
        <f t="shared" si="12"/>
        <v>577157940</v>
      </c>
      <c r="T99" s="1110">
        <f t="shared" si="13"/>
        <v>0</v>
      </c>
    </row>
    <row r="100" spans="1:20" s="120" customFormat="1" ht="24" customHeight="1">
      <c r="A100" s="1082" t="s">
        <v>29</v>
      </c>
      <c r="B100" s="1083" t="s">
        <v>4046</v>
      </c>
      <c r="C100" s="1166" t="s">
        <v>4165</v>
      </c>
      <c r="D100" s="1085" t="s">
        <v>2504</v>
      </c>
      <c r="E100" s="1086">
        <v>46105</v>
      </c>
      <c r="F100" s="1086">
        <v>46105</v>
      </c>
      <c r="G100" s="1088">
        <f>VLOOKUP(F100,환율!A:B,2,0)</f>
        <v>1509.6</v>
      </c>
      <c r="H100" s="1250">
        <v>90643.75</v>
      </c>
      <c r="I100" s="1089">
        <f t="shared" si="44"/>
        <v>136835805</v>
      </c>
      <c r="J100" s="1089">
        <f t="shared" si="45"/>
        <v>136835805</v>
      </c>
      <c r="K100" s="1090"/>
      <c r="L100" s="1110"/>
      <c r="M100" s="1107"/>
      <c r="N100" s="1110"/>
      <c r="O100" s="1110">
        <f t="shared" si="42"/>
        <v>80733124.950000003</v>
      </c>
      <c r="P100" s="1110">
        <f t="shared" si="43"/>
        <v>56102680.049999997</v>
      </c>
      <c r="Q100" s="1110"/>
      <c r="R100" s="1110"/>
      <c r="S100" s="1110">
        <f t="shared" si="12"/>
        <v>136835805</v>
      </c>
      <c r="T100" s="1110">
        <f t="shared" si="13"/>
        <v>0</v>
      </c>
    </row>
    <row r="101" spans="1:20" s="120" customFormat="1" ht="24" customHeight="1">
      <c r="A101" s="825" t="s">
        <v>29</v>
      </c>
      <c r="B101" s="826" t="s">
        <v>4046</v>
      </c>
      <c r="C101" s="909" t="s">
        <v>4166</v>
      </c>
      <c r="D101" s="912" t="s">
        <v>4167</v>
      </c>
      <c r="E101" s="1022">
        <v>46112</v>
      </c>
      <c r="F101" s="1022">
        <v>46112</v>
      </c>
      <c r="G101" s="913">
        <f>VLOOKUP(F101,환율!A:B,2,0)</f>
        <v>1513.4</v>
      </c>
      <c r="H101" s="1249">
        <v>461289.68</v>
      </c>
      <c r="I101" s="832">
        <f>ROUNDDOWN(H101*G101,0)</f>
        <v>698115801</v>
      </c>
      <c r="J101" s="832">
        <f>I101</f>
        <v>698115801</v>
      </c>
      <c r="K101" s="874"/>
      <c r="L101" s="1110"/>
      <c r="M101" s="1107"/>
      <c r="N101" s="1110"/>
      <c r="O101" s="1110">
        <f t="shared" si="42"/>
        <v>411888322.58999997</v>
      </c>
      <c r="P101" s="1110">
        <f t="shared" si="43"/>
        <v>286227478.40999997</v>
      </c>
      <c r="Q101" s="1110"/>
      <c r="R101" s="1110"/>
      <c r="S101" s="1110">
        <f t="shared" si="12"/>
        <v>698115801</v>
      </c>
      <c r="T101" s="1110">
        <f t="shared" si="13"/>
        <v>0</v>
      </c>
    </row>
    <row r="102" spans="1:20" s="1040" customFormat="1" ht="24" customHeight="1">
      <c r="A102" s="1082" t="s">
        <v>29</v>
      </c>
      <c r="B102" s="1083" t="s">
        <v>4046</v>
      </c>
      <c r="C102" s="1166" t="s">
        <v>4168</v>
      </c>
      <c r="D102" s="1085" t="s">
        <v>2504</v>
      </c>
      <c r="E102" s="1086">
        <v>46112</v>
      </c>
      <c r="F102" s="1086">
        <v>46112</v>
      </c>
      <c r="G102" s="1088">
        <f>VLOOKUP(F102,환율!A:B,2,0)</f>
        <v>1513.4</v>
      </c>
      <c r="H102" s="1250">
        <v>108641.62</v>
      </c>
      <c r="I102" s="1089">
        <f t="shared" si="44"/>
        <v>164418227</v>
      </c>
      <c r="J102" s="1089">
        <f t="shared" si="45"/>
        <v>164418227</v>
      </c>
      <c r="K102" s="1090"/>
      <c r="L102" s="1110"/>
      <c r="M102" s="1107"/>
      <c r="N102" s="1110"/>
      <c r="O102" s="1107"/>
      <c r="P102" s="1107"/>
      <c r="Q102" s="1110"/>
      <c r="R102" s="1110"/>
      <c r="S102" s="1110">
        <f t="shared" si="12"/>
        <v>0</v>
      </c>
      <c r="T102" s="1110">
        <f t="shared" si="13"/>
        <v>164418227</v>
      </c>
    </row>
    <row r="103" spans="1:20" s="1040" customFormat="1" ht="24" customHeight="1">
      <c r="A103" s="1082" t="s">
        <v>29</v>
      </c>
      <c r="B103" s="1251" t="s">
        <v>4046</v>
      </c>
      <c r="C103" s="1252" t="s">
        <v>4214</v>
      </c>
      <c r="D103" s="1252" t="s">
        <v>4239</v>
      </c>
      <c r="E103" s="1253"/>
      <c r="F103" s="1239">
        <v>46092</v>
      </c>
      <c r="G103" s="1254">
        <f>VLOOKUP(F103,환율!A:B,2,0)</f>
        <v>1472.8</v>
      </c>
      <c r="H103" s="1255">
        <v>706.28</v>
      </c>
      <c r="I103" s="1256">
        <f t="shared" si="44"/>
        <v>1040209</v>
      </c>
      <c r="J103" s="1256">
        <f>I103</f>
        <v>1040209</v>
      </c>
      <c r="K103" s="1257"/>
      <c r="L103" s="1110"/>
      <c r="M103" s="1107"/>
      <c r="N103" s="1110"/>
      <c r="O103" s="1110">
        <f t="shared" ref="O103" si="46">J103*0.59</f>
        <v>613723.30999999994</v>
      </c>
      <c r="P103" s="1110">
        <f t="shared" ref="P103" si="47">J103*0.41</f>
        <v>426485.69</v>
      </c>
      <c r="Q103" s="1110"/>
      <c r="R103" s="1110"/>
      <c r="S103" s="1110">
        <f t="shared" ref="S103" si="48">SUM(L103:R103)</f>
        <v>1040209</v>
      </c>
      <c r="T103" s="1110">
        <v>0</v>
      </c>
    </row>
    <row r="104" spans="1:20" s="718" customFormat="1" ht="24" customHeight="1">
      <c r="A104" s="1227" t="s">
        <v>29</v>
      </c>
      <c r="B104" s="1228" t="s">
        <v>4046</v>
      </c>
      <c r="C104" s="1229" t="s">
        <v>4215</v>
      </c>
      <c r="D104" s="1229"/>
      <c r="E104" s="1103"/>
      <c r="F104" s="1087">
        <v>46100</v>
      </c>
      <c r="G104" s="1230">
        <f>VLOOKUP(F104,환율!A:B,2,0)</f>
        <v>1486</v>
      </c>
      <c r="H104" s="1130">
        <v>10700</v>
      </c>
      <c r="I104" s="1131">
        <f t="shared" si="44"/>
        <v>15900200</v>
      </c>
      <c r="J104" s="1131">
        <f t="shared" ref="J104:J106" si="49">I104</f>
        <v>15900200</v>
      </c>
      <c r="K104" s="1231"/>
      <c r="L104" s="1108"/>
      <c r="M104" s="1105"/>
      <c r="N104" s="1108"/>
      <c r="O104" s="1108"/>
      <c r="P104" s="1108"/>
      <c r="Q104" s="1108"/>
      <c r="R104" s="1108"/>
      <c r="S104" s="1108"/>
      <c r="T104" s="1108">
        <v>0</v>
      </c>
    </row>
    <row r="105" spans="1:20" s="718" customFormat="1" ht="24" customHeight="1">
      <c r="A105" s="1227" t="s">
        <v>29</v>
      </c>
      <c r="B105" s="1228" t="s">
        <v>4046</v>
      </c>
      <c r="C105" s="1229" t="s">
        <v>4216</v>
      </c>
      <c r="D105" s="1229"/>
      <c r="E105" s="1103"/>
      <c r="F105" s="1087">
        <v>46100</v>
      </c>
      <c r="G105" s="1230">
        <f>VLOOKUP(F105,환율!A:B,2,0)</f>
        <v>1486</v>
      </c>
      <c r="H105" s="1130">
        <v>10700</v>
      </c>
      <c r="I105" s="1131">
        <f t="shared" si="44"/>
        <v>15900200</v>
      </c>
      <c r="J105" s="1131">
        <f t="shared" si="49"/>
        <v>15900200</v>
      </c>
      <c r="K105" s="1231"/>
      <c r="L105" s="1108"/>
      <c r="M105" s="1105"/>
      <c r="N105" s="1108"/>
      <c r="O105" s="1108"/>
      <c r="P105" s="1108"/>
      <c r="Q105" s="1108"/>
      <c r="R105" s="1108"/>
      <c r="S105" s="1108"/>
      <c r="T105" s="1108">
        <v>0</v>
      </c>
    </row>
    <row r="106" spans="1:20" s="718" customFormat="1" ht="24" customHeight="1" thickBot="1">
      <c r="A106" s="1227" t="s">
        <v>29</v>
      </c>
      <c r="B106" s="1228" t="s">
        <v>4046</v>
      </c>
      <c r="C106" s="1229" t="s">
        <v>4217</v>
      </c>
      <c r="D106" s="1229"/>
      <c r="E106" s="1103"/>
      <c r="F106" s="1087">
        <v>46100</v>
      </c>
      <c r="G106" s="1230">
        <f>VLOOKUP(F106,환율!A:B,2,0)</f>
        <v>1486</v>
      </c>
      <c r="H106" s="1130">
        <v>10700</v>
      </c>
      <c r="I106" s="1131">
        <f t="shared" si="44"/>
        <v>15900200</v>
      </c>
      <c r="J106" s="1131">
        <f t="shared" si="49"/>
        <v>15900200</v>
      </c>
      <c r="K106" s="1231"/>
      <c r="L106" s="1108"/>
      <c r="M106" s="1105"/>
      <c r="N106" s="1108"/>
      <c r="O106" s="1108"/>
      <c r="P106" s="1108"/>
      <c r="Q106" s="1108"/>
      <c r="R106" s="1108"/>
      <c r="S106" s="1108"/>
      <c r="T106" s="1108">
        <v>0</v>
      </c>
    </row>
    <row r="107" spans="1:20" s="97" customFormat="1" ht="24" customHeight="1">
      <c r="A107" s="816" t="s">
        <v>47</v>
      </c>
      <c r="B107" s="817" t="s">
        <v>4048</v>
      </c>
      <c r="C107" s="893" t="s">
        <v>3984</v>
      </c>
      <c r="D107" s="821" t="s">
        <v>4092</v>
      </c>
      <c r="E107" s="894">
        <v>46092</v>
      </c>
      <c r="F107" s="819">
        <v>46092</v>
      </c>
      <c r="G107" s="861">
        <f>VLOOKUP(F107,환율!A:B,2,0)</f>
        <v>1472.8</v>
      </c>
      <c r="H107" s="1141">
        <v>27633.200000000001</v>
      </c>
      <c r="I107" s="1142">
        <f>ROUNDDOWN(H107*G107,0)</f>
        <v>40698176</v>
      </c>
      <c r="J107" s="823">
        <f>I107</f>
        <v>40698176</v>
      </c>
      <c r="K107" s="824"/>
      <c r="L107" s="1108">
        <f>J107*0.97</f>
        <v>39477230.719999999</v>
      </c>
      <c r="M107" s="1105"/>
      <c r="N107" s="1108"/>
      <c r="O107" s="1108"/>
      <c r="P107" s="1108"/>
      <c r="Q107" s="1108">
        <f>J107*0.02</f>
        <v>813963.52</v>
      </c>
      <c r="R107" s="1108">
        <f>J107*0.01</f>
        <v>406981.76</v>
      </c>
      <c r="S107" s="1108">
        <f t="shared" si="12"/>
        <v>40698176</v>
      </c>
      <c r="T107" s="1108">
        <f t="shared" si="13"/>
        <v>0</v>
      </c>
    </row>
    <row r="108" spans="1:20" s="97" customFormat="1" ht="24" customHeight="1">
      <c r="A108" s="825" t="s">
        <v>28</v>
      </c>
      <c r="B108" s="826" t="s">
        <v>4047</v>
      </c>
      <c r="C108" s="925" t="s">
        <v>4169</v>
      </c>
      <c r="D108" s="910" t="s">
        <v>4170</v>
      </c>
      <c r="E108" s="911">
        <v>46092</v>
      </c>
      <c r="F108" s="912">
        <v>46092</v>
      </c>
      <c r="G108" s="913">
        <f>VLOOKUP(F108,환율!A:B,2,0)</f>
        <v>1472.8</v>
      </c>
      <c r="H108" s="1134">
        <v>23685.599999999999</v>
      </c>
      <c r="I108" s="1135">
        <v>34884151</v>
      </c>
      <c r="J108" s="926">
        <f>I108</f>
        <v>34884151</v>
      </c>
      <c r="K108" s="927"/>
      <c r="L108" s="1108">
        <f t="shared" ref="L108:L109" si="50">J108*0.97</f>
        <v>33837626.469999999</v>
      </c>
      <c r="M108" s="1105"/>
      <c r="N108" s="1108"/>
      <c r="O108" s="1108"/>
      <c r="P108" s="1108"/>
      <c r="Q108" s="1108">
        <f t="shared" ref="Q108:Q109" si="51">J108*0.02</f>
        <v>697683.02</v>
      </c>
      <c r="R108" s="1108">
        <f t="shared" ref="R108:R109" si="52">J108*0.01</f>
        <v>348841.51</v>
      </c>
      <c r="S108" s="1108">
        <f t="shared" ref="S108:S123" si="53">SUM(L108:R108)</f>
        <v>34884151</v>
      </c>
      <c r="T108" s="1108">
        <f t="shared" ref="T108:T120" si="54">J108-S108</f>
        <v>0</v>
      </c>
    </row>
    <row r="109" spans="1:20" s="97" customFormat="1" ht="24" customHeight="1">
      <c r="A109" s="1061" t="s">
        <v>28</v>
      </c>
      <c r="B109" s="1062" t="s">
        <v>4047</v>
      </c>
      <c r="C109" s="1050" t="s">
        <v>4171</v>
      </c>
      <c r="D109" s="1071" t="s">
        <v>4172</v>
      </c>
      <c r="E109" s="1051">
        <v>46100</v>
      </c>
      <c r="F109" s="1199">
        <v>46100</v>
      </c>
      <c r="G109" s="1064">
        <f>VLOOKUP(F109,환율!A:B,2,0)</f>
        <v>1486</v>
      </c>
      <c r="H109" s="1143">
        <v>19738</v>
      </c>
      <c r="I109" s="1146">
        <v>29330668</v>
      </c>
      <c r="J109" s="1065">
        <f>I109</f>
        <v>29330668</v>
      </c>
      <c r="K109" s="1052"/>
      <c r="L109" s="1108">
        <f t="shared" si="50"/>
        <v>28450747.960000001</v>
      </c>
      <c r="M109" s="1105"/>
      <c r="N109" s="1108"/>
      <c r="O109" s="1108"/>
      <c r="P109" s="1108"/>
      <c r="Q109" s="1108">
        <f t="shared" si="51"/>
        <v>586613.36</v>
      </c>
      <c r="R109" s="1108">
        <f t="shared" si="52"/>
        <v>293306.68</v>
      </c>
      <c r="S109" s="1108">
        <f t="shared" si="53"/>
        <v>29330668</v>
      </c>
      <c r="T109" s="1108">
        <f t="shared" si="54"/>
        <v>0</v>
      </c>
    </row>
    <row r="110" spans="1:20" s="97" customFormat="1" ht="24" customHeight="1" thickBot="1">
      <c r="A110" s="884" t="s">
        <v>28</v>
      </c>
      <c r="B110" s="885" t="s">
        <v>4047</v>
      </c>
      <c r="C110" s="899" t="s">
        <v>4201</v>
      </c>
      <c r="D110" s="889"/>
      <c r="E110" s="1232">
        <v>46099</v>
      </c>
      <c r="F110" s="1221">
        <v>46099</v>
      </c>
      <c r="G110" s="890">
        <f>VLOOKUP(F110,환율!A:B,2,0)</f>
        <v>1491.6</v>
      </c>
      <c r="H110" s="1139">
        <v>15790.4</v>
      </c>
      <c r="I110" s="1140">
        <v>24167207</v>
      </c>
      <c r="J110" s="891"/>
      <c r="K110" s="892">
        <f>I110</f>
        <v>24167207</v>
      </c>
      <c r="L110" s="1108"/>
      <c r="M110" s="1105"/>
      <c r="N110" s="1108"/>
      <c r="O110" s="1108"/>
      <c r="P110" s="1108"/>
      <c r="Q110" s="1108"/>
      <c r="R110" s="1108"/>
      <c r="S110" s="1108">
        <f t="shared" si="53"/>
        <v>0</v>
      </c>
      <c r="T110" s="1108">
        <f t="shared" si="54"/>
        <v>0</v>
      </c>
    </row>
    <row r="111" spans="1:20" s="97" customFormat="1" ht="24" customHeight="1">
      <c r="A111" s="816" t="s">
        <v>40</v>
      </c>
      <c r="B111" s="817" t="s">
        <v>4048</v>
      </c>
      <c r="C111" s="935" t="s">
        <v>4093</v>
      </c>
      <c r="D111" s="935" t="s">
        <v>4094</v>
      </c>
      <c r="E111" s="894">
        <v>46082</v>
      </c>
      <c r="F111" s="821">
        <v>46082</v>
      </c>
      <c r="G111" s="861">
        <f>VLOOKUP(F111,환율!A:B,2,0)</f>
        <v>1424.5</v>
      </c>
      <c r="H111" s="1141">
        <v>17252</v>
      </c>
      <c r="I111" s="1142">
        <f t="shared" ref="I111:I120" si="55">ROUNDDOWN(H111*G111,0)</f>
        <v>24575474</v>
      </c>
      <c r="J111" s="823">
        <f t="shared" ref="J111:J116" si="56">I111</f>
        <v>24575474</v>
      </c>
      <c r="K111" s="824"/>
      <c r="L111" s="1108"/>
      <c r="M111" s="1105"/>
      <c r="N111" s="1108">
        <f>J111*0.67</f>
        <v>16465567.58</v>
      </c>
      <c r="O111" s="1108"/>
      <c r="P111" s="1108"/>
      <c r="Q111" s="1108">
        <f>J111*0.02</f>
        <v>491509.48</v>
      </c>
      <c r="R111" s="1108">
        <f>J111*0.31</f>
        <v>7618396.9400000004</v>
      </c>
      <c r="S111" s="1108">
        <f t="shared" si="53"/>
        <v>24575474</v>
      </c>
      <c r="T111" s="1108">
        <f t="shared" si="54"/>
        <v>0</v>
      </c>
    </row>
    <row r="112" spans="1:20" s="97" customFormat="1" ht="24" customHeight="1">
      <c r="A112" s="862" t="s">
        <v>30</v>
      </c>
      <c r="B112" s="863" t="s">
        <v>4047</v>
      </c>
      <c r="C112" s="1023" t="s">
        <v>3989</v>
      </c>
      <c r="D112" s="1023" t="s">
        <v>3994</v>
      </c>
      <c r="E112" s="896">
        <v>46084</v>
      </c>
      <c r="F112" s="867">
        <v>46084</v>
      </c>
      <c r="G112" s="868">
        <f>VLOOKUP(F112,환율!A:B,2,0)</f>
        <v>1435.4</v>
      </c>
      <c r="H112" s="1132">
        <v>1338.76</v>
      </c>
      <c r="I112" s="1133">
        <f t="shared" si="55"/>
        <v>1921656</v>
      </c>
      <c r="J112" s="869">
        <f t="shared" si="56"/>
        <v>1921656</v>
      </c>
      <c r="K112" s="870"/>
      <c r="L112" s="1108"/>
      <c r="M112" s="1105"/>
      <c r="N112" s="1108">
        <f t="shared" ref="N112:N117" si="57">J112*0.67</f>
        <v>1287509.52</v>
      </c>
      <c r="O112" s="1108"/>
      <c r="P112" s="1108"/>
      <c r="Q112" s="1108">
        <f t="shared" ref="Q112:Q117" si="58">J112*0.02</f>
        <v>38433.120000000003</v>
      </c>
      <c r="R112" s="1108">
        <f t="shared" ref="R112:R117" si="59">J112*0.31</f>
        <v>595713.36</v>
      </c>
      <c r="S112" s="1108">
        <f t="shared" si="53"/>
        <v>1921656</v>
      </c>
      <c r="T112" s="1108">
        <f t="shared" si="54"/>
        <v>0</v>
      </c>
    </row>
    <row r="113" spans="1:20" s="97" customFormat="1" ht="24" customHeight="1">
      <c r="A113" s="862" t="s">
        <v>30</v>
      </c>
      <c r="B113" s="863" t="s">
        <v>4047</v>
      </c>
      <c r="C113" s="1023" t="s">
        <v>4095</v>
      </c>
      <c r="D113" s="1023" t="s">
        <v>4096</v>
      </c>
      <c r="E113" s="896">
        <v>46092</v>
      </c>
      <c r="F113" s="867">
        <v>46092</v>
      </c>
      <c r="G113" s="868">
        <f>VLOOKUP(F113,환율!A:B,2,0)</f>
        <v>1472.8</v>
      </c>
      <c r="H113" s="1132">
        <v>15936</v>
      </c>
      <c r="I113" s="1133">
        <f t="shared" si="55"/>
        <v>23470540</v>
      </c>
      <c r="J113" s="869">
        <f t="shared" si="56"/>
        <v>23470540</v>
      </c>
      <c r="K113" s="870"/>
      <c r="L113" s="1108"/>
      <c r="M113" s="1105"/>
      <c r="N113" s="1108">
        <f t="shared" si="57"/>
        <v>15725261.800000001</v>
      </c>
      <c r="O113" s="1108"/>
      <c r="P113" s="1108"/>
      <c r="Q113" s="1108">
        <f t="shared" si="58"/>
        <v>469410.8</v>
      </c>
      <c r="R113" s="1108">
        <f t="shared" si="59"/>
        <v>7275867.4000000004</v>
      </c>
      <c r="S113" s="1108">
        <f t="shared" si="53"/>
        <v>23470540</v>
      </c>
      <c r="T113" s="1108">
        <f t="shared" si="54"/>
        <v>0</v>
      </c>
    </row>
    <row r="114" spans="1:20" s="97" customFormat="1" ht="24" customHeight="1">
      <c r="A114" s="1020" t="s">
        <v>30</v>
      </c>
      <c r="B114" s="1021" t="s">
        <v>4047</v>
      </c>
      <c r="C114" s="934" t="s">
        <v>4173</v>
      </c>
      <c r="D114" s="934" t="s">
        <v>4174</v>
      </c>
      <c r="E114" s="911">
        <v>46086</v>
      </c>
      <c r="F114" s="910">
        <v>46086</v>
      </c>
      <c r="G114" s="913">
        <f>VLOOKUP(F114,환율!A:B,2,0)</f>
        <v>1478.8</v>
      </c>
      <c r="H114" s="1134">
        <v>2425.08</v>
      </c>
      <c r="I114" s="1135">
        <f t="shared" si="55"/>
        <v>3586208</v>
      </c>
      <c r="J114" s="926">
        <f t="shared" si="56"/>
        <v>3586208</v>
      </c>
      <c r="K114" s="927"/>
      <c r="L114" s="1108"/>
      <c r="M114" s="1105"/>
      <c r="N114" s="1108">
        <f t="shared" si="57"/>
        <v>2402759.3600000003</v>
      </c>
      <c r="O114" s="1108"/>
      <c r="P114" s="1108"/>
      <c r="Q114" s="1108">
        <f t="shared" si="58"/>
        <v>71724.160000000003</v>
      </c>
      <c r="R114" s="1108">
        <f t="shared" si="59"/>
        <v>1111724.48</v>
      </c>
      <c r="S114" s="1108">
        <f t="shared" si="53"/>
        <v>3586208.0000000005</v>
      </c>
      <c r="T114" s="1108">
        <f t="shared" si="54"/>
        <v>0</v>
      </c>
    </row>
    <row r="115" spans="1:20" s="97" customFormat="1" ht="24" customHeight="1">
      <c r="A115" s="1020" t="s">
        <v>30</v>
      </c>
      <c r="B115" s="1021" t="s">
        <v>4047</v>
      </c>
      <c r="C115" s="934" t="s">
        <v>4175</v>
      </c>
      <c r="D115" s="934" t="s">
        <v>4176</v>
      </c>
      <c r="E115" s="911">
        <v>46099</v>
      </c>
      <c r="F115" s="910">
        <v>46098</v>
      </c>
      <c r="G115" s="913">
        <f>VLOOKUP(F115,환율!A:B,2,0)</f>
        <v>1496</v>
      </c>
      <c r="H115" s="1134">
        <v>7118.16</v>
      </c>
      <c r="I115" s="1135">
        <f t="shared" si="55"/>
        <v>10648767</v>
      </c>
      <c r="J115" s="926">
        <f t="shared" si="56"/>
        <v>10648767</v>
      </c>
      <c r="K115" s="927"/>
      <c r="L115" s="1108"/>
      <c r="M115" s="1105"/>
      <c r="N115" s="1108">
        <f t="shared" si="57"/>
        <v>7134673.8900000006</v>
      </c>
      <c r="O115" s="1108"/>
      <c r="P115" s="1108"/>
      <c r="Q115" s="1108">
        <f t="shared" si="58"/>
        <v>212975.34</v>
      </c>
      <c r="R115" s="1108">
        <f t="shared" si="59"/>
        <v>3301117.77</v>
      </c>
      <c r="S115" s="1108">
        <f t="shared" si="53"/>
        <v>10648767</v>
      </c>
      <c r="T115" s="1108">
        <f t="shared" si="54"/>
        <v>0</v>
      </c>
    </row>
    <row r="116" spans="1:20" s="97" customFormat="1" ht="24" customHeight="1">
      <c r="A116" s="1061" t="s">
        <v>30</v>
      </c>
      <c r="B116" s="1062" t="s">
        <v>4047</v>
      </c>
      <c r="C116" s="1063" t="s">
        <v>4177</v>
      </c>
      <c r="D116" s="1063" t="s">
        <v>4178</v>
      </c>
      <c r="E116" s="1051">
        <v>46100</v>
      </c>
      <c r="F116" s="1071">
        <v>46099</v>
      </c>
      <c r="G116" s="1064">
        <f>VLOOKUP(F116,환율!A:B,2,0)</f>
        <v>1491.6</v>
      </c>
      <c r="H116" s="1143">
        <v>1893.92</v>
      </c>
      <c r="I116" s="1146">
        <f t="shared" si="55"/>
        <v>2824971</v>
      </c>
      <c r="J116" s="1065">
        <f t="shared" si="56"/>
        <v>2824971</v>
      </c>
      <c r="K116" s="1052"/>
      <c r="L116" s="1108"/>
      <c r="M116" s="1105"/>
      <c r="N116" s="1108">
        <f t="shared" si="57"/>
        <v>1892730.57</v>
      </c>
      <c r="O116" s="1108"/>
      <c r="P116" s="1108"/>
      <c r="Q116" s="1108">
        <f t="shared" si="58"/>
        <v>56499.42</v>
      </c>
      <c r="R116" s="1108">
        <f t="shared" si="59"/>
        <v>875741.01</v>
      </c>
      <c r="S116" s="1108">
        <f t="shared" si="53"/>
        <v>2824971</v>
      </c>
      <c r="T116" s="1108">
        <f t="shared" si="54"/>
        <v>0</v>
      </c>
    </row>
    <row r="117" spans="1:20" s="1365" customFormat="1" ht="24" customHeight="1">
      <c r="A117" s="1356" t="s">
        <v>30</v>
      </c>
      <c r="B117" s="1357" t="s">
        <v>4047</v>
      </c>
      <c r="C117" s="1358" t="s">
        <v>4202</v>
      </c>
      <c r="D117" s="1358" t="s">
        <v>4204</v>
      </c>
      <c r="E117" s="1359">
        <v>46108</v>
      </c>
      <c r="F117" s="1360">
        <v>46108</v>
      </c>
      <c r="G117" s="1361">
        <f>VLOOKUP(F117,환율!A:B,2,0)</f>
        <v>1506.2</v>
      </c>
      <c r="H117" s="1004">
        <v>656.44</v>
      </c>
      <c r="I117" s="1362">
        <f t="shared" si="55"/>
        <v>988729</v>
      </c>
      <c r="J117" s="1362">
        <f>I117</f>
        <v>988729</v>
      </c>
      <c r="K117" s="1363"/>
      <c r="L117" s="1176"/>
      <c r="M117" s="1364"/>
      <c r="N117" s="1176">
        <f t="shared" si="57"/>
        <v>662448.43000000005</v>
      </c>
      <c r="O117" s="1176"/>
      <c r="P117" s="1176"/>
      <c r="Q117" s="1176">
        <f t="shared" si="58"/>
        <v>19774.580000000002</v>
      </c>
      <c r="R117" s="1176">
        <f t="shared" si="59"/>
        <v>306505.99</v>
      </c>
      <c r="S117" s="1176">
        <f t="shared" si="53"/>
        <v>988729</v>
      </c>
      <c r="T117" s="1176">
        <f t="shared" si="54"/>
        <v>0</v>
      </c>
    </row>
    <row r="118" spans="1:20" s="97" customFormat="1" ht="24" customHeight="1" thickBot="1">
      <c r="A118" s="884" t="s">
        <v>30</v>
      </c>
      <c r="B118" s="885" t="s">
        <v>4047</v>
      </c>
      <c r="C118" s="907" t="s">
        <v>4203</v>
      </c>
      <c r="D118" s="907" t="s">
        <v>4205</v>
      </c>
      <c r="E118" s="888">
        <v>46114</v>
      </c>
      <c r="F118" s="889">
        <v>46114</v>
      </c>
      <c r="G118" s="890">
        <f>VLOOKUP(F118,환율!A:B,2,0)</f>
        <v>1507.8</v>
      </c>
      <c r="H118" s="1139">
        <v>41485</v>
      </c>
      <c r="I118" s="1140">
        <f t="shared" si="55"/>
        <v>62551083</v>
      </c>
      <c r="J118" s="891"/>
      <c r="K118" s="892">
        <f>I118</f>
        <v>62551083</v>
      </c>
      <c r="L118" s="1108"/>
      <c r="M118" s="1105"/>
      <c r="N118" s="1108"/>
      <c r="O118" s="1108"/>
      <c r="P118" s="1108"/>
      <c r="Q118" s="1108"/>
      <c r="R118" s="1108"/>
      <c r="S118" s="1108">
        <f t="shared" si="53"/>
        <v>0</v>
      </c>
      <c r="T118" s="1108">
        <f t="shared" si="54"/>
        <v>0</v>
      </c>
    </row>
    <row r="119" spans="1:20" s="718" customFormat="1" ht="24" customHeight="1">
      <c r="A119" s="1096" t="s">
        <v>15</v>
      </c>
      <c r="B119" s="1097" t="s">
        <v>4048</v>
      </c>
      <c r="C119" s="1098" t="s">
        <v>4179</v>
      </c>
      <c r="D119" s="1098" t="s">
        <v>4180</v>
      </c>
      <c r="E119" s="1099">
        <v>46101</v>
      </c>
      <c r="F119" s="1216">
        <v>46101</v>
      </c>
      <c r="G119" s="1100">
        <f>VLOOKUP(F119,환율!A:B,2,0)</f>
        <v>1499.7</v>
      </c>
      <c r="H119" s="1147">
        <v>48948.46</v>
      </c>
      <c r="I119" s="1148">
        <f t="shared" si="55"/>
        <v>73408005</v>
      </c>
      <c r="J119" s="1101">
        <f>I119</f>
        <v>73408005</v>
      </c>
      <c r="K119" s="1102"/>
      <c r="L119" s="1108"/>
      <c r="M119" s="1105"/>
      <c r="N119" s="1108">
        <f t="shared" ref="N119" si="60">J119*0.76</f>
        <v>55790083.799999997</v>
      </c>
      <c r="O119" s="1108"/>
      <c r="P119" s="1108"/>
      <c r="Q119" s="1108"/>
      <c r="R119" s="1108">
        <f t="shared" ref="R119" si="61">J119*0.24</f>
        <v>17617921.199999999</v>
      </c>
      <c r="S119" s="1108">
        <f t="shared" si="53"/>
        <v>73408005</v>
      </c>
      <c r="T119" s="1108">
        <v>0</v>
      </c>
    </row>
    <row r="120" spans="1:20" s="718" customFormat="1" ht="24" customHeight="1" thickBot="1">
      <c r="A120" s="884" t="s">
        <v>15</v>
      </c>
      <c r="B120" s="885" t="s">
        <v>4048</v>
      </c>
      <c r="C120" s="907" t="s">
        <v>4206</v>
      </c>
      <c r="D120" s="907"/>
      <c r="E120" s="900" t="s">
        <v>720</v>
      </c>
      <c r="F120" s="889">
        <v>46113</v>
      </c>
      <c r="G120" s="890">
        <f>VLOOKUP(F120,환율!A:B,2,0)</f>
        <v>1530.5</v>
      </c>
      <c r="H120" s="1139">
        <v>47500.959999999999</v>
      </c>
      <c r="I120" s="1140">
        <f t="shared" si="55"/>
        <v>72700219</v>
      </c>
      <c r="J120" s="891"/>
      <c r="K120" s="892">
        <f>I120</f>
        <v>72700219</v>
      </c>
      <c r="L120" s="1108"/>
      <c r="M120" s="1105"/>
      <c r="N120" s="1108"/>
      <c r="O120" s="1108"/>
      <c r="P120" s="1108"/>
      <c r="Q120" s="1108"/>
      <c r="R120" s="1108"/>
      <c r="S120" s="1108">
        <f t="shared" si="53"/>
        <v>0</v>
      </c>
      <c r="T120" s="1108">
        <f t="shared" si="54"/>
        <v>0</v>
      </c>
    </row>
    <row r="121" spans="1:20" s="97" customFormat="1" ht="24" customHeight="1">
      <c r="A121" s="1053" t="s">
        <v>4049</v>
      </c>
      <c r="B121" s="1054" t="s">
        <v>4048</v>
      </c>
      <c r="C121" s="1055" t="s">
        <v>4097</v>
      </c>
      <c r="D121" s="1056" t="s">
        <v>2504</v>
      </c>
      <c r="E121" s="1057" t="s">
        <v>4010</v>
      </c>
      <c r="F121" s="1217">
        <v>46087</v>
      </c>
      <c r="G121" s="1058">
        <f>VLOOKUP(F121,환율!A:B,2,0)</f>
        <v>1464.3</v>
      </c>
      <c r="H121" s="1149"/>
      <c r="I121" s="1150">
        <v>21526400</v>
      </c>
      <c r="J121" s="1059">
        <f>I121</f>
        <v>21526400</v>
      </c>
      <c r="K121" s="1060"/>
      <c r="L121" s="1108">
        <f>J121*0.82</f>
        <v>17651648</v>
      </c>
      <c r="M121" s="1105"/>
      <c r="N121" s="1108"/>
      <c r="O121" s="1108"/>
      <c r="P121" s="1108"/>
      <c r="Q121" s="1108"/>
      <c r="R121" s="1108">
        <f>J121*0.18</f>
        <v>3874752</v>
      </c>
      <c r="S121" s="1108">
        <f t="shared" si="53"/>
        <v>21526400</v>
      </c>
      <c r="T121" s="1108">
        <v>0</v>
      </c>
    </row>
    <row r="122" spans="1:20" s="97" customFormat="1" ht="24" customHeight="1">
      <c r="A122" s="1032" t="s">
        <v>4049</v>
      </c>
      <c r="B122" s="1033" t="s">
        <v>4048</v>
      </c>
      <c r="C122" s="1024" t="s">
        <v>4098</v>
      </c>
      <c r="D122" s="1034" t="s">
        <v>2504</v>
      </c>
      <c r="E122" s="1035" t="s">
        <v>4010</v>
      </c>
      <c r="F122" s="1215">
        <v>46091</v>
      </c>
      <c r="G122" s="1036">
        <f>VLOOKUP(F122,환율!A:B,2,0)</f>
        <v>1493.1</v>
      </c>
      <c r="H122" s="1136"/>
      <c r="I122" s="1123">
        <v>21526400</v>
      </c>
      <c r="J122" s="1037">
        <f>I122</f>
        <v>21526400</v>
      </c>
      <c r="K122" s="1038"/>
      <c r="L122" s="1108">
        <f t="shared" ref="L122:L123" si="62">J122*0.82</f>
        <v>17651648</v>
      </c>
      <c r="M122" s="1105"/>
      <c r="N122" s="1108"/>
      <c r="O122" s="1108"/>
      <c r="P122" s="1108"/>
      <c r="Q122" s="1108"/>
      <c r="R122" s="1108">
        <f t="shared" ref="R122:R123" si="63">J122*0.18</f>
        <v>3874752</v>
      </c>
      <c r="S122" s="1108">
        <f t="shared" si="53"/>
        <v>21526400</v>
      </c>
      <c r="T122" s="1108">
        <v>0</v>
      </c>
    </row>
    <row r="123" spans="1:20" s="97" customFormat="1" ht="24" customHeight="1" thickBot="1">
      <c r="A123" s="1025" t="s">
        <v>4049</v>
      </c>
      <c r="B123" s="1026" t="s">
        <v>4048</v>
      </c>
      <c r="C123" s="1024" t="s">
        <v>4099</v>
      </c>
      <c r="D123" s="1027" t="s">
        <v>2504</v>
      </c>
      <c r="E123" s="1028" t="s">
        <v>4010</v>
      </c>
      <c r="F123" s="1218">
        <v>46100</v>
      </c>
      <c r="G123" s="1029">
        <f>VLOOKUP(F123,환율!A:B,2,0)</f>
        <v>1486</v>
      </c>
      <c r="H123" s="1151"/>
      <c r="I123" s="1152">
        <v>21526400</v>
      </c>
      <c r="J123" s="1030">
        <f>I123</f>
        <v>21526400</v>
      </c>
      <c r="K123" s="1031"/>
      <c r="L123" s="1108">
        <f t="shared" si="62"/>
        <v>17651648</v>
      </c>
      <c r="M123" s="1105"/>
      <c r="N123" s="1108"/>
      <c r="O123" s="1108"/>
      <c r="P123" s="1108"/>
      <c r="Q123" s="1108"/>
      <c r="R123" s="1108">
        <f t="shared" si="63"/>
        <v>3874752</v>
      </c>
      <c r="S123" s="1108">
        <f t="shared" si="53"/>
        <v>21526400</v>
      </c>
      <c r="T123" s="1108">
        <v>0</v>
      </c>
    </row>
    <row r="124" spans="1:20" s="496" customFormat="1" ht="24" customHeight="1" thickBot="1">
      <c r="A124" s="2165" t="s">
        <v>4056</v>
      </c>
      <c r="B124" s="2164"/>
      <c r="C124" s="2164"/>
      <c r="D124" s="2164"/>
      <c r="E124" s="2164"/>
      <c r="F124" s="2164"/>
      <c r="G124" s="2164"/>
      <c r="H124" s="1153"/>
      <c r="I124" s="1154">
        <f>SUM(I32:I123)</f>
        <v>7856672949</v>
      </c>
      <c r="J124" s="948">
        <f t="shared" ref="J124:K124" si="64">SUM(J32:J123)</f>
        <v>6461686081</v>
      </c>
      <c r="K124" s="949">
        <f t="shared" si="64"/>
        <v>1394986868</v>
      </c>
      <c r="L124" s="1108"/>
      <c r="M124" s="1105"/>
      <c r="N124" s="1108"/>
      <c r="O124" s="1108"/>
      <c r="P124" s="1108"/>
      <c r="Q124" s="1108"/>
      <c r="R124" s="1108"/>
      <c r="S124" s="1108">
        <f>ROUNDUP(SUM(S39:S123),-1)</f>
        <v>5543188300</v>
      </c>
      <c r="T124" s="1108">
        <f>SUM(T39:T123)</f>
        <v>164418227</v>
      </c>
    </row>
    <row r="125" spans="1:20" ht="19.2">
      <c r="H125" s="2194"/>
      <c r="I125" s="2194"/>
      <c r="J125" s="1163"/>
      <c r="S125" s="1108">
        <f>S124-J125</f>
        <v>5543188300</v>
      </c>
    </row>
    <row r="126" spans="1:20">
      <c r="I126" s="1174"/>
      <c r="J126" s="1175"/>
      <c r="S126" s="1108" t="e">
        <f>S124-#REF!</f>
        <v>#REF!</v>
      </c>
    </row>
    <row r="127" spans="1:20">
      <c r="I127" s="1174"/>
      <c r="J127" s="1175"/>
    </row>
  </sheetData>
  <autoFilter ref="A29:L124" xr:uid="{1CCF8D2F-36BE-46CD-94BA-38FEC2C856C0}"/>
  <mergeCells count="40">
    <mergeCell ref="A1:G4"/>
    <mergeCell ref="A5:B5"/>
    <mergeCell ref="A6:B6"/>
    <mergeCell ref="A7:B7"/>
    <mergeCell ref="A8:A23"/>
    <mergeCell ref="E8:G8"/>
    <mergeCell ref="E9:G9"/>
    <mergeCell ref="E10:G10"/>
    <mergeCell ref="E12:G12"/>
    <mergeCell ref="E13:G13"/>
    <mergeCell ref="E14:G14"/>
    <mergeCell ref="E15:G15"/>
    <mergeCell ref="E16:G16"/>
    <mergeCell ref="B11:C11"/>
    <mergeCell ref="E11:G11"/>
    <mergeCell ref="B22:C22"/>
    <mergeCell ref="B23:C23"/>
    <mergeCell ref="E17:G17"/>
    <mergeCell ref="E18:G18"/>
    <mergeCell ref="F28:F29"/>
    <mergeCell ref="G28:G29"/>
    <mergeCell ref="E20:G20"/>
    <mergeCell ref="E21:G21"/>
    <mergeCell ref="E28:E29"/>
    <mergeCell ref="E23:G23"/>
    <mergeCell ref="E19:G19"/>
    <mergeCell ref="E22:G22"/>
    <mergeCell ref="E25:G25"/>
    <mergeCell ref="E26:G26"/>
    <mergeCell ref="H125:I125"/>
    <mergeCell ref="A124:D124"/>
    <mergeCell ref="E124:G124"/>
    <mergeCell ref="A28:A29"/>
    <mergeCell ref="A24:A26"/>
    <mergeCell ref="E24:G24"/>
    <mergeCell ref="B28:B29"/>
    <mergeCell ref="C28:C29"/>
    <mergeCell ref="D28:D29"/>
    <mergeCell ref="H28:K28"/>
    <mergeCell ref="H24:H26"/>
  </mergeCells>
  <phoneticPr fontId="2" type="noConversion"/>
  <conditionalFormatting sqref="A5:A7 C33:G34 C35:K36 C118 A119:K123">
    <cfRule type="expression" dxfId="189" priority="13">
      <formula>#REF!="*01월*"</formula>
    </cfRule>
  </conditionalFormatting>
  <conditionalFormatting sqref="A29">
    <cfRule type="expression" dxfId="188" priority="27">
      <formula>#REF!="*01월*"</formula>
    </cfRule>
  </conditionalFormatting>
  <conditionalFormatting sqref="A124">
    <cfRule type="expression" dxfId="187" priority="12">
      <formula>#REF!="*01월*"</formula>
    </cfRule>
  </conditionalFormatting>
  <conditionalFormatting sqref="A30:G30">
    <cfRule type="expression" dxfId="186" priority="2">
      <formula>#REF!="*01월*"</formula>
    </cfRule>
  </conditionalFormatting>
  <conditionalFormatting sqref="A28:K28 A32:G32 A37:K39 A84:B84 A88:B88 C108:K118">
    <cfRule type="expression" dxfId="185" priority="26">
      <formula>#REF!="*01월*"</formula>
    </cfRule>
  </conditionalFormatting>
  <conditionalFormatting sqref="A107:K107">
    <cfRule type="expression" dxfId="184" priority="18">
      <formula>#REF!="*01월*"</formula>
    </cfRule>
  </conditionalFormatting>
  <conditionalFormatting sqref="B19:B22">
    <cfRule type="expression" dxfId="183" priority="6">
      <formula>#REF!="*01월*"</formula>
    </cfRule>
  </conditionalFormatting>
  <conditionalFormatting sqref="B10:C10 B11 B12:C12 B13:B16">
    <cfRule type="expression" dxfId="182" priority="17">
      <formula>#REF!="*01월*"</formula>
    </cfRule>
  </conditionalFormatting>
  <conditionalFormatting sqref="B17:C18">
    <cfRule type="expression" dxfId="181" priority="15">
      <formula>#REF!="*01월*"</formula>
    </cfRule>
  </conditionalFormatting>
  <conditionalFormatting sqref="B24:C26">
    <cfRule type="expression" dxfId="180" priority="11">
      <formula>#REF!="*01월*"</formula>
    </cfRule>
  </conditionalFormatting>
  <conditionalFormatting sqref="C15:C16">
    <cfRule type="expression" dxfId="179" priority="16">
      <formula>#REF!="*01월*"</formula>
    </cfRule>
  </conditionalFormatting>
  <conditionalFormatting sqref="C20:C21">
    <cfRule type="expression" dxfId="178" priority="14">
      <formula>#REF!="*01월*"</formula>
    </cfRule>
  </conditionalFormatting>
  <conditionalFormatting sqref="C115">
    <cfRule type="expression" dxfId="177" priority="22">
      <formula>$F116="*01월*"</formula>
    </cfRule>
  </conditionalFormatting>
  <conditionalFormatting sqref="C116">
    <cfRule type="expression" dxfId="176" priority="21">
      <formula>#REF!="*01월*"</formula>
    </cfRule>
  </conditionalFormatting>
  <conditionalFormatting sqref="C117">
    <cfRule type="expression" dxfId="175" priority="10">
      <formula>$F118="*01월*"</formula>
    </cfRule>
  </conditionalFormatting>
  <conditionalFormatting sqref="C29:K29">
    <cfRule type="expression" dxfId="174" priority="25">
      <formula>#REF!="*01월*"</formula>
    </cfRule>
  </conditionalFormatting>
  <conditionalFormatting sqref="C40:K106">
    <cfRule type="expression" dxfId="173" priority="3">
      <formula>#REF!="*01월*"</formula>
    </cfRule>
  </conditionalFormatting>
  <conditionalFormatting sqref="D5:E5 G5">
    <cfRule type="expression" dxfId="172" priority="43">
      <formula>$F10="*01월*"</formula>
    </cfRule>
  </conditionalFormatting>
  <conditionalFormatting sqref="D6:E7 G6:G7">
    <cfRule type="expression" dxfId="171" priority="1641">
      <formula>$F12="*01월*"</formula>
    </cfRule>
  </conditionalFormatting>
  <conditionalFormatting sqref="D8:E8 E12:E19 D37:E38 F40:F45">
    <cfRule type="expression" dxfId="170" priority="23">
      <formula>$F10="*01월*"</formula>
    </cfRule>
  </conditionalFormatting>
  <conditionalFormatting sqref="D9:E9 E10 E20">
    <cfRule type="expression" dxfId="169" priority="1645">
      <formula>$F12="*01월*"</formula>
    </cfRule>
  </conditionalFormatting>
  <conditionalFormatting sqref="E21 A95:B95 C114 F116 F118 H124:K124">
    <cfRule type="expression" dxfId="168" priority="40">
      <formula>#REF!="*01월*"</formula>
    </cfRule>
  </conditionalFormatting>
  <conditionalFormatting sqref="F41">
    <cfRule type="expression" dxfId="167" priority="9">
      <formula>#REF!="*01월*"</formula>
    </cfRule>
  </conditionalFormatting>
  <conditionalFormatting sqref="F43">
    <cfRule type="expression" dxfId="166" priority="30">
      <formula>#REF!="*01월*"</formula>
    </cfRule>
  </conditionalFormatting>
  <conditionalFormatting sqref="F44:F45">
    <cfRule type="expression" dxfId="165" priority="29">
      <formula>$F62="*01월*"</formula>
    </cfRule>
  </conditionalFormatting>
  <conditionalFormatting sqref="F44:F48">
    <cfRule type="expression" dxfId="164" priority="31">
      <formula>$F61="*01월*"</formula>
    </cfRule>
  </conditionalFormatting>
  <conditionalFormatting sqref="F46:F49">
    <cfRule type="expression" dxfId="163" priority="28">
      <formula>$F62="*01월*"</formula>
    </cfRule>
  </conditionalFormatting>
  <conditionalFormatting sqref="F47">
    <cfRule type="expression" dxfId="162" priority="32">
      <formula>$F71="*01월*"</formula>
    </cfRule>
  </conditionalFormatting>
  <conditionalFormatting sqref="F47:F48">
    <cfRule type="expression" dxfId="161" priority="33">
      <formula>$F70="*01월*"</formula>
    </cfRule>
  </conditionalFormatting>
  <conditionalFormatting sqref="F48:F54">
    <cfRule type="expression" dxfId="160" priority="38">
      <formula>#REF!="*01월*"</formula>
    </cfRule>
  </conditionalFormatting>
  <conditionalFormatting sqref="F49">
    <cfRule type="expression" dxfId="159" priority="34">
      <formula>$F71="*01월*"</formula>
    </cfRule>
  </conditionalFormatting>
  <conditionalFormatting sqref="F49:F50">
    <cfRule type="expression" dxfId="158" priority="35">
      <formula>$F70="*01월*"</formula>
    </cfRule>
  </conditionalFormatting>
  <conditionalFormatting sqref="F50:F51">
    <cfRule type="expression" dxfId="157" priority="36">
      <formula>$F70="*01월*"</formula>
    </cfRule>
  </conditionalFormatting>
  <conditionalFormatting sqref="F51:F52">
    <cfRule type="expression" dxfId="156" priority="37">
      <formula>$F70="*01월*"</formula>
    </cfRule>
  </conditionalFormatting>
  <conditionalFormatting sqref="F52:F53">
    <cfRule type="expression" dxfId="155" priority="39">
      <formula>$F70="*01월*"</formula>
    </cfRule>
  </conditionalFormatting>
  <conditionalFormatting sqref="F54">
    <cfRule type="expression" dxfId="154" priority="20">
      <formula>$F71="*01월*"</formula>
    </cfRule>
  </conditionalFormatting>
  <conditionalFormatting sqref="F74">
    <cfRule type="expression" dxfId="153" priority="41">
      <formula>#REF!="*01월*"</formula>
    </cfRule>
    <cfRule type="expression" dxfId="152" priority="42">
      <formula>$F108="*01월*"</formula>
    </cfRule>
  </conditionalFormatting>
  <conditionalFormatting sqref="F114">
    <cfRule type="expression" dxfId="151" priority="24">
      <formula>$F116="*01월*"</formula>
    </cfRule>
  </conditionalFormatting>
  <conditionalFormatting sqref="H8:J8 C114">
    <cfRule type="expression" dxfId="150" priority="19">
      <formula>$F10="*01월*"</formula>
    </cfRule>
  </conditionalFormatting>
  <conditionalFormatting sqref="H30:K34 C31:G31">
    <cfRule type="expression" dxfId="149" priority="1">
      <formula>#REF!="*01월*"</formula>
    </cfRule>
  </conditionalFormatting>
  <pageMargins left="0.43307086614173229" right="0" top="0.59055118110236227" bottom="0.55000000000000004" header="0" footer="0"/>
  <pageSetup paperSize="9" scale="57" fitToHeight="0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AC65F-6E14-41FA-84C8-C0FAF9A9A905}">
  <sheetPr>
    <pageSetUpPr fitToPage="1"/>
  </sheetPr>
  <dimension ref="A1:T136"/>
  <sheetViews>
    <sheetView zoomScale="85" zoomScaleNormal="85" zoomScaleSheetLayoutView="100" workbookViewId="0">
      <pane xSplit="1" ySplit="8" topLeftCell="B120" activePane="bottomRight" state="frozen"/>
      <selection pane="topRight" activeCell="B1" sqref="B1"/>
      <selection pane="bottomLeft" activeCell="A9" sqref="A9"/>
      <selection pane="bottomRight" activeCell="P79" sqref="P79"/>
    </sheetView>
  </sheetViews>
  <sheetFormatPr defaultRowHeight="17.399999999999999"/>
  <cols>
    <col min="1" max="1" width="13.59765625" style="809" customWidth="1"/>
    <col min="2" max="2" width="9.59765625" style="809" customWidth="1"/>
    <col min="3" max="3" width="16.5" style="810" customWidth="1"/>
    <col min="4" max="4" width="18.69921875" style="810" customWidth="1"/>
    <col min="5" max="5" width="9.19921875" style="811" customWidth="1"/>
    <col min="6" max="6" width="9.19921875" style="1172" customWidth="1"/>
    <col min="7" max="7" width="9.19921875" style="810" customWidth="1"/>
    <col min="8" max="8" width="16.8984375" style="1119" customWidth="1"/>
    <col min="9" max="11" width="16.8984375" style="810" customWidth="1"/>
    <col min="12" max="12" width="13.8984375" style="1108" hidden="1" customWidth="1"/>
    <col min="13" max="13" width="13.8984375" style="1105" hidden="1" customWidth="1"/>
    <col min="14" max="20" width="13.8984375" style="1108" customWidth="1"/>
  </cols>
  <sheetData>
    <row r="1" spans="1:20" ht="21.75" customHeight="1">
      <c r="A1" s="2163" t="s">
        <v>4247</v>
      </c>
      <c r="B1" s="2163"/>
      <c r="C1" s="2163"/>
      <c r="D1" s="2163"/>
      <c r="E1" s="2163"/>
      <c r="F1" s="2163"/>
      <c r="G1" s="2163"/>
      <c r="H1" s="810"/>
      <c r="K1"/>
      <c r="L1" s="1105"/>
    </row>
    <row r="2" spans="1:20" ht="21.75" customHeight="1">
      <c r="A2" s="2163"/>
      <c r="B2" s="2163"/>
      <c r="C2" s="2163"/>
      <c r="D2" s="2163"/>
      <c r="E2" s="2163"/>
      <c r="F2" s="2163"/>
      <c r="G2" s="2163"/>
      <c r="H2" s="810"/>
      <c r="K2"/>
      <c r="L2" s="1105"/>
    </row>
    <row r="3" spans="1:20" ht="19.5" customHeight="1">
      <c r="A3" s="2163"/>
      <c r="B3" s="2163"/>
      <c r="C3" s="2163"/>
      <c r="D3" s="2163"/>
      <c r="E3" s="2163"/>
      <c r="F3" s="2163"/>
      <c r="G3" s="2163"/>
      <c r="H3" s="1114"/>
      <c r="I3" s="1115"/>
      <c r="J3" s="812"/>
      <c r="K3" s="812"/>
      <c r="L3" s="1105"/>
    </row>
    <row r="4" spans="1:20" ht="19.5" customHeight="1">
      <c r="A4" s="2163"/>
      <c r="B4" s="2163"/>
      <c r="C4" s="2163"/>
      <c r="D4" s="2163"/>
      <c r="E4" s="2163"/>
      <c r="F4" s="2163"/>
      <c r="G4" s="2163"/>
      <c r="H4" s="1114"/>
      <c r="I4" s="1115"/>
      <c r="J4" s="812"/>
      <c r="K4" s="812"/>
      <c r="L4" s="1105"/>
    </row>
    <row r="5" spans="1:20" ht="19.5" customHeight="1">
      <c r="A5" s="2175" t="s">
        <v>3749</v>
      </c>
      <c r="B5" s="2175"/>
      <c r="C5" s="944"/>
      <c r="D5" s="944"/>
      <c r="E5" s="944"/>
      <c r="F5" s="1210"/>
      <c r="G5" s="944"/>
      <c r="H5" s="1114"/>
      <c r="I5" s="1115"/>
      <c r="J5" s="812"/>
      <c r="K5" s="812"/>
      <c r="L5" s="1105"/>
    </row>
    <row r="6" spans="1:20" ht="19.5" customHeight="1">
      <c r="A6" s="2176" t="s">
        <v>4226</v>
      </c>
      <c r="B6" s="2176"/>
      <c r="C6" s="944"/>
      <c r="D6" s="944"/>
      <c r="E6" s="944"/>
      <c r="F6" s="1210"/>
      <c r="G6" s="944"/>
      <c r="H6" s="1114"/>
      <c r="I6" s="1116"/>
      <c r="J6" s="813"/>
      <c r="K6" s="813"/>
      <c r="L6" s="1105"/>
    </row>
    <row r="7" spans="1:20" ht="19.5" customHeight="1" thickBot="1">
      <c r="A7" s="2209" t="s">
        <v>3748</v>
      </c>
      <c r="B7" s="2209"/>
      <c r="C7" s="945"/>
      <c r="D7" s="945"/>
      <c r="E7" s="945"/>
      <c r="F7" s="1211"/>
      <c r="G7" s="945"/>
      <c r="H7" s="1117"/>
      <c r="I7" s="1116"/>
      <c r="J7" s="813"/>
      <c r="K7" s="813"/>
      <c r="L7" s="1105"/>
    </row>
    <row r="8" spans="1:20" s="126" customFormat="1" ht="25.5" customHeight="1">
      <c r="A8" s="2178" t="s">
        <v>4057</v>
      </c>
      <c r="B8" s="951" t="s">
        <v>4035</v>
      </c>
      <c r="C8" s="951" t="s">
        <v>236</v>
      </c>
      <c r="D8" s="952" t="s">
        <v>4053</v>
      </c>
      <c r="E8" s="2185" t="s">
        <v>4054</v>
      </c>
      <c r="F8" s="2186"/>
      <c r="G8" s="2187"/>
      <c r="H8" s="1155" t="s">
        <v>4051</v>
      </c>
      <c r="I8" s="1118" t="s">
        <v>4050</v>
      </c>
      <c r="J8" s="1258" t="s">
        <v>4055</v>
      </c>
      <c r="K8" s="953" t="s">
        <v>4058</v>
      </c>
      <c r="L8" s="1106" t="s">
        <v>4218</v>
      </c>
      <c r="M8" s="1106" t="s">
        <v>4219</v>
      </c>
      <c r="N8" s="1109" t="s">
        <v>4220</v>
      </c>
      <c r="O8" s="1109" t="s">
        <v>4221</v>
      </c>
      <c r="P8" s="1109" t="s">
        <v>4222</v>
      </c>
      <c r="Q8" s="1109" t="s">
        <v>4223</v>
      </c>
      <c r="R8" s="1109" t="s">
        <v>4224</v>
      </c>
      <c r="S8" s="1109" t="s">
        <v>4052</v>
      </c>
      <c r="T8" s="1109" t="s">
        <v>4225</v>
      </c>
    </row>
    <row r="9" spans="1:20" s="126" customFormat="1" ht="25.5" customHeight="1">
      <c r="A9" s="2092"/>
      <c r="B9" s="954" t="s">
        <v>375</v>
      </c>
      <c r="C9" s="954" t="s">
        <v>4036</v>
      </c>
      <c r="D9" s="955">
        <f>SUM(J30)</f>
        <v>188338650</v>
      </c>
      <c r="E9" s="2133">
        <f>SUM(J31:J34)</f>
        <v>430993074</v>
      </c>
      <c r="F9" s="2134"/>
      <c r="G9" s="2135"/>
      <c r="H9" s="1156">
        <f>SUM(K32:K35)</f>
        <v>161004378</v>
      </c>
      <c r="I9" s="956">
        <f>SUM(D9:G9)</f>
        <v>619331724</v>
      </c>
      <c r="J9" s="1235">
        <f>SUM(D9:G9)</f>
        <v>619331724</v>
      </c>
      <c r="K9" s="957"/>
      <c r="L9" s="1105"/>
      <c r="M9" s="1105"/>
      <c r="N9" s="1108"/>
      <c r="O9" s="1108"/>
      <c r="P9" s="1108"/>
      <c r="Q9" s="1108"/>
      <c r="R9" s="1108"/>
      <c r="S9" s="1108"/>
      <c r="T9" s="1108"/>
    </row>
    <row r="10" spans="1:20" s="19" customFormat="1" ht="25.5" customHeight="1">
      <c r="A10" s="2092"/>
      <c r="B10" s="964" t="s">
        <v>375</v>
      </c>
      <c r="C10" s="964" t="s">
        <v>4025</v>
      </c>
      <c r="D10" s="965">
        <v>0</v>
      </c>
      <c r="E10" s="2182">
        <f>SUM(J36:J37)</f>
        <v>124801861</v>
      </c>
      <c r="F10" s="2183"/>
      <c r="G10" s="2184"/>
      <c r="H10" s="1157">
        <v>0</v>
      </c>
      <c r="I10" s="965">
        <f ca="1">SUMIF($A$32:$A$133,C10,$I$32:$I$132)</f>
        <v>124801861</v>
      </c>
      <c r="J10" s="1242">
        <f t="shared" ref="J10:J20" si="0">SUM(D10:G10)</f>
        <v>124801861</v>
      </c>
      <c r="K10" s="966">
        <f>SUM(J9:J10)</f>
        <v>744133585</v>
      </c>
      <c r="L10" s="1105"/>
      <c r="M10" s="1105"/>
      <c r="N10" s="1108">
        <v>744133585</v>
      </c>
      <c r="O10" s="1108">
        <f>K10-N10</f>
        <v>0</v>
      </c>
      <c r="P10" s="1108"/>
      <c r="Q10" s="1108"/>
      <c r="R10" s="1108"/>
      <c r="S10" s="1108"/>
      <c r="T10" s="1108"/>
    </row>
    <row r="11" spans="1:20" s="19" customFormat="1" ht="25.5" customHeight="1">
      <c r="A11" s="2092"/>
      <c r="B11" s="2210" t="s">
        <v>4244</v>
      </c>
      <c r="C11" s="2211"/>
      <c r="D11" s="1112">
        <f>SUM(D9:D10)</f>
        <v>188338650</v>
      </c>
      <c r="E11" s="2200">
        <f>SUM(E9:G10)</f>
        <v>555794935</v>
      </c>
      <c r="F11" s="2201"/>
      <c r="G11" s="2202"/>
      <c r="H11" s="1158">
        <f t="shared" ref="H11:K11" si="1">SUM(H9:H10)</f>
        <v>161004378</v>
      </c>
      <c r="I11" s="1112">
        <f t="shared" ca="1" si="1"/>
        <v>744133585</v>
      </c>
      <c r="J11" s="1184">
        <f t="shared" si="1"/>
        <v>744133585</v>
      </c>
      <c r="K11" s="1113">
        <f t="shared" si="1"/>
        <v>744133585</v>
      </c>
      <c r="L11" s="1105"/>
      <c r="M11" s="1105"/>
      <c r="N11" s="1108"/>
      <c r="O11" s="1108"/>
      <c r="P11" s="1108"/>
      <c r="Q11" s="1108"/>
      <c r="R11" s="1108"/>
      <c r="S11" s="1108"/>
      <c r="T11" s="1108"/>
    </row>
    <row r="12" spans="1:20" ht="25.5" customHeight="1">
      <c r="A12" s="2092"/>
      <c r="B12" s="970" t="s">
        <v>478</v>
      </c>
      <c r="C12" s="970" t="s">
        <v>4026</v>
      </c>
      <c r="D12" s="971">
        <v>0</v>
      </c>
      <c r="E12" s="2157">
        <f>SUM(J38)</f>
        <v>16707272</v>
      </c>
      <c r="F12" s="2158"/>
      <c r="G12" s="2159"/>
      <c r="H12" s="1159">
        <v>0</v>
      </c>
      <c r="I12" s="971">
        <f ca="1">SUMIF($A$32:$A$133,C12,$I$32:$I$132)</f>
        <v>16707272</v>
      </c>
      <c r="J12" s="1234">
        <f>SUM(D12:G12)</f>
        <v>16707272</v>
      </c>
      <c r="K12" s="972"/>
      <c r="L12" s="1105"/>
    </row>
    <row r="13" spans="1:20" s="24" customFormat="1" ht="25.5" customHeight="1">
      <c r="A13" s="2092"/>
      <c r="B13" s="959" t="s">
        <v>478</v>
      </c>
      <c r="C13" s="959" t="s">
        <v>660</v>
      </c>
      <c r="D13" s="956">
        <f>SUM(J39:J40)</f>
        <v>91677537</v>
      </c>
      <c r="E13" s="2133">
        <f>SUM(J41:J45)</f>
        <v>359310581</v>
      </c>
      <c r="F13" s="2134"/>
      <c r="G13" s="2135"/>
      <c r="H13" s="1156">
        <f>SUM(K46:K47)</f>
        <v>105395355</v>
      </c>
      <c r="I13" s="956">
        <f ca="1">SUMIF($A$30:$A$133,C13,$I$30:$I$132)</f>
        <v>556383473</v>
      </c>
      <c r="J13" s="1235">
        <f>SUM(D13:G13)</f>
        <v>450988118</v>
      </c>
      <c r="K13" s="1233"/>
      <c r="L13" s="1105"/>
      <c r="M13" s="1105"/>
      <c r="N13" s="1108"/>
      <c r="O13" s="1108"/>
      <c r="P13" s="1108"/>
      <c r="Q13" s="1108"/>
      <c r="R13" s="1108"/>
      <c r="S13" s="1108"/>
      <c r="T13" s="1108"/>
    </row>
    <row r="14" spans="1:20" s="24" customFormat="1" ht="25.5" customHeight="1">
      <c r="A14" s="2092"/>
      <c r="B14" s="959" t="s">
        <v>478</v>
      </c>
      <c r="C14" s="959" t="s">
        <v>4042</v>
      </c>
      <c r="D14" s="956">
        <f>SUM(J48:J55)</f>
        <v>818905774</v>
      </c>
      <c r="E14" s="2133">
        <f>SUM(J56:J78)</f>
        <v>1609465672</v>
      </c>
      <c r="F14" s="2134"/>
      <c r="G14" s="2135"/>
      <c r="H14" s="1156">
        <f>SUM(K79:K80)</f>
        <v>14244600</v>
      </c>
      <c r="I14" s="956">
        <f t="shared" ref="I14:I21" ca="1" si="2">SUMIF($A$32:$A$133,C14,$I$32:$I$132)</f>
        <v>2442616046</v>
      </c>
      <c r="J14" s="1235">
        <f>SUM(D14:G14)</f>
        <v>2428371446</v>
      </c>
      <c r="K14" s="957"/>
      <c r="L14" s="1105"/>
      <c r="M14" s="1105"/>
      <c r="N14" s="1108"/>
      <c r="O14" s="1108"/>
      <c r="P14" s="1108"/>
      <c r="Q14" s="1108"/>
      <c r="R14" s="1108"/>
      <c r="S14" s="1108"/>
      <c r="T14" s="1108"/>
    </row>
    <row r="15" spans="1:20" s="24" customFormat="1" ht="25.5" customHeight="1">
      <c r="A15" s="2092"/>
      <c r="B15" s="959" t="s">
        <v>478</v>
      </c>
      <c r="C15" s="959" t="s">
        <v>4041</v>
      </c>
      <c r="D15" s="956">
        <v>0</v>
      </c>
      <c r="E15" s="2133">
        <f>SUM(J81:J86)</f>
        <v>383589911</v>
      </c>
      <c r="F15" s="2134"/>
      <c r="G15" s="2135"/>
      <c r="H15" s="1156"/>
      <c r="I15" s="956">
        <f t="shared" ca="1" si="2"/>
        <v>383589911</v>
      </c>
      <c r="J15" s="1235">
        <f>SUM(D15:G15)</f>
        <v>383589911</v>
      </c>
      <c r="K15" s="960"/>
      <c r="L15" s="1105"/>
      <c r="M15" s="1105"/>
      <c r="N15" s="1108"/>
      <c r="O15" s="1108"/>
      <c r="P15" s="1108"/>
      <c r="Q15" s="1108"/>
      <c r="R15" s="1108"/>
      <c r="S15" s="1108"/>
      <c r="T15" s="1108"/>
    </row>
    <row r="16" spans="1:20" s="24" customFormat="1" ht="25.5" customHeight="1">
      <c r="A16" s="2092"/>
      <c r="B16" s="973" t="s">
        <v>478</v>
      </c>
      <c r="C16" s="973" t="s">
        <v>4045</v>
      </c>
      <c r="D16" s="974">
        <f>SUM(J87:J88)</f>
        <v>131336542</v>
      </c>
      <c r="E16" s="2160">
        <f>SUM(J89:J92)</f>
        <v>175993248</v>
      </c>
      <c r="F16" s="2161"/>
      <c r="G16" s="2162"/>
      <c r="H16" s="1160">
        <f>SUM(K93)</f>
        <v>153722612</v>
      </c>
      <c r="I16" s="974">
        <f t="shared" ca="1" si="2"/>
        <v>461052402</v>
      </c>
      <c r="J16" s="1236">
        <f t="shared" si="0"/>
        <v>307329790</v>
      </c>
      <c r="K16" s="975">
        <f>SUM(J12:J16)</f>
        <v>3586986537</v>
      </c>
      <c r="L16" s="1105"/>
      <c r="M16" s="1105"/>
      <c r="N16" s="1108">
        <v>3590340300</v>
      </c>
      <c r="O16" s="1108">
        <f>N16-K16</f>
        <v>3353763</v>
      </c>
      <c r="P16" s="1108"/>
      <c r="Q16" s="1108"/>
      <c r="R16" s="1108"/>
      <c r="S16" s="1108"/>
      <c r="T16" s="1108"/>
    </row>
    <row r="17" spans="1:20" s="24" customFormat="1" ht="25.5" customHeight="1">
      <c r="A17" s="2092"/>
      <c r="B17" s="946" t="s">
        <v>626</v>
      </c>
      <c r="C17" s="946" t="s">
        <v>664</v>
      </c>
      <c r="D17" s="808">
        <v>0</v>
      </c>
      <c r="E17" s="2188">
        <f>SUM(J94:J106)</f>
        <v>1594894803</v>
      </c>
      <c r="F17" s="2189"/>
      <c r="G17" s="2190"/>
      <c r="H17" s="1161">
        <f>SUM(K107:K109)</f>
        <v>792057183</v>
      </c>
      <c r="I17" s="808">
        <f t="shared" ca="1" si="2"/>
        <v>2386951986</v>
      </c>
      <c r="J17" s="1237">
        <f>SUM(J94:J106)</f>
        <v>1594894803</v>
      </c>
      <c r="K17" s="950">
        <f>J17</f>
        <v>1594894803</v>
      </c>
      <c r="L17" s="1105"/>
      <c r="M17" s="1105"/>
      <c r="N17" s="1108"/>
      <c r="O17" s="1108"/>
      <c r="P17" s="1108"/>
      <c r="Q17" s="1108"/>
      <c r="R17" s="1108"/>
      <c r="S17" s="1108"/>
      <c r="T17" s="1108"/>
    </row>
    <row r="18" spans="1:20" ht="25.5" customHeight="1">
      <c r="A18" s="2092"/>
      <c r="B18" s="967" t="s">
        <v>4048</v>
      </c>
      <c r="C18" s="967" t="s">
        <v>47</v>
      </c>
      <c r="D18" s="968">
        <f>SUM(J110)</f>
        <v>23808765</v>
      </c>
      <c r="E18" s="2191">
        <f>SUM(J111:J113)</f>
        <v>93783921</v>
      </c>
      <c r="F18" s="2192"/>
      <c r="G18" s="2193"/>
      <c r="H18" s="1183">
        <f>SUM(K114)</f>
        <v>51757773</v>
      </c>
      <c r="I18" s="968">
        <f t="shared" ca="1" si="2"/>
        <v>169350459</v>
      </c>
      <c r="J18" s="1238">
        <f t="shared" si="0"/>
        <v>117592686</v>
      </c>
      <c r="K18" s="969"/>
      <c r="L18" s="1105"/>
    </row>
    <row r="19" spans="1:20" ht="25.5" customHeight="1">
      <c r="A19" s="2092"/>
      <c r="B19" s="959" t="s">
        <v>4048</v>
      </c>
      <c r="C19" s="959" t="s">
        <v>40</v>
      </c>
      <c r="D19" s="956">
        <f>SUM(J115:J116)</f>
        <v>63555764</v>
      </c>
      <c r="E19" s="2133">
        <f>SUM(J117:J124)</f>
        <v>77844568</v>
      </c>
      <c r="F19" s="2134"/>
      <c r="G19" s="2135"/>
      <c r="H19" s="1156">
        <f>SUM(K125:K125)</f>
        <v>16009856</v>
      </c>
      <c r="I19" s="956">
        <f t="shared" ca="1" si="2"/>
        <v>157410188</v>
      </c>
      <c r="J19" s="1235">
        <f t="shared" si="0"/>
        <v>141400332</v>
      </c>
      <c r="K19" s="960"/>
      <c r="L19" s="1105"/>
    </row>
    <row r="20" spans="1:20" ht="25.5" customHeight="1">
      <c r="A20" s="2092"/>
      <c r="B20" s="973" t="s">
        <v>4048</v>
      </c>
      <c r="C20" s="973" t="s">
        <v>15</v>
      </c>
      <c r="D20" s="974">
        <f>SUM(J126)</f>
        <v>70116167</v>
      </c>
      <c r="E20" s="2160">
        <f>SUM(J127)</f>
        <v>24181060</v>
      </c>
      <c r="F20" s="2161"/>
      <c r="G20" s="2162"/>
      <c r="H20" s="1160">
        <f>SUM(K128:K129)</f>
        <v>100439544</v>
      </c>
      <c r="I20" s="974">
        <f t="shared" ca="1" si="2"/>
        <v>194736771</v>
      </c>
      <c r="J20" s="1236">
        <f t="shared" si="0"/>
        <v>94297227</v>
      </c>
      <c r="K20" s="975">
        <f>SUM(J18:J20)</f>
        <v>353290245</v>
      </c>
      <c r="L20" s="1105"/>
    </row>
    <row r="21" spans="1:20" ht="25.5" customHeight="1">
      <c r="A21" s="2092"/>
      <c r="B21" s="967" t="s">
        <v>4048</v>
      </c>
      <c r="C21" s="1259" t="s">
        <v>4049</v>
      </c>
      <c r="D21" s="968"/>
      <c r="E21" s="2191">
        <f>SUM(J130:J132)</f>
        <v>43052800</v>
      </c>
      <c r="F21" s="2192"/>
      <c r="G21" s="2193"/>
      <c r="H21" s="1183"/>
      <c r="I21" s="968">
        <f t="shared" ca="1" si="2"/>
        <v>43052800</v>
      </c>
      <c r="J21" s="1183">
        <f>SUM(D21:G21)</f>
        <v>43052800</v>
      </c>
      <c r="K21" s="1260" t="s">
        <v>4241</v>
      </c>
      <c r="L21" s="1105"/>
    </row>
    <row r="22" spans="1:20" ht="25.5" customHeight="1">
      <c r="A22" s="2092"/>
      <c r="B22" s="2210" t="s">
        <v>4245</v>
      </c>
      <c r="C22" s="2211"/>
      <c r="D22" s="1112">
        <f>SUM(D12:D21)</f>
        <v>1199400549</v>
      </c>
      <c r="E22" s="2200">
        <f>SUM(E12:G21)</f>
        <v>4378823836</v>
      </c>
      <c r="F22" s="2201">
        <f t="shared" ref="F22:K22" si="3">SUM(F12:F21)</f>
        <v>0</v>
      </c>
      <c r="G22" s="2202">
        <f t="shared" si="3"/>
        <v>0</v>
      </c>
      <c r="H22" s="1158">
        <f t="shared" si="3"/>
        <v>1233626923</v>
      </c>
      <c r="I22" s="1112">
        <f t="shared" ca="1" si="3"/>
        <v>6811851308</v>
      </c>
      <c r="J22" s="1184">
        <f>SUM(J12:J21)</f>
        <v>5578224385</v>
      </c>
      <c r="K22" s="1113">
        <f t="shared" si="3"/>
        <v>5535171585</v>
      </c>
      <c r="L22" s="1105"/>
    </row>
    <row r="23" spans="1:20" ht="30" customHeight="1" thickBot="1">
      <c r="A23" s="2179"/>
      <c r="B23" s="2180" t="s">
        <v>4052</v>
      </c>
      <c r="C23" s="2181"/>
      <c r="D23" s="962">
        <f>SUM(D22,D11)</f>
        <v>1387739199</v>
      </c>
      <c r="E23" s="2172">
        <f t="shared" ref="E23:K23" si="4">SUM(E22,E11)</f>
        <v>4934618771</v>
      </c>
      <c r="F23" s="2173">
        <f t="shared" si="4"/>
        <v>0</v>
      </c>
      <c r="G23" s="2174">
        <f t="shared" si="4"/>
        <v>0</v>
      </c>
      <c r="H23" s="1162">
        <f t="shared" si="4"/>
        <v>1394631301</v>
      </c>
      <c r="I23" s="962">
        <f t="shared" ca="1" si="4"/>
        <v>7555984893</v>
      </c>
      <c r="J23" s="1162">
        <f>SUM(J22,J11)</f>
        <v>6322357970</v>
      </c>
      <c r="K23" s="976">
        <f t="shared" si="4"/>
        <v>6279305170</v>
      </c>
      <c r="L23" s="1105"/>
    </row>
    <row r="24" spans="1:20" ht="30" customHeight="1" thickBot="1">
      <c r="A24" s="2149" t="s">
        <v>4059</v>
      </c>
      <c r="B24" s="977" t="s">
        <v>478</v>
      </c>
      <c r="C24" s="977" t="s">
        <v>4415</v>
      </c>
      <c r="D24" s="978" t="s">
        <v>4415</v>
      </c>
      <c r="E24" s="2212"/>
      <c r="F24" s="2167"/>
      <c r="G24" s="2168"/>
      <c r="H24" s="2197">
        <f>SUM(E24:G26)</f>
        <v>335530412</v>
      </c>
      <c r="I24" s="1104" t="s">
        <v>4414</v>
      </c>
      <c r="J24" s="1243" t="s">
        <v>4241</v>
      </c>
      <c r="K24" s="1244">
        <f>J21</f>
        <v>43052800</v>
      </c>
      <c r="L24" s="1105"/>
    </row>
    <row r="25" spans="1:20" ht="30" customHeight="1" thickBot="1">
      <c r="A25" s="2195"/>
      <c r="B25" s="959" t="s">
        <v>4046</v>
      </c>
      <c r="C25" s="1164" t="s">
        <v>664</v>
      </c>
      <c r="D25" s="1091" t="s">
        <v>4230</v>
      </c>
      <c r="E25" s="2203">
        <f>SUM(J95,J97,J106)</f>
        <v>330733087</v>
      </c>
      <c r="F25" s="2204"/>
      <c r="G25" s="2205"/>
      <c r="H25" s="2198"/>
      <c r="I25" s="1092" t="s">
        <v>4412</v>
      </c>
      <c r="J25" s="1245" t="s">
        <v>4242</v>
      </c>
      <c r="K25" s="1246">
        <f>SUM(J9:J10,J12:J20)</f>
        <v>6279305170</v>
      </c>
      <c r="L25" s="1105"/>
      <c r="N25" s="1108">
        <v>6279305170</v>
      </c>
      <c r="O25" s="1108">
        <f>K25-N25</f>
        <v>0</v>
      </c>
    </row>
    <row r="26" spans="1:20" ht="30" customHeight="1" thickBot="1">
      <c r="A26" s="2196"/>
      <c r="B26" s="1093" t="s">
        <v>4048</v>
      </c>
      <c r="C26" s="1093" t="s">
        <v>40</v>
      </c>
      <c r="D26" s="1094" t="s">
        <v>4413</v>
      </c>
      <c r="E26" s="2206">
        <f>J124</f>
        <v>4797325</v>
      </c>
      <c r="F26" s="2207"/>
      <c r="G26" s="2208"/>
      <c r="H26" s="2199"/>
      <c r="I26" s="1095" t="s">
        <v>4231</v>
      </c>
      <c r="J26" s="1241" t="s">
        <v>4052</v>
      </c>
      <c r="K26" s="1240">
        <f>SUM(K24:K25)</f>
        <v>6322357970</v>
      </c>
      <c r="L26" s="1105"/>
    </row>
    <row r="27" spans="1:20" ht="18" thickBot="1">
      <c r="A27" s="980" t="s">
        <v>4060</v>
      </c>
      <c r="L27" s="1105"/>
    </row>
    <row r="28" spans="1:20" ht="23.25" customHeight="1">
      <c r="A28" s="2141" t="s">
        <v>0</v>
      </c>
      <c r="B28" s="2143" t="s">
        <v>4035</v>
      </c>
      <c r="C28" s="2143" t="s">
        <v>1</v>
      </c>
      <c r="D28" s="2145" t="s">
        <v>2</v>
      </c>
      <c r="E28" s="2147" t="s">
        <v>4103</v>
      </c>
      <c r="F28" s="2145" t="s">
        <v>3</v>
      </c>
      <c r="G28" s="2136" t="s">
        <v>4</v>
      </c>
      <c r="H28" s="2138" t="s">
        <v>2352</v>
      </c>
      <c r="I28" s="2139"/>
      <c r="J28" s="2139"/>
      <c r="K28" s="2140"/>
      <c r="L28" s="1105"/>
    </row>
    <row r="29" spans="1:20" ht="23.25" customHeight="1" thickBot="1">
      <c r="A29" s="2142"/>
      <c r="B29" s="2144"/>
      <c r="C29" s="2144"/>
      <c r="D29" s="2146"/>
      <c r="E29" s="2148"/>
      <c r="F29" s="2146"/>
      <c r="G29" s="2137"/>
      <c r="H29" s="1120" t="s">
        <v>6</v>
      </c>
      <c r="I29" s="1121" t="s">
        <v>7</v>
      </c>
      <c r="J29" s="814" t="s">
        <v>2479</v>
      </c>
      <c r="K29" s="815" t="s">
        <v>2336</v>
      </c>
      <c r="L29" s="1105"/>
    </row>
    <row r="30" spans="1:20" ht="23.25" customHeight="1">
      <c r="A30" s="816" t="s">
        <v>4037</v>
      </c>
      <c r="B30" s="817" t="s">
        <v>4038</v>
      </c>
      <c r="C30" s="893" t="s">
        <v>4109</v>
      </c>
      <c r="D30" s="821" t="s">
        <v>4110</v>
      </c>
      <c r="E30" s="894">
        <v>46117</v>
      </c>
      <c r="F30" s="819">
        <v>46117</v>
      </c>
      <c r="G30" s="822">
        <v>9.5211000000000006</v>
      </c>
      <c r="H30" s="1281">
        <v>19781186</v>
      </c>
      <c r="I30" s="1142">
        <f>ROUNDDOWN(H30*G30,0)</f>
        <v>188338650</v>
      </c>
      <c r="J30" s="823">
        <f>I30</f>
        <v>188338650</v>
      </c>
      <c r="K30" s="824"/>
      <c r="L30" s="1105"/>
    </row>
    <row r="31" spans="1:20" ht="23.25" customHeight="1">
      <c r="A31" s="825" t="s">
        <v>4036</v>
      </c>
      <c r="B31" s="826" t="s">
        <v>4038</v>
      </c>
      <c r="C31" s="827" t="s">
        <v>4435</v>
      </c>
      <c r="D31" s="912" t="s">
        <v>4422</v>
      </c>
      <c r="E31" s="1022">
        <v>46117</v>
      </c>
      <c r="F31" s="910">
        <v>46117</v>
      </c>
      <c r="G31" s="1200">
        <v>9.5211000000000006</v>
      </c>
      <c r="H31" s="1122">
        <v>6384654</v>
      </c>
      <c r="I31" s="1135">
        <f t="shared" ref="I31:I34" si="5">ROUNDDOWN(H31*G31,0)</f>
        <v>60788929</v>
      </c>
      <c r="J31" s="832">
        <f>I31</f>
        <v>60788929</v>
      </c>
      <c r="K31" s="833"/>
      <c r="L31" s="1105"/>
    </row>
    <row r="32" spans="1:20" s="97" customFormat="1" ht="24" customHeight="1">
      <c r="A32" s="1020" t="s">
        <v>4037</v>
      </c>
      <c r="B32" s="1021" t="s">
        <v>375</v>
      </c>
      <c r="C32" s="827" t="s">
        <v>4436</v>
      </c>
      <c r="D32" s="912" t="s">
        <v>4423</v>
      </c>
      <c r="E32" s="1022">
        <v>46125</v>
      </c>
      <c r="F32" s="910">
        <v>46125</v>
      </c>
      <c r="G32" s="1200">
        <v>9.2583000000000002</v>
      </c>
      <c r="H32" s="1201">
        <v>17245240</v>
      </c>
      <c r="I32" s="1135">
        <f t="shared" si="5"/>
        <v>159661605</v>
      </c>
      <c r="J32" s="926">
        <f>I32</f>
        <v>159661605</v>
      </c>
      <c r="K32" s="927"/>
      <c r="L32" s="1105"/>
      <c r="M32" s="1105"/>
      <c r="N32" s="1108"/>
      <c r="O32" s="1108"/>
      <c r="P32" s="1108"/>
      <c r="Q32" s="1108"/>
      <c r="R32" s="1108"/>
      <c r="S32" s="1108"/>
      <c r="T32" s="1108"/>
    </row>
    <row r="33" spans="1:20" s="97" customFormat="1" ht="24" customHeight="1">
      <c r="A33" s="825" t="s">
        <v>4036</v>
      </c>
      <c r="B33" s="826" t="s">
        <v>4038</v>
      </c>
      <c r="C33" s="827" t="s">
        <v>4437</v>
      </c>
      <c r="D33" s="912" t="s">
        <v>4424</v>
      </c>
      <c r="E33" s="1022">
        <v>46125</v>
      </c>
      <c r="F33" s="912">
        <v>46125</v>
      </c>
      <c r="G33" s="831">
        <v>9.2583000000000002</v>
      </c>
      <c r="H33" s="1122">
        <v>6355200</v>
      </c>
      <c r="I33" s="1135">
        <f t="shared" si="5"/>
        <v>58838348</v>
      </c>
      <c r="J33" s="832">
        <f>I33</f>
        <v>58838348</v>
      </c>
      <c r="K33" s="833"/>
      <c r="L33" s="1105"/>
      <c r="M33" s="1105"/>
      <c r="N33" s="1108"/>
      <c r="O33" s="1108"/>
      <c r="P33" s="1108"/>
      <c r="Q33" s="1108"/>
      <c r="R33" s="1108"/>
      <c r="S33" s="1108"/>
      <c r="T33" s="1108"/>
    </row>
    <row r="34" spans="1:20" s="97" customFormat="1" ht="24" customHeight="1">
      <c r="A34" s="825" t="s">
        <v>4036</v>
      </c>
      <c r="B34" s="826" t="s">
        <v>4038</v>
      </c>
      <c r="C34" s="827" t="s">
        <v>4438</v>
      </c>
      <c r="D34" s="828" t="s">
        <v>4250</v>
      </c>
      <c r="E34" s="829">
        <v>46132</v>
      </c>
      <c r="F34" s="912">
        <v>46131</v>
      </c>
      <c r="G34" s="831">
        <v>9.2535000000000007</v>
      </c>
      <c r="H34" s="1122">
        <v>16394250</v>
      </c>
      <c r="I34" s="1135">
        <f t="shared" si="5"/>
        <v>151704192</v>
      </c>
      <c r="J34" s="832">
        <f t="shared" ref="J34:J38" si="6">I34</f>
        <v>151704192</v>
      </c>
      <c r="K34" s="833"/>
      <c r="L34" s="1105"/>
      <c r="M34" s="1105"/>
      <c r="N34" s="1108"/>
      <c r="O34" s="1108"/>
      <c r="P34" s="1108"/>
      <c r="Q34" s="1108"/>
      <c r="R34" s="1108"/>
      <c r="S34" s="1108"/>
      <c r="T34" s="1108"/>
    </row>
    <row r="35" spans="1:20" s="97" customFormat="1" ht="24" customHeight="1" thickBot="1">
      <c r="A35" s="1042" t="s">
        <v>4036</v>
      </c>
      <c r="B35" s="1043" t="s">
        <v>4038</v>
      </c>
      <c r="C35" s="1044" t="s">
        <v>4440</v>
      </c>
      <c r="D35" s="1045" t="s">
        <v>4441</v>
      </c>
      <c r="E35" s="1046">
        <v>46145</v>
      </c>
      <c r="F35" s="1219">
        <v>46145</v>
      </c>
      <c r="G35" s="1047">
        <v>9.2058</v>
      </c>
      <c r="H35" s="1124">
        <v>17489450</v>
      </c>
      <c r="I35" s="1125">
        <f t="shared" ref="I35:I86" si="7">ROUNDDOWN(H35*G35,0)</f>
        <v>161004378</v>
      </c>
      <c r="J35" s="1048"/>
      <c r="K35" s="1049">
        <f>I35</f>
        <v>161004378</v>
      </c>
      <c r="L35" s="1105"/>
      <c r="M35" s="1105"/>
      <c r="N35" s="1108"/>
      <c r="O35" s="1108"/>
      <c r="P35" s="1108"/>
      <c r="Q35" s="1108"/>
      <c r="R35" s="1108"/>
      <c r="S35" s="1108"/>
      <c r="T35" s="1108"/>
    </row>
    <row r="36" spans="1:20" s="97" customFormat="1" ht="24" customHeight="1">
      <c r="A36" s="1188" t="s">
        <v>2787</v>
      </c>
      <c r="B36" s="1189" t="s">
        <v>375</v>
      </c>
      <c r="C36" s="1190" t="s">
        <v>4248</v>
      </c>
      <c r="D36" s="1190" t="s">
        <v>4251</v>
      </c>
      <c r="E36" s="1191">
        <v>46121</v>
      </c>
      <c r="F36" s="1212">
        <v>46121</v>
      </c>
      <c r="G36" s="1192">
        <v>9.3087999999999997</v>
      </c>
      <c r="H36" s="1193">
        <v>6727428</v>
      </c>
      <c r="I36" s="1194">
        <f t="shared" si="7"/>
        <v>62624281</v>
      </c>
      <c r="J36" s="1195">
        <f t="shared" si="6"/>
        <v>62624281</v>
      </c>
      <c r="K36" s="1196"/>
      <c r="L36" s="1106" t="s">
        <v>4218</v>
      </c>
      <c r="M36" s="1106" t="s">
        <v>4219</v>
      </c>
      <c r="N36" s="1109"/>
      <c r="O36" s="1109"/>
      <c r="P36" s="1109"/>
      <c r="Q36" s="1109"/>
      <c r="R36" s="1109"/>
      <c r="S36" s="1109"/>
      <c r="T36" s="1109"/>
    </row>
    <row r="37" spans="1:20" s="97" customFormat="1" ht="24" customHeight="1" thickBot="1">
      <c r="A37" s="834" t="s">
        <v>2787</v>
      </c>
      <c r="B37" s="835" t="s">
        <v>375</v>
      </c>
      <c r="C37" s="851" t="s">
        <v>4249</v>
      </c>
      <c r="D37" s="851" t="s">
        <v>4252</v>
      </c>
      <c r="E37" s="838">
        <v>46141</v>
      </c>
      <c r="F37" s="1213">
        <v>46140</v>
      </c>
      <c r="G37" s="840">
        <v>9.2423999999999999</v>
      </c>
      <c r="H37" s="1197">
        <v>6727428</v>
      </c>
      <c r="I37" s="1198">
        <f t="shared" si="7"/>
        <v>62177580</v>
      </c>
      <c r="J37" s="841">
        <f t="shared" si="6"/>
        <v>62177580</v>
      </c>
      <c r="K37" s="852"/>
      <c r="L37" s="1106"/>
      <c r="M37" s="1106"/>
      <c r="N37" s="1109"/>
      <c r="O37" s="1109"/>
      <c r="P37" s="1109"/>
      <c r="Q37" s="1109"/>
      <c r="R37" s="1109"/>
      <c r="S37" s="1109"/>
      <c r="T37" s="1109"/>
    </row>
    <row r="38" spans="1:20" ht="24" customHeight="1" thickBot="1">
      <c r="A38" s="853" t="s">
        <v>4026</v>
      </c>
      <c r="B38" s="854" t="s">
        <v>478</v>
      </c>
      <c r="C38" s="855" t="s">
        <v>4253</v>
      </c>
      <c r="D38" s="856" t="s">
        <v>4254</v>
      </c>
      <c r="E38" s="857">
        <v>46126</v>
      </c>
      <c r="F38" s="1214">
        <v>46126</v>
      </c>
      <c r="G38" s="858">
        <f>VLOOKUP(F38,환율!A:B,2,0)</f>
        <v>1489.8</v>
      </c>
      <c r="H38" s="1126">
        <v>11214.44</v>
      </c>
      <c r="I38" s="1127">
        <f t="shared" si="7"/>
        <v>16707272</v>
      </c>
      <c r="J38" s="859">
        <f t="shared" si="6"/>
        <v>16707272</v>
      </c>
      <c r="K38" s="860"/>
    </row>
    <row r="39" spans="1:20" s="97" customFormat="1" ht="24" customHeight="1">
      <c r="A39" s="816" t="s">
        <v>698</v>
      </c>
      <c r="B39" s="817" t="s">
        <v>4039</v>
      </c>
      <c r="C39" s="818" t="s">
        <v>4181</v>
      </c>
      <c r="D39" s="819" t="s">
        <v>4182</v>
      </c>
      <c r="E39" s="820">
        <v>46114</v>
      </c>
      <c r="F39" s="819">
        <v>46114</v>
      </c>
      <c r="G39" s="861">
        <f>VLOOKUP(F39,환율!A:B,2,0)</f>
        <v>1507.8</v>
      </c>
      <c r="H39" s="1141">
        <v>29439.360000000001</v>
      </c>
      <c r="I39" s="1142">
        <f t="shared" si="7"/>
        <v>44388667</v>
      </c>
      <c r="J39" s="823">
        <f>I39</f>
        <v>44388667</v>
      </c>
      <c r="K39" s="824"/>
      <c r="L39" s="1108"/>
      <c r="M39" s="1105"/>
      <c r="N39" s="1176"/>
      <c r="O39" s="1108"/>
      <c r="P39" s="1108"/>
      <c r="Q39" s="1176"/>
      <c r="R39" s="1108"/>
      <c r="S39" s="1108"/>
      <c r="T39" s="1108"/>
    </row>
    <row r="40" spans="1:20" s="120" customFormat="1" ht="24" customHeight="1">
      <c r="A40" s="862" t="s">
        <v>698</v>
      </c>
      <c r="B40" s="863" t="s">
        <v>4039</v>
      </c>
      <c r="C40" s="864" t="s">
        <v>4183</v>
      </c>
      <c r="D40" s="865" t="s">
        <v>4184</v>
      </c>
      <c r="E40" s="866">
        <v>46117</v>
      </c>
      <c r="F40" s="865">
        <v>46117</v>
      </c>
      <c r="G40" s="868">
        <f>VLOOKUP(F40,환율!A:B,2,0)</f>
        <v>1518.8</v>
      </c>
      <c r="H40" s="1132">
        <v>31135.68</v>
      </c>
      <c r="I40" s="1133">
        <f t="shared" si="7"/>
        <v>47288870</v>
      </c>
      <c r="J40" s="869">
        <f>I40</f>
        <v>47288870</v>
      </c>
      <c r="K40" s="870"/>
      <c r="L40" s="1110"/>
      <c r="M40" s="1107"/>
      <c r="N40" s="1176"/>
      <c r="O40" s="1108"/>
      <c r="P40" s="1108"/>
      <c r="Q40" s="1176"/>
      <c r="R40" s="1110"/>
      <c r="S40" s="1108"/>
      <c r="T40" s="1108"/>
    </row>
    <row r="41" spans="1:20" s="120" customFormat="1" ht="24" customHeight="1">
      <c r="A41" s="1282" t="s">
        <v>660</v>
      </c>
      <c r="B41" s="1283" t="s">
        <v>478</v>
      </c>
      <c r="C41" s="1284" t="s">
        <v>4255</v>
      </c>
      <c r="D41" s="1285" t="s">
        <v>4256</v>
      </c>
      <c r="E41" s="1286">
        <v>46125</v>
      </c>
      <c r="F41" s="1285">
        <v>46125</v>
      </c>
      <c r="G41" s="1287">
        <f>VLOOKUP(F41,환율!A:B,2,0)</f>
        <v>1479.8</v>
      </c>
      <c r="H41" s="1288">
        <v>56190.239999999998</v>
      </c>
      <c r="I41" s="1289">
        <f t="shared" si="7"/>
        <v>83150317</v>
      </c>
      <c r="J41" s="1289">
        <f>I41</f>
        <v>83150317</v>
      </c>
      <c r="K41" s="1290"/>
      <c r="L41" s="1110"/>
      <c r="M41" s="1107"/>
      <c r="N41" s="1110"/>
      <c r="O41" s="1110"/>
      <c r="P41" s="1110"/>
      <c r="Q41" s="1110"/>
      <c r="R41" s="1110"/>
      <c r="S41" s="1110"/>
      <c r="T41" s="1110"/>
    </row>
    <row r="42" spans="1:20" s="120" customFormat="1" ht="24" customHeight="1">
      <c r="A42" s="1020" t="s">
        <v>698</v>
      </c>
      <c r="B42" s="1021" t="s">
        <v>4039</v>
      </c>
      <c r="C42" s="1039" t="s">
        <v>4257</v>
      </c>
      <c r="D42" s="912" t="s">
        <v>4258</v>
      </c>
      <c r="E42" s="1022">
        <v>46122</v>
      </c>
      <c r="F42" s="910">
        <v>46122</v>
      </c>
      <c r="G42" s="913">
        <f>VLOOKUP(F42,환율!A:B,2,0)</f>
        <v>1481.1</v>
      </c>
      <c r="H42" s="1134">
        <v>50837.760000000002</v>
      </c>
      <c r="I42" s="1135">
        <f t="shared" si="7"/>
        <v>75295806</v>
      </c>
      <c r="J42" s="926">
        <f>I42</f>
        <v>75295806</v>
      </c>
      <c r="K42" s="927"/>
      <c r="L42" s="1110"/>
      <c r="M42" s="1107"/>
      <c r="N42" s="1108"/>
      <c r="O42" s="1108"/>
      <c r="P42" s="1108"/>
      <c r="Q42" s="1108"/>
      <c r="R42" s="1110"/>
      <c r="S42" s="1108"/>
      <c r="T42" s="1108"/>
    </row>
    <row r="43" spans="1:20" s="120" customFormat="1" ht="24" customHeight="1">
      <c r="A43" s="1020" t="s">
        <v>698</v>
      </c>
      <c r="B43" s="1021" t="s">
        <v>4039</v>
      </c>
      <c r="C43" s="1039" t="s">
        <v>4259</v>
      </c>
      <c r="D43" s="912" t="s">
        <v>4260</v>
      </c>
      <c r="E43" s="1022">
        <v>46137</v>
      </c>
      <c r="F43" s="910">
        <v>46137</v>
      </c>
      <c r="G43" s="913">
        <f>VLOOKUP(F43,환율!A:B,2,0)</f>
        <v>1480.6</v>
      </c>
      <c r="H43" s="1134">
        <v>74412</v>
      </c>
      <c r="I43" s="1135">
        <f t="shared" si="7"/>
        <v>110174407</v>
      </c>
      <c r="J43" s="926">
        <f t="shared" ref="J43:J45" si="8">I43</f>
        <v>110174407</v>
      </c>
      <c r="K43" s="927"/>
      <c r="L43" s="1110"/>
      <c r="M43" s="1107"/>
      <c r="N43" s="1108"/>
      <c r="O43" s="1108"/>
      <c r="P43" s="1108"/>
      <c r="Q43" s="1108"/>
      <c r="R43" s="1110"/>
      <c r="S43" s="1108"/>
      <c r="T43" s="1108"/>
    </row>
    <row r="44" spans="1:20" s="1040" customFormat="1" ht="24" customHeight="1">
      <c r="A44" s="1020" t="s">
        <v>698</v>
      </c>
      <c r="B44" s="1021" t="s">
        <v>4039</v>
      </c>
      <c r="C44" s="1039" t="s">
        <v>4261</v>
      </c>
      <c r="D44" s="912" t="s">
        <v>4262</v>
      </c>
      <c r="E44" s="1022">
        <v>46137</v>
      </c>
      <c r="F44" s="910">
        <v>46137</v>
      </c>
      <c r="G44" s="913">
        <f>VLOOKUP(F44,환율!A:B,2,0)</f>
        <v>1480.6</v>
      </c>
      <c r="H44" s="1134">
        <v>30245.759999999998</v>
      </c>
      <c r="I44" s="1135">
        <f t="shared" si="7"/>
        <v>44781872</v>
      </c>
      <c r="J44" s="926">
        <f t="shared" si="8"/>
        <v>44781872</v>
      </c>
      <c r="K44" s="927"/>
      <c r="L44" s="1110"/>
      <c r="M44" s="1107"/>
      <c r="N44" s="1108"/>
      <c r="O44" s="1108"/>
      <c r="P44" s="1108"/>
      <c r="Q44" s="1108"/>
      <c r="R44" s="1111"/>
      <c r="S44" s="1108"/>
      <c r="T44" s="1108"/>
    </row>
    <row r="45" spans="1:20" s="120" customFormat="1" ht="24" customHeight="1">
      <c r="A45" s="825" t="s">
        <v>698</v>
      </c>
      <c r="B45" s="826" t="s">
        <v>4039</v>
      </c>
      <c r="C45" s="871" t="s">
        <v>4263</v>
      </c>
      <c r="D45" s="830" t="s">
        <v>4264</v>
      </c>
      <c r="E45" s="872">
        <v>46132</v>
      </c>
      <c r="F45" s="910">
        <v>46132</v>
      </c>
      <c r="G45" s="873">
        <f>VLOOKUP(F45,환율!A:B,2,0)</f>
        <v>1480</v>
      </c>
      <c r="H45" s="1136">
        <v>31019.040000000001</v>
      </c>
      <c r="I45" s="1123">
        <f t="shared" si="7"/>
        <v>45908179</v>
      </c>
      <c r="J45" s="832">
        <f t="shared" si="8"/>
        <v>45908179</v>
      </c>
      <c r="K45" s="874"/>
      <c r="L45" s="1110"/>
      <c r="M45" s="1107"/>
      <c r="N45" s="1108"/>
      <c r="O45" s="1108"/>
      <c r="P45" s="1108"/>
      <c r="Q45" s="1108"/>
      <c r="R45" s="1110"/>
      <c r="S45" s="1108"/>
      <c r="T45" s="1108"/>
    </row>
    <row r="46" spans="1:20" s="120" customFormat="1" ht="24" customHeight="1">
      <c r="A46" s="875" t="s">
        <v>698</v>
      </c>
      <c r="B46" s="876" t="s">
        <v>4039</v>
      </c>
      <c r="C46" s="877" t="s">
        <v>4339</v>
      </c>
      <c r="D46" s="878" t="s">
        <v>4340</v>
      </c>
      <c r="E46" s="879">
        <v>46148</v>
      </c>
      <c r="F46" s="878">
        <v>46143</v>
      </c>
      <c r="G46" s="881">
        <f>VLOOKUP(F46,환율!A:B,2,0)</f>
        <v>1476.1</v>
      </c>
      <c r="H46" s="1137">
        <v>57562.11</v>
      </c>
      <c r="I46" s="1138">
        <f t="shared" si="7"/>
        <v>84967430</v>
      </c>
      <c r="J46" s="882"/>
      <c r="K46" s="883">
        <f>I46</f>
        <v>84967430</v>
      </c>
      <c r="L46" s="1110"/>
      <c r="M46" s="1107"/>
      <c r="N46" s="1108"/>
      <c r="O46" s="1108"/>
      <c r="P46" s="1108"/>
      <c r="Q46" s="1108"/>
      <c r="R46" s="1110"/>
      <c r="S46" s="1108"/>
      <c r="T46" s="1108"/>
    </row>
    <row r="47" spans="1:20" s="120" customFormat="1" ht="24" customHeight="1" thickBot="1">
      <c r="A47" s="884" t="s">
        <v>698</v>
      </c>
      <c r="B47" s="885" t="s">
        <v>4039</v>
      </c>
      <c r="C47" s="886" t="s">
        <v>4341</v>
      </c>
      <c r="D47" s="887" t="s">
        <v>4342</v>
      </c>
      <c r="E47" s="879">
        <v>46152</v>
      </c>
      <c r="F47" s="887">
        <v>46143</v>
      </c>
      <c r="G47" s="890">
        <f>VLOOKUP(F47,환율!A:B,2,0)</f>
        <v>1476.1</v>
      </c>
      <c r="H47" s="1139">
        <v>13839.12</v>
      </c>
      <c r="I47" s="1140">
        <f t="shared" si="7"/>
        <v>20427925</v>
      </c>
      <c r="J47" s="891"/>
      <c r="K47" s="892">
        <f>I47</f>
        <v>20427925</v>
      </c>
      <c r="L47" s="1110"/>
      <c r="M47" s="1107"/>
      <c r="N47" s="1108"/>
      <c r="O47" s="1108"/>
      <c r="P47" s="1108"/>
      <c r="Q47" s="1108"/>
      <c r="R47" s="1110"/>
      <c r="S47" s="1108"/>
      <c r="T47" s="1108"/>
    </row>
    <row r="48" spans="1:20" s="97" customFormat="1" ht="24" customHeight="1">
      <c r="A48" s="816" t="s">
        <v>4042</v>
      </c>
      <c r="B48" s="817" t="s">
        <v>478</v>
      </c>
      <c r="C48" s="893" t="s">
        <v>4140</v>
      </c>
      <c r="D48" s="821" t="s">
        <v>4152</v>
      </c>
      <c r="E48" s="894">
        <v>46117</v>
      </c>
      <c r="F48" s="821">
        <v>46117</v>
      </c>
      <c r="G48" s="861">
        <f>VLOOKUP(F48,환율!A:B,2,0)</f>
        <v>1518.8</v>
      </c>
      <c r="H48" s="1141">
        <v>130569.04</v>
      </c>
      <c r="I48" s="1142">
        <f t="shared" si="7"/>
        <v>198308257</v>
      </c>
      <c r="J48" s="823">
        <f>I48</f>
        <v>198308257</v>
      </c>
      <c r="K48" s="824"/>
      <c r="L48" s="1108"/>
      <c r="M48" s="1105"/>
      <c r="N48" s="1108"/>
      <c r="O48" s="1108"/>
      <c r="P48" s="1108"/>
      <c r="Q48" s="1108"/>
      <c r="R48" s="1108"/>
      <c r="S48" s="1108"/>
      <c r="T48" s="1108"/>
    </row>
    <row r="49" spans="1:20" s="97" customFormat="1" ht="24" customHeight="1">
      <c r="A49" s="862" t="s">
        <v>4042</v>
      </c>
      <c r="B49" s="863" t="s">
        <v>4039</v>
      </c>
      <c r="C49" s="895" t="s">
        <v>4141</v>
      </c>
      <c r="D49" s="867" t="s">
        <v>4153</v>
      </c>
      <c r="E49" s="896">
        <v>46117</v>
      </c>
      <c r="F49" s="867">
        <v>46117</v>
      </c>
      <c r="G49" s="868">
        <f>VLOOKUP(F49,환율!A:B,2,0)</f>
        <v>1518.8</v>
      </c>
      <c r="H49" s="1132">
        <v>97854.720000000001</v>
      </c>
      <c r="I49" s="1133">
        <f t="shared" si="7"/>
        <v>148621748</v>
      </c>
      <c r="J49" s="869">
        <f t="shared" ref="J49:J78" si="9">I49</f>
        <v>148621748</v>
      </c>
      <c r="K49" s="870"/>
      <c r="L49" s="1108"/>
      <c r="M49" s="1105"/>
      <c r="N49" s="1108"/>
      <c r="O49" s="1108"/>
      <c r="P49" s="1108"/>
      <c r="Q49" s="1108"/>
      <c r="R49" s="1108"/>
      <c r="S49" s="1108"/>
      <c r="T49" s="1108"/>
    </row>
    <row r="50" spans="1:20" s="97" customFormat="1" ht="24" customHeight="1">
      <c r="A50" s="862" t="s">
        <v>4042</v>
      </c>
      <c r="B50" s="863" t="s">
        <v>4039</v>
      </c>
      <c r="C50" s="895" t="s">
        <v>4185</v>
      </c>
      <c r="D50" s="867" t="s">
        <v>4186</v>
      </c>
      <c r="E50" s="896">
        <v>46114</v>
      </c>
      <c r="F50" s="865">
        <v>46114</v>
      </c>
      <c r="G50" s="868">
        <f>VLOOKUP(F50,환율!A:B,2,0)</f>
        <v>1507.8</v>
      </c>
      <c r="H50" s="1132">
        <v>17853.3</v>
      </c>
      <c r="I50" s="1133">
        <f t="shared" si="7"/>
        <v>26919205</v>
      </c>
      <c r="J50" s="869">
        <f t="shared" si="9"/>
        <v>26919205</v>
      </c>
      <c r="K50" s="870"/>
      <c r="L50" s="1108"/>
      <c r="M50" s="1105"/>
      <c r="N50" s="1108"/>
      <c r="O50" s="1108"/>
      <c r="P50" s="1108"/>
      <c r="Q50" s="1108"/>
      <c r="R50" s="1108"/>
      <c r="S50" s="1108"/>
      <c r="T50" s="1108"/>
    </row>
    <row r="51" spans="1:20" s="97" customFormat="1" ht="24" customHeight="1">
      <c r="A51" s="862" t="s">
        <v>4042</v>
      </c>
      <c r="B51" s="863" t="s">
        <v>4039</v>
      </c>
      <c r="C51" s="895" t="s">
        <v>4187</v>
      </c>
      <c r="D51" s="867" t="s">
        <v>4188</v>
      </c>
      <c r="E51" s="896">
        <v>46117</v>
      </c>
      <c r="F51" s="865">
        <v>46117</v>
      </c>
      <c r="G51" s="868">
        <f>VLOOKUP(F51,환율!A:B,2,0)</f>
        <v>1518.8</v>
      </c>
      <c r="H51" s="1132">
        <v>82564.92</v>
      </c>
      <c r="I51" s="1133">
        <f t="shared" si="7"/>
        <v>125399600</v>
      </c>
      <c r="J51" s="869">
        <f t="shared" si="9"/>
        <v>125399600</v>
      </c>
      <c r="K51" s="870"/>
      <c r="L51" s="1108"/>
      <c r="M51" s="1105"/>
      <c r="N51" s="1108"/>
      <c r="O51" s="1108"/>
      <c r="P51" s="1108"/>
      <c r="Q51" s="1108"/>
      <c r="R51" s="1108"/>
      <c r="S51" s="1108"/>
      <c r="T51" s="1108"/>
    </row>
    <row r="52" spans="1:20" s="97" customFormat="1" ht="24" customHeight="1">
      <c r="A52" s="862" t="s">
        <v>4042</v>
      </c>
      <c r="B52" s="863" t="s">
        <v>4039</v>
      </c>
      <c r="C52" s="895" t="s">
        <v>4189</v>
      </c>
      <c r="D52" s="867" t="s">
        <v>4190</v>
      </c>
      <c r="E52" s="896">
        <v>46117</v>
      </c>
      <c r="F52" s="865">
        <v>46117</v>
      </c>
      <c r="G52" s="868">
        <f>VLOOKUP(F52,환율!A:B,2,0)</f>
        <v>1518.8</v>
      </c>
      <c r="H52" s="1132">
        <v>144769.1</v>
      </c>
      <c r="I52" s="1133">
        <f t="shared" si="7"/>
        <v>219875309</v>
      </c>
      <c r="J52" s="869">
        <f t="shared" si="9"/>
        <v>219875309</v>
      </c>
      <c r="K52" s="870"/>
      <c r="L52" s="1108"/>
      <c r="M52" s="1105"/>
      <c r="N52" s="1108"/>
      <c r="O52" s="1108"/>
      <c r="P52" s="1108"/>
      <c r="Q52" s="1108"/>
      <c r="R52" s="1108"/>
      <c r="S52" s="1108"/>
      <c r="T52" s="1108"/>
    </row>
    <row r="53" spans="1:20" s="126" customFormat="1" ht="24" customHeight="1">
      <c r="A53" s="862" t="s">
        <v>4042</v>
      </c>
      <c r="B53" s="863" t="s">
        <v>4039</v>
      </c>
      <c r="C53" s="895" t="s">
        <v>4191</v>
      </c>
      <c r="D53" s="867" t="s">
        <v>4192</v>
      </c>
      <c r="E53" s="896">
        <v>46114</v>
      </c>
      <c r="F53" s="865">
        <v>46114</v>
      </c>
      <c r="G53" s="868">
        <f>VLOOKUP(F53,환율!A:B,2,0)</f>
        <v>1507.8</v>
      </c>
      <c r="H53" s="1132">
        <v>13482.24</v>
      </c>
      <c r="I53" s="1133">
        <f t="shared" si="7"/>
        <v>20328521</v>
      </c>
      <c r="J53" s="869">
        <f t="shared" si="9"/>
        <v>20328521</v>
      </c>
      <c r="K53" s="870"/>
      <c r="L53" s="1108"/>
      <c r="M53" s="1105"/>
      <c r="N53" s="1108"/>
      <c r="O53" s="1108"/>
      <c r="P53" s="1108"/>
      <c r="Q53" s="1108"/>
      <c r="R53" s="1108"/>
      <c r="S53" s="1108"/>
      <c r="T53" s="1108"/>
    </row>
    <row r="54" spans="1:20" s="126" customFormat="1" ht="24" customHeight="1">
      <c r="A54" s="862" t="s">
        <v>4042</v>
      </c>
      <c r="B54" s="863" t="s">
        <v>4039</v>
      </c>
      <c r="C54" s="895" t="s">
        <v>4193</v>
      </c>
      <c r="D54" s="867" t="s">
        <v>4194</v>
      </c>
      <c r="E54" s="896">
        <v>46124</v>
      </c>
      <c r="F54" s="865">
        <v>46124</v>
      </c>
      <c r="G54" s="868">
        <f>VLOOKUP(F54,환율!A:B,2,0)</f>
        <v>1481.1</v>
      </c>
      <c r="H54" s="1132">
        <v>13482.24</v>
      </c>
      <c r="I54" s="1133">
        <f t="shared" si="7"/>
        <v>19968545</v>
      </c>
      <c r="J54" s="869">
        <f t="shared" si="9"/>
        <v>19968545</v>
      </c>
      <c r="K54" s="870"/>
      <c r="L54" s="1108"/>
      <c r="M54" s="1105"/>
      <c r="N54" s="1108"/>
      <c r="O54" s="1108"/>
      <c r="P54" s="1108"/>
      <c r="Q54" s="1108"/>
      <c r="R54" s="1108"/>
      <c r="S54" s="1108"/>
      <c r="T54" s="1108"/>
    </row>
    <row r="55" spans="1:20" s="126" customFormat="1" ht="24" customHeight="1">
      <c r="A55" s="862" t="s">
        <v>4042</v>
      </c>
      <c r="B55" s="863" t="s">
        <v>4039</v>
      </c>
      <c r="C55" s="895" t="s">
        <v>4195</v>
      </c>
      <c r="D55" s="867" t="s">
        <v>4196</v>
      </c>
      <c r="E55" s="896">
        <v>46124</v>
      </c>
      <c r="F55" s="867">
        <v>46124</v>
      </c>
      <c r="G55" s="868">
        <f>VLOOKUP(F55,환율!A:B,2,0)</f>
        <v>1481.1</v>
      </c>
      <c r="H55" s="1132">
        <v>40162.44</v>
      </c>
      <c r="I55" s="1133">
        <f t="shared" si="7"/>
        <v>59484589</v>
      </c>
      <c r="J55" s="869">
        <f t="shared" si="9"/>
        <v>59484589</v>
      </c>
      <c r="K55" s="870"/>
      <c r="L55" s="1108"/>
      <c r="M55" s="1105"/>
      <c r="N55" s="1108"/>
      <c r="O55" s="1108"/>
      <c r="P55" s="1108"/>
      <c r="Q55" s="1108"/>
      <c r="R55" s="1108"/>
      <c r="S55" s="1108"/>
      <c r="T55" s="1108"/>
    </row>
    <row r="56" spans="1:20" s="126" customFormat="1" ht="24" customHeight="1">
      <c r="A56" s="825" t="s">
        <v>4042</v>
      </c>
      <c r="B56" s="826" t="s">
        <v>4039</v>
      </c>
      <c r="C56" s="827" t="s">
        <v>4265</v>
      </c>
      <c r="D56" s="828" t="s">
        <v>4266</v>
      </c>
      <c r="E56" s="829">
        <v>46123</v>
      </c>
      <c r="F56" s="910">
        <v>46123</v>
      </c>
      <c r="G56" s="873">
        <f>VLOOKUP(F56,환율!A:B,2,0)</f>
        <v>1481.1</v>
      </c>
      <c r="H56" s="1136">
        <v>91738.8</v>
      </c>
      <c r="I56" s="1123">
        <f t="shared" si="7"/>
        <v>135874336</v>
      </c>
      <c r="J56" s="832">
        <f t="shared" si="9"/>
        <v>135874336</v>
      </c>
      <c r="K56" s="874"/>
      <c r="L56" s="1108"/>
      <c r="M56" s="1105"/>
      <c r="N56" s="1108"/>
      <c r="O56" s="1108"/>
      <c r="P56" s="1108"/>
      <c r="Q56" s="1108"/>
      <c r="R56" s="1108"/>
      <c r="S56" s="1108"/>
      <c r="T56" s="1108"/>
    </row>
    <row r="57" spans="1:20" s="126" customFormat="1" ht="24" customHeight="1">
      <c r="A57" s="825" t="s">
        <v>4042</v>
      </c>
      <c r="B57" s="826" t="s">
        <v>4039</v>
      </c>
      <c r="C57" s="827" t="s">
        <v>4267</v>
      </c>
      <c r="D57" s="828" t="s">
        <v>4268</v>
      </c>
      <c r="E57" s="829">
        <v>46123</v>
      </c>
      <c r="F57" s="910">
        <v>46123</v>
      </c>
      <c r="G57" s="873">
        <f>VLOOKUP(F57,환율!A:B,2,0)</f>
        <v>1481.1</v>
      </c>
      <c r="H57" s="1136">
        <v>24192</v>
      </c>
      <c r="I57" s="1123">
        <f t="shared" si="7"/>
        <v>35830771</v>
      </c>
      <c r="J57" s="832">
        <f t="shared" si="9"/>
        <v>35830771</v>
      </c>
      <c r="K57" s="874"/>
      <c r="L57" s="1108"/>
      <c r="M57" s="1105"/>
      <c r="N57" s="1108"/>
      <c r="O57" s="1108"/>
      <c r="P57" s="1108"/>
      <c r="Q57" s="1108"/>
      <c r="R57" s="1108"/>
      <c r="S57" s="1108"/>
      <c r="T57" s="1108"/>
    </row>
    <row r="58" spans="1:20" s="126" customFormat="1" ht="24" customHeight="1">
      <c r="A58" s="1270" t="s">
        <v>4042</v>
      </c>
      <c r="B58" s="1271" t="s">
        <v>4039</v>
      </c>
      <c r="C58" s="1272" t="s">
        <v>4269</v>
      </c>
      <c r="D58" s="828" t="s">
        <v>4270</v>
      </c>
      <c r="E58" s="829">
        <v>46130</v>
      </c>
      <c r="F58" s="910">
        <v>46130</v>
      </c>
      <c r="G58" s="1273">
        <f>VLOOKUP(F58,환율!A:B,2,0)</f>
        <v>1472.6</v>
      </c>
      <c r="H58" s="1136">
        <v>8988.16</v>
      </c>
      <c r="I58" s="1123">
        <f t="shared" si="7"/>
        <v>13235964</v>
      </c>
      <c r="J58" s="1123">
        <f t="shared" si="9"/>
        <v>13235964</v>
      </c>
      <c r="K58" s="1274"/>
      <c r="L58" s="1108"/>
      <c r="M58" s="1105"/>
      <c r="N58" s="1108"/>
      <c r="O58" s="1108"/>
      <c r="P58" s="1108"/>
      <c r="Q58" s="1108"/>
      <c r="R58" s="1108"/>
      <c r="S58" s="1108"/>
      <c r="T58" s="1108"/>
    </row>
    <row r="59" spans="1:20" s="126" customFormat="1" ht="24" customHeight="1">
      <c r="A59" s="825" t="s">
        <v>4042</v>
      </c>
      <c r="B59" s="826" t="s">
        <v>4039</v>
      </c>
      <c r="C59" s="827" t="s">
        <v>4271</v>
      </c>
      <c r="D59" s="828" t="s">
        <v>4272</v>
      </c>
      <c r="E59" s="829">
        <v>46130</v>
      </c>
      <c r="F59" s="910">
        <v>46130</v>
      </c>
      <c r="G59" s="1273">
        <f>VLOOKUP(F59,환율!A:B,2,0)</f>
        <v>1472.6</v>
      </c>
      <c r="H59" s="1136">
        <v>20833.22</v>
      </c>
      <c r="I59" s="1123">
        <f t="shared" si="7"/>
        <v>30678999</v>
      </c>
      <c r="J59" s="1123">
        <f t="shared" si="9"/>
        <v>30678999</v>
      </c>
      <c r="K59" s="874"/>
      <c r="L59" s="1108"/>
      <c r="M59" s="1105"/>
      <c r="N59" s="1108"/>
      <c r="O59" s="1108"/>
      <c r="P59" s="1108"/>
      <c r="Q59" s="1108"/>
      <c r="R59" s="1108"/>
      <c r="S59" s="1108"/>
      <c r="T59" s="1108"/>
    </row>
    <row r="60" spans="1:20" s="126" customFormat="1" ht="24" customHeight="1">
      <c r="A60" s="1020" t="s">
        <v>4042</v>
      </c>
      <c r="B60" s="1021" t="s">
        <v>4039</v>
      </c>
      <c r="C60" s="925" t="s">
        <v>4273</v>
      </c>
      <c r="D60" s="910" t="s">
        <v>4274</v>
      </c>
      <c r="E60" s="1022">
        <v>46129</v>
      </c>
      <c r="F60" s="910">
        <v>46129</v>
      </c>
      <c r="G60" s="1273">
        <f>VLOOKUP(F60,환율!A:B,2,0)</f>
        <v>1472.6</v>
      </c>
      <c r="H60" s="1134">
        <v>91738.8</v>
      </c>
      <c r="I60" s="1135">
        <f t="shared" si="7"/>
        <v>135094556</v>
      </c>
      <c r="J60" s="832">
        <f t="shared" si="9"/>
        <v>135094556</v>
      </c>
      <c r="K60" s="927"/>
      <c r="L60" s="1108"/>
      <c r="M60" s="1105"/>
      <c r="N60" s="1108"/>
      <c r="O60" s="1108"/>
      <c r="P60" s="1108"/>
      <c r="Q60" s="1108"/>
      <c r="R60" s="1108"/>
      <c r="S60" s="1108"/>
      <c r="T60" s="1108"/>
    </row>
    <row r="61" spans="1:20" s="126" customFormat="1" ht="24" customHeight="1">
      <c r="A61" s="1020" t="s">
        <v>4042</v>
      </c>
      <c r="B61" s="1021" t="s">
        <v>4039</v>
      </c>
      <c r="C61" s="925" t="s">
        <v>4275</v>
      </c>
      <c r="D61" s="910" t="s">
        <v>4276</v>
      </c>
      <c r="E61" s="1022">
        <v>46136</v>
      </c>
      <c r="F61" s="910">
        <v>46117</v>
      </c>
      <c r="G61" s="1273">
        <f>VLOOKUP(F61,환율!A:B,2,0)</f>
        <v>1518.8</v>
      </c>
      <c r="H61" s="1134">
        <v>178740.01</v>
      </c>
      <c r="I61" s="1135">
        <f t="shared" si="7"/>
        <v>271470327</v>
      </c>
      <c r="J61" s="832">
        <f t="shared" si="9"/>
        <v>271470327</v>
      </c>
      <c r="K61" s="927"/>
      <c r="L61" s="1108"/>
      <c r="M61" s="1105"/>
      <c r="N61" s="1108"/>
      <c r="O61" s="1108"/>
      <c r="P61" s="1108"/>
      <c r="Q61" s="1108"/>
      <c r="R61" s="1108"/>
      <c r="S61" s="1108"/>
      <c r="T61" s="1108"/>
    </row>
    <row r="62" spans="1:20" s="126" customFormat="1" ht="24" customHeight="1">
      <c r="A62" s="1020" t="s">
        <v>4042</v>
      </c>
      <c r="B62" s="1021" t="s">
        <v>4039</v>
      </c>
      <c r="C62" s="925" t="s">
        <v>4277</v>
      </c>
      <c r="D62" s="925" t="s">
        <v>4278</v>
      </c>
      <c r="E62" s="911">
        <v>46137</v>
      </c>
      <c r="F62" s="910">
        <v>46137</v>
      </c>
      <c r="G62" s="1273">
        <f>VLOOKUP(F62,환율!A:B,2,0)</f>
        <v>1480.6</v>
      </c>
      <c r="H62" s="1134">
        <v>2674.56</v>
      </c>
      <c r="I62" s="1135">
        <f t="shared" si="7"/>
        <v>3959953</v>
      </c>
      <c r="J62" s="832">
        <f t="shared" si="9"/>
        <v>3959953</v>
      </c>
      <c r="K62" s="927"/>
      <c r="L62" s="1108"/>
      <c r="M62" s="1105"/>
      <c r="N62" s="1108"/>
      <c r="O62" s="1108"/>
      <c r="P62" s="1108"/>
      <c r="Q62" s="1108"/>
      <c r="R62" s="1108"/>
      <c r="S62" s="1108"/>
      <c r="T62" s="1108"/>
    </row>
    <row r="63" spans="1:20" s="126" customFormat="1" ht="24" customHeight="1">
      <c r="A63" s="1020" t="s">
        <v>4042</v>
      </c>
      <c r="B63" s="1021" t="s">
        <v>4039</v>
      </c>
      <c r="C63" s="925" t="s">
        <v>4279</v>
      </c>
      <c r="D63" s="910" t="s">
        <v>4280</v>
      </c>
      <c r="E63" s="911">
        <v>46123</v>
      </c>
      <c r="F63" s="910">
        <v>46123</v>
      </c>
      <c r="G63" s="1181">
        <f>VLOOKUP(F63,환율!A:B,2,0)</f>
        <v>1481.1</v>
      </c>
      <c r="H63" s="1134">
        <v>89497.8</v>
      </c>
      <c r="I63" s="1135">
        <f t="shared" si="7"/>
        <v>132555191</v>
      </c>
      <c r="J63" s="926">
        <f t="shared" ref="J63:J68" si="10">I63</f>
        <v>132555191</v>
      </c>
      <c r="K63" s="927"/>
      <c r="L63" s="1108"/>
      <c r="M63" s="1105"/>
      <c r="N63" s="1108"/>
      <c r="O63" s="1108"/>
      <c r="P63" s="1108"/>
      <c r="Q63" s="1108"/>
      <c r="R63" s="1108"/>
      <c r="S63" s="1108"/>
      <c r="T63" s="1108"/>
    </row>
    <row r="64" spans="1:20" s="126" customFormat="1" ht="24" customHeight="1">
      <c r="A64" s="1020" t="s">
        <v>4042</v>
      </c>
      <c r="B64" s="1021" t="s">
        <v>4039</v>
      </c>
      <c r="C64" s="925" t="s">
        <v>4281</v>
      </c>
      <c r="D64" s="910" t="s">
        <v>4282</v>
      </c>
      <c r="E64" s="911">
        <v>46137</v>
      </c>
      <c r="F64" s="910">
        <v>46137</v>
      </c>
      <c r="G64" s="1273">
        <f>VLOOKUP(F64,환율!A:B,2,0)</f>
        <v>1480.6</v>
      </c>
      <c r="H64" s="1134">
        <v>8988.16</v>
      </c>
      <c r="I64" s="1135">
        <f t="shared" si="7"/>
        <v>13307869</v>
      </c>
      <c r="J64" s="832">
        <f t="shared" si="10"/>
        <v>13307869</v>
      </c>
      <c r="K64" s="927"/>
      <c r="L64" s="1108"/>
      <c r="M64" s="1105"/>
      <c r="N64" s="1108"/>
      <c r="O64" s="1108"/>
      <c r="P64" s="1108"/>
      <c r="Q64" s="1108"/>
      <c r="R64" s="1108"/>
      <c r="S64" s="1108"/>
      <c r="T64" s="1108"/>
    </row>
    <row r="65" spans="1:20" s="126" customFormat="1" ht="24" customHeight="1">
      <c r="A65" s="1020" t="s">
        <v>4042</v>
      </c>
      <c r="B65" s="1021" t="s">
        <v>4039</v>
      </c>
      <c r="C65" s="1320" t="s">
        <v>4283</v>
      </c>
      <c r="D65" s="910" t="s">
        <v>4371</v>
      </c>
      <c r="E65" s="1321">
        <v>46137</v>
      </c>
      <c r="F65" s="910">
        <v>46137</v>
      </c>
      <c r="G65" s="1273">
        <f>VLOOKUP(F65,환율!A:B,2,0)</f>
        <v>1480.6</v>
      </c>
      <c r="H65" s="1134">
        <v>2952.3</v>
      </c>
      <c r="I65" s="1135">
        <f t="shared" si="7"/>
        <v>4371175</v>
      </c>
      <c r="J65" s="832">
        <f t="shared" si="10"/>
        <v>4371175</v>
      </c>
      <c r="K65" s="927"/>
      <c r="L65" s="1108"/>
      <c r="M65" s="1105"/>
      <c r="N65" s="1108"/>
      <c r="O65" s="1108"/>
      <c r="P65" s="1108"/>
      <c r="Q65" s="1108"/>
      <c r="R65" s="1108"/>
      <c r="S65" s="1108"/>
      <c r="T65" s="1108"/>
    </row>
    <row r="66" spans="1:20" s="126" customFormat="1" ht="24" customHeight="1">
      <c r="A66" s="1020" t="s">
        <v>4042</v>
      </c>
      <c r="B66" s="1021" t="s">
        <v>4039</v>
      </c>
      <c r="C66" s="1320" t="s">
        <v>4343</v>
      </c>
      <c r="D66" s="1322" t="s">
        <v>4357</v>
      </c>
      <c r="E66" s="1321">
        <v>46136</v>
      </c>
      <c r="F66" s="910">
        <v>46137</v>
      </c>
      <c r="G66" s="1273">
        <f>VLOOKUP(F66,환율!A:B,2,0)</f>
        <v>1480.6</v>
      </c>
      <c r="H66" s="1134">
        <v>59630.22</v>
      </c>
      <c r="I66" s="1135">
        <f t="shared" si="7"/>
        <v>88288503</v>
      </c>
      <c r="J66" s="926">
        <f t="shared" ref="J66" si="11">I66</f>
        <v>88288503</v>
      </c>
      <c r="K66" s="927"/>
      <c r="L66" s="1108"/>
      <c r="M66" s="1105"/>
      <c r="N66" s="1108"/>
      <c r="O66" s="1108"/>
      <c r="P66" s="1108"/>
      <c r="Q66" s="1108"/>
      <c r="R66" s="1108"/>
      <c r="S66" s="1108"/>
      <c r="T66" s="1108"/>
    </row>
    <row r="67" spans="1:20" s="126" customFormat="1" ht="24" customHeight="1">
      <c r="A67" s="1020" t="s">
        <v>4042</v>
      </c>
      <c r="B67" s="1021" t="s">
        <v>4039</v>
      </c>
      <c r="C67" s="1320" t="s">
        <v>4344</v>
      </c>
      <c r="D67" s="910" t="s">
        <v>4358</v>
      </c>
      <c r="E67" s="1321">
        <v>46136</v>
      </c>
      <c r="F67" s="910">
        <v>46137</v>
      </c>
      <c r="G67" s="1273">
        <f>VLOOKUP(F67,환율!A:B,2,0)</f>
        <v>1480.6</v>
      </c>
      <c r="H67" s="1134">
        <v>145755.35999999999</v>
      </c>
      <c r="I67" s="1135">
        <f t="shared" si="7"/>
        <v>215805386</v>
      </c>
      <c r="J67" s="926">
        <f t="shared" si="10"/>
        <v>215805386</v>
      </c>
      <c r="K67" s="927"/>
      <c r="L67" s="1108"/>
      <c r="M67" s="1105"/>
      <c r="N67" s="1108"/>
      <c r="O67" s="1108"/>
      <c r="P67" s="1108"/>
      <c r="Q67" s="1108"/>
      <c r="R67" s="1108"/>
      <c r="S67" s="1108"/>
      <c r="T67" s="1108"/>
    </row>
    <row r="68" spans="1:20" s="126" customFormat="1" ht="24" customHeight="1">
      <c r="A68" s="1020" t="s">
        <v>4042</v>
      </c>
      <c r="B68" s="1021" t="s">
        <v>4039</v>
      </c>
      <c r="C68" s="925" t="s">
        <v>4345</v>
      </c>
      <c r="D68" s="910" t="s">
        <v>4359</v>
      </c>
      <c r="E68" s="911">
        <v>46141</v>
      </c>
      <c r="F68" s="910">
        <v>46142</v>
      </c>
      <c r="G68" s="1273">
        <f>VLOOKUP(F68,환율!A:B,2,0)</f>
        <v>1476.1</v>
      </c>
      <c r="H68" s="1134">
        <v>32108.58</v>
      </c>
      <c r="I68" s="1135">
        <f t="shared" si="7"/>
        <v>47395474</v>
      </c>
      <c r="J68" s="832">
        <f t="shared" si="10"/>
        <v>47395474</v>
      </c>
      <c r="K68" s="927"/>
      <c r="L68" s="1108"/>
      <c r="M68" s="1105"/>
      <c r="N68" s="1108"/>
      <c r="O68" s="1108"/>
      <c r="P68" s="1108"/>
      <c r="Q68" s="1108"/>
      <c r="R68" s="1108"/>
      <c r="S68" s="1108"/>
      <c r="T68" s="1108"/>
    </row>
    <row r="69" spans="1:20" s="126" customFormat="1" ht="24" customHeight="1">
      <c r="A69" s="1020" t="s">
        <v>4042</v>
      </c>
      <c r="B69" s="1021" t="s">
        <v>4039</v>
      </c>
      <c r="C69" s="925" t="s">
        <v>4346</v>
      </c>
      <c r="D69" s="910" t="s">
        <v>4360</v>
      </c>
      <c r="E69" s="911">
        <v>46141</v>
      </c>
      <c r="F69" s="910">
        <v>46142</v>
      </c>
      <c r="G69" s="1273">
        <f>VLOOKUP(F69,환율!A:B,2,0)</f>
        <v>1476.1</v>
      </c>
      <c r="H69" s="1134">
        <v>12907.62</v>
      </c>
      <c r="I69" s="1135">
        <f t="shared" si="7"/>
        <v>19052937</v>
      </c>
      <c r="J69" s="832">
        <f t="shared" si="9"/>
        <v>19052937</v>
      </c>
      <c r="K69" s="927"/>
      <c r="L69" s="1108"/>
      <c r="M69" s="1105"/>
      <c r="N69" s="1108"/>
      <c r="O69" s="1108"/>
      <c r="P69" s="1108"/>
      <c r="Q69" s="1108"/>
      <c r="R69" s="1108"/>
      <c r="S69" s="1108"/>
      <c r="T69" s="1108"/>
    </row>
    <row r="70" spans="1:20" s="126" customFormat="1" ht="24" customHeight="1">
      <c r="A70" s="1020" t="s">
        <v>4042</v>
      </c>
      <c r="B70" s="1021" t="s">
        <v>4039</v>
      </c>
      <c r="C70" s="1320" t="s">
        <v>4347</v>
      </c>
      <c r="D70" s="1322" t="s">
        <v>4361</v>
      </c>
      <c r="E70" s="1321">
        <v>46141</v>
      </c>
      <c r="F70" s="910">
        <v>46142</v>
      </c>
      <c r="G70" s="1273">
        <f>VLOOKUP(F70,환율!A:B,2,0)</f>
        <v>1476.1</v>
      </c>
      <c r="H70" s="1134">
        <v>3795</v>
      </c>
      <c r="I70" s="1135">
        <f t="shared" si="7"/>
        <v>5601799</v>
      </c>
      <c r="J70" s="926">
        <f t="shared" si="9"/>
        <v>5601799</v>
      </c>
      <c r="K70" s="927"/>
      <c r="L70" s="1108"/>
      <c r="M70" s="1105"/>
      <c r="N70" s="1108"/>
      <c r="O70" s="1108"/>
      <c r="P70" s="1108"/>
      <c r="Q70" s="1108"/>
      <c r="R70" s="1108"/>
      <c r="S70" s="1108"/>
      <c r="T70" s="1108"/>
    </row>
    <row r="71" spans="1:20" s="126" customFormat="1" ht="24" customHeight="1">
      <c r="A71" s="1020" t="s">
        <v>4042</v>
      </c>
      <c r="B71" s="1021" t="s">
        <v>4039</v>
      </c>
      <c r="C71" s="1320" t="s">
        <v>4348</v>
      </c>
      <c r="D71" s="910" t="s">
        <v>4362</v>
      </c>
      <c r="E71" s="1321">
        <v>46142</v>
      </c>
      <c r="F71" s="910">
        <v>46142</v>
      </c>
      <c r="G71" s="1273">
        <f>VLOOKUP(F71,환율!A:B,2,0)</f>
        <v>1476.1</v>
      </c>
      <c r="H71" s="1134">
        <v>7320</v>
      </c>
      <c r="I71" s="1135">
        <f t="shared" si="7"/>
        <v>10805052</v>
      </c>
      <c r="J71" s="926">
        <f t="shared" si="9"/>
        <v>10805052</v>
      </c>
      <c r="K71" s="927"/>
      <c r="L71" s="1108"/>
      <c r="M71" s="1105"/>
      <c r="N71" s="1108"/>
      <c r="O71" s="1108"/>
      <c r="P71" s="1108"/>
      <c r="Q71" s="1108"/>
      <c r="R71" s="1108"/>
      <c r="S71" s="1108"/>
      <c r="T71" s="1108"/>
    </row>
    <row r="72" spans="1:20" s="126" customFormat="1" ht="24" customHeight="1">
      <c r="A72" s="1020" t="s">
        <v>4042</v>
      </c>
      <c r="B72" s="1021" t="s">
        <v>4039</v>
      </c>
      <c r="C72" s="925" t="s">
        <v>4351</v>
      </c>
      <c r="D72" s="910" t="s">
        <v>4365</v>
      </c>
      <c r="E72" s="911">
        <v>46123</v>
      </c>
      <c r="F72" s="910">
        <v>46123</v>
      </c>
      <c r="G72" s="1181">
        <f>VLOOKUP(F72,환율!A:B,2,0)</f>
        <v>1481.1</v>
      </c>
      <c r="H72" s="1134">
        <v>4060.8</v>
      </c>
      <c r="I72" s="1135">
        <f t="shared" si="7"/>
        <v>6014450</v>
      </c>
      <c r="J72" s="926">
        <f t="shared" si="9"/>
        <v>6014450</v>
      </c>
      <c r="K72" s="927"/>
      <c r="L72" s="1108"/>
      <c r="M72" s="1105"/>
      <c r="N72" s="1108"/>
      <c r="O72" s="1108"/>
      <c r="P72" s="1108"/>
      <c r="Q72" s="1108"/>
      <c r="R72" s="1108"/>
      <c r="S72" s="1108"/>
      <c r="T72" s="1108"/>
    </row>
    <row r="73" spans="1:20" s="126" customFormat="1" ht="24" customHeight="1">
      <c r="A73" s="1020" t="s">
        <v>4042</v>
      </c>
      <c r="B73" s="1021" t="s">
        <v>4039</v>
      </c>
      <c r="C73" s="925" t="s">
        <v>4352</v>
      </c>
      <c r="D73" s="910" t="s">
        <v>4405</v>
      </c>
      <c r="E73" s="911">
        <v>46142</v>
      </c>
      <c r="F73" s="910">
        <v>46142</v>
      </c>
      <c r="G73" s="1273">
        <f>VLOOKUP(F73,환율!A:B,2,0)</f>
        <v>1476.1</v>
      </c>
      <c r="H73" s="1134">
        <v>102441.66</v>
      </c>
      <c r="I73" s="1135">
        <f t="shared" si="7"/>
        <v>151214134</v>
      </c>
      <c r="J73" s="926">
        <f t="shared" si="9"/>
        <v>151214134</v>
      </c>
      <c r="K73" s="927"/>
      <c r="L73" s="1108"/>
      <c r="M73" s="1105"/>
      <c r="N73" s="1108"/>
      <c r="O73" s="1108"/>
      <c r="P73" s="1108"/>
      <c r="Q73" s="1108"/>
      <c r="R73" s="1108"/>
      <c r="S73" s="1108"/>
      <c r="T73" s="1108"/>
    </row>
    <row r="74" spans="1:20" s="126" customFormat="1" ht="24" customHeight="1">
      <c r="A74" s="1020" t="s">
        <v>4042</v>
      </c>
      <c r="B74" s="1021" t="s">
        <v>4039</v>
      </c>
      <c r="C74" s="925" t="s">
        <v>4353</v>
      </c>
      <c r="D74" s="910" t="s">
        <v>4366</v>
      </c>
      <c r="E74" s="1022">
        <v>46142</v>
      </c>
      <c r="F74" s="910">
        <v>46142</v>
      </c>
      <c r="G74" s="1273">
        <f>VLOOKUP(F74,환율!A:B,2,0)</f>
        <v>1476.1</v>
      </c>
      <c r="H74" s="1134">
        <v>133097.51999999999</v>
      </c>
      <c r="I74" s="1135">
        <f t="shared" si="7"/>
        <v>196465249</v>
      </c>
      <c r="J74" s="926">
        <f t="shared" si="9"/>
        <v>196465249</v>
      </c>
      <c r="K74" s="927"/>
      <c r="L74" s="1108"/>
      <c r="M74" s="1105"/>
      <c r="N74" s="1108"/>
      <c r="O74" s="1108"/>
      <c r="P74" s="1108"/>
      <c r="Q74" s="1108"/>
      <c r="R74" s="1108"/>
      <c r="S74" s="1108"/>
      <c r="T74" s="1108"/>
    </row>
    <row r="75" spans="1:20" s="126" customFormat="1" ht="24" customHeight="1">
      <c r="A75" s="1020" t="s">
        <v>4042</v>
      </c>
      <c r="B75" s="1021" t="s">
        <v>4039</v>
      </c>
      <c r="C75" s="925" t="s">
        <v>4354</v>
      </c>
      <c r="D75" s="910" t="s">
        <v>4367</v>
      </c>
      <c r="E75" s="1022">
        <v>46142</v>
      </c>
      <c r="F75" s="910">
        <v>46142</v>
      </c>
      <c r="G75" s="1273">
        <f>VLOOKUP(F75,환율!A:B,2,0)</f>
        <v>1476.1</v>
      </c>
      <c r="H75" s="1134">
        <v>41029.800000000003</v>
      </c>
      <c r="I75" s="1135">
        <f t="shared" si="7"/>
        <v>60564087</v>
      </c>
      <c r="J75" s="926">
        <f t="shared" si="9"/>
        <v>60564087</v>
      </c>
      <c r="K75" s="927"/>
      <c r="L75" s="1108"/>
      <c r="M75" s="1105"/>
      <c r="N75" s="1108"/>
      <c r="O75" s="1108"/>
      <c r="P75" s="1108"/>
      <c r="Q75" s="1108"/>
      <c r="R75" s="1108"/>
      <c r="S75" s="1108"/>
      <c r="T75" s="1108"/>
    </row>
    <row r="76" spans="1:20" s="126" customFormat="1" ht="24" customHeight="1">
      <c r="A76" s="1020" t="s">
        <v>4042</v>
      </c>
      <c r="B76" s="1021" t="s">
        <v>4039</v>
      </c>
      <c r="C76" s="925" t="s">
        <v>4355</v>
      </c>
      <c r="D76" s="910" t="s">
        <v>4368</v>
      </c>
      <c r="E76" s="1022">
        <v>46142</v>
      </c>
      <c r="F76" s="910">
        <v>46142</v>
      </c>
      <c r="G76" s="1273">
        <f>VLOOKUP(F76,환율!A:B,2,0)</f>
        <v>1476.1</v>
      </c>
      <c r="H76" s="1134">
        <v>8988.16</v>
      </c>
      <c r="I76" s="1135">
        <f t="shared" si="7"/>
        <v>13267422</v>
      </c>
      <c r="J76" s="926">
        <f t="shared" si="9"/>
        <v>13267422</v>
      </c>
      <c r="K76" s="927"/>
      <c r="L76" s="1108"/>
      <c r="M76" s="1105"/>
      <c r="N76" s="1108"/>
      <c r="O76" s="1108"/>
      <c r="P76" s="1108"/>
      <c r="Q76" s="1108"/>
      <c r="R76" s="1108"/>
      <c r="S76" s="1108"/>
      <c r="T76" s="1108"/>
    </row>
    <row r="77" spans="1:20" s="126" customFormat="1" ht="24" customHeight="1">
      <c r="A77" s="1020" t="s">
        <v>4042</v>
      </c>
      <c r="B77" s="1021" t="s">
        <v>4039</v>
      </c>
      <c r="C77" s="925" t="s">
        <v>4356</v>
      </c>
      <c r="D77" s="910" t="s">
        <v>4369</v>
      </c>
      <c r="E77" s="1022">
        <v>46142</v>
      </c>
      <c r="F77" s="910">
        <v>46142</v>
      </c>
      <c r="G77" s="1273">
        <f>VLOOKUP(F77,환율!A:B,2,0)</f>
        <v>1476.1</v>
      </c>
      <c r="H77" s="1134">
        <v>5595.84</v>
      </c>
      <c r="I77" s="1135">
        <f t="shared" si="7"/>
        <v>8260019</v>
      </c>
      <c r="J77" s="926">
        <f t="shared" si="9"/>
        <v>8260019</v>
      </c>
      <c r="K77" s="927"/>
      <c r="L77" s="1108"/>
      <c r="M77" s="1105"/>
      <c r="N77" s="1108"/>
      <c r="O77" s="1108"/>
      <c r="P77" s="1108"/>
      <c r="Q77" s="1108"/>
      <c r="R77" s="1108"/>
      <c r="S77" s="1108"/>
      <c r="T77" s="1108"/>
    </row>
    <row r="78" spans="1:20" s="126" customFormat="1" ht="24" customHeight="1">
      <c r="A78" s="1020" t="s">
        <v>4042</v>
      </c>
      <c r="B78" s="1021" t="s">
        <v>4039</v>
      </c>
      <c r="C78" s="925" t="s">
        <v>4284</v>
      </c>
      <c r="D78" s="910" t="s">
        <v>4406</v>
      </c>
      <c r="E78" s="1022">
        <v>46134</v>
      </c>
      <c r="F78" s="910">
        <v>46134</v>
      </c>
      <c r="G78" s="1273">
        <f>VLOOKUP(F78,환율!A:B,2,0)</f>
        <v>1470.8</v>
      </c>
      <c r="H78" s="1134">
        <v>7038.36</v>
      </c>
      <c r="I78" s="1135">
        <f t="shared" si="7"/>
        <v>10352019</v>
      </c>
      <c r="J78" s="926">
        <f t="shared" si="9"/>
        <v>10352019</v>
      </c>
      <c r="K78" s="927"/>
      <c r="L78" s="1108"/>
      <c r="M78" s="1105"/>
      <c r="N78" s="1108"/>
      <c r="O78" s="1108"/>
      <c r="P78" s="1108"/>
      <c r="Q78" s="1108"/>
      <c r="R78" s="1108"/>
      <c r="S78" s="1108"/>
      <c r="T78" s="1108"/>
    </row>
    <row r="79" spans="1:20" s="126" customFormat="1" ht="24" customHeight="1">
      <c r="A79" s="875" t="s">
        <v>4042</v>
      </c>
      <c r="B79" s="876" t="s">
        <v>4039</v>
      </c>
      <c r="C79" s="897" t="s">
        <v>4349</v>
      </c>
      <c r="D79" s="880" t="s">
        <v>4363</v>
      </c>
      <c r="E79" s="879">
        <v>46144</v>
      </c>
      <c r="F79" s="880">
        <v>46144</v>
      </c>
      <c r="G79" s="1328">
        <f>VLOOKUP(F79,환율!A:B,2,0)</f>
        <v>1476.1</v>
      </c>
      <c r="H79" s="1137">
        <v>662</v>
      </c>
      <c r="I79" s="1138">
        <f t="shared" si="7"/>
        <v>977178</v>
      </c>
      <c r="J79" s="882"/>
      <c r="K79" s="883">
        <f>I79</f>
        <v>977178</v>
      </c>
      <c r="L79" s="1108"/>
      <c r="M79" s="1105"/>
      <c r="N79" s="1108"/>
      <c r="O79" s="1108"/>
      <c r="P79" s="1108"/>
      <c r="Q79" s="1108"/>
      <c r="R79" s="1108"/>
      <c r="S79" s="1108"/>
      <c r="T79" s="1108"/>
    </row>
    <row r="80" spans="1:20" s="126" customFormat="1" ht="24" customHeight="1" thickBot="1">
      <c r="A80" s="875" t="s">
        <v>4042</v>
      </c>
      <c r="B80" s="876" t="s">
        <v>4039</v>
      </c>
      <c r="C80" s="897" t="s">
        <v>4350</v>
      </c>
      <c r="D80" s="880" t="s">
        <v>4364</v>
      </c>
      <c r="E80" s="879">
        <v>46144</v>
      </c>
      <c r="F80" s="880">
        <v>46144</v>
      </c>
      <c r="G80" s="1328">
        <f>VLOOKUP(F80,환율!A:B,2,0)</f>
        <v>1476.1</v>
      </c>
      <c r="H80" s="1137">
        <v>8988.16</v>
      </c>
      <c r="I80" s="1138">
        <f t="shared" si="7"/>
        <v>13267422</v>
      </c>
      <c r="J80" s="882"/>
      <c r="K80" s="883">
        <f>I80</f>
        <v>13267422</v>
      </c>
      <c r="L80" s="1108"/>
      <c r="M80" s="1105"/>
      <c r="N80" s="1108"/>
      <c r="O80" s="1108"/>
      <c r="P80" s="1108"/>
      <c r="Q80" s="1108"/>
      <c r="R80" s="1108"/>
      <c r="S80" s="1108"/>
      <c r="T80" s="1108"/>
    </row>
    <row r="81" spans="1:20" s="97" customFormat="1" ht="24" customHeight="1">
      <c r="A81" s="1291" t="s">
        <v>4041</v>
      </c>
      <c r="B81" s="1292" t="s">
        <v>478</v>
      </c>
      <c r="C81" s="1293" t="s">
        <v>4285</v>
      </c>
      <c r="D81" s="1293" t="s">
        <v>4286</v>
      </c>
      <c r="E81" s="929">
        <v>46117</v>
      </c>
      <c r="F81" s="930">
        <v>46117</v>
      </c>
      <c r="G81" s="1294">
        <f>VLOOKUP(F81,환율!A:B,2,0)</f>
        <v>1518.8</v>
      </c>
      <c r="H81" s="1295">
        <v>52828.2</v>
      </c>
      <c r="I81" s="1280">
        <f t="shared" si="7"/>
        <v>80235470</v>
      </c>
      <c r="J81" s="1280">
        <f>I81</f>
        <v>80235470</v>
      </c>
      <c r="K81" s="1296"/>
      <c r="L81" s="1108"/>
      <c r="M81" s="1105"/>
      <c r="N81" s="1108"/>
      <c r="O81" s="1108"/>
      <c r="P81" s="1108"/>
      <c r="Q81" s="1108"/>
      <c r="R81" s="1108"/>
      <c r="S81" s="1108"/>
      <c r="T81" s="1108"/>
    </row>
    <row r="82" spans="1:20" s="718" customFormat="1" ht="24" customHeight="1">
      <c r="A82" s="1020" t="s">
        <v>4040</v>
      </c>
      <c r="B82" s="1021" t="s">
        <v>478</v>
      </c>
      <c r="C82" s="1050" t="s">
        <v>4287</v>
      </c>
      <c r="D82" s="1050" t="s">
        <v>4288</v>
      </c>
      <c r="E82" s="1051">
        <v>46124</v>
      </c>
      <c r="F82" s="1199">
        <v>46123</v>
      </c>
      <c r="G82" s="913">
        <f>VLOOKUP(F82,환율!A:B,2,0)</f>
        <v>1481.1</v>
      </c>
      <c r="H82" s="1143">
        <v>71782.559999999998</v>
      </c>
      <c r="I82" s="1135">
        <f t="shared" si="7"/>
        <v>106317149</v>
      </c>
      <c r="J82" s="926">
        <f t="shared" ref="J82:J86" si="12">I82</f>
        <v>106317149</v>
      </c>
      <c r="K82" s="1052"/>
      <c r="L82" s="1108"/>
      <c r="M82" s="1105"/>
      <c r="N82" s="1108"/>
      <c r="O82" s="1108"/>
      <c r="P82" s="1108"/>
      <c r="Q82" s="1108"/>
      <c r="R82" s="1108"/>
      <c r="S82" s="1108"/>
      <c r="T82" s="1108"/>
    </row>
    <row r="83" spans="1:20" s="718" customFormat="1" ht="24" customHeight="1">
      <c r="A83" s="1020" t="s">
        <v>4040</v>
      </c>
      <c r="B83" s="1021" t="s">
        <v>478</v>
      </c>
      <c r="C83" s="1050" t="s">
        <v>4289</v>
      </c>
      <c r="D83" s="1050" t="s">
        <v>4372</v>
      </c>
      <c r="E83" s="1051">
        <v>46129</v>
      </c>
      <c r="F83" s="1199">
        <v>46129</v>
      </c>
      <c r="G83" s="913">
        <f>VLOOKUP(F83,환율!A:B,2,0)</f>
        <v>1472.6</v>
      </c>
      <c r="H83" s="1143">
        <v>11072.16</v>
      </c>
      <c r="I83" s="1135">
        <f t="shared" si="7"/>
        <v>16304862</v>
      </c>
      <c r="J83" s="926">
        <f t="shared" ref="J83" si="13">I83</f>
        <v>16304862</v>
      </c>
      <c r="K83" s="1052"/>
      <c r="L83" s="1108"/>
      <c r="M83" s="1105"/>
      <c r="N83" s="1108"/>
      <c r="O83" s="1108"/>
      <c r="P83" s="1108"/>
      <c r="Q83" s="1108"/>
      <c r="R83" s="1108"/>
      <c r="S83" s="1108"/>
      <c r="T83" s="1108"/>
    </row>
    <row r="84" spans="1:20" s="718" customFormat="1" ht="24" customHeight="1">
      <c r="A84" s="1020" t="s">
        <v>4040</v>
      </c>
      <c r="B84" s="1021" t="s">
        <v>478</v>
      </c>
      <c r="C84" s="1050" t="s">
        <v>4290</v>
      </c>
      <c r="D84" s="1050" t="s">
        <v>4291</v>
      </c>
      <c r="E84" s="1051">
        <v>46129</v>
      </c>
      <c r="F84" s="1199">
        <v>46129</v>
      </c>
      <c r="G84" s="913">
        <f>VLOOKUP(F84,환율!A:B,2,0)</f>
        <v>1472.6</v>
      </c>
      <c r="H84" s="1143">
        <v>2013.12</v>
      </c>
      <c r="I84" s="1135">
        <f t="shared" si="7"/>
        <v>2964520</v>
      </c>
      <c r="J84" s="926">
        <f t="shared" si="12"/>
        <v>2964520</v>
      </c>
      <c r="K84" s="1052"/>
      <c r="L84" s="1108"/>
      <c r="M84" s="1105"/>
      <c r="N84" s="1108"/>
      <c r="O84" s="1108"/>
      <c r="P84" s="1108"/>
      <c r="Q84" s="1108"/>
      <c r="R84" s="1108"/>
      <c r="S84" s="1108"/>
      <c r="T84" s="1108"/>
    </row>
    <row r="85" spans="1:20" s="718" customFormat="1" ht="24" customHeight="1">
      <c r="A85" s="1177" t="s">
        <v>4373</v>
      </c>
      <c r="B85" s="1178" t="s">
        <v>478</v>
      </c>
      <c r="C85" s="1179" t="s">
        <v>4292</v>
      </c>
      <c r="D85" s="1179" t="s">
        <v>4293</v>
      </c>
      <c r="E85" s="1180">
        <v>46136</v>
      </c>
      <c r="F85" s="1071">
        <v>46136</v>
      </c>
      <c r="G85" s="1297">
        <f>VLOOKUP(F85,환율!A:B,2,0)</f>
        <v>1480.6</v>
      </c>
      <c r="H85" s="1143">
        <v>58966.92</v>
      </c>
      <c r="I85" s="1135">
        <f t="shared" si="7"/>
        <v>87306421</v>
      </c>
      <c r="J85" s="1135">
        <f t="shared" si="12"/>
        <v>87306421</v>
      </c>
      <c r="K85" s="1182"/>
      <c r="L85" s="1108"/>
      <c r="M85" s="1105"/>
      <c r="N85" s="1108"/>
      <c r="O85" s="1108"/>
      <c r="P85" s="1108"/>
      <c r="Q85" s="1108"/>
      <c r="R85" s="1108"/>
      <c r="S85" s="1108"/>
      <c r="T85" s="1108"/>
    </row>
    <row r="86" spans="1:20" s="718" customFormat="1" ht="24" customHeight="1" thickBot="1">
      <c r="A86" s="1020" t="s">
        <v>4373</v>
      </c>
      <c r="B86" s="1021" t="s">
        <v>4039</v>
      </c>
      <c r="C86" s="925" t="s">
        <v>4377</v>
      </c>
      <c r="D86" s="910" t="s">
        <v>4374</v>
      </c>
      <c r="E86" s="1022">
        <v>46142</v>
      </c>
      <c r="F86" s="910">
        <v>46142</v>
      </c>
      <c r="G86" s="913">
        <f>VLOOKUP(F86,환율!A:B,2,0)</f>
        <v>1476.1</v>
      </c>
      <c r="H86" s="1134">
        <v>61284.12</v>
      </c>
      <c r="I86" s="1135">
        <f t="shared" si="7"/>
        <v>90461489</v>
      </c>
      <c r="J86" s="926">
        <f t="shared" si="12"/>
        <v>90461489</v>
      </c>
      <c r="K86" s="927"/>
      <c r="L86" s="1108"/>
      <c r="M86" s="1105"/>
      <c r="N86" s="1108"/>
      <c r="O86" s="1108"/>
      <c r="P86" s="1108"/>
      <c r="Q86" s="1108"/>
      <c r="R86" s="1108"/>
      <c r="S86" s="1108"/>
      <c r="T86" s="1108"/>
    </row>
    <row r="87" spans="1:20" s="97" customFormat="1" ht="24" customHeight="1">
      <c r="A87" s="816" t="s">
        <v>4045</v>
      </c>
      <c r="B87" s="817" t="s">
        <v>478</v>
      </c>
      <c r="C87" s="1298" t="s">
        <v>4197</v>
      </c>
      <c r="D87" s="1298" t="s">
        <v>4199</v>
      </c>
      <c r="E87" s="1299">
        <v>46117</v>
      </c>
      <c r="F87" s="1300">
        <v>46117</v>
      </c>
      <c r="G87" s="1301">
        <f>VLOOKUP(F87,환율!A:B,2,0)</f>
        <v>1518.8</v>
      </c>
      <c r="H87" s="1329">
        <f t="shared" ref="H87:H93" si="14">I87/G87</f>
        <v>42151.018567289968</v>
      </c>
      <c r="I87" s="1142">
        <v>64018967</v>
      </c>
      <c r="J87" s="823">
        <f>I87</f>
        <v>64018967</v>
      </c>
      <c r="K87" s="824"/>
      <c r="L87" s="1108">
        <f>J87*0.15</f>
        <v>9602845.0499999989</v>
      </c>
      <c r="M87" s="1108">
        <f>J87*0.27</f>
        <v>17285121.09</v>
      </c>
      <c r="N87" s="1108"/>
      <c r="O87" s="1108"/>
      <c r="P87" s="1108"/>
      <c r="Q87" s="1108"/>
      <c r="R87" s="1108"/>
      <c r="S87" s="1108"/>
      <c r="T87" s="1108"/>
    </row>
    <row r="88" spans="1:20" s="97" customFormat="1" ht="24" customHeight="1">
      <c r="A88" s="862" t="s">
        <v>4044</v>
      </c>
      <c r="B88" s="863" t="s">
        <v>4039</v>
      </c>
      <c r="C88" s="1023" t="s">
        <v>4198</v>
      </c>
      <c r="D88" s="1023" t="s">
        <v>4200</v>
      </c>
      <c r="E88" s="896">
        <v>46120</v>
      </c>
      <c r="F88" s="865">
        <v>46120</v>
      </c>
      <c r="G88" s="868">
        <f>VLOOKUP(F88,환율!A:B,2,0)</f>
        <v>1506.8</v>
      </c>
      <c r="H88" s="1132">
        <f t="shared" si="14"/>
        <v>44675.852800637113</v>
      </c>
      <c r="I88" s="1133">
        <v>67317575</v>
      </c>
      <c r="J88" s="869">
        <f>I88</f>
        <v>67317575</v>
      </c>
      <c r="K88" s="870"/>
      <c r="L88" s="1108">
        <f>J88*0.15</f>
        <v>10097636.25</v>
      </c>
      <c r="M88" s="1108">
        <f>J88*0.27</f>
        <v>18175745.25</v>
      </c>
      <c r="N88" s="1108"/>
      <c r="O88" s="1108"/>
      <c r="P88" s="1108"/>
      <c r="Q88" s="1108"/>
      <c r="R88" s="1108"/>
      <c r="S88" s="1108"/>
      <c r="T88" s="1108"/>
    </row>
    <row r="89" spans="1:20" s="97" customFormat="1" ht="24" customHeight="1">
      <c r="A89" s="1020" t="s">
        <v>4044</v>
      </c>
      <c r="B89" s="1021" t="s">
        <v>4039</v>
      </c>
      <c r="C89" s="1302" t="s">
        <v>4294</v>
      </c>
      <c r="D89" s="1302" t="s">
        <v>4295</v>
      </c>
      <c r="E89" s="1303">
        <v>46134</v>
      </c>
      <c r="F89" s="1285">
        <v>46134</v>
      </c>
      <c r="G89" s="1287">
        <f>VLOOKUP(F89,환율!A:B,2,0)</f>
        <v>1470.8</v>
      </c>
      <c r="H89" s="1304">
        <f t="shared" si="14"/>
        <v>4768.6905085667668</v>
      </c>
      <c r="I89" s="1305">
        <v>7013790</v>
      </c>
      <c r="J89" s="1289">
        <f t="shared" ref="J89:J90" si="15">I89</f>
        <v>7013790</v>
      </c>
      <c r="K89" s="927"/>
      <c r="L89" s="1108">
        <f>J89*0.15</f>
        <v>1052068.5</v>
      </c>
      <c r="M89" s="1108">
        <f>J89*0.27</f>
        <v>1893723.3</v>
      </c>
      <c r="N89" s="1108"/>
      <c r="O89" s="1108"/>
      <c r="P89" s="1108"/>
      <c r="Q89" s="1108"/>
      <c r="R89" s="1108"/>
      <c r="S89" s="1108"/>
      <c r="T89" s="1108"/>
    </row>
    <row r="90" spans="1:20" s="97" customFormat="1" ht="24" customHeight="1">
      <c r="A90" s="1020" t="s">
        <v>4044</v>
      </c>
      <c r="B90" s="1021" t="s">
        <v>4039</v>
      </c>
      <c r="C90" s="934" t="s">
        <v>4296</v>
      </c>
      <c r="D90" s="934" t="s">
        <v>4297</v>
      </c>
      <c r="E90" s="1022">
        <v>46136</v>
      </c>
      <c r="F90" s="912">
        <v>46135</v>
      </c>
      <c r="G90" s="913">
        <f>VLOOKUP(F90,환율!A:B,2,0)</f>
        <v>1477.6</v>
      </c>
      <c r="H90" s="1304">
        <f t="shared" si="14"/>
        <v>68893.228884677854</v>
      </c>
      <c r="I90" s="1305">
        <v>101796635</v>
      </c>
      <c r="J90" s="926">
        <f t="shared" si="15"/>
        <v>101796635</v>
      </c>
      <c r="K90" s="927"/>
      <c r="L90" s="1108">
        <f>J90*0.15</f>
        <v>15269495.25</v>
      </c>
      <c r="M90" s="1108">
        <f>J90*0.27</f>
        <v>27485091.450000003</v>
      </c>
      <c r="N90" s="1108"/>
      <c r="O90" s="1108"/>
      <c r="P90" s="1108"/>
      <c r="Q90" s="1108"/>
      <c r="R90" s="1108"/>
      <c r="S90" s="1108"/>
      <c r="T90" s="1108"/>
    </row>
    <row r="91" spans="1:20" s="97" customFormat="1" ht="24" customHeight="1">
      <c r="A91" s="1020" t="s">
        <v>4044</v>
      </c>
      <c r="B91" s="1021" t="s">
        <v>4039</v>
      </c>
      <c r="C91" s="934" t="s">
        <v>4298</v>
      </c>
      <c r="D91" s="934" t="s">
        <v>4299</v>
      </c>
      <c r="E91" s="911">
        <v>46129</v>
      </c>
      <c r="F91" s="912">
        <v>46129</v>
      </c>
      <c r="G91" s="913">
        <f>VLOOKUP(F91,환율!A:B,2,0)</f>
        <v>1472.6</v>
      </c>
      <c r="H91" s="1304">
        <f t="shared" si="14"/>
        <v>5221.4966725519489</v>
      </c>
      <c r="I91" s="1305">
        <v>7689176</v>
      </c>
      <c r="J91" s="926">
        <f>I91</f>
        <v>7689176</v>
      </c>
      <c r="K91" s="927"/>
      <c r="L91" s="1108">
        <f>J91*0.15</f>
        <v>1153376.3999999999</v>
      </c>
      <c r="M91" s="1108">
        <f>J91*0.27</f>
        <v>2076077.5200000003</v>
      </c>
      <c r="N91" s="1108"/>
      <c r="O91" s="1108"/>
      <c r="P91" s="1108"/>
      <c r="Q91" s="1108"/>
      <c r="R91" s="1108"/>
      <c r="S91" s="1108"/>
      <c r="T91" s="1108"/>
    </row>
    <row r="92" spans="1:20" s="97" customFormat="1" ht="24" customHeight="1">
      <c r="A92" s="1020" t="s">
        <v>4375</v>
      </c>
      <c r="B92" s="1021" t="s">
        <v>4039</v>
      </c>
      <c r="C92" s="1063" t="s">
        <v>4300</v>
      </c>
      <c r="D92" s="1063" t="s">
        <v>4301</v>
      </c>
      <c r="E92" s="1180">
        <v>46136</v>
      </c>
      <c r="F92" s="1199">
        <v>46135</v>
      </c>
      <c r="G92" s="1064">
        <f>VLOOKUP(F92,환율!A:B,2,0)</f>
        <v>1477.6</v>
      </c>
      <c r="H92" s="1304">
        <f t="shared" si="14"/>
        <v>40263.702625879807</v>
      </c>
      <c r="I92" s="1305">
        <v>59493647</v>
      </c>
      <c r="J92" s="926">
        <f>I92</f>
        <v>59493647</v>
      </c>
      <c r="K92" s="1052"/>
      <c r="L92" s="1108"/>
      <c r="M92" s="1105"/>
      <c r="N92" s="1108"/>
      <c r="O92" s="1108"/>
      <c r="P92" s="1108"/>
      <c r="Q92" s="1108"/>
      <c r="R92" s="1108"/>
      <c r="S92" s="1108"/>
      <c r="T92" s="1108"/>
    </row>
    <row r="93" spans="1:20" s="97" customFormat="1" ht="24" customHeight="1" thickBot="1">
      <c r="A93" s="875" t="s">
        <v>4375</v>
      </c>
      <c r="B93" s="876" t="s">
        <v>4039</v>
      </c>
      <c r="C93" s="897" t="s">
        <v>4376</v>
      </c>
      <c r="D93" s="880"/>
      <c r="E93" s="879" t="s">
        <v>4370</v>
      </c>
      <c r="F93" s="880">
        <v>46143</v>
      </c>
      <c r="G93" s="881">
        <f>VLOOKUP(F93,환율!A:B,2,0)</f>
        <v>1476.1</v>
      </c>
      <c r="H93" s="1137">
        <f t="shared" si="14"/>
        <v>104141.05548404581</v>
      </c>
      <c r="I93" s="1138">
        <v>153722612</v>
      </c>
      <c r="J93" s="882"/>
      <c r="K93" s="883">
        <f t="shared" ref="K93" si="16">I93</f>
        <v>153722612</v>
      </c>
      <c r="L93" s="1108"/>
      <c r="M93" s="1105"/>
      <c r="N93" s="1108"/>
      <c r="O93" s="1108"/>
      <c r="P93" s="1108"/>
      <c r="Q93" s="1108"/>
      <c r="R93" s="1108"/>
      <c r="S93" s="1108"/>
      <c r="T93" s="1108"/>
    </row>
    <row r="94" spans="1:20" s="97" customFormat="1" ht="24" customHeight="1">
      <c r="A94" s="1277" t="s">
        <v>664</v>
      </c>
      <c r="B94" s="1278" t="s">
        <v>626</v>
      </c>
      <c r="C94" s="1306" t="s">
        <v>4302</v>
      </c>
      <c r="D94" s="930" t="s">
        <v>4304</v>
      </c>
      <c r="E94" s="929">
        <v>46126</v>
      </c>
      <c r="F94" s="1279">
        <v>46126</v>
      </c>
      <c r="G94" s="1330">
        <f>VLOOKUP(F94,환율!A:B,2,0)</f>
        <v>1489.8</v>
      </c>
      <c r="H94" s="1331">
        <v>392849.68</v>
      </c>
      <c r="I94" s="1280">
        <f t="shared" ref="I94:I132" si="17">ROUNDDOWN(H94*G94,0)</f>
        <v>585267453</v>
      </c>
      <c r="J94" s="932">
        <f>I94</f>
        <v>585267453</v>
      </c>
      <c r="K94" s="933"/>
      <c r="L94" s="1108"/>
      <c r="M94" s="1105"/>
      <c r="N94" s="1108"/>
      <c r="O94" s="1108"/>
      <c r="P94" s="1108"/>
      <c r="Q94" s="1108"/>
      <c r="R94" s="1108"/>
      <c r="S94" s="1108"/>
      <c r="T94" s="1108"/>
    </row>
    <row r="95" spans="1:20" s="97" customFormat="1" ht="24" customHeight="1">
      <c r="A95" s="1227" t="s">
        <v>29</v>
      </c>
      <c r="B95" s="1228" t="s">
        <v>4046</v>
      </c>
      <c r="C95" s="1352" t="s">
        <v>4409</v>
      </c>
      <c r="D95" s="1087" t="s">
        <v>38</v>
      </c>
      <c r="E95" s="1103"/>
      <c r="F95" s="1103">
        <v>46126</v>
      </c>
      <c r="G95" s="1230">
        <f>VLOOKUP(F95,환율!A:B,2,0)</f>
        <v>1489.8</v>
      </c>
      <c r="H95" s="1130">
        <v>92730.64</v>
      </c>
      <c r="I95" s="1131">
        <f t="shared" si="17"/>
        <v>138150107</v>
      </c>
      <c r="J95" s="1131">
        <f t="shared" ref="J95" si="18">I95</f>
        <v>138150107</v>
      </c>
      <c r="K95" s="1231"/>
      <c r="L95" s="1108"/>
      <c r="M95" s="1105"/>
      <c r="N95" s="1108"/>
      <c r="O95" s="1108"/>
      <c r="P95" s="1108"/>
      <c r="Q95" s="1108"/>
      <c r="R95" s="1108"/>
      <c r="S95" s="1108"/>
      <c r="T95" s="1108"/>
    </row>
    <row r="96" spans="1:20" s="97" customFormat="1" ht="24" customHeight="1">
      <c r="A96" s="1177" t="s">
        <v>29</v>
      </c>
      <c r="B96" s="1178" t="s">
        <v>4046</v>
      </c>
      <c r="C96" s="1353" t="s">
        <v>4303</v>
      </c>
      <c r="D96" s="910" t="s">
        <v>4305</v>
      </c>
      <c r="E96" s="911">
        <v>46134</v>
      </c>
      <c r="F96" s="910">
        <v>46134</v>
      </c>
      <c r="G96" s="1354">
        <f>VLOOKUP(F96,환율!A:B,2,0)</f>
        <v>1470.8</v>
      </c>
      <c r="H96" s="1332">
        <v>389324.4</v>
      </c>
      <c r="I96" s="1135">
        <f t="shared" si="17"/>
        <v>572618327</v>
      </c>
      <c r="J96" s="1135">
        <f>I96</f>
        <v>572618327</v>
      </c>
      <c r="K96" s="1333"/>
      <c r="L96" s="1108"/>
      <c r="M96" s="1105"/>
      <c r="N96" s="1108"/>
      <c r="O96" s="1108"/>
      <c r="P96" s="1108"/>
      <c r="Q96" s="1108"/>
      <c r="R96" s="1108"/>
      <c r="S96" s="1108"/>
      <c r="T96" s="1108"/>
    </row>
    <row r="97" spans="1:20" s="97" customFormat="1" ht="24" customHeight="1">
      <c r="A97" s="1227" t="s">
        <v>29</v>
      </c>
      <c r="B97" s="1228" t="s">
        <v>4046</v>
      </c>
      <c r="C97" s="1352" t="s">
        <v>4410</v>
      </c>
      <c r="D97" s="1087" t="s">
        <v>38</v>
      </c>
      <c r="E97" s="1103"/>
      <c r="F97" s="1103">
        <v>46134</v>
      </c>
      <c r="G97" s="1230">
        <f>VLOOKUP(F97,환율!A:B,2,0)</f>
        <v>1470.8</v>
      </c>
      <c r="H97" s="1130">
        <v>92195.36</v>
      </c>
      <c r="I97" s="1131">
        <f t="shared" ref="I97" si="19">ROUNDDOWN(H97*G97,0)</f>
        <v>135600935</v>
      </c>
      <c r="J97" s="1131">
        <f t="shared" ref="J97" si="20">I97</f>
        <v>135600935</v>
      </c>
      <c r="K97" s="1231"/>
      <c r="L97" s="1108"/>
      <c r="M97" s="1105"/>
      <c r="N97" s="1108"/>
      <c r="O97" s="1108"/>
      <c r="P97" s="1108"/>
      <c r="Q97" s="1108"/>
      <c r="R97" s="1108"/>
      <c r="S97" s="1108"/>
      <c r="T97" s="1108"/>
    </row>
    <row r="98" spans="1:20" s="120" customFormat="1" ht="24" customHeight="1">
      <c r="A98" s="1020" t="s">
        <v>29</v>
      </c>
      <c r="B98" s="1021" t="s">
        <v>4046</v>
      </c>
      <c r="C98" s="909" t="s">
        <v>4386</v>
      </c>
      <c r="D98" s="912" t="s">
        <v>4392</v>
      </c>
      <c r="E98" s="1022">
        <v>46124</v>
      </c>
      <c r="F98" s="912">
        <v>46123</v>
      </c>
      <c r="G98" s="913">
        <f>VLOOKUP(F98,환율!A:B,2,0)</f>
        <v>1481.1</v>
      </c>
      <c r="H98" s="1004">
        <v>1702.29</v>
      </c>
      <c r="I98" s="926">
        <f t="shared" ref="I98:I102" si="21">ROUNDDOWN(H98*G98,0)</f>
        <v>2521261</v>
      </c>
      <c r="J98" s="926">
        <f t="shared" ref="J98" si="22">I98</f>
        <v>2521261</v>
      </c>
      <c r="K98" s="927"/>
      <c r="L98" s="1110"/>
      <c r="M98" s="1107"/>
      <c r="N98" s="1110"/>
      <c r="O98" s="1110"/>
      <c r="P98" s="1110"/>
      <c r="Q98" s="1110"/>
      <c r="R98" s="1110"/>
      <c r="S98" s="1110"/>
      <c r="T98" s="1110"/>
    </row>
    <row r="99" spans="1:20" s="120" customFormat="1" ht="24" customHeight="1">
      <c r="A99" s="1020" t="s">
        <v>29</v>
      </c>
      <c r="B99" s="1283" t="s">
        <v>4046</v>
      </c>
      <c r="C99" s="1284" t="s">
        <v>4387</v>
      </c>
      <c r="D99" s="1284" t="s">
        <v>4393</v>
      </c>
      <c r="E99" s="1022">
        <v>46124</v>
      </c>
      <c r="F99" s="1285">
        <v>46123</v>
      </c>
      <c r="G99" s="1287">
        <f>VLOOKUP(F99,환율!A:B,2,0)</f>
        <v>1481.1</v>
      </c>
      <c r="H99" s="1374">
        <v>4405.13</v>
      </c>
      <c r="I99" s="1289">
        <f t="shared" si="21"/>
        <v>6524438</v>
      </c>
      <c r="J99" s="1289">
        <f>I99</f>
        <v>6524438</v>
      </c>
      <c r="K99" s="1290"/>
      <c r="L99" s="1110"/>
      <c r="M99" s="1107"/>
      <c r="N99" s="1110" t="s">
        <v>4420</v>
      </c>
      <c r="O99" s="1110"/>
      <c r="P99" s="1110"/>
      <c r="Q99" s="1110"/>
      <c r="R99" s="1110"/>
      <c r="S99" s="1110"/>
      <c r="T99" s="1110"/>
    </row>
    <row r="100" spans="1:20" s="120" customFormat="1" ht="24" customHeight="1">
      <c r="A100" s="1177" t="s">
        <v>29</v>
      </c>
      <c r="B100" s="1178" t="s">
        <v>4046</v>
      </c>
      <c r="C100" s="934" t="s">
        <v>4388</v>
      </c>
      <c r="D100" s="934" t="s">
        <v>4394</v>
      </c>
      <c r="E100" s="1022">
        <v>46124</v>
      </c>
      <c r="F100" s="910">
        <v>46123</v>
      </c>
      <c r="G100" s="1181"/>
      <c r="H100" s="1134">
        <v>20</v>
      </c>
      <c r="I100" s="1135">
        <f t="shared" si="21"/>
        <v>0</v>
      </c>
      <c r="J100" s="1135">
        <f t="shared" ref="J100:J102" si="23">I100</f>
        <v>0</v>
      </c>
      <c r="K100" s="1355" t="s">
        <v>4416</v>
      </c>
      <c r="L100" s="1110"/>
      <c r="M100" s="1107"/>
      <c r="N100" s="1110"/>
      <c r="O100" s="1110"/>
      <c r="P100" s="1110"/>
      <c r="Q100" s="1110"/>
      <c r="R100" s="1110"/>
      <c r="S100" s="1110"/>
      <c r="T100" s="1110"/>
    </row>
    <row r="101" spans="1:20" s="1040" customFormat="1" ht="24" customHeight="1">
      <c r="A101" s="1177" t="s">
        <v>29</v>
      </c>
      <c r="B101" s="1178" t="s">
        <v>4046</v>
      </c>
      <c r="C101" s="934" t="s">
        <v>4389</v>
      </c>
      <c r="D101" s="934" t="s">
        <v>4395</v>
      </c>
      <c r="E101" s="1022">
        <v>46125</v>
      </c>
      <c r="F101" s="910">
        <v>46123</v>
      </c>
      <c r="G101" s="1181">
        <f>VLOOKUP(F101,환율!A:B,2,0)</f>
        <v>1481.1</v>
      </c>
      <c r="H101" s="1004">
        <v>12996.99</v>
      </c>
      <c r="I101" s="1135">
        <f t="shared" si="21"/>
        <v>19249841</v>
      </c>
      <c r="J101" s="1135">
        <f t="shared" si="23"/>
        <v>19249841</v>
      </c>
      <c r="K101" s="1333"/>
      <c r="L101" s="1110"/>
      <c r="M101" s="1107"/>
      <c r="N101" s="1110"/>
      <c r="O101" s="1107"/>
      <c r="P101" s="1107"/>
      <c r="Q101" s="1110"/>
      <c r="R101" s="1110"/>
      <c r="S101" s="1110"/>
      <c r="T101" s="1110"/>
    </row>
    <row r="102" spans="1:20" s="1040" customFormat="1" ht="24" customHeight="1">
      <c r="A102" s="1177" t="s">
        <v>664</v>
      </c>
      <c r="B102" s="1178" t="s">
        <v>4046</v>
      </c>
      <c r="C102" s="934" t="s">
        <v>4390</v>
      </c>
      <c r="D102" s="934" t="s">
        <v>4396</v>
      </c>
      <c r="E102" s="1022">
        <v>46131</v>
      </c>
      <c r="F102" s="910">
        <v>46130</v>
      </c>
      <c r="G102" s="1181">
        <f>VLOOKUP(F102,환율!A:B,2,0)</f>
        <v>1472.6</v>
      </c>
      <c r="H102" s="1004">
        <v>8664.66</v>
      </c>
      <c r="I102" s="1135">
        <f t="shared" si="21"/>
        <v>12759578</v>
      </c>
      <c r="J102" s="1135">
        <f t="shared" si="23"/>
        <v>12759578</v>
      </c>
      <c r="K102" s="1333"/>
      <c r="L102" s="1110"/>
      <c r="M102" s="1107"/>
      <c r="N102" s="1110"/>
      <c r="O102" s="1110"/>
      <c r="P102" s="1110"/>
      <c r="Q102" s="1110"/>
      <c r="R102" s="1110"/>
      <c r="S102" s="1110"/>
      <c r="T102" s="1110"/>
    </row>
    <row r="103" spans="1:20" s="718" customFormat="1" ht="24" customHeight="1">
      <c r="A103" s="1177" t="s">
        <v>29</v>
      </c>
      <c r="B103" s="1178" t="s">
        <v>4046</v>
      </c>
      <c r="C103" s="934" t="s">
        <v>4306</v>
      </c>
      <c r="D103" s="934" t="s">
        <v>4307</v>
      </c>
      <c r="E103" s="1022">
        <v>46131</v>
      </c>
      <c r="F103" s="910">
        <v>46133</v>
      </c>
      <c r="G103" s="1181">
        <f>VLOOKUP(F103,환율!A:B,2,0)</f>
        <v>1475.6</v>
      </c>
      <c r="H103" s="1134">
        <v>25993.98</v>
      </c>
      <c r="I103" s="1135">
        <f t="shared" si="17"/>
        <v>38356716</v>
      </c>
      <c r="J103" s="1135">
        <f t="shared" ref="J103:J109" si="24">I103</f>
        <v>38356716</v>
      </c>
      <c r="K103" s="1333"/>
      <c r="L103" s="1108"/>
      <c r="M103" s="1105"/>
      <c r="N103" s="1108"/>
      <c r="O103" s="1108"/>
      <c r="P103" s="1108"/>
      <c r="Q103" s="1108"/>
      <c r="R103" s="1108"/>
      <c r="S103" s="1108"/>
      <c r="T103" s="1108"/>
    </row>
    <row r="104" spans="1:20" s="718" customFormat="1" ht="24" customHeight="1">
      <c r="A104" s="1177" t="s">
        <v>29</v>
      </c>
      <c r="B104" s="1178" t="s">
        <v>4046</v>
      </c>
      <c r="C104" s="934" t="s">
        <v>4308</v>
      </c>
      <c r="D104" s="934" t="s">
        <v>4309</v>
      </c>
      <c r="E104" s="911">
        <v>46135</v>
      </c>
      <c r="F104" s="910">
        <v>46134</v>
      </c>
      <c r="G104" s="1181">
        <f>VLOOKUP(F104,환율!A:B,2,0)</f>
        <v>1470.8</v>
      </c>
      <c r="H104" s="1004">
        <v>935.64</v>
      </c>
      <c r="I104" s="1135">
        <f t="shared" si="17"/>
        <v>1376139</v>
      </c>
      <c r="J104" s="1135">
        <f t="shared" si="24"/>
        <v>1376139</v>
      </c>
      <c r="K104" s="1333"/>
      <c r="L104" s="1108"/>
      <c r="M104" s="1105"/>
      <c r="N104" s="1108"/>
      <c r="O104" s="1108"/>
      <c r="P104" s="1108"/>
      <c r="Q104" s="1108"/>
      <c r="R104" s="1108"/>
      <c r="S104" s="1108"/>
      <c r="T104" s="1108"/>
    </row>
    <row r="105" spans="1:20" s="718" customFormat="1" ht="24" customHeight="1">
      <c r="A105" s="1177" t="s">
        <v>4378</v>
      </c>
      <c r="B105" s="1178" t="s">
        <v>4046</v>
      </c>
      <c r="C105" s="934" t="s">
        <v>4391</v>
      </c>
      <c r="D105" s="934" t="s">
        <v>4397</v>
      </c>
      <c r="E105" s="911">
        <v>46141</v>
      </c>
      <c r="F105" s="910">
        <v>46134</v>
      </c>
      <c r="G105" s="1181">
        <f>VLOOKUP(F105,환율!A:B,2,0)</f>
        <v>1470.8</v>
      </c>
      <c r="H105" s="1134">
        <v>17329.32</v>
      </c>
      <c r="I105" s="1135">
        <f t="shared" si="17"/>
        <v>25487963</v>
      </c>
      <c r="J105" s="1135">
        <f t="shared" si="24"/>
        <v>25487963</v>
      </c>
      <c r="K105" s="1333"/>
      <c r="L105" s="1108"/>
      <c r="M105" s="1105"/>
      <c r="N105" s="1108"/>
      <c r="O105" s="1108"/>
      <c r="P105" s="1108"/>
      <c r="Q105" s="1108"/>
      <c r="R105" s="1108"/>
      <c r="S105" s="1108"/>
      <c r="T105" s="1108"/>
    </row>
    <row r="106" spans="1:20" s="718" customFormat="1" ht="24" customHeight="1">
      <c r="A106" s="1227" t="s">
        <v>664</v>
      </c>
      <c r="B106" s="1228" t="s">
        <v>4046</v>
      </c>
      <c r="C106" s="1229" t="s">
        <v>4417</v>
      </c>
      <c r="D106" s="1229"/>
      <c r="E106" s="1103" t="s">
        <v>4418</v>
      </c>
      <c r="F106" s="1087">
        <v>46113</v>
      </c>
      <c r="G106" s="1230">
        <f>VLOOKUP(F106,환율!A:B,2,0)</f>
        <v>1530.5</v>
      </c>
      <c r="H106" s="1130">
        <v>37231</v>
      </c>
      <c r="I106" s="1131">
        <f t="shared" si="17"/>
        <v>56982045</v>
      </c>
      <c r="J106" s="1131">
        <f t="shared" si="24"/>
        <v>56982045</v>
      </c>
      <c r="K106" s="1231"/>
      <c r="L106" s="1108"/>
      <c r="M106" s="1105"/>
      <c r="N106" s="1108" t="s">
        <v>4419</v>
      </c>
      <c r="O106" s="1108"/>
      <c r="P106" s="1108"/>
      <c r="Q106" s="1108"/>
      <c r="R106" s="1108"/>
      <c r="S106" s="1108"/>
      <c r="T106" s="1108"/>
    </row>
    <row r="107" spans="1:20" s="718" customFormat="1" ht="24" customHeight="1">
      <c r="A107" s="875" t="s">
        <v>664</v>
      </c>
      <c r="B107" s="876" t="s">
        <v>626</v>
      </c>
      <c r="C107" s="897" t="s">
        <v>4402</v>
      </c>
      <c r="D107" s="880" t="s">
        <v>4407</v>
      </c>
      <c r="E107" s="879">
        <v>46144</v>
      </c>
      <c r="F107" s="880">
        <v>46144</v>
      </c>
      <c r="G107" s="881">
        <f>VLOOKUP(F107,환율!A:B,2,0)</f>
        <v>1476.1</v>
      </c>
      <c r="H107" s="1137">
        <v>467066.2</v>
      </c>
      <c r="I107" s="1138">
        <f t="shared" ref="I107" si="25">ROUNDDOWN(H107*G107,0)</f>
        <v>689436417</v>
      </c>
      <c r="J107" s="882">
        <f t="shared" ref="J107" si="26">I107</f>
        <v>689436417</v>
      </c>
      <c r="K107" s="883">
        <f t="shared" ref="K107" si="27">I107</f>
        <v>689436417</v>
      </c>
      <c r="L107" s="1108"/>
      <c r="M107" s="1105"/>
      <c r="N107" s="1108"/>
      <c r="O107" s="1108"/>
      <c r="P107" s="1108"/>
      <c r="Q107" s="1108"/>
      <c r="R107" s="1108"/>
      <c r="S107" s="1108"/>
      <c r="T107" s="1108"/>
    </row>
    <row r="108" spans="1:20" s="718" customFormat="1" ht="24" customHeight="1">
      <c r="A108" s="875" t="s">
        <v>664</v>
      </c>
      <c r="B108" s="876" t="s">
        <v>626</v>
      </c>
      <c r="C108" s="897" t="s">
        <v>4399</v>
      </c>
      <c r="D108" s="880" t="s">
        <v>4401</v>
      </c>
      <c r="E108" s="879">
        <v>46146</v>
      </c>
      <c r="F108" s="880">
        <v>46146</v>
      </c>
      <c r="G108" s="881">
        <f>VLOOKUP(F108,환율!A:B,2,0)</f>
        <v>1484.8</v>
      </c>
      <c r="H108" s="1137">
        <v>34658.639999999999</v>
      </c>
      <c r="I108" s="1138">
        <f t="shared" ref="I108" si="28">ROUNDDOWN(H108*G108,0)</f>
        <v>51461148</v>
      </c>
      <c r="J108" s="882">
        <f t="shared" ref="J108" si="29">I108</f>
        <v>51461148</v>
      </c>
      <c r="K108" s="883">
        <f t="shared" ref="K108" si="30">I108</f>
        <v>51461148</v>
      </c>
      <c r="L108" s="1108"/>
      <c r="M108" s="1105"/>
      <c r="N108" s="1108"/>
      <c r="O108" s="1108"/>
      <c r="P108" s="1108"/>
      <c r="Q108" s="1108"/>
      <c r="R108" s="1108"/>
      <c r="S108" s="1108"/>
      <c r="T108" s="1108"/>
    </row>
    <row r="109" spans="1:20" s="718" customFormat="1" ht="24" customHeight="1" thickBot="1">
      <c r="A109" s="875" t="s">
        <v>4378</v>
      </c>
      <c r="B109" s="876" t="s">
        <v>4379</v>
      </c>
      <c r="C109" s="897" t="s">
        <v>4400</v>
      </c>
      <c r="D109" s="880"/>
      <c r="E109" s="879" t="s">
        <v>4370</v>
      </c>
      <c r="F109" s="880">
        <v>46143</v>
      </c>
      <c r="G109" s="881">
        <f>VLOOKUP(F109,환율!A:B,2,0)</f>
        <v>1476.1</v>
      </c>
      <c r="H109" s="1137">
        <v>34658.639999999999</v>
      </c>
      <c r="I109" s="1138">
        <f t="shared" si="17"/>
        <v>51159618</v>
      </c>
      <c r="J109" s="882">
        <f t="shared" si="24"/>
        <v>51159618</v>
      </c>
      <c r="K109" s="883">
        <f t="shared" ref="K109" si="31">I109</f>
        <v>51159618</v>
      </c>
      <c r="L109" s="1108"/>
      <c r="M109" s="1105"/>
      <c r="N109" s="1108"/>
      <c r="O109" s="1108"/>
      <c r="P109" s="1108"/>
      <c r="Q109" s="1108"/>
      <c r="R109" s="1108"/>
      <c r="S109" s="1108"/>
      <c r="T109" s="1108"/>
    </row>
    <row r="110" spans="1:20" s="97" customFormat="1" ht="24" customHeight="1">
      <c r="A110" s="816" t="s">
        <v>47</v>
      </c>
      <c r="B110" s="817" t="s">
        <v>4047</v>
      </c>
      <c r="C110" s="893" t="s">
        <v>4310</v>
      </c>
      <c r="D110" s="821" t="s">
        <v>4408</v>
      </c>
      <c r="E110" s="894">
        <v>46119</v>
      </c>
      <c r="F110" s="819">
        <v>46114</v>
      </c>
      <c r="G110" s="861">
        <f>VLOOKUP(F110,환율!A:B,2,0)</f>
        <v>1507.8</v>
      </c>
      <c r="H110" s="1141">
        <v>15790.4</v>
      </c>
      <c r="I110" s="1142">
        <f t="shared" si="17"/>
        <v>23808765</v>
      </c>
      <c r="J110" s="823">
        <f>I110</f>
        <v>23808765</v>
      </c>
      <c r="K110" s="824"/>
      <c r="L110" s="1108">
        <f>J110*0.97</f>
        <v>23094502.050000001</v>
      </c>
      <c r="M110" s="1105"/>
      <c r="N110" s="1108"/>
      <c r="O110" s="1108"/>
      <c r="P110" s="1108"/>
      <c r="Q110" s="1108"/>
      <c r="R110" s="1108"/>
      <c r="S110" s="1108"/>
      <c r="T110" s="1108"/>
    </row>
    <row r="111" spans="1:20" s="97" customFormat="1" ht="24" customHeight="1">
      <c r="A111" s="1020" t="s">
        <v>28</v>
      </c>
      <c r="B111" s="1021" t="s">
        <v>4047</v>
      </c>
      <c r="C111" s="925" t="s">
        <v>4311</v>
      </c>
      <c r="D111" s="910" t="s">
        <v>4314</v>
      </c>
      <c r="E111" s="911">
        <v>46119</v>
      </c>
      <c r="F111" s="912">
        <v>46119</v>
      </c>
      <c r="G111" s="913">
        <f>VLOOKUP(F111,환율!A:B,2,0)</f>
        <v>1507.2</v>
      </c>
      <c r="H111" s="1134">
        <v>19738</v>
      </c>
      <c r="I111" s="1135">
        <f t="shared" si="17"/>
        <v>29749113</v>
      </c>
      <c r="J111" s="926">
        <f>I111</f>
        <v>29749113</v>
      </c>
      <c r="K111" s="927"/>
      <c r="L111" s="1108">
        <f>J111*0.97</f>
        <v>28856639.609999999</v>
      </c>
      <c r="M111" s="1105"/>
      <c r="N111" s="1108"/>
      <c r="O111" s="1108"/>
      <c r="P111" s="1108"/>
      <c r="Q111" s="1108"/>
      <c r="R111" s="1108"/>
      <c r="S111" s="1108"/>
      <c r="T111" s="1108"/>
    </row>
    <row r="112" spans="1:20" s="97" customFormat="1" ht="24" customHeight="1">
      <c r="A112" s="1061" t="s">
        <v>28</v>
      </c>
      <c r="B112" s="1062" t="s">
        <v>4047</v>
      </c>
      <c r="C112" s="1050" t="s">
        <v>4312</v>
      </c>
      <c r="D112" s="1071" t="s">
        <v>4315</v>
      </c>
      <c r="E112" s="1051">
        <v>46127</v>
      </c>
      <c r="F112" s="1199">
        <v>46127</v>
      </c>
      <c r="G112" s="1064">
        <f>VLOOKUP(F112,환율!A:B,2,0)</f>
        <v>1481.4</v>
      </c>
      <c r="H112" s="1143">
        <v>15790.4</v>
      </c>
      <c r="I112" s="1146">
        <f t="shared" si="17"/>
        <v>23391898</v>
      </c>
      <c r="J112" s="1065">
        <f>I112</f>
        <v>23391898</v>
      </c>
      <c r="K112" s="1052"/>
      <c r="L112" s="1108">
        <f>J112*0.97</f>
        <v>22690141.059999999</v>
      </c>
      <c r="M112" s="1105"/>
      <c r="N112" s="1108"/>
      <c r="O112" s="1108"/>
      <c r="P112" s="1108"/>
      <c r="Q112" s="1108"/>
      <c r="R112" s="1108"/>
      <c r="S112" s="1108"/>
      <c r="T112" s="1108"/>
    </row>
    <row r="113" spans="1:20" s="97" customFormat="1" ht="24" customHeight="1">
      <c r="A113" s="1061" t="s">
        <v>4380</v>
      </c>
      <c r="B113" s="1062" t="s">
        <v>4047</v>
      </c>
      <c r="C113" s="1050" t="s">
        <v>4313</v>
      </c>
      <c r="D113" s="1071" t="s">
        <v>4316</v>
      </c>
      <c r="E113" s="1051">
        <v>46134</v>
      </c>
      <c r="F113" s="1199">
        <v>46134</v>
      </c>
      <c r="G113" s="1064">
        <f>VLOOKUP(F113,환율!A:B,2,0)</f>
        <v>1470.8</v>
      </c>
      <c r="H113" s="1143">
        <v>27633.200000000001</v>
      </c>
      <c r="I113" s="1146">
        <f t="shared" si="17"/>
        <v>40642910</v>
      </c>
      <c r="J113" s="1065">
        <f>I113</f>
        <v>40642910</v>
      </c>
      <c r="K113" s="1052"/>
      <c r="L113" s="1108"/>
      <c r="M113" s="1105"/>
      <c r="N113" s="1108"/>
      <c r="O113" s="1108"/>
      <c r="P113" s="1108"/>
      <c r="Q113" s="1108"/>
      <c r="R113" s="1108"/>
      <c r="S113" s="1108"/>
      <c r="T113" s="1108"/>
    </row>
    <row r="114" spans="1:20" s="97" customFormat="1" ht="24.75" customHeight="1" thickBot="1">
      <c r="A114" s="884" t="s">
        <v>4380</v>
      </c>
      <c r="B114" s="885" t="s">
        <v>4381</v>
      </c>
      <c r="C114" s="899" t="s">
        <v>4382</v>
      </c>
      <c r="D114" s="889" t="s">
        <v>4316</v>
      </c>
      <c r="E114" s="879">
        <v>46149</v>
      </c>
      <c r="F114" s="889">
        <v>46149</v>
      </c>
      <c r="G114" s="890">
        <f>VLOOKUP(F114,환율!A:B,2,0)</f>
        <v>1456.8</v>
      </c>
      <c r="H114" s="1139">
        <v>35528.400000000001</v>
      </c>
      <c r="I114" s="1140">
        <f t="shared" si="17"/>
        <v>51757773</v>
      </c>
      <c r="J114" s="891">
        <f t="shared" ref="J114" si="32">I114</f>
        <v>51757773</v>
      </c>
      <c r="K114" s="892">
        <f t="shared" ref="K114" si="33">I114</f>
        <v>51757773</v>
      </c>
      <c r="L114" s="1108"/>
      <c r="M114" s="1105"/>
      <c r="N114" s="1108"/>
      <c r="O114" s="1108"/>
      <c r="P114" s="1108"/>
      <c r="Q114" s="1108"/>
      <c r="R114" s="1108"/>
      <c r="S114" s="1108"/>
      <c r="T114" s="1108"/>
    </row>
    <row r="115" spans="1:20" s="1365" customFormat="1" ht="24" customHeight="1">
      <c r="A115" s="1366" t="s">
        <v>40</v>
      </c>
      <c r="B115" s="1367" t="s">
        <v>4048</v>
      </c>
      <c r="C115" s="1368" t="s">
        <v>4398</v>
      </c>
      <c r="D115" s="1368" t="s">
        <v>4204</v>
      </c>
      <c r="E115" s="1369">
        <v>46112</v>
      </c>
      <c r="F115" s="1370">
        <v>46113</v>
      </c>
      <c r="G115" s="1371">
        <f>VLOOKUP(F115,환율!A:B,2,0)</f>
        <v>1530.5</v>
      </c>
      <c r="H115" s="998">
        <v>656.44</v>
      </c>
      <c r="I115" s="1372">
        <f t="shared" si="17"/>
        <v>1004681</v>
      </c>
      <c r="J115" s="1372">
        <f t="shared" ref="J115:J124" si="34">I115</f>
        <v>1004681</v>
      </c>
      <c r="K115" s="1373"/>
      <c r="L115" s="1176"/>
      <c r="M115" s="1364"/>
      <c r="N115" s="1176"/>
      <c r="O115" s="1176"/>
      <c r="P115" s="1176"/>
      <c r="Q115" s="1176"/>
      <c r="R115" s="1176"/>
      <c r="S115" s="1176"/>
      <c r="T115" s="1176"/>
    </row>
    <row r="116" spans="1:20" s="97" customFormat="1" ht="24" customHeight="1">
      <c r="A116" s="1261" t="s">
        <v>30</v>
      </c>
      <c r="B116" s="1262" t="s">
        <v>4047</v>
      </c>
      <c r="C116" s="1323" t="s">
        <v>4317</v>
      </c>
      <c r="D116" s="1323" t="s">
        <v>4205</v>
      </c>
      <c r="E116" s="1327">
        <v>46114</v>
      </c>
      <c r="F116" s="1324">
        <v>46114</v>
      </c>
      <c r="G116" s="1266">
        <f>VLOOKUP(F116,환율!A:B,2,0)</f>
        <v>1507.8</v>
      </c>
      <c r="H116" s="1325">
        <v>41485</v>
      </c>
      <c r="I116" s="1326">
        <f t="shared" ref="I116" si="35">ROUNDDOWN(H116*G116,0)</f>
        <v>62551083</v>
      </c>
      <c r="J116" s="1268">
        <f t="shared" ref="J116" si="36">I116</f>
        <v>62551083</v>
      </c>
      <c r="K116" s="1269"/>
      <c r="L116" s="1108"/>
      <c r="M116" s="1105"/>
      <c r="N116" s="1108"/>
      <c r="O116" s="1108"/>
      <c r="P116" s="1108"/>
      <c r="Q116" s="1108"/>
      <c r="R116" s="1108"/>
      <c r="S116" s="1108"/>
      <c r="T116" s="1108"/>
    </row>
    <row r="117" spans="1:20" s="97" customFormat="1" ht="24" customHeight="1">
      <c r="A117" s="1020" t="s">
        <v>30</v>
      </c>
      <c r="B117" s="1021" t="s">
        <v>4047</v>
      </c>
      <c r="C117" s="934" t="s">
        <v>4318</v>
      </c>
      <c r="D117" s="934" t="s">
        <v>4319</v>
      </c>
      <c r="E117" s="911">
        <v>46128</v>
      </c>
      <c r="F117" s="910">
        <v>46127</v>
      </c>
      <c r="G117" s="913">
        <f>VLOOKUP(F117,환율!A:B,2,0)</f>
        <v>1481.4</v>
      </c>
      <c r="H117" s="1134">
        <v>1538.42</v>
      </c>
      <c r="I117" s="1135">
        <f t="shared" si="17"/>
        <v>2279015</v>
      </c>
      <c r="J117" s="926">
        <f t="shared" si="34"/>
        <v>2279015</v>
      </c>
      <c r="K117" s="927"/>
      <c r="L117" s="1108"/>
      <c r="M117" s="1105"/>
      <c r="N117" s="1108"/>
      <c r="O117" s="1108"/>
      <c r="P117" s="1108"/>
      <c r="Q117" s="1108"/>
      <c r="R117" s="1108"/>
      <c r="S117" s="1108"/>
      <c r="T117" s="1108"/>
    </row>
    <row r="118" spans="1:20" s="97" customFormat="1" ht="24" customHeight="1">
      <c r="A118" s="1020" t="s">
        <v>30</v>
      </c>
      <c r="B118" s="1021" t="s">
        <v>4047</v>
      </c>
      <c r="C118" s="934" t="s">
        <v>4320</v>
      </c>
      <c r="D118" s="934" t="s">
        <v>4321</v>
      </c>
      <c r="E118" s="911">
        <v>46116</v>
      </c>
      <c r="F118" s="910">
        <v>46116</v>
      </c>
      <c r="G118" s="913">
        <f>VLOOKUP(F118,환율!A:B,2,0)</f>
        <v>1518.8</v>
      </c>
      <c r="H118" s="1134">
        <v>1711.08</v>
      </c>
      <c r="I118" s="1135">
        <f t="shared" si="17"/>
        <v>2598788</v>
      </c>
      <c r="J118" s="926">
        <f t="shared" si="34"/>
        <v>2598788</v>
      </c>
      <c r="K118" s="927"/>
      <c r="L118" s="1108"/>
      <c r="M118" s="1105"/>
      <c r="N118" s="1108"/>
      <c r="O118" s="1108"/>
      <c r="P118" s="1108"/>
      <c r="Q118" s="1108"/>
      <c r="R118" s="1108"/>
      <c r="S118" s="1108"/>
      <c r="T118" s="1108"/>
    </row>
    <row r="119" spans="1:20" s="97" customFormat="1" ht="24" customHeight="1">
      <c r="A119" s="1020" t="s">
        <v>30</v>
      </c>
      <c r="B119" s="1021" t="s">
        <v>4047</v>
      </c>
      <c r="C119" s="934" t="s">
        <v>4322</v>
      </c>
      <c r="D119" s="934" t="s">
        <v>4323</v>
      </c>
      <c r="E119" s="911">
        <v>46126</v>
      </c>
      <c r="F119" s="910">
        <v>46126</v>
      </c>
      <c r="G119" s="913">
        <f>VLOOKUP(F119,환율!A:B,2,0)</f>
        <v>1489.8</v>
      </c>
      <c r="H119" s="1134">
        <v>3266.96</v>
      </c>
      <c r="I119" s="1135">
        <f t="shared" si="17"/>
        <v>4867117</v>
      </c>
      <c r="J119" s="926">
        <f t="shared" si="34"/>
        <v>4867117</v>
      </c>
      <c r="K119" s="927"/>
      <c r="L119" s="1108"/>
      <c r="M119" s="1105"/>
      <c r="N119" s="1108"/>
      <c r="O119" s="1108"/>
      <c r="P119" s="1108"/>
      <c r="Q119" s="1108"/>
      <c r="R119" s="1108"/>
      <c r="S119" s="1108"/>
      <c r="T119" s="1108"/>
    </row>
    <row r="120" spans="1:20" s="97" customFormat="1" ht="24" customHeight="1">
      <c r="A120" s="1020" t="s">
        <v>30</v>
      </c>
      <c r="B120" s="1021" t="s">
        <v>4047</v>
      </c>
      <c r="C120" s="934" t="s">
        <v>4324</v>
      </c>
      <c r="D120" s="934" t="s">
        <v>4325</v>
      </c>
      <c r="E120" s="911">
        <v>46123</v>
      </c>
      <c r="F120" s="910">
        <v>46123</v>
      </c>
      <c r="G120" s="913">
        <f>VLOOKUP(F120,환율!A:B,2,0)</f>
        <v>1481.1</v>
      </c>
      <c r="H120" s="1134">
        <v>1673.45</v>
      </c>
      <c r="I120" s="1135">
        <f t="shared" si="17"/>
        <v>2478546</v>
      </c>
      <c r="J120" s="926">
        <f t="shared" si="34"/>
        <v>2478546</v>
      </c>
      <c r="K120" s="927"/>
      <c r="L120" s="1108"/>
      <c r="M120" s="1105"/>
      <c r="N120" s="1108"/>
      <c r="O120" s="1108"/>
      <c r="P120" s="1108"/>
      <c r="Q120" s="1108"/>
      <c r="R120" s="1108"/>
      <c r="S120" s="1108"/>
      <c r="T120" s="1108"/>
    </row>
    <row r="121" spans="1:20" s="97" customFormat="1" ht="24" customHeight="1">
      <c r="A121" s="1061" t="s">
        <v>30</v>
      </c>
      <c r="B121" s="1062" t="s">
        <v>4047</v>
      </c>
      <c r="C121" s="1063" t="s">
        <v>4326</v>
      </c>
      <c r="D121" s="1063" t="s">
        <v>4327</v>
      </c>
      <c r="E121" s="1051">
        <v>46122</v>
      </c>
      <c r="F121" s="1071">
        <v>46122</v>
      </c>
      <c r="G121" s="1064">
        <f>VLOOKUP(F121,환율!A:B,2,0)</f>
        <v>1481.1</v>
      </c>
      <c r="H121" s="1143">
        <v>30373.5</v>
      </c>
      <c r="I121" s="1146">
        <f t="shared" si="17"/>
        <v>44986190</v>
      </c>
      <c r="J121" s="1065">
        <f t="shared" ref="J121:J122" si="37">I121</f>
        <v>44986190</v>
      </c>
      <c r="K121" s="1052"/>
      <c r="L121" s="1108"/>
      <c r="M121" s="1105"/>
      <c r="N121" s="1108"/>
      <c r="O121" s="1108"/>
      <c r="P121" s="1108"/>
      <c r="Q121" s="1108"/>
      <c r="R121" s="1108"/>
      <c r="S121" s="1108"/>
      <c r="T121" s="1108"/>
    </row>
    <row r="122" spans="1:20" s="97" customFormat="1" ht="24" customHeight="1">
      <c r="A122" s="1061" t="s">
        <v>30</v>
      </c>
      <c r="B122" s="1062" t="s">
        <v>4047</v>
      </c>
      <c r="C122" s="1063" t="s">
        <v>4328</v>
      </c>
      <c r="D122" s="1063" t="s">
        <v>4329</v>
      </c>
      <c r="E122" s="1051">
        <v>46139</v>
      </c>
      <c r="F122" s="1071">
        <v>46139</v>
      </c>
      <c r="G122" s="1064">
        <f>VLOOKUP(F122,환율!A:B,2,0)</f>
        <v>1482.9</v>
      </c>
      <c r="H122" s="1143">
        <v>4220.68</v>
      </c>
      <c r="I122" s="1146">
        <f t="shared" si="17"/>
        <v>6258846</v>
      </c>
      <c r="J122" s="1065">
        <f t="shared" si="37"/>
        <v>6258846</v>
      </c>
      <c r="K122" s="1052"/>
      <c r="L122" s="1108"/>
      <c r="M122" s="1105"/>
      <c r="N122" s="1108"/>
      <c r="O122" s="1108"/>
      <c r="P122" s="1108"/>
      <c r="Q122" s="1108"/>
      <c r="R122" s="1108"/>
      <c r="S122" s="1108"/>
      <c r="T122" s="1108"/>
    </row>
    <row r="123" spans="1:20" s="97" customFormat="1" ht="24" customHeight="1">
      <c r="A123" s="1061" t="s">
        <v>30</v>
      </c>
      <c r="B123" s="1062" t="s">
        <v>4047</v>
      </c>
      <c r="C123" s="1063" t="s">
        <v>4330</v>
      </c>
      <c r="D123" s="1063" t="s">
        <v>4331</v>
      </c>
      <c r="E123" s="1051">
        <v>46136</v>
      </c>
      <c r="F123" s="1071">
        <v>46136</v>
      </c>
      <c r="G123" s="1064">
        <f>VLOOKUP(F123,환율!A:B,2,0)</f>
        <v>1480.6</v>
      </c>
      <c r="H123" s="1143">
        <v>6469.5</v>
      </c>
      <c r="I123" s="1146">
        <f t="shared" si="17"/>
        <v>9578741</v>
      </c>
      <c r="J123" s="1065">
        <f t="shared" si="34"/>
        <v>9578741</v>
      </c>
      <c r="K123" s="1052"/>
      <c r="L123" s="1108"/>
      <c r="M123" s="1105"/>
      <c r="N123" s="1108"/>
      <c r="O123" s="1108"/>
      <c r="P123" s="1108"/>
      <c r="Q123" s="1108"/>
      <c r="R123" s="1108"/>
      <c r="S123" s="1108"/>
      <c r="T123" s="1108"/>
    </row>
    <row r="124" spans="1:20" s="97" customFormat="1" ht="24" customHeight="1">
      <c r="A124" s="1334" t="s">
        <v>30</v>
      </c>
      <c r="B124" s="1335" t="s">
        <v>4047</v>
      </c>
      <c r="C124" s="1336" t="s">
        <v>4421</v>
      </c>
      <c r="D124" s="1336"/>
      <c r="E124" s="1337"/>
      <c r="F124" s="1338">
        <v>46142</v>
      </c>
      <c r="G124" s="1339">
        <f>VLOOKUP(F124,환율!A:B,2,0)</f>
        <v>1476.1</v>
      </c>
      <c r="H124" s="1340">
        <v>3250</v>
      </c>
      <c r="I124" s="1341">
        <f t="shared" si="17"/>
        <v>4797325</v>
      </c>
      <c r="J124" s="1342">
        <f t="shared" si="34"/>
        <v>4797325</v>
      </c>
      <c r="K124" s="1343"/>
      <c r="L124" s="1108"/>
      <c r="M124" s="1105"/>
      <c r="N124" s="1108"/>
      <c r="O124" s="1108"/>
      <c r="P124" s="1108"/>
      <c r="Q124" s="1108"/>
      <c r="R124" s="1108"/>
      <c r="S124" s="1108"/>
      <c r="T124" s="1108"/>
    </row>
    <row r="125" spans="1:20" s="97" customFormat="1" ht="24" customHeight="1" thickBot="1">
      <c r="A125" s="884" t="s">
        <v>30</v>
      </c>
      <c r="B125" s="885" t="s">
        <v>4047</v>
      </c>
      <c r="C125" s="907" t="s">
        <v>4383</v>
      </c>
      <c r="D125" s="907" t="s">
        <v>4384</v>
      </c>
      <c r="E125" s="888">
        <v>46147</v>
      </c>
      <c r="F125" s="889">
        <v>46147</v>
      </c>
      <c r="G125" s="890">
        <f>VLOOKUP(F125,환율!A:B,2,0)</f>
        <v>1484.8</v>
      </c>
      <c r="H125" s="1139">
        <v>10782.5</v>
      </c>
      <c r="I125" s="1140">
        <f t="shared" si="17"/>
        <v>16009856</v>
      </c>
      <c r="J125" s="891"/>
      <c r="K125" s="892">
        <f>I125</f>
        <v>16009856</v>
      </c>
      <c r="L125" s="1108"/>
      <c r="M125" s="1105"/>
      <c r="N125" s="1108"/>
      <c r="O125" s="1108"/>
      <c r="P125" s="1108"/>
      <c r="Q125" s="1108"/>
      <c r="R125" s="1108"/>
      <c r="S125" s="1108"/>
      <c r="T125" s="1108"/>
    </row>
    <row r="126" spans="1:20" s="718" customFormat="1" ht="24" customHeight="1">
      <c r="A126" s="1307" t="s">
        <v>15</v>
      </c>
      <c r="B126" s="1308" t="s">
        <v>4048</v>
      </c>
      <c r="C126" s="1309" t="s">
        <v>4332</v>
      </c>
      <c r="D126" s="1309" t="s">
        <v>4333</v>
      </c>
      <c r="E126" s="1310">
        <v>46121</v>
      </c>
      <c r="F126" s="1311">
        <v>46121</v>
      </c>
      <c r="G126" s="1312">
        <f>VLOOKUP(F126,환율!A:B,2,0)</f>
        <v>1476.1</v>
      </c>
      <c r="H126" s="1313">
        <v>47500.959999999999</v>
      </c>
      <c r="I126" s="1314">
        <f t="shared" si="17"/>
        <v>70116167</v>
      </c>
      <c r="J126" s="1315">
        <f>I126</f>
        <v>70116167</v>
      </c>
      <c r="K126" s="1316"/>
      <c r="L126" s="1108"/>
      <c r="M126" s="1105"/>
      <c r="N126" s="1108"/>
      <c r="O126" s="1108"/>
      <c r="P126" s="1108"/>
      <c r="Q126" s="1108"/>
      <c r="R126" s="1108"/>
      <c r="S126" s="1108"/>
      <c r="T126" s="1108"/>
    </row>
    <row r="127" spans="1:20" s="718" customFormat="1" ht="24" customHeight="1">
      <c r="A127" s="1020" t="s">
        <v>15</v>
      </c>
      <c r="B127" s="1097" t="s">
        <v>4048</v>
      </c>
      <c r="C127" s="934" t="s">
        <v>4334</v>
      </c>
      <c r="D127" s="934" t="s">
        <v>4335</v>
      </c>
      <c r="E127" s="911">
        <v>46124</v>
      </c>
      <c r="F127" s="910">
        <v>46124</v>
      </c>
      <c r="G127" s="913">
        <f>VLOOKUP(F127,환율!A:B,2,0)</f>
        <v>1481.1</v>
      </c>
      <c r="H127" s="1134">
        <v>16326.42</v>
      </c>
      <c r="I127" s="1135">
        <f t="shared" si="17"/>
        <v>24181060</v>
      </c>
      <c r="J127" s="926">
        <f t="shared" ref="J127:J129" si="38">I127</f>
        <v>24181060</v>
      </c>
      <c r="K127" s="927"/>
      <c r="L127" s="1108"/>
      <c r="M127" s="1105"/>
      <c r="N127" s="1108"/>
      <c r="O127" s="1108"/>
      <c r="P127" s="1108"/>
      <c r="Q127" s="1108"/>
      <c r="R127" s="1108"/>
      <c r="S127" s="1108"/>
      <c r="T127" s="1108"/>
    </row>
    <row r="128" spans="1:20" s="718" customFormat="1" ht="24" customHeight="1">
      <c r="A128" s="1317" t="s">
        <v>15</v>
      </c>
      <c r="B128" s="1318" t="s">
        <v>4048</v>
      </c>
      <c r="C128" s="1066" t="s">
        <v>4336</v>
      </c>
      <c r="D128" s="1066" t="s">
        <v>4403</v>
      </c>
      <c r="E128" s="1067">
        <v>46144</v>
      </c>
      <c r="F128" s="1319">
        <v>46144</v>
      </c>
      <c r="G128" s="1068">
        <f>VLOOKUP(F128,환율!A:B,2,0)</f>
        <v>1476.1</v>
      </c>
      <c r="H128" s="1144">
        <v>57914.46</v>
      </c>
      <c r="I128" s="1145">
        <f t="shared" si="17"/>
        <v>85487534</v>
      </c>
      <c r="J128" s="1069">
        <f t="shared" ref="J128" si="39">I128</f>
        <v>85487534</v>
      </c>
      <c r="K128" s="1070">
        <f>I128</f>
        <v>85487534</v>
      </c>
      <c r="L128" s="1108"/>
      <c r="M128" s="1105"/>
      <c r="N128" s="1108"/>
      <c r="O128" s="1108"/>
      <c r="P128" s="1108"/>
      <c r="Q128" s="1108"/>
      <c r="R128" s="1108"/>
      <c r="S128" s="1108"/>
      <c r="T128" s="1108"/>
    </row>
    <row r="129" spans="1:20" s="718" customFormat="1" ht="24" customHeight="1" thickBot="1">
      <c r="A129" s="884" t="s">
        <v>15</v>
      </c>
      <c r="B129" s="885" t="s">
        <v>4048</v>
      </c>
      <c r="C129" s="907" t="s">
        <v>4385</v>
      </c>
      <c r="D129" s="907" t="s">
        <v>4404</v>
      </c>
      <c r="E129" s="900">
        <v>46147</v>
      </c>
      <c r="F129" s="889">
        <v>46147</v>
      </c>
      <c r="G129" s="890">
        <f>VLOOKUP(F129,환율!A:B,2,0)</f>
        <v>1484.8</v>
      </c>
      <c r="H129" s="1139">
        <v>10070.049999999999</v>
      </c>
      <c r="I129" s="1140">
        <f t="shared" si="17"/>
        <v>14952010</v>
      </c>
      <c r="J129" s="891">
        <f t="shared" si="38"/>
        <v>14952010</v>
      </c>
      <c r="K129" s="892">
        <f>I129</f>
        <v>14952010</v>
      </c>
      <c r="L129" s="1108"/>
      <c r="M129" s="1105"/>
      <c r="N129" s="1108"/>
      <c r="O129" s="1108"/>
      <c r="P129" s="1108"/>
      <c r="Q129" s="1108"/>
      <c r="R129" s="1108"/>
      <c r="S129" s="1108"/>
      <c r="T129" s="1108"/>
    </row>
    <row r="130" spans="1:20" s="97" customFormat="1" ht="24" customHeight="1">
      <c r="A130" s="1344" t="s">
        <v>4049</v>
      </c>
      <c r="B130" s="1345" t="s">
        <v>4048</v>
      </c>
      <c r="C130" s="1346" t="s">
        <v>4337</v>
      </c>
      <c r="D130" s="1347" t="s">
        <v>2504</v>
      </c>
      <c r="E130" s="1348" t="s">
        <v>4425</v>
      </c>
      <c r="F130" s="1216">
        <v>46114</v>
      </c>
      <c r="G130" s="1349">
        <f>VLOOKUP(F130,환율!A:B,2,0)</f>
        <v>1507.8</v>
      </c>
      <c r="H130" s="1149"/>
      <c r="I130" s="1150">
        <v>21526400</v>
      </c>
      <c r="J130" s="1150">
        <f>I130</f>
        <v>21526400</v>
      </c>
      <c r="K130" s="1350"/>
      <c r="L130" s="1108">
        <f>J130*0.82</f>
        <v>17651648</v>
      </c>
      <c r="M130" s="1105"/>
      <c r="N130" s="1108"/>
      <c r="O130" s="1108"/>
      <c r="P130" s="1108"/>
      <c r="Q130" s="1108"/>
      <c r="R130" s="1108"/>
      <c r="S130" s="1108"/>
      <c r="T130" s="1108"/>
    </row>
    <row r="131" spans="1:20" s="97" customFormat="1" ht="24" customHeight="1" thickBot="1">
      <c r="A131" s="1270" t="s">
        <v>4049</v>
      </c>
      <c r="B131" s="1271" t="s">
        <v>4048</v>
      </c>
      <c r="C131" s="1351" t="s">
        <v>4338</v>
      </c>
      <c r="D131" s="828" t="s">
        <v>2504</v>
      </c>
      <c r="E131" s="829" t="s">
        <v>4425</v>
      </c>
      <c r="F131" s="910">
        <v>46122</v>
      </c>
      <c r="G131" s="1273">
        <f>VLOOKUP(F131,환율!A:B,2,0)</f>
        <v>1481.1</v>
      </c>
      <c r="H131" s="1136"/>
      <c r="I131" s="1123">
        <v>21526400</v>
      </c>
      <c r="J131" s="1123">
        <f>I131</f>
        <v>21526400</v>
      </c>
      <c r="K131" s="833"/>
      <c r="L131" s="1108">
        <f t="shared" ref="L131:L132" si="40">J131*0.82</f>
        <v>17651648</v>
      </c>
      <c r="M131" s="1105"/>
      <c r="N131" s="1108"/>
      <c r="O131" s="1108"/>
      <c r="P131" s="1108"/>
      <c r="Q131" s="1108"/>
      <c r="R131" s="1108"/>
      <c r="S131" s="1108"/>
      <c r="T131" s="1108"/>
    </row>
    <row r="132" spans="1:20" s="97" customFormat="1" ht="24" hidden="1" customHeight="1" thickBot="1">
      <c r="A132" s="1025" t="s">
        <v>4049</v>
      </c>
      <c r="B132" s="1026" t="s">
        <v>4048</v>
      </c>
      <c r="C132" s="1024"/>
      <c r="D132" s="1027"/>
      <c r="E132" s="1028"/>
      <c r="F132" s="1218"/>
      <c r="G132" s="1029"/>
      <c r="H132" s="1151"/>
      <c r="I132" s="1152">
        <f t="shared" si="17"/>
        <v>0</v>
      </c>
      <c r="J132" s="1030">
        <f>I132</f>
        <v>0</v>
      </c>
      <c r="K132" s="1031"/>
      <c r="L132" s="1108">
        <f t="shared" si="40"/>
        <v>0</v>
      </c>
      <c r="M132" s="1105"/>
      <c r="N132" s="1108"/>
      <c r="O132" s="1108"/>
      <c r="P132" s="1108"/>
      <c r="Q132" s="1108"/>
      <c r="R132" s="1108"/>
      <c r="S132" s="1108"/>
      <c r="T132" s="1108"/>
    </row>
    <row r="133" spans="1:20" s="496" customFormat="1" ht="24" customHeight="1" thickBot="1">
      <c r="A133" s="2165" t="s">
        <v>4056</v>
      </c>
      <c r="B133" s="2164"/>
      <c r="C133" s="2164"/>
      <c r="D133" s="2164"/>
      <c r="E133" s="2164"/>
      <c r="F133" s="2164"/>
      <c r="G133" s="2164"/>
      <c r="H133" s="1153"/>
      <c r="I133" s="1154">
        <f>SUM(I30:I132)</f>
        <v>7716989271</v>
      </c>
      <c r="J133" s="948">
        <f>SUM(J30:J132)</f>
        <v>7266612470</v>
      </c>
      <c r="K133" s="949">
        <f t="shared" ref="K133" si="41">SUM(K30:K132)</f>
        <v>1394631301</v>
      </c>
      <c r="L133" s="1108"/>
      <c r="M133" s="1105"/>
      <c r="N133" s="1108"/>
      <c r="O133" s="1108"/>
      <c r="P133" s="1108"/>
      <c r="Q133" s="1108"/>
      <c r="R133" s="1108"/>
      <c r="S133" s="1108"/>
      <c r="T133" s="1108"/>
    </row>
    <row r="134" spans="1:20" ht="19.2">
      <c r="H134" s="2194" t="s">
        <v>4411</v>
      </c>
      <c r="I134" s="2194"/>
      <c r="J134" s="1163">
        <f>SUM(I38:I131)-K133</f>
        <v>5417220007</v>
      </c>
    </row>
    <row r="135" spans="1:20">
      <c r="I135" s="1174"/>
      <c r="J135" s="1175"/>
    </row>
    <row r="136" spans="1:20">
      <c r="I136" s="1174"/>
      <c r="J136" s="1175"/>
    </row>
  </sheetData>
  <autoFilter ref="A29:L134" xr:uid="{1CCF8D2F-36BE-46CD-94BA-38FEC2C856C0}"/>
  <mergeCells count="40">
    <mergeCell ref="E17:G17"/>
    <mergeCell ref="A1:G4"/>
    <mergeCell ref="A5:B5"/>
    <mergeCell ref="A6:B6"/>
    <mergeCell ref="A7:B7"/>
    <mergeCell ref="A8:A23"/>
    <mergeCell ref="E8:G8"/>
    <mergeCell ref="E9:G9"/>
    <mergeCell ref="E10:G10"/>
    <mergeCell ref="B11:C11"/>
    <mergeCell ref="E11:G11"/>
    <mergeCell ref="E12:G12"/>
    <mergeCell ref="E13:G13"/>
    <mergeCell ref="E14:G14"/>
    <mergeCell ref="E15:G15"/>
    <mergeCell ref="E16:G16"/>
    <mergeCell ref="E18:G18"/>
    <mergeCell ref="E19:G19"/>
    <mergeCell ref="E20:G20"/>
    <mergeCell ref="E21:G21"/>
    <mergeCell ref="B22:C22"/>
    <mergeCell ref="E22:G22"/>
    <mergeCell ref="B23:C23"/>
    <mergeCell ref="E23:G23"/>
    <mergeCell ref="A24:A26"/>
    <mergeCell ref="E24:G24"/>
    <mergeCell ref="H24:H26"/>
    <mergeCell ref="E25:G25"/>
    <mergeCell ref="E26:G26"/>
    <mergeCell ref="G28:G29"/>
    <mergeCell ref="H28:K28"/>
    <mergeCell ref="A133:D133"/>
    <mergeCell ref="E133:G133"/>
    <mergeCell ref="H134:I134"/>
    <mergeCell ref="A28:A29"/>
    <mergeCell ref="B28:B29"/>
    <mergeCell ref="C28:C29"/>
    <mergeCell ref="D28:D29"/>
    <mergeCell ref="E28:E29"/>
    <mergeCell ref="F28:F29"/>
  </mergeCells>
  <phoneticPr fontId="2" type="noConversion"/>
  <conditionalFormatting sqref="A5:A7 C29:K35 C39:K93 C111:K125 A126:K132">
    <cfRule type="expression" dxfId="148" priority="21">
      <formula>#REF!="*01월*"</formula>
    </cfRule>
  </conditionalFormatting>
  <conditionalFormatting sqref="A29:A30">
    <cfRule type="expression" dxfId="147" priority="14">
      <formula>#REF!="*01월*"</formula>
    </cfRule>
  </conditionalFormatting>
  <conditionalFormatting sqref="A133">
    <cfRule type="expression" dxfId="146" priority="20">
      <formula>#REF!="*01월*"</formula>
    </cfRule>
  </conditionalFormatting>
  <conditionalFormatting sqref="A28:K28 A32:B32 A36:K38 A81:B81 A87:B87">
    <cfRule type="expression" dxfId="145" priority="34">
      <formula>#REF!="*01월*"</formula>
    </cfRule>
  </conditionalFormatting>
  <conditionalFormatting sqref="A94:K94">
    <cfRule type="expression" dxfId="144" priority="3">
      <formula>#REF!="*01월*"</formula>
    </cfRule>
  </conditionalFormatting>
  <conditionalFormatting sqref="A110:K110">
    <cfRule type="expression" dxfId="143" priority="26">
      <formula>#REF!="*01월*"</formula>
    </cfRule>
  </conditionalFormatting>
  <conditionalFormatting sqref="B19:B22">
    <cfRule type="expression" dxfId="142" priority="16">
      <formula>#REF!="*01월*"</formula>
    </cfRule>
  </conditionalFormatting>
  <conditionalFormatting sqref="B10:C10 B11 B12:C12 B13:B16">
    <cfRule type="expression" dxfId="141" priority="25">
      <formula>#REF!="*01월*"</formula>
    </cfRule>
  </conditionalFormatting>
  <conditionalFormatting sqref="B17:C18">
    <cfRule type="expression" dxfId="140" priority="23">
      <formula>#REF!="*01월*"</formula>
    </cfRule>
  </conditionalFormatting>
  <conditionalFormatting sqref="B24:C26">
    <cfRule type="expression" dxfId="139" priority="19">
      <formula>#REF!="*01월*"</formula>
    </cfRule>
  </conditionalFormatting>
  <conditionalFormatting sqref="C15:C16">
    <cfRule type="expression" dxfId="138" priority="24">
      <formula>#REF!="*01월*"</formula>
    </cfRule>
  </conditionalFormatting>
  <conditionalFormatting sqref="C20:C21">
    <cfRule type="expression" dxfId="137" priority="22">
      <formula>#REF!="*01월*"</formula>
    </cfRule>
  </conditionalFormatting>
  <conditionalFormatting sqref="C119 F119">
    <cfRule type="expression" dxfId="136" priority="32">
      <formula>$F123="*01월*"</formula>
    </cfRule>
  </conditionalFormatting>
  <conditionalFormatting sqref="C120">
    <cfRule type="expression" dxfId="135" priority="30">
      <formula>$F123="*01월*"</formula>
    </cfRule>
  </conditionalFormatting>
  <conditionalFormatting sqref="C121:C124">
    <cfRule type="expression" dxfId="134" priority="29">
      <formula>#REF!="*01월*"</formula>
    </cfRule>
  </conditionalFormatting>
  <conditionalFormatting sqref="C95:K109">
    <cfRule type="expression" dxfId="133" priority="1">
      <formula>#REF!="*01월*"</formula>
    </cfRule>
  </conditionalFormatting>
  <conditionalFormatting sqref="D5:E5 G5">
    <cfRule type="expression" dxfId="132" priority="51">
      <formula>$F10="*01월*"</formula>
    </cfRule>
  </conditionalFormatting>
  <conditionalFormatting sqref="D6:E7 G6:G7">
    <cfRule type="expression" dxfId="131" priority="52">
      <formula>$F12="*01월*"</formula>
    </cfRule>
  </conditionalFormatting>
  <conditionalFormatting sqref="D8:E8 E12:E19 D36:E37 F41:F43">
    <cfRule type="expression" dxfId="130" priority="31">
      <formula>$F10="*01월*"</formula>
    </cfRule>
  </conditionalFormatting>
  <conditionalFormatting sqref="D9:E9 E10 E20">
    <cfRule type="expression" dxfId="129" priority="53">
      <formula>$F12="*01월*"</formula>
    </cfRule>
  </conditionalFormatting>
  <conditionalFormatting sqref="E21 C119 F121:F124 H133:K133">
    <cfRule type="expression" dxfId="128" priority="48">
      <formula>#REF!="*01월*"</formula>
    </cfRule>
  </conditionalFormatting>
  <conditionalFormatting sqref="F39">
    <cfRule type="expression" dxfId="127" priority="11">
      <formula>$F51="*01월*"</formula>
    </cfRule>
  </conditionalFormatting>
  <conditionalFormatting sqref="F39:F40">
    <cfRule type="expression" dxfId="126" priority="10">
      <formula>#REF!="*01월*"</formula>
    </cfRule>
  </conditionalFormatting>
  <conditionalFormatting sqref="F40">
    <cfRule type="expression" dxfId="125" priority="9">
      <formula>$F51="*01월*"</formula>
    </cfRule>
  </conditionalFormatting>
  <conditionalFormatting sqref="F42">
    <cfRule type="expression" dxfId="124" priority="38">
      <formula>#REF!="*01월*"</formula>
    </cfRule>
  </conditionalFormatting>
  <conditionalFormatting sqref="F43">
    <cfRule type="expression" dxfId="123" priority="37">
      <formula>$F55="*01월*"</formula>
    </cfRule>
  </conditionalFormatting>
  <conditionalFormatting sqref="F43:F44">
    <cfRule type="expression" dxfId="122" priority="39">
      <formula>$F54="*01월*"</formula>
    </cfRule>
  </conditionalFormatting>
  <conditionalFormatting sqref="F44">
    <cfRule type="expression" dxfId="121" priority="1649">
      <formula>#REF!="*01월*"</formula>
    </cfRule>
  </conditionalFormatting>
  <conditionalFormatting sqref="F45">
    <cfRule type="expression" dxfId="120" priority="36">
      <formula>$F55="*01월*"</formula>
    </cfRule>
  </conditionalFormatting>
  <conditionalFormatting sqref="F46">
    <cfRule type="expression" dxfId="119" priority="41">
      <formula>$F61="*01월*"</formula>
    </cfRule>
  </conditionalFormatting>
  <conditionalFormatting sqref="F47">
    <cfRule type="expression" dxfId="118" priority="28">
      <formula>$F61="*01월*"</formula>
    </cfRule>
  </conditionalFormatting>
  <conditionalFormatting sqref="F70">
    <cfRule type="expression" dxfId="117" priority="49">
      <formula>#REF!="*01월*"</formula>
    </cfRule>
    <cfRule type="expression" dxfId="116" priority="50">
      <formula>$F111="*01월*"</formula>
    </cfRule>
  </conditionalFormatting>
  <conditionalFormatting sqref="H8:J8">
    <cfRule type="expression" dxfId="115" priority="27">
      <formula>$F10="*01월*"</formula>
    </cfRule>
  </conditionalFormatting>
  <pageMargins left="0.43307086614173229" right="0" top="0.59055118110236227" bottom="0.55000000000000004" header="0" footer="0"/>
  <pageSetup paperSize="9" scale="58" fitToHeight="0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24F70-733A-48B9-9188-44CEC9A7E88A}">
  <sheetPr>
    <pageSetUpPr fitToPage="1"/>
  </sheetPr>
  <dimension ref="A1:R145"/>
  <sheetViews>
    <sheetView zoomScale="85" zoomScaleNormal="85" zoomScaleSheetLayoutView="100" workbookViewId="0">
      <pane xSplit="1" ySplit="8" topLeftCell="B27" activePane="bottomRight" state="frozen"/>
      <selection pane="topRight" activeCell="B1" sqref="B1"/>
      <selection pane="bottomLeft" activeCell="A9" sqref="A9"/>
      <selection pane="bottomRight" activeCell="D36" sqref="D36"/>
    </sheetView>
  </sheetViews>
  <sheetFormatPr defaultRowHeight="17.399999999999999"/>
  <cols>
    <col min="1" max="1" width="13.59765625" style="809" customWidth="1"/>
    <col min="2" max="2" width="9.59765625" style="809" customWidth="1"/>
    <col min="3" max="3" width="21.69921875" style="810" customWidth="1"/>
    <col min="4" max="4" width="18.69921875" style="810" customWidth="1"/>
    <col min="5" max="5" width="9.19921875" style="811" customWidth="1"/>
    <col min="6" max="6" width="9.19921875" style="1172" customWidth="1"/>
    <col min="7" max="7" width="9.19921875" style="810" customWidth="1"/>
    <col min="8" max="8" width="16.8984375" style="1119" customWidth="1"/>
    <col min="9" max="11" width="16.8984375" style="810" customWidth="1"/>
    <col min="12" max="12" width="4.3984375" customWidth="1"/>
    <col min="13" max="16" width="18" style="19" customWidth="1"/>
    <col min="17" max="18" width="18" customWidth="1"/>
  </cols>
  <sheetData>
    <row r="1" spans="1:16" ht="21.75" customHeight="1">
      <c r="A1" s="2163" t="s">
        <v>4426</v>
      </c>
      <c r="B1" s="2163"/>
      <c r="C1" s="2163"/>
      <c r="D1" s="2163"/>
      <c r="E1" s="2163"/>
      <c r="F1" s="2163"/>
      <c r="G1" s="2163"/>
      <c r="H1" s="810"/>
      <c r="K1"/>
    </row>
    <row r="2" spans="1:16" ht="21.75" customHeight="1">
      <c r="A2" s="2163"/>
      <c r="B2" s="2163"/>
      <c r="C2" s="2163"/>
      <c r="D2" s="2163"/>
      <c r="E2" s="2163"/>
      <c r="F2" s="2163"/>
      <c r="G2" s="2163"/>
      <c r="H2" s="810"/>
      <c r="K2"/>
    </row>
    <row r="3" spans="1:16" ht="19.5" customHeight="1">
      <c r="A3" s="2163"/>
      <c r="B3" s="2163"/>
      <c r="C3" s="2163"/>
      <c r="D3" s="2163"/>
      <c r="E3" s="2163"/>
      <c r="F3" s="2163"/>
      <c r="G3" s="2163"/>
      <c r="H3" s="1114"/>
      <c r="I3" s="1115"/>
      <c r="J3" s="812"/>
      <c r="K3" s="812"/>
    </row>
    <row r="4" spans="1:16" ht="19.5" customHeight="1">
      <c r="A4" s="2163"/>
      <c r="B4" s="2163"/>
      <c r="C4" s="2163"/>
      <c r="D4" s="2163"/>
      <c r="E4" s="2163"/>
      <c r="F4" s="2163"/>
      <c r="G4" s="2163"/>
      <c r="H4" s="1114"/>
      <c r="I4" s="1115"/>
      <c r="J4" s="812"/>
      <c r="K4" s="812"/>
    </row>
    <row r="5" spans="1:16" ht="19.5" customHeight="1">
      <c r="A5" s="2175" t="s">
        <v>3749</v>
      </c>
      <c r="B5" s="2175"/>
      <c r="C5" s="944"/>
      <c r="D5" s="944"/>
      <c r="E5" s="944"/>
      <c r="F5" s="1210"/>
      <c r="G5" s="944"/>
      <c r="H5" s="1114"/>
      <c r="I5" s="1115"/>
      <c r="J5" s="812"/>
      <c r="K5" s="812"/>
    </row>
    <row r="6" spans="1:16" ht="19.5" customHeight="1">
      <c r="A6" s="2176" t="s">
        <v>4226</v>
      </c>
      <c r="B6" s="2176"/>
      <c r="C6" s="944"/>
      <c r="D6" s="944"/>
      <c r="E6" s="1114"/>
      <c r="F6" s="1210"/>
      <c r="G6" s="944"/>
      <c r="H6" s="1114"/>
      <c r="I6" s="1116"/>
      <c r="J6" s="813"/>
      <c r="K6" s="813"/>
    </row>
    <row r="7" spans="1:16" ht="19.5" customHeight="1" thickBot="1">
      <c r="A7" s="2209" t="s">
        <v>3748</v>
      </c>
      <c r="B7" s="2209"/>
      <c r="C7" s="945"/>
      <c r="D7" s="1411" t="s">
        <v>4610</v>
      </c>
      <c r="E7" s="945"/>
      <c r="F7" s="1211"/>
      <c r="G7" s="945"/>
      <c r="H7" s="1117"/>
      <c r="I7" s="1116"/>
      <c r="J7" s="813"/>
      <c r="K7" s="813"/>
    </row>
    <row r="8" spans="1:16" s="126" customFormat="1" ht="25.5" customHeight="1">
      <c r="A8" s="2178" t="s">
        <v>4057</v>
      </c>
      <c r="B8" s="951" t="s">
        <v>4035</v>
      </c>
      <c r="C8" s="951" t="s">
        <v>236</v>
      </c>
      <c r="D8" s="952" t="s">
        <v>4053</v>
      </c>
      <c r="E8" s="2185" t="s">
        <v>4054</v>
      </c>
      <c r="F8" s="2186"/>
      <c r="G8" s="2187"/>
      <c r="H8" s="1155" t="s">
        <v>4051</v>
      </c>
      <c r="I8" s="1118" t="s">
        <v>4050</v>
      </c>
      <c r="J8" s="1258" t="s">
        <v>4055</v>
      </c>
      <c r="K8" s="953" t="s">
        <v>4058</v>
      </c>
    </row>
    <row r="9" spans="1:16" s="126" customFormat="1" ht="25.5" customHeight="1">
      <c r="A9" s="2092"/>
      <c r="B9" s="954" t="s">
        <v>375</v>
      </c>
      <c r="C9" s="954" t="s">
        <v>4036</v>
      </c>
      <c r="D9" s="955">
        <f>SUM(J30)</f>
        <v>161004378</v>
      </c>
      <c r="E9" s="2133">
        <f>SUM(J31:J41)</f>
        <v>451970096</v>
      </c>
      <c r="F9" s="2134"/>
      <c r="G9" s="2135"/>
      <c r="H9" s="1156">
        <f>SUM(K31:K42)</f>
        <v>0</v>
      </c>
      <c r="I9" s="1428">
        <f>SUMIF($A$31:$A$142,C9,$I$30:$I$141)</f>
        <v>612974474</v>
      </c>
      <c r="J9" s="1235">
        <f>SUM(D9:G9)</f>
        <v>612974474</v>
      </c>
      <c r="K9" s="957"/>
    </row>
    <row r="10" spans="1:16" s="19" customFormat="1" ht="25.5" customHeight="1">
      <c r="A10" s="2092"/>
      <c r="B10" s="964" t="s">
        <v>375</v>
      </c>
      <c r="C10" s="964" t="s">
        <v>4025</v>
      </c>
      <c r="D10" s="965">
        <v>0</v>
      </c>
      <c r="E10" s="2182">
        <f>SUM(J43:J46)</f>
        <v>254572602</v>
      </c>
      <c r="F10" s="2183"/>
      <c r="G10" s="2184"/>
      <c r="H10" s="1157">
        <v>0</v>
      </c>
      <c r="I10" s="1429">
        <f ca="1">SUMIF($A$31:$A$142,C10,$I$31:$I$141)</f>
        <v>254572602</v>
      </c>
      <c r="J10" s="1242">
        <f t="shared" ref="J10:J20" si="0">SUM(D10:G10)</f>
        <v>254572602</v>
      </c>
      <c r="K10" s="966">
        <f>SUM(J9:J10)</f>
        <v>867547076</v>
      </c>
    </row>
    <row r="11" spans="1:16" s="19" customFormat="1" ht="25.5" customHeight="1">
      <c r="A11" s="2092"/>
      <c r="B11" s="2210" t="s">
        <v>4244</v>
      </c>
      <c r="C11" s="2211"/>
      <c r="D11" s="1112">
        <f>SUM(D9:D10)</f>
        <v>161004378</v>
      </c>
      <c r="E11" s="2200">
        <f>SUM(E9:G10)</f>
        <v>706542698</v>
      </c>
      <c r="F11" s="2201"/>
      <c r="G11" s="2202"/>
      <c r="H11" s="1158">
        <f t="shared" ref="H11:K11" si="1">SUM(H9:H10)</f>
        <v>0</v>
      </c>
      <c r="I11" s="1112">
        <f t="shared" ca="1" si="1"/>
        <v>867547076</v>
      </c>
      <c r="J11" s="1184">
        <f t="shared" si="1"/>
        <v>867547076</v>
      </c>
      <c r="K11" s="1113">
        <f t="shared" si="1"/>
        <v>867547076</v>
      </c>
    </row>
    <row r="12" spans="1:16" ht="25.5" customHeight="1">
      <c r="A12" s="2092"/>
      <c r="B12" s="970" t="s">
        <v>478</v>
      </c>
      <c r="C12" s="970" t="s">
        <v>4026</v>
      </c>
      <c r="D12" s="971">
        <v>0</v>
      </c>
      <c r="E12" s="2157">
        <f>SUM(J47)</f>
        <v>0</v>
      </c>
      <c r="F12" s="2158"/>
      <c r="G12" s="2159"/>
      <c r="H12" s="1159">
        <v>0</v>
      </c>
      <c r="I12" s="971">
        <f ca="1">SUMIF($A$31:$A$142,C12,$I$31:$I$141)</f>
        <v>0</v>
      </c>
      <c r="J12" s="1234">
        <f>SUM(D12:G12)</f>
        <v>0</v>
      </c>
      <c r="K12" s="972"/>
    </row>
    <row r="13" spans="1:16" s="24" customFormat="1" ht="25.5" customHeight="1">
      <c r="A13" s="2092"/>
      <c r="B13" s="959" t="s">
        <v>478</v>
      </c>
      <c r="C13" s="959" t="s">
        <v>660</v>
      </c>
      <c r="D13" s="956">
        <f>SUM(J48:J49)</f>
        <v>104722877</v>
      </c>
      <c r="E13" s="2133">
        <f>SUM(J50:J57)</f>
        <v>366608301</v>
      </c>
      <c r="F13" s="2134"/>
      <c r="G13" s="2135"/>
      <c r="H13" s="1156">
        <f>SUM(K58:K59)</f>
        <v>94688091</v>
      </c>
      <c r="I13" s="956">
        <f ca="1">SUMIF($A$30:$A$142,C13,$I$30:$I$141)</f>
        <v>566019269</v>
      </c>
      <c r="J13" s="1235">
        <f>SUM(D13:G13)</f>
        <v>471331178</v>
      </c>
      <c r="K13" s="1233"/>
      <c r="M13" s="19"/>
      <c r="N13" s="19"/>
      <c r="O13" s="19"/>
      <c r="P13" s="19"/>
    </row>
    <row r="14" spans="1:16" s="24" customFormat="1" ht="25.5" customHeight="1">
      <c r="A14" s="2092"/>
      <c r="B14" s="959" t="s">
        <v>478</v>
      </c>
      <c r="C14" s="959" t="s">
        <v>4042</v>
      </c>
      <c r="D14" s="956">
        <f>SUM(J60:J61)</f>
        <v>14244600</v>
      </c>
      <c r="E14" s="2133">
        <f>SUM(J62:J81)</f>
        <v>1760098352</v>
      </c>
      <c r="F14" s="2134"/>
      <c r="G14" s="2135"/>
      <c r="H14" s="1156">
        <f>SUM(K82:K87)</f>
        <v>374868299</v>
      </c>
      <c r="I14" s="956">
        <f t="shared" ref="I14:I21" ca="1" si="2">SUMIF($A$31:$A$142,C14,$I$31:$I$141)</f>
        <v>2149211251</v>
      </c>
      <c r="J14" s="1235">
        <f>SUM(D14:G14)</f>
        <v>1774342952</v>
      </c>
      <c r="K14" s="957"/>
      <c r="M14" s="19"/>
      <c r="N14" s="19"/>
      <c r="O14" s="19"/>
      <c r="P14" s="19"/>
    </row>
    <row r="15" spans="1:16" s="24" customFormat="1" ht="25.5" customHeight="1">
      <c r="A15" s="2092"/>
      <c r="B15" s="959" t="s">
        <v>478</v>
      </c>
      <c r="C15" s="959" t="s">
        <v>4041</v>
      </c>
      <c r="D15" s="956">
        <v>0</v>
      </c>
      <c r="E15" s="2133">
        <f>SUM(J88:J90)</f>
        <v>262984995</v>
      </c>
      <c r="F15" s="2134"/>
      <c r="G15" s="2135"/>
      <c r="H15" s="1393">
        <f>SUM(K90)</f>
        <v>71863362</v>
      </c>
      <c r="I15" s="956">
        <f t="shared" ca="1" si="2"/>
        <v>334848357</v>
      </c>
      <c r="J15" s="1235">
        <f>SUM(D15:G15)</f>
        <v>262984995</v>
      </c>
      <c r="K15" s="960"/>
      <c r="M15" s="19"/>
      <c r="N15" s="19"/>
      <c r="O15" s="19"/>
      <c r="P15" s="19"/>
    </row>
    <row r="16" spans="1:16" s="24" customFormat="1" ht="25.5" customHeight="1">
      <c r="A16" s="2092"/>
      <c r="B16" s="973" t="s">
        <v>478</v>
      </c>
      <c r="C16" s="973" t="s">
        <v>4045</v>
      </c>
      <c r="D16" s="974">
        <f>SUM(J91:J91)</f>
        <v>153722612</v>
      </c>
      <c r="E16" s="2160">
        <f>SUM(J92:J97)</f>
        <v>202277784</v>
      </c>
      <c r="F16" s="2161"/>
      <c r="G16" s="2162"/>
      <c r="H16" s="1160">
        <f>SUM(K98:K99)</f>
        <v>152491285</v>
      </c>
      <c r="I16" s="974">
        <f t="shared" ca="1" si="2"/>
        <v>508491681</v>
      </c>
      <c r="J16" s="1236">
        <f t="shared" si="0"/>
        <v>356000396</v>
      </c>
      <c r="K16" s="975">
        <f>SUM(J12:J16)</f>
        <v>2864659521</v>
      </c>
      <c r="M16" s="19"/>
      <c r="N16" s="19"/>
      <c r="O16" s="19"/>
      <c r="P16" s="19"/>
    </row>
    <row r="17" spans="1:18" s="24" customFormat="1" ht="25.5" customHeight="1">
      <c r="A17" s="2092"/>
      <c r="B17" s="946" t="s">
        <v>626</v>
      </c>
      <c r="C17" s="946" t="s">
        <v>664</v>
      </c>
      <c r="D17" s="808">
        <v>0</v>
      </c>
      <c r="E17" s="2188">
        <f>SUM(J100:J109)</f>
        <v>2867638976</v>
      </c>
      <c r="F17" s="2189"/>
      <c r="G17" s="2190"/>
      <c r="H17" s="1161">
        <f>SUM(K116)</f>
        <v>0</v>
      </c>
      <c r="I17" s="1430">
        <f t="shared" ca="1" si="2"/>
        <v>3553203591</v>
      </c>
      <c r="J17" s="1432">
        <f>SUM(J100:J115)</f>
        <v>3553203591</v>
      </c>
      <c r="K17" s="950">
        <f>J17</f>
        <v>3553203591</v>
      </c>
      <c r="M17" s="19"/>
      <c r="N17" s="19"/>
      <c r="O17" s="19"/>
      <c r="P17" s="19"/>
    </row>
    <row r="18" spans="1:18" ht="25.5" customHeight="1">
      <c r="A18" s="2092"/>
      <c r="B18" s="967" t="s">
        <v>4048</v>
      </c>
      <c r="C18" s="967" t="s">
        <v>47</v>
      </c>
      <c r="D18" s="968">
        <f>SUM(J117)</f>
        <v>51757773</v>
      </c>
      <c r="E18" s="2191">
        <f>SUM(J118:J120)</f>
        <v>51912222</v>
      </c>
      <c r="F18" s="2192"/>
      <c r="G18" s="2193"/>
      <c r="H18" s="1183">
        <f>SUM(K121)</f>
        <v>0</v>
      </c>
      <c r="I18" s="1431">
        <f t="shared" ca="1" si="2"/>
        <v>103669995</v>
      </c>
      <c r="J18" s="1238">
        <f t="shared" si="0"/>
        <v>103669995</v>
      </c>
      <c r="K18" s="969"/>
    </row>
    <row r="19" spans="1:18" ht="25.5" customHeight="1" thickBot="1">
      <c r="A19" s="2092"/>
      <c r="B19" s="959" t="s">
        <v>4048</v>
      </c>
      <c r="C19" s="959" t="s">
        <v>40</v>
      </c>
      <c r="D19" s="956">
        <f>SUM(J122)</f>
        <v>16009856</v>
      </c>
      <c r="E19" s="2133">
        <f>SUM(J123:J131)</f>
        <v>40066531</v>
      </c>
      <c r="F19" s="2134"/>
      <c r="G19" s="2135"/>
      <c r="H19" s="1156">
        <f>SUM(K132:K132)</f>
        <v>19449904</v>
      </c>
      <c r="I19" s="1428">
        <f t="shared" ca="1" si="2"/>
        <v>75526291</v>
      </c>
      <c r="J19" s="1235">
        <f t="shared" si="0"/>
        <v>56076387</v>
      </c>
      <c r="K19" s="960"/>
    </row>
    <row r="20" spans="1:18" ht="25.5" customHeight="1">
      <c r="A20" s="2092"/>
      <c r="B20" s="973" t="s">
        <v>4048</v>
      </c>
      <c r="C20" s="973" t="s">
        <v>15</v>
      </c>
      <c r="D20" s="974">
        <f>SUM(J133:J134)</f>
        <v>100439544</v>
      </c>
      <c r="E20" s="2160">
        <f>SUM(J135:J136)</f>
        <v>56981539</v>
      </c>
      <c r="F20" s="2161"/>
      <c r="G20" s="2162"/>
      <c r="H20" s="1160">
        <f>SUM(K136:K137)</f>
        <v>0</v>
      </c>
      <c r="I20" s="974">
        <f t="shared" ca="1" si="2"/>
        <v>157421083</v>
      </c>
      <c r="J20" s="1236">
        <f t="shared" si="0"/>
        <v>157421083</v>
      </c>
      <c r="K20" s="975">
        <f>SUM(J18:J20)</f>
        <v>317167465</v>
      </c>
      <c r="M20" s="1407" t="s">
        <v>4606</v>
      </c>
      <c r="N20" s="1408" t="s">
        <v>4605</v>
      </c>
      <c r="O20" s="1408" t="s">
        <v>4607</v>
      </c>
      <c r="P20" s="1408" t="s">
        <v>4608</v>
      </c>
      <c r="Q20" s="1409" t="s">
        <v>4052</v>
      </c>
    </row>
    <row r="21" spans="1:18" ht="25.5" customHeight="1">
      <c r="A21" s="2092"/>
      <c r="B21" s="967" t="s">
        <v>4048</v>
      </c>
      <c r="C21" s="1259" t="s">
        <v>4049</v>
      </c>
      <c r="D21" s="968"/>
      <c r="E21" s="2191">
        <f>SUM(J138:J141)</f>
        <v>64579200</v>
      </c>
      <c r="F21" s="2192"/>
      <c r="G21" s="2193"/>
      <c r="H21" s="1183"/>
      <c r="I21" s="968">
        <f t="shared" ca="1" si="2"/>
        <v>64579200</v>
      </c>
      <c r="J21" s="1238">
        <f>SUM(D21:G21)</f>
        <v>64579200</v>
      </c>
      <c r="K21" s="1260" t="s">
        <v>4241</v>
      </c>
      <c r="M21" s="1402" t="s">
        <v>4603</v>
      </c>
      <c r="N21" s="16" t="s">
        <v>4242</v>
      </c>
      <c r="O21" s="1413">
        <f>SUM(H30:H35,H43:H46)</f>
        <v>90576902</v>
      </c>
      <c r="P21" s="1414">
        <f>SUM(J30:J35,J43:J46)</f>
        <v>850330664</v>
      </c>
      <c r="Q21" s="1404"/>
    </row>
    <row r="22" spans="1:18" ht="25.5" customHeight="1" thickBot="1">
      <c r="A22" s="2092"/>
      <c r="B22" s="2210" t="s">
        <v>4245</v>
      </c>
      <c r="C22" s="2211"/>
      <c r="D22" s="1112">
        <f>SUM(D12:D21)</f>
        <v>440897262</v>
      </c>
      <c r="E22" s="2200">
        <f>SUM(E12:G21)</f>
        <v>5673147900</v>
      </c>
      <c r="F22" s="2201">
        <f t="shared" ref="F22:K22" si="3">SUM(F12:F21)</f>
        <v>0</v>
      </c>
      <c r="G22" s="2202">
        <f t="shared" si="3"/>
        <v>0</v>
      </c>
      <c r="H22" s="1158">
        <f t="shared" si="3"/>
        <v>713360941</v>
      </c>
      <c r="I22" s="1112">
        <f t="shared" ca="1" si="3"/>
        <v>7512970718</v>
      </c>
      <c r="J22" s="1184">
        <f>SUM(J12:J21)</f>
        <v>6799609777</v>
      </c>
      <c r="K22" s="1113">
        <f t="shared" si="3"/>
        <v>6735030577</v>
      </c>
      <c r="M22" s="1403"/>
      <c r="N22" s="1401" t="s">
        <v>4595</v>
      </c>
      <c r="O22" s="1415">
        <f>SUM(H36:H41)</f>
        <v>1823000</v>
      </c>
      <c r="P22" s="1416">
        <f>SUM(J36:J41)</f>
        <v>17216412</v>
      </c>
      <c r="Q22" s="1405">
        <f>SUM(P21:P22)</f>
        <v>867547076</v>
      </c>
      <c r="R22" s="26"/>
    </row>
    <row r="23" spans="1:18" ht="30" customHeight="1" thickBot="1">
      <c r="A23" s="2179"/>
      <c r="B23" s="2180" t="s">
        <v>4052</v>
      </c>
      <c r="C23" s="2181"/>
      <c r="D23" s="962">
        <f>SUM(D22,D11)</f>
        <v>601901640</v>
      </c>
      <c r="E23" s="2172">
        <f t="shared" ref="E23:K23" si="4">SUM(E22,E11)</f>
        <v>6379690598</v>
      </c>
      <c r="F23" s="2173">
        <f t="shared" si="4"/>
        <v>0</v>
      </c>
      <c r="G23" s="2174">
        <f t="shared" si="4"/>
        <v>0</v>
      </c>
      <c r="H23" s="1162">
        <f t="shared" si="4"/>
        <v>713360941</v>
      </c>
      <c r="I23" s="962">
        <f t="shared" ca="1" si="4"/>
        <v>8380517794</v>
      </c>
      <c r="J23" s="1162">
        <f>SUM(J22,J11)</f>
        <v>7667156853</v>
      </c>
      <c r="K23" s="976">
        <f t="shared" si="4"/>
        <v>7602577653</v>
      </c>
      <c r="M23" s="1399" t="s">
        <v>4604</v>
      </c>
      <c r="N23" s="1400" t="s">
        <v>4242</v>
      </c>
      <c r="O23" s="1400"/>
      <c r="P23" s="1417">
        <f>SUM(J12:J20)</f>
        <v>6735030577</v>
      </c>
      <c r="Q23" s="1406"/>
    </row>
    <row r="24" spans="1:18" ht="30" customHeight="1" thickBot="1">
      <c r="A24" s="2149" t="s">
        <v>4059</v>
      </c>
      <c r="B24" s="977" t="s">
        <v>375</v>
      </c>
      <c r="C24" s="977" t="s">
        <v>4036</v>
      </c>
      <c r="D24" s="978" t="s">
        <v>4601</v>
      </c>
      <c r="E24" s="2166">
        <f>SUM(J36:J41)</f>
        <v>17216412</v>
      </c>
      <c r="F24" s="2167"/>
      <c r="G24" s="2168"/>
      <c r="H24" s="2197">
        <f>SUM(E24:G26)</f>
        <v>702781027</v>
      </c>
      <c r="I24" s="1104" t="s">
        <v>4602</v>
      </c>
      <c r="J24" s="1243" t="s">
        <v>4241</v>
      </c>
      <c r="K24" s="1244">
        <f>J21</f>
        <v>64579200</v>
      </c>
      <c r="M24" s="1402"/>
      <c r="N24" s="1396" t="s">
        <v>4595</v>
      </c>
      <c r="O24" s="1418">
        <f>SUM(H110:H115)</f>
        <v>459932.39</v>
      </c>
      <c r="P24" s="1414">
        <f>SUM(J110:J115,)</f>
        <v>685564615</v>
      </c>
      <c r="Q24" s="1404"/>
    </row>
    <row r="25" spans="1:18" ht="30" customHeight="1" thickBot="1">
      <c r="A25" s="2195"/>
      <c r="B25" s="959" t="s">
        <v>4046</v>
      </c>
      <c r="C25" s="1164" t="s">
        <v>664</v>
      </c>
      <c r="D25" s="1091" t="s">
        <v>4061</v>
      </c>
      <c r="E25" s="2203">
        <f>SUM(J110:J115)</f>
        <v>685564615</v>
      </c>
      <c r="F25" s="2204"/>
      <c r="G25" s="2205"/>
      <c r="H25" s="2198"/>
      <c r="I25" s="1092" t="s">
        <v>4232</v>
      </c>
      <c r="J25" s="1245" t="s">
        <v>4242</v>
      </c>
      <c r="K25" s="1246">
        <f>SUM(J9:J10,J12:J20)</f>
        <v>7602577653</v>
      </c>
      <c r="M25" s="1403"/>
      <c r="N25" s="1401" t="s">
        <v>4241</v>
      </c>
      <c r="O25" s="1419">
        <f>SUM(H48:H57,H60:H81,H88:H89,H91:H97,H100:H109,H117:H120,H122:H131,H133:H136)</f>
        <v>4067876.4510396002</v>
      </c>
      <c r="P25" s="1416">
        <f>SUM(J138:J140)</f>
        <v>64579200</v>
      </c>
      <c r="Q25" s="1405">
        <f>SUM(P23:P25)</f>
        <v>7485174392</v>
      </c>
    </row>
    <row r="26" spans="1:18" ht="30" customHeight="1" thickBot="1">
      <c r="A26" s="2196"/>
      <c r="B26" s="1093" t="s">
        <v>4048</v>
      </c>
      <c r="C26" s="1093" t="s">
        <v>40</v>
      </c>
      <c r="D26" s="1094" t="s">
        <v>38</v>
      </c>
      <c r="E26" s="2206"/>
      <c r="F26" s="2207"/>
      <c r="G26" s="2208"/>
      <c r="H26" s="2199"/>
      <c r="I26" s="1095" t="s">
        <v>4231</v>
      </c>
      <c r="J26" s="1241" t="s">
        <v>4052</v>
      </c>
      <c r="K26" s="1240">
        <f>SUM(K24:K25)</f>
        <v>7667156853</v>
      </c>
      <c r="M26" s="2213" t="s">
        <v>4609</v>
      </c>
      <c r="N26" s="2214"/>
      <c r="O26" s="2215"/>
      <c r="P26" s="1420">
        <f>SUM(P21:P25)</f>
        <v>8352721468</v>
      </c>
      <c r="Q26" s="1410">
        <f>SUM(Q21:Q25)</f>
        <v>8352721468</v>
      </c>
    </row>
    <row r="27" spans="1:18" ht="18" thickBot="1">
      <c r="A27" s="980" t="s">
        <v>4060</v>
      </c>
      <c r="N27" s="84"/>
      <c r="O27" s="84"/>
    </row>
    <row r="28" spans="1:18" ht="23.25" customHeight="1">
      <c r="A28" s="2141" t="s">
        <v>0</v>
      </c>
      <c r="B28" s="2143" t="s">
        <v>4035</v>
      </c>
      <c r="C28" s="2143" t="s">
        <v>1</v>
      </c>
      <c r="D28" s="2145" t="s">
        <v>2</v>
      </c>
      <c r="E28" s="2147" t="s">
        <v>4103</v>
      </c>
      <c r="F28" s="2145" t="s">
        <v>3</v>
      </c>
      <c r="G28" s="2136" t="s">
        <v>4</v>
      </c>
      <c r="H28" s="2138" t="s">
        <v>2352</v>
      </c>
      <c r="I28" s="2139"/>
      <c r="J28" s="2139"/>
      <c r="K28" s="2140"/>
      <c r="M28" s="84"/>
      <c r="N28" s="84"/>
      <c r="O28" s="84"/>
    </row>
    <row r="29" spans="1:18" ht="23.25" customHeight="1">
      <c r="A29" s="2142"/>
      <c r="B29" s="2144"/>
      <c r="C29" s="2144"/>
      <c r="D29" s="2146"/>
      <c r="E29" s="2148"/>
      <c r="F29" s="2146"/>
      <c r="G29" s="2137"/>
      <c r="H29" s="1120" t="s">
        <v>6</v>
      </c>
      <c r="I29" s="1121" t="s">
        <v>7</v>
      </c>
      <c r="J29" s="814" t="s">
        <v>2479</v>
      </c>
      <c r="K29" s="815" t="s">
        <v>2336</v>
      </c>
    </row>
    <row r="30" spans="1:18" ht="23.25" customHeight="1">
      <c r="A30" s="862" t="s">
        <v>4036</v>
      </c>
      <c r="B30" s="863" t="s">
        <v>4038</v>
      </c>
      <c r="C30" s="895" t="s">
        <v>4439</v>
      </c>
      <c r="D30" s="865" t="s">
        <v>4611</v>
      </c>
      <c r="E30" s="866">
        <v>46145</v>
      </c>
      <c r="F30" s="867">
        <v>46145</v>
      </c>
      <c r="G30" s="1385">
        <v>9.2058</v>
      </c>
      <c r="H30" s="1386">
        <v>17489450</v>
      </c>
      <c r="I30" s="1133">
        <f t="shared" ref="I30:I90" si="5">ROUNDDOWN(H30*G30,0)</f>
        <v>161004378</v>
      </c>
      <c r="J30" s="869">
        <f>I30</f>
        <v>161004378</v>
      </c>
      <c r="K30" s="1387"/>
    </row>
    <row r="31" spans="1:18" s="97" customFormat="1" ht="24" customHeight="1">
      <c r="A31" s="1020" t="s">
        <v>4037</v>
      </c>
      <c r="B31" s="1021" t="s">
        <v>375</v>
      </c>
      <c r="C31" s="827" t="s">
        <v>4442</v>
      </c>
      <c r="D31" s="912" t="s">
        <v>4447</v>
      </c>
      <c r="E31" s="1022">
        <v>46152</v>
      </c>
      <c r="F31" s="910">
        <v>46152</v>
      </c>
      <c r="G31" s="1200">
        <v>9.2469000000000001</v>
      </c>
      <c r="H31" s="1201">
        <v>6593352</v>
      </c>
      <c r="I31" s="1135">
        <f t="shared" si="5"/>
        <v>60968066</v>
      </c>
      <c r="J31" s="926">
        <f>I31</f>
        <v>60968066</v>
      </c>
      <c r="K31" s="927"/>
      <c r="M31" s="19"/>
      <c r="N31" s="19"/>
      <c r="O31" s="19"/>
      <c r="P31" s="19"/>
      <c r="Q31"/>
    </row>
    <row r="32" spans="1:18" s="97" customFormat="1" ht="24" customHeight="1">
      <c r="A32" s="825" t="s">
        <v>4036</v>
      </c>
      <c r="B32" s="826" t="s">
        <v>4038</v>
      </c>
      <c r="C32" s="827" t="s">
        <v>4443</v>
      </c>
      <c r="D32" s="912" t="s">
        <v>4448</v>
      </c>
      <c r="E32" s="1022">
        <v>46159</v>
      </c>
      <c r="F32" s="912">
        <v>46158</v>
      </c>
      <c r="G32" s="831">
        <v>9.4176000000000002</v>
      </c>
      <c r="H32" s="1122">
        <v>13377495</v>
      </c>
      <c r="I32" s="1135">
        <f t="shared" ref="I32:I40" si="6">ROUNDDOWN(H32*G32,0)</f>
        <v>125983896</v>
      </c>
      <c r="J32" s="832">
        <f t="shared" ref="J32:J40" si="7">I32</f>
        <v>125983896</v>
      </c>
      <c r="K32" s="833"/>
      <c r="M32" s="126"/>
      <c r="N32" s="126"/>
      <c r="O32" s="126"/>
      <c r="P32" s="126"/>
    </row>
    <row r="33" spans="1:17" s="97" customFormat="1" ht="24" customHeight="1">
      <c r="A33" s="825" t="s">
        <v>4036</v>
      </c>
      <c r="B33" s="826" t="s">
        <v>4038</v>
      </c>
      <c r="C33" s="827" t="s">
        <v>4444</v>
      </c>
      <c r="D33" s="912" t="s">
        <v>4449</v>
      </c>
      <c r="E33" s="1022">
        <v>46166</v>
      </c>
      <c r="F33" s="912">
        <v>46166</v>
      </c>
      <c r="G33" s="831">
        <v>9.4550999999999998</v>
      </c>
      <c r="H33" s="1122">
        <v>347920</v>
      </c>
      <c r="I33" s="1135">
        <f t="shared" si="6"/>
        <v>3289618</v>
      </c>
      <c r="J33" s="832">
        <f t="shared" si="7"/>
        <v>3289618</v>
      </c>
      <c r="K33" s="833"/>
      <c r="M33" s="126"/>
      <c r="N33" s="126"/>
      <c r="O33" s="126"/>
      <c r="P33" s="126"/>
    </row>
    <row r="34" spans="1:17" s="97" customFormat="1" ht="24" customHeight="1">
      <c r="A34" s="825" t="s">
        <v>4036</v>
      </c>
      <c r="B34" s="826" t="s">
        <v>4038</v>
      </c>
      <c r="C34" s="827" t="s">
        <v>4445</v>
      </c>
      <c r="D34" s="912" t="s">
        <v>4450</v>
      </c>
      <c r="E34" s="1022">
        <v>46173</v>
      </c>
      <c r="F34" s="912">
        <v>46173</v>
      </c>
      <c r="G34" s="831">
        <v>9.4556000000000004</v>
      </c>
      <c r="H34" s="1122">
        <v>6977593</v>
      </c>
      <c r="I34" s="1135">
        <f t="shared" si="6"/>
        <v>65977328</v>
      </c>
      <c r="J34" s="832">
        <f t="shared" si="7"/>
        <v>65977328</v>
      </c>
      <c r="K34" s="833"/>
      <c r="M34" s="126"/>
      <c r="N34" s="126"/>
      <c r="O34" s="126"/>
      <c r="P34" s="126"/>
    </row>
    <row r="35" spans="1:17" s="97" customFormat="1" ht="24" customHeight="1">
      <c r="A35" s="825" t="s">
        <v>4036</v>
      </c>
      <c r="B35" s="826" t="s">
        <v>4038</v>
      </c>
      <c r="C35" s="827" t="s">
        <v>4446</v>
      </c>
      <c r="D35" s="912" t="s">
        <v>4451</v>
      </c>
      <c r="E35" s="1022">
        <v>46173</v>
      </c>
      <c r="F35" s="912">
        <v>46173</v>
      </c>
      <c r="G35" s="831">
        <v>9.4556000000000004</v>
      </c>
      <c r="H35" s="1122">
        <v>18881380</v>
      </c>
      <c r="I35" s="1135">
        <f t="shared" si="6"/>
        <v>178534776</v>
      </c>
      <c r="J35" s="832">
        <f t="shared" si="7"/>
        <v>178534776</v>
      </c>
      <c r="K35" s="833"/>
      <c r="M35" s="126"/>
      <c r="N35" s="126"/>
      <c r="O35" s="126"/>
      <c r="P35" s="126"/>
    </row>
    <row r="36" spans="1:17" s="97" customFormat="1" ht="24" customHeight="1">
      <c r="A36" s="1082" t="s">
        <v>4036</v>
      </c>
      <c r="B36" s="1083" t="s">
        <v>4038</v>
      </c>
      <c r="C36" s="1165" t="s">
        <v>4452</v>
      </c>
      <c r="D36" s="1085"/>
      <c r="E36" s="1086"/>
      <c r="F36" s="1085">
        <v>46160</v>
      </c>
      <c r="G36" s="1388">
        <v>9.4440000000000008</v>
      </c>
      <c r="H36" s="1389">
        <v>143000</v>
      </c>
      <c r="I36" s="1131">
        <f t="shared" si="6"/>
        <v>1350492</v>
      </c>
      <c r="J36" s="1089">
        <f t="shared" si="7"/>
        <v>1350492</v>
      </c>
      <c r="K36" s="1390"/>
      <c r="M36" s="126"/>
      <c r="N36" s="126"/>
      <c r="O36" s="126"/>
      <c r="P36" s="126"/>
    </row>
    <row r="37" spans="1:17" s="97" customFormat="1" ht="24" customHeight="1">
      <c r="A37" s="1082" t="s">
        <v>4036</v>
      </c>
      <c r="B37" s="1083" t="s">
        <v>4038</v>
      </c>
      <c r="C37" s="1165" t="s">
        <v>4453</v>
      </c>
      <c r="D37" s="1085"/>
      <c r="E37" s="1086"/>
      <c r="F37" s="1085">
        <v>46160</v>
      </c>
      <c r="G37" s="1388">
        <v>9.4440000000000008</v>
      </c>
      <c r="H37" s="1389">
        <v>200000</v>
      </c>
      <c r="I37" s="1131">
        <f t="shared" ref="I37:I39" si="8">ROUNDDOWN(H37*G37,0)</f>
        <v>1888800</v>
      </c>
      <c r="J37" s="1089">
        <f t="shared" si="7"/>
        <v>1888800</v>
      </c>
      <c r="K37" s="1390"/>
      <c r="M37" s="126"/>
      <c r="N37" s="126"/>
      <c r="O37" s="126"/>
      <c r="P37" s="126"/>
    </row>
    <row r="38" spans="1:17" s="97" customFormat="1" ht="24" customHeight="1">
      <c r="A38" s="1082" t="s">
        <v>4036</v>
      </c>
      <c r="B38" s="1083" t="s">
        <v>4038</v>
      </c>
      <c r="C38" s="1165" t="s">
        <v>4454</v>
      </c>
      <c r="D38" s="1085"/>
      <c r="E38" s="1086"/>
      <c r="F38" s="1085">
        <v>46160</v>
      </c>
      <c r="G38" s="1388">
        <v>9.4440000000000008</v>
      </c>
      <c r="H38" s="1389">
        <v>574000</v>
      </c>
      <c r="I38" s="1131">
        <f t="shared" si="8"/>
        <v>5420856</v>
      </c>
      <c r="J38" s="1089">
        <f t="shared" si="7"/>
        <v>5420856</v>
      </c>
      <c r="K38" s="1390"/>
      <c r="M38" s="126"/>
      <c r="N38" s="126"/>
      <c r="O38" s="126"/>
      <c r="P38" s="126"/>
    </row>
    <row r="39" spans="1:17" s="97" customFormat="1" ht="24" customHeight="1">
      <c r="A39" s="1082" t="s">
        <v>4036</v>
      </c>
      <c r="B39" s="1083" t="s">
        <v>4038</v>
      </c>
      <c r="C39" s="1165" t="s">
        <v>4455</v>
      </c>
      <c r="D39" s="1085"/>
      <c r="E39" s="1086"/>
      <c r="F39" s="1085">
        <v>46160</v>
      </c>
      <c r="G39" s="1388">
        <v>9.4440000000000008</v>
      </c>
      <c r="H39" s="1389">
        <v>283000</v>
      </c>
      <c r="I39" s="1131">
        <f t="shared" si="8"/>
        <v>2672652</v>
      </c>
      <c r="J39" s="1089">
        <f t="shared" si="7"/>
        <v>2672652</v>
      </c>
      <c r="K39" s="1390"/>
      <c r="M39" s="126"/>
      <c r="N39" s="126"/>
      <c r="O39" s="126"/>
      <c r="P39" s="126"/>
    </row>
    <row r="40" spans="1:17" s="97" customFormat="1" ht="24" customHeight="1">
      <c r="A40" s="1082" t="s">
        <v>4036</v>
      </c>
      <c r="B40" s="1083" t="s">
        <v>4038</v>
      </c>
      <c r="C40" s="1165" t="s">
        <v>4456</v>
      </c>
      <c r="D40" s="1085"/>
      <c r="E40" s="1086"/>
      <c r="F40" s="1085">
        <v>46160</v>
      </c>
      <c r="G40" s="1388">
        <v>9.4440000000000008</v>
      </c>
      <c r="H40" s="1389">
        <v>446000</v>
      </c>
      <c r="I40" s="1131">
        <f t="shared" si="6"/>
        <v>4212024</v>
      </c>
      <c r="J40" s="1089">
        <f t="shared" si="7"/>
        <v>4212024</v>
      </c>
      <c r="K40" s="1390"/>
      <c r="M40" s="126"/>
      <c r="N40" s="126"/>
      <c r="O40" s="126"/>
      <c r="P40" s="126"/>
    </row>
    <row r="41" spans="1:17" s="97" customFormat="1" ht="24" customHeight="1">
      <c r="A41" s="1082" t="s">
        <v>4036</v>
      </c>
      <c r="B41" s="1083" t="s">
        <v>4038</v>
      </c>
      <c r="C41" s="1165" t="s">
        <v>4457</v>
      </c>
      <c r="D41" s="1085"/>
      <c r="E41" s="1086"/>
      <c r="F41" s="1085">
        <v>46160</v>
      </c>
      <c r="G41" s="1388">
        <v>9.4440000000000008</v>
      </c>
      <c r="H41" s="1389">
        <v>177000</v>
      </c>
      <c r="I41" s="1131">
        <f t="shared" si="5"/>
        <v>1671588</v>
      </c>
      <c r="J41" s="1089">
        <f>I41</f>
        <v>1671588</v>
      </c>
      <c r="K41" s="1390"/>
      <c r="M41" s="126"/>
      <c r="N41" s="126"/>
      <c r="O41" s="126"/>
      <c r="P41" s="126"/>
    </row>
    <row r="42" spans="1:17" s="97" customFormat="1" ht="24" customHeight="1" thickBot="1">
      <c r="A42" s="1042" t="s">
        <v>4036</v>
      </c>
      <c r="B42" s="1043" t="s">
        <v>4038</v>
      </c>
      <c r="C42" s="1044"/>
      <c r="D42" s="1045"/>
      <c r="E42" s="1046"/>
      <c r="F42" s="1219"/>
      <c r="G42" s="1047">
        <v>0</v>
      </c>
      <c r="H42" s="1124"/>
      <c r="I42" s="1125">
        <f t="shared" si="5"/>
        <v>0</v>
      </c>
      <c r="J42" s="1048"/>
      <c r="K42" s="1049">
        <f>I42</f>
        <v>0</v>
      </c>
      <c r="M42" s="126"/>
      <c r="N42" s="126"/>
      <c r="O42" s="126"/>
      <c r="P42" s="126"/>
    </row>
    <row r="43" spans="1:17" s="97" customFormat="1" ht="24" customHeight="1">
      <c r="A43" s="1188" t="s">
        <v>2787</v>
      </c>
      <c r="B43" s="1189" t="s">
        <v>375</v>
      </c>
      <c r="C43" s="1190" t="s">
        <v>4458</v>
      </c>
      <c r="D43" s="1190" t="s">
        <v>4612</v>
      </c>
      <c r="E43" s="1191">
        <v>46157</v>
      </c>
      <c r="F43" s="1212">
        <v>46156</v>
      </c>
      <c r="G43" s="1192">
        <v>9.4747000000000003</v>
      </c>
      <c r="H43" s="1193">
        <v>6727428</v>
      </c>
      <c r="I43" s="1194">
        <f t="shared" si="5"/>
        <v>63740362</v>
      </c>
      <c r="J43" s="1195">
        <f t="shared" ref="J43:J47" si="9">I43</f>
        <v>63740362</v>
      </c>
      <c r="K43" s="1196"/>
      <c r="M43" s="126"/>
      <c r="N43" s="126"/>
      <c r="O43" s="126"/>
      <c r="P43" s="126"/>
    </row>
    <row r="44" spans="1:17" s="97" customFormat="1" ht="24" customHeight="1">
      <c r="A44" s="825" t="s">
        <v>4025</v>
      </c>
      <c r="B44" s="826" t="s">
        <v>4038</v>
      </c>
      <c r="C44" s="1391" t="s">
        <v>4459</v>
      </c>
      <c r="D44" s="1391" t="s">
        <v>4613</v>
      </c>
      <c r="E44" s="829">
        <v>46164</v>
      </c>
      <c r="F44" s="910">
        <v>46164</v>
      </c>
      <c r="G44" s="831">
        <v>9.4550999999999998</v>
      </c>
      <c r="H44" s="1122">
        <v>6727428</v>
      </c>
      <c r="I44" s="1123">
        <f t="shared" si="5"/>
        <v>63608504</v>
      </c>
      <c r="J44" s="832">
        <f t="shared" si="9"/>
        <v>63608504</v>
      </c>
      <c r="K44" s="1392"/>
      <c r="M44" s="126"/>
      <c r="N44" s="126"/>
      <c r="O44" s="126"/>
      <c r="P44" s="126"/>
    </row>
    <row r="45" spans="1:17" s="97" customFormat="1" ht="24" customHeight="1">
      <c r="A45" s="825" t="s">
        <v>4025</v>
      </c>
      <c r="B45" s="826" t="s">
        <v>4038</v>
      </c>
      <c r="C45" s="1391" t="s">
        <v>4460</v>
      </c>
      <c r="D45" s="1391" t="s">
        <v>4614</v>
      </c>
      <c r="E45" s="829">
        <v>46172</v>
      </c>
      <c r="F45" s="910">
        <v>46171</v>
      </c>
      <c r="G45" s="831">
        <v>9.4556000000000004</v>
      </c>
      <c r="H45" s="1122">
        <v>6727428</v>
      </c>
      <c r="I45" s="1123">
        <f t="shared" ref="I45" si="10">ROUNDDOWN(H45*G45,0)</f>
        <v>63611868</v>
      </c>
      <c r="J45" s="832">
        <f t="shared" ref="J45" si="11">I45</f>
        <v>63611868</v>
      </c>
      <c r="K45" s="1392"/>
      <c r="M45" s="126"/>
      <c r="N45" s="126"/>
      <c r="O45" s="126"/>
      <c r="P45" s="126"/>
    </row>
    <row r="46" spans="1:17" s="97" customFormat="1" ht="24" customHeight="1" thickBot="1">
      <c r="A46" s="834" t="s">
        <v>2787</v>
      </c>
      <c r="B46" s="835" t="s">
        <v>375</v>
      </c>
      <c r="C46" s="851" t="s">
        <v>4461</v>
      </c>
      <c r="D46" s="851" t="s">
        <v>4615</v>
      </c>
      <c r="E46" s="838">
        <v>46173</v>
      </c>
      <c r="F46" s="1213">
        <v>46173</v>
      </c>
      <c r="G46" s="840">
        <v>9.4556000000000004</v>
      </c>
      <c r="H46" s="1197">
        <v>6727428</v>
      </c>
      <c r="I46" s="1198">
        <f t="shared" si="5"/>
        <v>63611868</v>
      </c>
      <c r="J46" s="841">
        <f t="shared" si="9"/>
        <v>63611868</v>
      </c>
      <c r="K46" s="852"/>
      <c r="M46" s="126"/>
      <c r="N46" s="126"/>
      <c r="O46" s="126"/>
      <c r="P46" s="126"/>
    </row>
    <row r="47" spans="1:17" ht="24" customHeight="1" thickBot="1">
      <c r="A47" s="853" t="s">
        <v>4026</v>
      </c>
      <c r="B47" s="854" t="s">
        <v>478</v>
      </c>
      <c r="C47" s="855"/>
      <c r="D47" s="856"/>
      <c r="E47" s="857"/>
      <c r="F47" s="1214"/>
      <c r="G47" s="858">
        <v>0</v>
      </c>
      <c r="H47" s="1126"/>
      <c r="I47" s="1127">
        <f t="shared" si="5"/>
        <v>0</v>
      </c>
      <c r="J47" s="859">
        <f t="shared" si="9"/>
        <v>0</v>
      </c>
      <c r="K47" s="860"/>
      <c r="M47" s="126" t="s">
        <v>4620</v>
      </c>
      <c r="N47" s="126" t="s">
        <v>4621</v>
      </c>
      <c r="O47" s="126" t="s">
        <v>4622</v>
      </c>
      <c r="P47" s="126" t="s">
        <v>4623</v>
      </c>
      <c r="Q47" s="97"/>
    </row>
    <row r="48" spans="1:17" s="97" customFormat="1" ht="24" customHeight="1">
      <c r="A48" s="816" t="s">
        <v>698</v>
      </c>
      <c r="B48" s="817" t="s">
        <v>4039</v>
      </c>
      <c r="C48" s="818" t="s">
        <v>4339</v>
      </c>
      <c r="D48" s="819" t="s">
        <v>4340</v>
      </c>
      <c r="E48" s="820">
        <v>46148</v>
      </c>
      <c r="F48" s="819">
        <v>46148</v>
      </c>
      <c r="G48" s="861">
        <f>VLOOKUP(F48,환율!A:B,2,0)</f>
        <v>1470.5</v>
      </c>
      <c r="H48" s="1141">
        <v>57562.11</v>
      </c>
      <c r="I48" s="1142">
        <f t="shared" si="5"/>
        <v>84645082</v>
      </c>
      <c r="J48" s="823">
        <f>I48</f>
        <v>84645082</v>
      </c>
      <c r="K48" s="824"/>
      <c r="M48" s="1412" t="s">
        <v>4624</v>
      </c>
      <c r="N48" s="1412" t="s">
        <v>4624</v>
      </c>
      <c r="O48" s="1412" t="s">
        <v>4624</v>
      </c>
      <c r="P48" s="1412" t="s">
        <v>4624</v>
      </c>
      <c r="Q48" s="376">
        <v>46148</v>
      </c>
    </row>
    <row r="49" spans="1:17" s="120" customFormat="1" ht="24" customHeight="1">
      <c r="A49" s="862" t="s">
        <v>698</v>
      </c>
      <c r="B49" s="863" t="s">
        <v>4039</v>
      </c>
      <c r="C49" s="864" t="s">
        <v>4341</v>
      </c>
      <c r="D49" s="865" t="s">
        <v>4342</v>
      </c>
      <c r="E49" s="866">
        <v>46152</v>
      </c>
      <c r="F49" s="865">
        <v>46152</v>
      </c>
      <c r="G49" s="868">
        <f>VLOOKUP(F49,환율!A:B,2,0)</f>
        <v>1450.8</v>
      </c>
      <c r="H49" s="1132">
        <v>13839.12</v>
      </c>
      <c r="I49" s="1133">
        <f t="shared" si="5"/>
        <v>20077795</v>
      </c>
      <c r="J49" s="869">
        <f>I49</f>
        <v>20077795</v>
      </c>
      <c r="K49" s="870"/>
      <c r="M49" s="1412" t="s">
        <v>4624</v>
      </c>
      <c r="N49" s="1412" t="s">
        <v>4624</v>
      </c>
      <c r="O49" s="1412" t="s">
        <v>4624</v>
      </c>
      <c r="P49" s="1412" t="s">
        <v>4624</v>
      </c>
      <c r="Q49" s="376">
        <v>46152</v>
      </c>
    </row>
    <row r="50" spans="1:17" s="120" customFormat="1" ht="24" customHeight="1">
      <c r="A50" s="1282" t="s">
        <v>660</v>
      </c>
      <c r="B50" s="1283" t="s">
        <v>478</v>
      </c>
      <c r="C50" s="1284" t="s">
        <v>4476</v>
      </c>
      <c r="D50" s="1285" t="s">
        <v>4462</v>
      </c>
      <c r="E50" s="1286">
        <v>46156</v>
      </c>
      <c r="F50" s="1285">
        <v>46156</v>
      </c>
      <c r="G50" s="1287">
        <f>VLOOKUP(F50,환율!A:B,2,0)</f>
        <v>1495.1</v>
      </c>
      <c r="H50" s="1288">
        <v>48418.559999999998</v>
      </c>
      <c r="I50" s="1289">
        <f t="shared" si="5"/>
        <v>72390589</v>
      </c>
      <c r="J50" s="1289">
        <f>I50</f>
        <v>72390589</v>
      </c>
      <c r="K50" s="1290"/>
      <c r="M50" s="1412" t="s">
        <v>4624</v>
      </c>
      <c r="N50" s="1412" t="s">
        <v>4624</v>
      </c>
      <c r="O50" s="1412" t="s">
        <v>4624</v>
      </c>
      <c r="P50" s="1412" t="s">
        <v>4624</v>
      </c>
      <c r="Q50" s="1421">
        <v>46156</v>
      </c>
    </row>
    <row r="51" spans="1:17" s="120" customFormat="1" ht="24" customHeight="1">
      <c r="A51" s="1020" t="s">
        <v>698</v>
      </c>
      <c r="B51" s="1021" t="s">
        <v>4039</v>
      </c>
      <c r="C51" s="1039" t="s">
        <v>4463</v>
      </c>
      <c r="D51" s="912" t="s">
        <v>4464</v>
      </c>
      <c r="E51" s="1022">
        <v>46162</v>
      </c>
      <c r="F51" s="910">
        <v>46162</v>
      </c>
      <c r="G51" s="913">
        <f>VLOOKUP(F51,환율!A:B,2,0)</f>
        <v>1503.8</v>
      </c>
      <c r="H51" s="1134">
        <v>40613.760000000002</v>
      </c>
      <c r="I51" s="1135">
        <f t="shared" si="5"/>
        <v>61074972</v>
      </c>
      <c r="J51" s="926">
        <f>I51</f>
        <v>61074972</v>
      </c>
      <c r="K51" s="927"/>
      <c r="M51" s="1412" t="s">
        <v>4624</v>
      </c>
      <c r="N51" s="1412" t="s">
        <v>4624</v>
      </c>
      <c r="O51" s="1412" t="s">
        <v>4624</v>
      </c>
      <c r="P51" s="1412" t="s">
        <v>4624</v>
      </c>
      <c r="Q51" s="1424">
        <v>46162</v>
      </c>
    </row>
    <row r="52" spans="1:17" s="120" customFormat="1" ht="24" customHeight="1">
      <c r="A52" s="1020" t="s">
        <v>698</v>
      </c>
      <c r="B52" s="1021" t="s">
        <v>4039</v>
      </c>
      <c r="C52" s="1039" t="s">
        <v>4465</v>
      </c>
      <c r="D52" s="912" t="s">
        <v>4466</v>
      </c>
      <c r="E52" s="1022">
        <v>46172</v>
      </c>
      <c r="F52" s="910">
        <v>46172</v>
      </c>
      <c r="G52" s="913">
        <f>VLOOKUP(F52,환율!A:B,2,0)</f>
        <v>1505.8</v>
      </c>
      <c r="H52" s="1134">
        <v>67155.839999999997</v>
      </c>
      <c r="I52" s="1135">
        <f t="shared" si="5"/>
        <v>101123263</v>
      </c>
      <c r="J52" s="926">
        <f t="shared" ref="J52:J57" si="12">I52</f>
        <v>101123263</v>
      </c>
      <c r="K52" s="927"/>
      <c r="M52" s="1412" t="s">
        <v>4624</v>
      </c>
      <c r="N52" s="1412" t="s">
        <v>4624</v>
      </c>
      <c r="O52" s="1412" t="s">
        <v>4624</v>
      </c>
      <c r="P52" s="1412" t="s">
        <v>4624</v>
      </c>
      <c r="Q52" s="1424">
        <v>46172</v>
      </c>
    </row>
    <row r="53" spans="1:17" s="120" customFormat="1" ht="24" customHeight="1">
      <c r="A53" s="1020" t="s">
        <v>698</v>
      </c>
      <c r="B53" s="1021" t="s">
        <v>4039</v>
      </c>
      <c r="C53" s="1039" t="s">
        <v>4467</v>
      </c>
      <c r="D53" s="912" t="s">
        <v>4468</v>
      </c>
      <c r="E53" s="1022">
        <v>46164</v>
      </c>
      <c r="F53" s="910">
        <v>46164</v>
      </c>
      <c r="G53" s="913">
        <f>VLOOKUP(F53,환율!A:B,2,0)</f>
        <v>1503.5</v>
      </c>
      <c r="H53" s="1134">
        <v>63136.800000000003</v>
      </c>
      <c r="I53" s="1135">
        <f t="shared" ref="I53:I56" si="13">ROUNDDOWN(H53*G53,0)</f>
        <v>94926178</v>
      </c>
      <c r="J53" s="926">
        <f t="shared" ref="J53:J56" si="14">I53</f>
        <v>94926178</v>
      </c>
      <c r="K53" s="927"/>
      <c r="M53" s="1412" t="s">
        <v>4624</v>
      </c>
      <c r="N53" s="1412" t="s">
        <v>4624</v>
      </c>
      <c r="O53" s="1412" t="s">
        <v>4624</v>
      </c>
      <c r="P53" s="1412" t="s">
        <v>4624</v>
      </c>
      <c r="Q53" s="1421">
        <v>46164</v>
      </c>
    </row>
    <row r="54" spans="1:17" s="120" customFormat="1" ht="24" customHeight="1">
      <c r="A54" s="1020" t="s">
        <v>698</v>
      </c>
      <c r="B54" s="1021" t="s">
        <v>4039</v>
      </c>
      <c r="C54" s="1039" t="s">
        <v>4469</v>
      </c>
      <c r="D54" s="912" t="s">
        <v>4470</v>
      </c>
      <c r="E54" s="1022">
        <v>46161</v>
      </c>
      <c r="F54" s="910">
        <v>46161</v>
      </c>
      <c r="G54" s="913">
        <f>VLOOKUP(F54,환율!A:B,2,0)</f>
        <v>1503.4</v>
      </c>
      <c r="H54" s="1134">
        <v>21814.560000000001</v>
      </c>
      <c r="I54" s="1135">
        <f t="shared" si="13"/>
        <v>32796009</v>
      </c>
      <c r="J54" s="926">
        <f t="shared" si="14"/>
        <v>32796009</v>
      </c>
      <c r="K54" s="927"/>
      <c r="M54" s="1412" t="s">
        <v>4624</v>
      </c>
      <c r="N54" s="1412" t="s">
        <v>4624</v>
      </c>
      <c r="O54" s="1412" t="s">
        <v>4624</v>
      </c>
      <c r="P54" s="1412" t="s">
        <v>4624</v>
      </c>
      <c r="Q54" s="1421">
        <v>46161</v>
      </c>
    </row>
    <row r="55" spans="1:17" s="120" customFormat="1" ht="24" customHeight="1">
      <c r="A55" s="1020" t="s">
        <v>698</v>
      </c>
      <c r="B55" s="1021" t="s">
        <v>4039</v>
      </c>
      <c r="C55" s="1039" t="s">
        <v>4471</v>
      </c>
      <c r="D55" s="912" t="s">
        <v>4472</v>
      </c>
      <c r="E55" s="1022">
        <v>46156</v>
      </c>
      <c r="F55" s="910">
        <v>46156</v>
      </c>
      <c r="G55" s="913">
        <f>VLOOKUP(F55,환율!A:B,2,0)</f>
        <v>1495.1</v>
      </c>
      <c r="H55" s="1134">
        <v>792</v>
      </c>
      <c r="I55" s="1135">
        <f t="shared" si="13"/>
        <v>1184119</v>
      </c>
      <c r="J55" s="926">
        <f t="shared" si="14"/>
        <v>1184119</v>
      </c>
      <c r="K55" s="927"/>
      <c r="M55" s="1412" t="s">
        <v>4624</v>
      </c>
      <c r="N55" s="1412" t="s">
        <v>4624</v>
      </c>
      <c r="O55" s="1412" t="s">
        <v>4624</v>
      </c>
      <c r="P55" s="1412" t="s">
        <v>4624</v>
      </c>
      <c r="Q55" s="1421">
        <v>46156</v>
      </c>
    </row>
    <row r="56" spans="1:17" s="120" customFormat="1" ht="24" customHeight="1">
      <c r="A56" s="1020" t="s">
        <v>698</v>
      </c>
      <c r="B56" s="1021" t="s">
        <v>4039</v>
      </c>
      <c r="C56" s="1039" t="s">
        <v>4473</v>
      </c>
      <c r="D56" s="912" t="s">
        <v>4474</v>
      </c>
      <c r="E56" s="1022">
        <v>46156</v>
      </c>
      <c r="F56" s="910">
        <v>46156</v>
      </c>
      <c r="G56" s="913">
        <f>VLOOKUP(F56,환율!A:B,2,0)</f>
        <v>1495.1</v>
      </c>
      <c r="H56" s="1134">
        <v>1136.3900000000001</v>
      </c>
      <c r="I56" s="1135">
        <f t="shared" si="13"/>
        <v>1699016</v>
      </c>
      <c r="J56" s="926">
        <f t="shared" si="14"/>
        <v>1699016</v>
      </c>
      <c r="K56" s="927"/>
      <c r="M56" s="1412" t="s">
        <v>4624</v>
      </c>
      <c r="N56" s="1412" t="s">
        <v>4624</v>
      </c>
      <c r="O56" s="1412" t="s">
        <v>4624</v>
      </c>
      <c r="P56" s="1412" t="s">
        <v>4624</v>
      </c>
      <c r="Q56" s="1421">
        <v>46156</v>
      </c>
    </row>
    <row r="57" spans="1:17" s="1040" customFormat="1" ht="24" customHeight="1">
      <c r="A57" s="1020" t="s">
        <v>698</v>
      </c>
      <c r="B57" s="1021" t="s">
        <v>4039</v>
      </c>
      <c r="C57" s="1039" t="s">
        <v>4477</v>
      </c>
      <c r="D57" s="912" t="s">
        <v>4475</v>
      </c>
      <c r="E57" s="1022">
        <v>46156</v>
      </c>
      <c r="F57" s="910">
        <v>46156</v>
      </c>
      <c r="G57" s="913">
        <f>VLOOKUP(F57,환율!A:B,2,0)</f>
        <v>1495.1</v>
      </c>
      <c r="H57" s="1134">
        <v>945.86</v>
      </c>
      <c r="I57" s="1135">
        <f t="shared" si="5"/>
        <v>1414155</v>
      </c>
      <c r="J57" s="926">
        <f t="shared" si="12"/>
        <v>1414155</v>
      </c>
      <c r="K57" s="927"/>
      <c r="M57" s="1412" t="s">
        <v>4624</v>
      </c>
      <c r="N57" s="1412" t="s">
        <v>4624</v>
      </c>
      <c r="O57" s="1412" t="s">
        <v>4624</v>
      </c>
      <c r="P57" s="1412" t="s">
        <v>4624</v>
      </c>
      <c r="Q57" s="1421">
        <v>46156</v>
      </c>
    </row>
    <row r="58" spans="1:17" s="120" customFormat="1" ht="24" customHeight="1">
      <c r="A58" s="875" t="s">
        <v>698</v>
      </c>
      <c r="B58" s="876" t="s">
        <v>4039</v>
      </c>
      <c r="C58" s="877" t="s">
        <v>4478</v>
      </c>
      <c r="D58" s="878" t="s">
        <v>4479</v>
      </c>
      <c r="E58" s="879"/>
      <c r="F58" s="878">
        <v>46167</v>
      </c>
      <c r="G58" s="881">
        <f>VLOOKUP(F58,환율!A:B,2,0)</f>
        <v>1503.5</v>
      </c>
      <c r="H58" s="1137">
        <v>30736.799999999999</v>
      </c>
      <c r="I58" s="1138">
        <f t="shared" si="5"/>
        <v>46212778</v>
      </c>
      <c r="J58" s="882"/>
      <c r="K58" s="883">
        <f>I58</f>
        <v>46212778</v>
      </c>
      <c r="M58" s="1412" t="s">
        <v>4624</v>
      </c>
      <c r="N58" s="1412" t="s">
        <v>4624</v>
      </c>
      <c r="O58" s="1412" t="s">
        <v>4624</v>
      </c>
      <c r="P58" s="1412" t="s">
        <v>4624</v>
      </c>
      <c r="Q58" s="1421">
        <v>46167</v>
      </c>
    </row>
    <row r="59" spans="1:17" s="120" customFormat="1" ht="24" customHeight="1" thickBot="1">
      <c r="A59" s="884" t="s">
        <v>698</v>
      </c>
      <c r="B59" s="885" t="s">
        <v>4039</v>
      </c>
      <c r="C59" s="886" t="s">
        <v>4480</v>
      </c>
      <c r="D59" s="887" t="s">
        <v>4481</v>
      </c>
      <c r="E59" s="879"/>
      <c r="F59" s="887">
        <v>46174</v>
      </c>
      <c r="G59" s="890">
        <f>VLOOKUP(F59,환율!A:B,2,0)</f>
        <v>1503.2</v>
      </c>
      <c r="H59" s="1139">
        <v>32248.080000000002</v>
      </c>
      <c r="I59" s="1140">
        <f t="shared" si="5"/>
        <v>48475313</v>
      </c>
      <c r="J59" s="891"/>
      <c r="K59" s="892">
        <f>I59</f>
        <v>48475313</v>
      </c>
      <c r="M59" s="1412" t="s">
        <v>4624</v>
      </c>
      <c r="N59" s="1412" t="s">
        <v>4624</v>
      </c>
      <c r="O59" s="1412" t="s">
        <v>4624</v>
      </c>
      <c r="P59" s="1412" t="s">
        <v>36</v>
      </c>
      <c r="Q59" s="1423" t="s">
        <v>4627</v>
      </c>
    </row>
    <row r="60" spans="1:17" s="97" customFormat="1" ht="24" customHeight="1">
      <c r="A60" s="816" t="s">
        <v>4042</v>
      </c>
      <c r="B60" s="817" t="s">
        <v>478</v>
      </c>
      <c r="C60" s="893" t="s">
        <v>4349</v>
      </c>
      <c r="D60" s="821" t="s">
        <v>4363</v>
      </c>
      <c r="E60" s="894">
        <v>46144</v>
      </c>
      <c r="F60" s="821">
        <v>46144</v>
      </c>
      <c r="G60" s="861">
        <f>VLOOKUP(F60,환율!A:B,2,0)</f>
        <v>1476.1</v>
      </c>
      <c r="H60" s="1141">
        <v>662</v>
      </c>
      <c r="I60" s="1142">
        <f t="shared" si="5"/>
        <v>977178</v>
      </c>
      <c r="J60" s="823">
        <f>I60</f>
        <v>977178</v>
      </c>
      <c r="K60" s="824"/>
      <c r="M60" s="1412" t="s">
        <v>4624</v>
      </c>
      <c r="N60" s="1412" t="s">
        <v>4624</v>
      </c>
      <c r="O60" s="1412" t="s">
        <v>4624</v>
      </c>
      <c r="P60" s="1412" t="s">
        <v>4624</v>
      </c>
      <c r="Q60" s="1421">
        <v>46144</v>
      </c>
    </row>
    <row r="61" spans="1:17" s="97" customFormat="1" ht="24" customHeight="1">
      <c r="A61" s="862" t="s">
        <v>4042</v>
      </c>
      <c r="B61" s="863" t="s">
        <v>4039</v>
      </c>
      <c r="C61" s="895" t="s">
        <v>4350</v>
      </c>
      <c r="D61" s="867" t="s">
        <v>4364</v>
      </c>
      <c r="E61" s="896">
        <v>46144</v>
      </c>
      <c r="F61" s="867">
        <v>46144</v>
      </c>
      <c r="G61" s="868">
        <f>VLOOKUP(F61,환율!A:B,2,0)</f>
        <v>1476.1</v>
      </c>
      <c r="H61" s="1132">
        <v>8988.16</v>
      </c>
      <c r="I61" s="1133">
        <f t="shared" si="5"/>
        <v>13267422</v>
      </c>
      <c r="J61" s="869">
        <f t="shared" ref="J61:J81" si="15">I61</f>
        <v>13267422</v>
      </c>
      <c r="K61" s="870"/>
      <c r="M61" s="1412" t="s">
        <v>4624</v>
      </c>
      <c r="N61" s="1412" t="s">
        <v>4624</v>
      </c>
      <c r="O61" s="1412" t="s">
        <v>4624</v>
      </c>
      <c r="P61" s="1412" t="s">
        <v>4624</v>
      </c>
      <c r="Q61" s="1421">
        <v>46144</v>
      </c>
    </row>
    <row r="62" spans="1:17" s="126" customFormat="1" ht="24" customHeight="1">
      <c r="A62" s="825" t="s">
        <v>4042</v>
      </c>
      <c r="B62" s="826" t="s">
        <v>4039</v>
      </c>
      <c r="C62" s="827" t="s">
        <v>4520</v>
      </c>
      <c r="D62" s="828" t="s">
        <v>4482</v>
      </c>
      <c r="E62" s="829">
        <v>46149</v>
      </c>
      <c r="F62" s="910">
        <v>46149</v>
      </c>
      <c r="G62" s="873">
        <f>VLOOKUP(F62,환율!A:B,2,0)</f>
        <v>1456.8</v>
      </c>
      <c r="H62" s="1136">
        <v>120468.22</v>
      </c>
      <c r="I62" s="1123">
        <f t="shared" si="5"/>
        <v>175498102</v>
      </c>
      <c r="J62" s="832">
        <f t="shared" si="15"/>
        <v>175498102</v>
      </c>
      <c r="K62" s="874"/>
      <c r="M62" s="1412" t="s">
        <v>4624</v>
      </c>
      <c r="N62" s="1412" t="s">
        <v>4624</v>
      </c>
      <c r="O62" s="1412" t="s">
        <v>4624</v>
      </c>
      <c r="P62" s="1412" t="s">
        <v>4624</v>
      </c>
      <c r="Q62" s="1421">
        <v>46149</v>
      </c>
    </row>
    <row r="63" spans="1:17" s="126" customFormat="1" ht="24" customHeight="1">
      <c r="A63" s="825" t="s">
        <v>4042</v>
      </c>
      <c r="B63" s="826" t="s">
        <v>4039</v>
      </c>
      <c r="C63" s="827" t="s">
        <v>4483</v>
      </c>
      <c r="D63" s="828" t="s">
        <v>4484</v>
      </c>
      <c r="E63" s="829">
        <v>46152</v>
      </c>
      <c r="F63" s="910">
        <v>46152</v>
      </c>
      <c r="G63" s="873">
        <f>VLOOKUP(F63,환율!A:B,2,0)</f>
        <v>1450.8</v>
      </c>
      <c r="H63" s="1136">
        <v>106363.6</v>
      </c>
      <c r="I63" s="1123">
        <f t="shared" si="5"/>
        <v>154312310</v>
      </c>
      <c r="J63" s="832">
        <f t="shared" si="15"/>
        <v>154312310</v>
      </c>
      <c r="K63" s="874"/>
      <c r="M63" s="1412" t="s">
        <v>4624</v>
      </c>
      <c r="N63" s="1412" t="s">
        <v>4624</v>
      </c>
      <c r="O63" s="1412" t="s">
        <v>4624</v>
      </c>
      <c r="P63" s="1412" t="s">
        <v>4624</v>
      </c>
      <c r="Q63" s="1421">
        <v>46152</v>
      </c>
    </row>
    <row r="64" spans="1:17" s="126" customFormat="1" ht="24" customHeight="1">
      <c r="A64" s="1270" t="s">
        <v>4042</v>
      </c>
      <c r="B64" s="1271" t="s">
        <v>4039</v>
      </c>
      <c r="C64" s="1272" t="s">
        <v>4485</v>
      </c>
      <c r="D64" s="828" t="s">
        <v>4486</v>
      </c>
      <c r="E64" s="829">
        <v>46153</v>
      </c>
      <c r="F64" s="910">
        <v>46153</v>
      </c>
      <c r="G64" s="1273">
        <f>VLOOKUP(F64,환율!A:B,2,0)</f>
        <v>1466</v>
      </c>
      <c r="H64" s="1136">
        <v>27524</v>
      </c>
      <c r="I64" s="1123">
        <f t="shared" si="5"/>
        <v>40350184</v>
      </c>
      <c r="J64" s="1123">
        <f t="shared" si="15"/>
        <v>40350184</v>
      </c>
      <c r="K64" s="1274"/>
      <c r="M64" s="1412" t="s">
        <v>4624</v>
      </c>
      <c r="N64" s="1412" t="s">
        <v>4624</v>
      </c>
      <c r="O64" s="1412" t="s">
        <v>4624</v>
      </c>
      <c r="P64" s="1412" t="s">
        <v>4624</v>
      </c>
      <c r="Q64" s="1421">
        <v>46153</v>
      </c>
    </row>
    <row r="65" spans="1:17" s="126" customFormat="1" ht="24" customHeight="1">
      <c r="A65" s="825" t="s">
        <v>4042</v>
      </c>
      <c r="B65" s="826" t="s">
        <v>4039</v>
      </c>
      <c r="C65" s="827" t="s">
        <v>4487</v>
      </c>
      <c r="D65" s="828" t="s">
        <v>4488</v>
      </c>
      <c r="E65" s="829">
        <v>46150</v>
      </c>
      <c r="F65" s="910">
        <v>46150</v>
      </c>
      <c r="G65" s="1273">
        <f>VLOOKUP(F65,환율!A:B,2,0)</f>
        <v>1450.8</v>
      </c>
      <c r="H65" s="1136">
        <v>7038.36</v>
      </c>
      <c r="I65" s="1123">
        <f t="shared" si="5"/>
        <v>10211252</v>
      </c>
      <c r="J65" s="1123">
        <f t="shared" si="15"/>
        <v>10211252</v>
      </c>
      <c r="K65" s="874"/>
      <c r="M65" s="1412" t="s">
        <v>4624</v>
      </c>
      <c r="N65" s="1412" t="s">
        <v>4624</v>
      </c>
      <c r="O65" s="1412" t="s">
        <v>4624</v>
      </c>
      <c r="P65" s="1412" t="s">
        <v>4624</v>
      </c>
      <c r="Q65" s="1421">
        <v>46150</v>
      </c>
    </row>
    <row r="66" spans="1:17" s="126" customFormat="1" ht="24" customHeight="1">
      <c r="A66" s="1020" t="s">
        <v>4042</v>
      </c>
      <c r="B66" s="1021" t="s">
        <v>4039</v>
      </c>
      <c r="C66" s="925" t="s">
        <v>4489</v>
      </c>
      <c r="D66" s="910" t="s">
        <v>4490</v>
      </c>
      <c r="E66" s="1022">
        <v>46156</v>
      </c>
      <c r="F66" s="910">
        <v>46156</v>
      </c>
      <c r="G66" s="1273">
        <f>VLOOKUP(F66,환율!A:B,2,0)</f>
        <v>1495.1</v>
      </c>
      <c r="H66" s="1134">
        <v>61411.56</v>
      </c>
      <c r="I66" s="1135">
        <f t="shared" si="5"/>
        <v>91816423</v>
      </c>
      <c r="J66" s="832">
        <f t="shared" si="15"/>
        <v>91816423</v>
      </c>
      <c r="K66" s="927"/>
      <c r="M66" s="1412" t="s">
        <v>4624</v>
      </c>
      <c r="N66" s="1412" t="s">
        <v>4624</v>
      </c>
      <c r="O66" s="1412" t="s">
        <v>4624</v>
      </c>
      <c r="P66" s="1412" t="s">
        <v>4624</v>
      </c>
      <c r="Q66" s="1421">
        <v>46156</v>
      </c>
    </row>
    <row r="67" spans="1:17" s="126" customFormat="1" ht="24" customHeight="1">
      <c r="A67" s="1020" t="s">
        <v>4042</v>
      </c>
      <c r="B67" s="1021" t="s">
        <v>4039</v>
      </c>
      <c r="C67" s="925" t="s">
        <v>4491</v>
      </c>
      <c r="D67" s="910" t="s">
        <v>4492</v>
      </c>
      <c r="E67" s="1022">
        <v>46172</v>
      </c>
      <c r="F67" s="910">
        <v>46172</v>
      </c>
      <c r="G67" s="1273">
        <f>VLOOKUP(F67,환율!A:B,2,0)</f>
        <v>1505.8</v>
      </c>
      <c r="H67" s="1134">
        <v>74734.3</v>
      </c>
      <c r="I67" s="1135">
        <f t="shared" si="5"/>
        <v>112534908</v>
      </c>
      <c r="J67" s="832">
        <f t="shared" si="15"/>
        <v>112534908</v>
      </c>
      <c r="K67" s="927"/>
      <c r="M67" s="1412" t="s">
        <v>4624</v>
      </c>
      <c r="N67" s="1412" t="s">
        <v>4624</v>
      </c>
      <c r="O67" s="1412" t="s">
        <v>4624</v>
      </c>
      <c r="P67" s="1412" t="s">
        <v>4624</v>
      </c>
      <c r="Q67" s="1421">
        <v>46172</v>
      </c>
    </row>
    <row r="68" spans="1:17" s="126" customFormat="1" ht="24" customHeight="1">
      <c r="A68" s="1020" t="s">
        <v>4042</v>
      </c>
      <c r="B68" s="1021" t="s">
        <v>4039</v>
      </c>
      <c r="C68" s="925" t="s">
        <v>4493</v>
      </c>
      <c r="D68" s="925" t="s">
        <v>4494</v>
      </c>
      <c r="E68" s="911">
        <v>46172</v>
      </c>
      <c r="F68" s="910">
        <v>46172</v>
      </c>
      <c r="G68" s="1273">
        <f>VLOOKUP(F68,환율!A:B,2,0)</f>
        <v>1505.8</v>
      </c>
      <c r="H68" s="1134">
        <v>33072.519999999997</v>
      </c>
      <c r="I68" s="1135">
        <f t="shared" si="5"/>
        <v>49800600</v>
      </c>
      <c r="J68" s="832">
        <f t="shared" si="15"/>
        <v>49800600</v>
      </c>
      <c r="K68" s="927"/>
      <c r="M68" s="1412" t="s">
        <v>4624</v>
      </c>
      <c r="N68" s="1412" t="s">
        <v>4624</v>
      </c>
      <c r="O68" s="1412" t="s">
        <v>4624</v>
      </c>
      <c r="P68" s="1412" t="s">
        <v>4624</v>
      </c>
      <c r="Q68" s="1421">
        <v>46172</v>
      </c>
    </row>
    <row r="69" spans="1:17" s="126" customFormat="1" ht="24" customHeight="1">
      <c r="A69" s="1020" t="s">
        <v>4042</v>
      </c>
      <c r="B69" s="1021" t="s">
        <v>4039</v>
      </c>
      <c r="C69" s="925" t="s">
        <v>4495</v>
      </c>
      <c r="D69" s="910" t="s">
        <v>4496</v>
      </c>
      <c r="E69" s="911">
        <v>46164</v>
      </c>
      <c r="F69" s="910">
        <v>46164</v>
      </c>
      <c r="G69" s="1181">
        <f>VLOOKUP(F69,환율!A:B,2,0)</f>
        <v>1503.5</v>
      </c>
      <c r="H69" s="1134">
        <v>50615.040000000001</v>
      </c>
      <c r="I69" s="1135">
        <f t="shared" si="5"/>
        <v>76099712</v>
      </c>
      <c r="J69" s="926">
        <f t="shared" si="15"/>
        <v>76099712</v>
      </c>
      <c r="K69" s="927"/>
      <c r="M69" s="1412" t="s">
        <v>4624</v>
      </c>
      <c r="N69" s="1412" t="s">
        <v>4624</v>
      </c>
      <c r="O69" s="1412" t="s">
        <v>4624</v>
      </c>
      <c r="P69" s="1412" t="s">
        <v>4624</v>
      </c>
      <c r="Q69" s="1421">
        <v>46164</v>
      </c>
    </row>
    <row r="70" spans="1:17" s="126" customFormat="1" ht="24" customHeight="1">
      <c r="A70" s="1020" t="s">
        <v>4042</v>
      </c>
      <c r="B70" s="1021" t="s">
        <v>4039</v>
      </c>
      <c r="C70" s="925" t="s">
        <v>4497</v>
      </c>
      <c r="D70" s="910" t="s">
        <v>4498</v>
      </c>
      <c r="E70" s="911">
        <v>46165</v>
      </c>
      <c r="F70" s="910">
        <v>46165</v>
      </c>
      <c r="G70" s="1273">
        <f>VLOOKUP(F70,환율!A:B,2,0)</f>
        <v>1503.5</v>
      </c>
      <c r="H70" s="1134">
        <v>9390.84</v>
      </c>
      <c r="I70" s="1135">
        <f t="shared" si="5"/>
        <v>14119127</v>
      </c>
      <c r="J70" s="832">
        <f t="shared" si="15"/>
        <v>14119127</v>
      </c>
      <c r="K70" s="927"/>
      <c r="M70" s="1412" t="s">
        <v>4624</v>
      </c>
      <c r="N70" s="1412" t="s">
        <v>4624</v>
      </c>
      <c r="O70" s="1412" t="s">
        <v>4624</v>
      </c>
      <c r="P70" s="1412" t="s">
        <v>4624</v>
      </c>
      <c r="Q70" s="1421">
        <v>46165</v>
      </c>
    </row>
    <row r="71" spans="1:17" s="126" customFormat="1" ht="24" customHeight="1">
      <c r="A71" s="1020" t="s">
        <v>4042</v>
      </c>
      <c r="B71" s="1021" t="s">
        <v>4039</v>
      </c>
      <c r="C71" s="1320" t="s">
        <v>4499</v>
      </c>
      <c r="D71" s="910" t="s">
        <v>4500</v>
      </c>
      <c r="E71" s="1321">
        <v>46163</v>
      </c>
      <c r="F71" s="910">
        <v>46163</v>
      </c>
      <c r="G71" s="1273">
        <f>VLOOKUP(F71,환율!A:B,2,0)</f>
        <v>1509.7</v>
      </c>
      <c r="H71" s="1134">
        <v>111429.82</v>
      </c>
      <c r="I71" s="1135">
        <f t="shared" si="5"/>
        <v>168225599</v>
      </c>
      <c r="J71" s="832">
        <f t="shared" si="15"/>
        <v>168225599</v>
      </c>
      <c r="K71" s="927"/>
      <c r="M71" s="1412" t="s">
        <v>4624</v>
      </c>
      <c r="N71" s="1412" t="s">
        <v>4624</v>
      </c>
      <c r="O71" s="1412" t="s">
        <v>4624</v>
      </c>
      <c r="P71" s="1412" t="s">
        <v>4624</v>
      </c>
      <c r="Q71" s="1421">
        <v>46163</v>
      </c>
    </row>
    <row r="72" spans="1:17" s="126" customFormat="1" ht="24" customHeight="1">
      <c r="A72" s="1020" t="s">
        <v>4042</v>
      </c>
      <c r="B72" s="1021" t="s">
        <v>4039</v>
      </c>
      <c r="C72" s="1320" t="s">
        <v>4501</v>
      </c>
      <c r="D72" s="1322" t="s">
        <v>4502</v>
      </c>
      <c r="E72" s="1321">
        <v>46163</v>
      </c>
      <c r="F72" s="910">
        <v>46163</v>
      </c>
      <c r="G72" s="1273">
        <f>VLOOKUP(F72,환율!A:B,2,0)</f>
        <v>1509.7</v>
      </c>
      <c r="H72" s="1134">
        <v>185922.94</v>
      </c>
      <c r="I72" s="1135">
        <f t="shared" si="5"/>
        <v>280687862</v>
      </c>
      <c r="J72" s="926">
        <f t="shared" si="15"/>
        <v>280687862</v>
      </c>
      <c r="K72" s="927"/>
      <c r="M72" s="1412" t="s">
        <v>4624</v>
      </c>
      <c r="N72" s="1412" t="s">
        <v>4624</v>
      </c>
      <c r="O72" s="1412" t="s">
        <v>4624</v>
      </c>
      <c r="P72" s="1412" t="s">
        <v>4624</v>
      </c>
      <c r="Q72" s="1421">
        <v>46163</v>
      </c>
    </row>
    <row r="73" spans="1:17" s="126" customFormat="1" ht="24" customHeight="1">
      <c r="A73" s="1020" t="s">
        <v>4042</v>
      </c>
      <c r="B73" s="1021" t="s">
        <v>4039</v>
      </c>
      <c r="C73" s="1320" t="s">
        <v>4503</v>
      </c>
      <c r="D73" s="910" t="s">
        <v>4504</v>
      </c>
      <c r="E73" s="1321">
        <v>46165</v>
      </c>
      <c r="F73" s="910">
        <v>46165</v>
      </c>
      <c r="G73" s="1273">
        <f>VLOOKUP(F73,환율!A:B,2,0)</f>
        <v>1503.5</v>
      </c>
      <c r="H73" s="1134">
        <v>3393.72</v>
      </c>
      <c r="I73" s="1135">
        <f t="shared" si="5"/>
        <v>5102458</v>
      </c>
      <c r="J73" s="926">
        <f t="shared" si="15"/>
        <v>5102458</v>
      </c>
      <c r="K73" s="927"/>
      <c r="M73" s="1412" t="s">
        <v>4624</v>
      </c>
      <c r="N73" s="1412" t="s">
        <v>4624</v>
      </c>
      <c r="O73" s="1412" t="s">
        <v>4624</v>
      </c>
      <c r="P73" s="1412" t="s">
        <v>4624</v>
      </c>
      <c r="Q73" s="1421">
        <v>46165</v>
      </c>
    </row>
    <row r="74" spans="1:17" s="126" customFormat="1" ht="24" customHeight="1">
      <c r="A74" s="1020" t="s">
        <v>4042</v>
      </c>
      <c r="B74" s="1021" t="s">
        <v>4039</v>
      </c>
      <c r="C74" s="925" t="s">
        <v>4505</v>
      </c>
      <c r="D74" s="910" t="s">
        <v>4506</v>
      </c>
      <c r="E74" s="911">
        <v>46156</v>
      </c>
      <c r="F74" s="910">
        <v>46156</v>
      </c>
      <c r="G74" s="1273">
        <f>VLOOKUP(F74,환율!A:B,2,0)</f>
        <v>1495.1</v>
      </c>
      <c r="H74" s="1134">
        <v>58387.68</v>
      </c>
      <c r="I74" s="1135">
        <f t="shared" si="5"/>
        <v>87295420</v>
      </c>
      <c r="J74" s="832">
        <f t="shared" si="15"/>
        <v>87295420</v>
      </c>
      <c r="K74" s="927"/>
      <c r="M74" s="1412" t="s">
        <v>4624</v>
      </c>
      <c r="N74" s="1412" t="s">
        <v>4624</v>
      </c>
      <c r="O74" s="1412" t="s">
        <v>4624</v>
      </c>
      <c r="P74" s="1412" t="s">
        <v>4624</v>
      </c>
      <c r="Q74" s="1421">
        <v>46156</v>
      </c>
    </row>
    <row r="75" spans="1:17" s="126" customFormat="1" ht="24" customHeight="1">
      <c r="A75" s="1020" t="s">
        <v>4042</v>
      </c>
      <c r="B75" s="1021" t="s">
        <v>4039</v>
      </c>
      <c r="C75" s="925" t="s">
        <v>4507</v>
      </c>
      <c r="D75" s="910" t="s">
        <v>4508</v>
      </c>
      <c r="E75" s="911">
        <v>46172</v>
      </c>
      <c r="F75" s="910">
        <v>46172</v>
      </c>
      <c r="G75" s="1273">
        <f>VLOOKUP(F75,환율!A:B,2,0)</f>
        <v>1505.8</v>
      </c>
      <c r="H75" s="1134">
        <v>5595.84</v>
      </c>
      <c r="I75" s="1135">
        <f t="shared" si="5"/>
        <v>8426215</v>
      </c>
      <c r="J75" s="832">
        <f t="shared" si="15"/>
        <v>8426215</v>
      </c>
      <c r="K75" s="927"/>
      <c r="M75" s="1412" t="s">
        <v>4624</v>
      </c>
      <c r="N75" s="1412" t="s">
        <v>4624</v>
      </c>
      <c r="O75" s="1412" t="s">
        <v>4624</v>
      </c>
      <c r="P75" s="1412" t="s">
        <v>4624</v>
      </c>
      <c r="Q75" s="1421">
        <v>46172</v>
      </c>
    </row>
    <row r="76" spans="1:17" s="126" customFormat="1" ht="24" customHeight="1">
      <c r="A76" s="1020" t="s">
        <v>4042</v>
      </c>
      <c r="B76" s="1021" t="s">
        <v>4039</v>
      </c>
      <c r="C76" s="1320" t="s">
        <v>4509</v>
      </c>
      <c r="D76" s="1322" t="s">
        <v>4510</v>
      </c>
      <c r="E76" s="1321">
        <v>46172</v>
      </c>
      <c r="F76" s="910">
        <v>46172</v>
      </c>
      <c r="G76" s="1273">
        <f>VLOOKUP(F76,환율!A:B,2,0)</f>
        <v>1505.8</v>
      </c>
      <c r="H76" s="1134">
        <v>26129.279999999999</v>
      </c>
      <c r="I76" s="1135">
        <f t="shared" si="5"/>
        <v>39345469</v>
      </c>
      <c r="J76" s="926">
        <f t="shared" si="15"/>
        <v>39345469</v>
      </c>
      <c r="K76" s="927"/>
      <c r="M76" s="1412" t="s">
        <v>4624</v>
      </c>
      <c r="N76" s="1412" t="s">
        <v>4624</v>
      </c>
      <c r="O76" s="1412" t="s">
        <v>4624</v>
      </c>
      <c r="P76" s="1412" t="s">
        <v>4624</v>
      </c>
      <c r="Q76" s="1421">
        <v>46172</v>
      </c>
    </row>
    <row r="77" spans="1:17" s="126" customFormat="1" ht="24" customHeight="1">
      <c r="A77" s="1020" t="s">
        <v>4042</v>
      </c>
      <c r="B77" s="1021" t="s">
        <v>4039</v>
      </c>
      <c r="C77" s="1320" t="s">
        <v>4511</v>
      </c>
      <c r="D77" s="910" t="s">
        <v>4512</v>
      </c>
      <c r="E77" s="1321">
        <v>46172</v>
      </c>
      <c r="F77" s="910">
        <v>46172</v>
      </c>
      <c r="G77" s="1273">
        <f>VLOOKUP(F77,환율!A:B,2,0)</f>
        <v>1505.8</v>
      </c>
      <c r="H77" s="1134">
        <v>111429.82</v>
      </c>
      <c r="I77" s="1135">
        <f t="shared" si="5"/>
        <v>167791022</v>
      </c>
      <c r="J77" s="926">
        <f t="shared" si="15"/>
        <v>167791022</v>
      </c>
      <c r="K77" s="927"/>
      <c r="M77" s="1412" t="s">
        <v>4624</v>
      </c>
      <c r="N77" s="1412" t="s">
        <v>4624</v>
      </c>
      <c r="O77" s="1412" t="s">
        <v>4624</v>
      </c>
      <c r="P77" s="1412" t="s">
        <v>4624</v>
      </c>
      <c r="Q77" s="1421">
        <v>46172</v>
      </c>
    </row>
    <row r="78" spans="1:17" s="126" customFormat="1" ht="24" customHeight="1">
      <c r="A78" s="1020" t="s">
        <v>4042</v>
      </c>
      <c r="B78" s="1021" t="s">
        <v>4039</v>
      </c>
      <c r="C78" s="925" t="s">
        <v>4513</v>
      </c>
      <c r="D78" s="910" t="s">
        <v>4514</v>
      </c>
      <c r="E78" s="911">
        <v>46172</v>
      </c>
      <c r="F78" s="910">
        <v>46172</v>
      </c>
      <c r="G78" s="1181">
        <f>VLOOKUP(F78,환율!A:B,2,0)</f>
        <v>1505.8</v>
      </c>
      <c r="H78" s="1134">
        <v>66453.759999999995</v>
      </c>
      <c r="I78" s="1135">
        <f t="shared" si="5"/>
        <v>100066071</v>
      </c>
      <c r="J78" s="926">
        <f t="shared" si="15"/>
        <v>100066071</v>
      </c>
      <c r="K78" s="927"/>
      <c r="M78" s="1412" t="s">
        <v>4624</v>
      </c>
      <c r="N78" s="1412" t="s">
        <v>4624</v>
      </c>
      <c r="O78" s="1412" t="s">
        <v>4624</v>
      </c>
      <c r="P78" s="1412" t="s">
        <v>4624</v>
      </c>
      <c r="Q78" s="1421">
        <v>46172</v>
      </c>
    </row>
    <row r="79" spans="1:17" s="126" customFormat="1" ht="24" customHeight="1">
      <c r="A79" s="1020" t="s">
        <v>4042</v>
      </c>
      <c r="B79" s="1021" t="s">
        <v>4039</v>
      </c>
      <c r="C79" s="925" t="s">
        <v>4521</v>
      </c>
      <c r="D79" s="910" t="s">
        <v>4515</v>
      </c>
      <c r="E79" s="911">
        <v>46153</v>
      </c>
      <c r="F79" s="910">
        <v>46153</v>
      </c>
      <c r="G79" s="1273">
        <f>VLOOKUP(F79,환율!A:B,2,0)</f>
        <v>1466</v>
      </c>
      <c r="H79" s="1134">
        <v>2080.8000000000002</v>
      </c>
      <c r="I79" s="1135">
        <f t="shared" si="5"/>
        <v>3050452</v>
      </c>
      <c r="J79" s="926">
        <f t="shared" si="15"/>
        <v>3050452</v>
      </c>
      <c r="K79" s="927"/>
      <c r="M79" s="1412" t="s">
        <v>4624</v>
      </c>
      <c r="N79" s="1412" t="s">
        <v>4624</v>
      </c>
      <c r="O79" s="1412" t="s">
        <v>4624</v>
      </c>
      <c r="P79" s="1412" t="s">
        <v>4624</v>
      </c>
      <c r="Q79" s="1421">
        <v>46153</v>
      </c>
    </row>
    <row r="80" spans="1:17" s="126" customFormat="1" ht="24" customHeight="1">
      <c r="A80" s="1020" t="s">
        <v>4042</v>
      </c>
      <c r="B80" s="1021" t="s">
        <v>4039</v>
      </c>
      <c r="C80" s="925" t="s">
        <v>4516</v>
      </c>
      <c r="D80" s="910" t="s">
        <v>4517</v>
      </c>
      <c r="E80" s="1022">
        <v>46172</v>
      </c>
      <c r="F80" s="910">
        <v>46172</v>
      </c>
      <c r="G80" s="1273">
        <f>VLOOKUP(F80,환율!A:B,2,0)</f>
        <v>1505.8</v>
      </c>
      <c r="H80" s="1134">
        <v>1210.5999999999999</v>
      </c>
      <c r="I80" s="1135">
        <f t="shared" si="5"/>
        <v>1822921</v>
      </c>
      <c r="J80" s="926">
        <f t="shared" si="15"/>
        <v>1822921</v>
      </c>
      <c r="K80" s="927"/>
      <c r="M80" s="1412" t="s">
        <v>4624</v>
      </c>
      <c r="N80" s="1412" t="s">
        <v>4624</v>
      </c>
      <c r="O80" s="1412" t="s">
        <v>4624</v>
      </c>
      <c r="P80" s="1412" t="s">
        <v>4624</v>
      </c>
      <c r="Q80" s="1427">
        <v>46172</v>
      </c>
    </row>
    <row r="81" spans="1:17" s="126" customFormat="1" ht="24" customHeight="1">
      <c r="A81" s="1020" t="s">
        <v>4042</v>
      </c>
      <c r="B81" s="1021" t="s">
        <v>4039</v>
      </c>
      <c r="C81" s="925" t="s">
        <v>4518</v>
      </c>
      <c r="D81" s="910" t="s">
        <v>4519</v>
      </c>
      <c r="E81" s="1022">
        <v>46172</v>
      </c>
      <c r="F81" s="910">
        <v>46172</v>
      </c>
      <c r="G81" s="1273">
        <f>VLOOKUP(F81,환율!A:B,2,0)</f>
        <v>1505.8</v>
      </c>
      <c r="H81" s="1134">
        <v>115249.2</v>
      </c>
      <c r="I81" s="1135">
        <f t="shared" si="5"/>
        <v>173542245</v>
      </c>
      <c r="J81" s="926">
        <f t="shared" si="15"/>
        <v>173542245</v>
      </c>
      <c r="K81" s="927"/>
      <c r="M81" s="1412" t="s">
        <v>4624</v>
      </c>
      <c r="N81" s="1412" t="s">
        <v>4624</v>
      </c>
      <c r="O81" s="1412" t="s">
        <v>4624</v>
      </c>
      <c r="P81" s="1412" t="s">
        <v>4624</v>
      </c>
      <c r="Q81" s="1422">
        <v>46172</v>
      </c>
    </row>
    <row r="82" spans="1:17" s="126" customFormat="1" ht="24" customHeight="1">
      <c r="A82" s="875" t="s">
        <v>4042</v>
      </c>
      <c r="B82" s="876" t="s">
        <v>4039</v>
      </c>
      <c r="C82" s="897" t="s">
        <v>4522</v>
      </c>
      <c r="D82" s="880" t="s">
        <v>4523</v>
      </c>
      <c r="E82" s="879"/>
      <c r="F82" s="880">
        <v>46174</v>
      </c>
      <c r="G82" s="1328">
        <f>VLOOKUP(F82,환율!A:B,2,0)</f>
        <v>1503.2</v>
      </c>
      <c r="H82" s="1137">
        <v>28908.799999999999</v>
      </c>
      <c r="I82" s="1138">
        <f t="shared" ref="I82:I85" si="16">ROUNDDOWN(H82*G82,0)</f>
        <v>43455708</v>
      </c>
      <c r="J82" s="882"/>
      <c r="K82" s="883">
        <f t="shared" ref="K82:K85" si="17">I82</f>
        <v>43455708</v>
      </c>
    </row>
    <row r="83" spans="1:17" s="126" customFormat="1" ht="24" customHeight="1">
      <c r="A83" s="875" t="s">
        <v>4042</v>
      </c>
      <c r="B83" s="876" t="s">
        <v>4039</v>
      </c>
      <c r="C83" s="897" t="s">
        <v>4524</v>
      </c>
      <c r="D83" s="880" t="s">
        <v>4525</v>
      </c>
      <c r="E83" s="879"/>
      <c r="F83" s="880">
        <v>46174</v>
      </c>
      <c r="G83" s="1328">
        <f>VLOOKUP(F83,환율!A:B,2,0)</f>
        <v>1503.2</v>
      </c>
      <c r="H83" s="1137">
        <v>58101.24</v>
      </c>
      <c r="I83" s="1138">
        <f t="shared" si="16"/>
        <v>87337783</v>
      </c>
      <c r="J83" s="882"/>
      <c r="K83" s="883">
        <f t="shared" si="17"/>
        <v>87337783</v>
      </c>
    </row>
    <row r="84" spans="1:17" s="126" customFormat="1" ht="24" customHeight="1">
      <c r="A84" s="875" t="s">
        <v>4042</v>
      </c>
      <c r="B84" s="876" t="s">
        <v>4039</v>
      </c>
      <c r="C84" s="897" t="s">
        <v>4526</v>
      </c>
      <c r="D84" s="880" t="s">
        <v>4527</v>
      </c>
      <c r="E84" s="879"/>
      <c r="F84" s="880">
        <v>46174</v>
      </c>
      <c r="G84" s="1328">
        <f>VLOOKUP(F84,환율!A:B,2,0)</f>
        <v>1503.2</v>
      </c>
      <c r="H84" s="1137">
        <v>62569.58</v>
      </c>
      <c r="I84" s="1138">
        <f t="shared" ref="I84" si="18">ROUNDDOWN(H84*G84,0)</f>
        <v>94054592</v>
      </c>
      <c r="J84" s="882"/>
      <c r="K84" s="883">
        <f t="shared" ref="K84" si="19">I84</f>
        <v>94054592</v>
      </c>
    </row>
    <row r="85" spans="1:17" s="126" customFormat="1" ht="24" customHeight="1">
      <c r="A85" s="875" t="s">
        <v>4042</v>
      </c>
      <c r="B85" s="876" t="s">
        <v>4039</v>
      </c>
      <c r="C85" s="897" t="s">
        <v>4528</v>
      </c>
      <c r="D85" s="880" t="s">
        <v>4529</v>
      </c>
      <c r="E85" s="879"/>
      <c r="F85" s="880">
        <v>46174</v>
      </c>
      <c r="G85" s="1328">
        <f>VLOOKUP(F85,환율!A:B,2,0)</f>
        <v>1503.2</v>
      </c>
      <c r="H85" s="1137">
        <v>9173.8799999999992</v>
      </c>
      <c r="I85" s="1138">
        <f t="shared" si="16"/>
        <v>13790176</v>
      </c>
      <c r="J85" s="882"/>
      <c r="K85" s="883">
        <f t="shared" si="17"/>
        <v>13790176</v>
      </c>
    </row>
    <row r="86" spans="1:17" s="126" customFormat="1" ht="24" customHeight="1">
      <c r="A86" s="875" t="s">
        <v>4042</v>
      </c>
      <c r="B86" s="876" t="s">
        <v>4039</v>
      </c>
      <c r="C86" s="897" t="s">
        <v>4530</v>
      </c>
      <c r="D86" s="880" t="s">
        <v>4531</v>
      </c>
      <c r="E86" s="879"/>
      <c r="F86" s="880">
        <v>46174</v>
      </c>
      <c r="G86" s="1328">
        <f>VLOOKUP(F86,환율!A:B,2,0)</f>
        <v>1503.2</v>
      </c>
      <c r="H86" s="1137">
        <v>81638.53</v>
      </c>
      <c r="I86" s="1138">
        <f t="shared" si="5"/>
        <v>122719038</v>
      </c>
      <c r="J86" s="882"/>
      <c r="K86" s="883">
        <f>I86</f>
        <v>122719038</v>
      </c>
    </row>
    <row r="87" spans="1:17" s="126" customFormat="1" ht="24" customHeight="1" thickBot="1">
      <c r="A87" s="875" t="s">
        <v>4042</v>
      </c>
      <c r="B87" s="876" t="s">
        <v>4039</v>
      </c>
      <c r="C87" s="897" t="s">
        <v>4532</v>
      </c>
      <c r="D87" s="880" t="s">
        <v>4533</v>
      </c>
      <c r="E87" s="879"/>
      <c r="F87" s="880">
        <v>46174</v>
      </c>
      <c r="G87" s="1328">
        <f>VLOOKUP(F87,환율!A:B,2,0)</f>
        <v>1503.2</v>
      </c>
      <c r="H87" s="1137">
        <v>8988.16</v>
      </c>
      <c r="I87" s="1138">
        <f t="shared" si="5"/>
        <v>13511002</v>
      </c>
      <c r="J87" s="882"/>
      <c r="K87" s="883">
        <f>I87</f>
        <v>13511002</v>
      </c>
    </row>
    <row r="88" spans="1:17" s="97" customFormat="1" ht="24" customHeight="1">
      <c r="A88" s="1291" t="s">
        <v>4041</v>
      </c>
      <c r="B88" s="1292" t="s">
        <v>478</v>
      </c>
      <c r="C88" s="1293" t="s">
        <v>4534</v>
      </c>
      <c r="D88" s="1293" t="s">
        <v>4535</v>
      </c>
      <c r="E88" s="929">
        <v>46156</v>
      </c>
      <c r="F88" s="930">
        <v>46156</v>
      </c>
      <c r="G88" s="1294">
        <f>VLOOKUP(F88,환율!A:B,2,0)</f>
        <v>1495.1</v>
      </c>
      <c r="H88" s="1295">
        <v>58859.28</v>
      </c>
      <c r="I88" s="1280">
        <f t="shared" si="5"/>
        <v>88000509</v>
      </c>
      <c r="J88" s="1280">
        <f>I88</f>
        <v>88000509</v>
      </c>
      <c r="K88" s="1296"/>
      <c r="M88" s="1412" t="s">
        <v>4624</v>
      </c>
      <c r="N88" s="1412" t="s">
        <v>4624</v>
      </c>
      <c r="O88" s="1412" t="s">
        <v>4624</v>
      </c>
      <c r="P88" s="1412" t="s">
        <v>4624</v>
      </c>
      <c r="Q88" s="1422">
        <v>46156</v>
      </c>
    </row>
    <row r="89" spans="1:17" s="718" customFormat="1" ht="24" customHeight="1">
      <c r="A89" s="1020" t="s">
        <v>4040</v>
      </c>
      <c r="B89" s="1021" t="s">
        <v>478</v>
      </c>
      <c r="C89" s="1050" t="s">
        <v>4536</v>
      </c>
      <c r="D89" s="1050" t="s">
        <v>4537</v>
      </c>
      <c r="E89" s="1051">
        <v>46166</v>
      </c>
      <c r="F89" s="1199">
        <v>46166</v>
      </c>
      <c r="G89" s="913">
        <f>VLOOKUP(F89,환율!A:B,2,0)</f>
        <v>1503.5</v>
      </c>
      <c r="H89" s="1143">
        <v>116384.76</v>
      </c>
      <c r="I89" s="1135">
        <f t="shared" ref="I89" si="20">ROUNDDOWN(H89*G89,0)</f>
        <v>174984486</v>
      </c>
      <c r="J89" s="926">
        <f t="shared" ref="J89" si="21">I89</f>
        <v>174984486</v>
      </c>
      <c r="K89" s="1052"/>
      <c r="M89" s="1412" t="s">
        <v>4624</v>
      </c>
      <c r="N89" s="1412" t="s">
        <v>4624</v>
      </c>
      <c r="O89" s="1412" t="s">
        <v>4624</v>
      </c>
      <c r="P89" s="1412" t="s">
        <v>4624</v>
      </c>
      <c r="Q89" s="376">
        <v>46166</v>
      </c>
    </row>
    <row r="90" spans="1:17" s="718" customFormat="1" ht="24" customHeight="1" thickBot="1">
      <c r="A90" s="875" t="s">
        <v>4040</v>
      </c>
      <c r="B90" s="876" t="s">
        <v>478</v>
      </c>
      <c r="C90" s="1395" t="s">
        <v>4589</v>
      </c>
      <c r="D90" s="1395" t="s">
        <v>4590</v>
      </c>
      <c r="E90" s="1232"/>
      <c r="F90" s="1221">
        <v>46174</v>
      </c>
      <c r="G90" s="881">
        <f>VLOOKUP(F90,환율!A:B,2,0)</f>
        <v>1503.2</v>
      </c>
      <c r="H90" s="1144">
        <v>47806.92</v>
      </c>
      <c r="I90" s="1138">
        <f t="shared" si="5"/>
        <v>71863362</v>
      </c>
      <c r="J90" s="882"/>
      <c r="K90" s="1070">
        <f>I90</f>
        <v>71863362</v>
      </c>
      <c r="M90" s="1397"/>
      <c r="N90" s="1397"/>
      <c r="O90" s="1397"/>
      <c r="P90" s="1397"/>
    </row>
    <row r="91" spans="1:17" s="97" customFormat="1" ht="24" customHeight="1">
      <c r="A91" s="816" t="s">
        <v>4045</v>
      </c>
      <c r="B91" s="817" t="s">
        <v>478</v>
      </c>
      <c r="C91" s="1298" t="s">
        <v>4427</v>
      </c>
      <c r="D91" s="1298" t="s">
        <v>4625</v>
      </c>
      <c r="E91" s="1299">
        <v>46159</v>
      </c>
      <c r="F91" s="1426">
        <v>46159</v>
      </c>
      <c r="G91" s="1301">
        <f>VLOOKUP(F91,환율!A:B,2,0)</f>
        <v>1491.8</v>
      </c>
      <c r="H91" s="1329">
        <v>104141.05548404581</v>
      </c>
      <c r="I91" s="1142">
        <v>153722612</v>
      </c>
      <c r="J91" s="823">
        <f>I91</f>
        <v>153722612</v>
      </c>
      <c r="K91" s="824"/>
      <c r="M91" s="1412" t="s">
        <v>4624</v>
      </c>
      <c r="N91" s="1412" t="s">
        <v>4624</v>
      </c>
      <c r="O91" s="1412" t="s">
        <v>4624</v>
      </c>
      <c r="P91" s="1412" t="s">
        <v>4624</v>
      </c>
      <c r="Q91" s="1425">
        <v>46159</v>
      </c>
    </row>
    <row r="92" spans="1:17" s="97" customFormat="1" ht="24" customHeight="1">
      <c r="A92" s="1020" t="s">
        <v>4044</v>
      </c>
      <c r="B92" s="1021" t="s">
        <v>4039</v>
      </c>
      <c r="C92" s="934" t="s">
        <v>4538</v>
      </c>
      <c r="D92" s="934" t="s">
        <v>4539</v>
      </c>
      <c r="E92" s="1022">
        <v>46161</v>
      </c>
      <c r="F92" s="912">
        <v>46161</v>
      </c>
      <c r="G92" s="913">
        <f>VLOOKUP(F92,환율!A:B,2,0)</f>
        <v>1503.4</v>
      </c>
      <c r="H92" s="1304">
        <v>42370.370370370372</v>
      </c>
      <c r="I92" s="1305">
        <v>57200000</v>
      </c>
      <c r="J92" s="926">
        <f t="shared" ref="J92:J93" si="22">I92</f>
        <v>57200000</v>
      </c>
      <c r="K92" s="927"/>
      <c r="M92" s="1412" t="s">
        <v>4624</v>
      </c>
      <c r="N92" s="1412" t="s">
        <v>4624</v>
      </c>
      <c r="O92" s="1412" t="s">
        <v>4624</v>
      </c>
      <c r="P92" s="1412" t="s">
        <v>4624</v>
      </c>
      <c r="Q92" s="376">
        <v>46161</v>
      </c>
    </row>
    <row r="93" spans="1:17" s="97" customFormat="1" ht="24" customHeight="1">
      <c r="A93" s="1020" t="s">
        <v>4044</v>
      </c>
      <c r="B93" s="1021" t="s">
        <v>4039</v>
      </c>
      <c r="C93" s="934" t="s">
        <v>4540</v>
      </c>
      <c r="D93" s="934" t="s">
        <v>4541</v>
      </c>
      <c r="E93" s="1022">
        <v>46173</v>
      </c>
      <c r="F93" s="912">
        <v>46173</v>
      </c>
      <c r="G93" s="913">
        <f>VLOOKUP(F93,환율!A:B,2,0)</f>
        <v>1505.8</v>
      </c>
      <c r="H93" s="1304">
        <v>24915.08</v>
      </c>
      <c r="I93" s="1305">
        <v>33635358</v>
      </c>
      <c r="J93" s="926">
        <f t="shared" si="22"/>
        <v>33635358</v>
      </c>
      <c r="K93" s="927"/>
      <c r="M93" s="1412" t="s">
        <v>4624</v>
      </c>
      <c r="N93" s="1412" t="s">
        <v>4624</v>
      </c>
      <c r="O93" s="1412" t="s">
        <v>4624</v>
      </c>
      <c r="P93" s="1412" t="s">
        <v>4624</v>
      </c>
      <c r="Q93" s="376">
        <v>46173</v>
      </c>
    </row>
    <row r="94" spans="1:17" s="97" customFormat="1" ht="24" customHeight="1">
      <c r="A94" s="1020" t="s">
        <v>4044</v>
      </c>
      <c r="B94" s="1021" t="s">
        <v>4039</v>
      </c>
      <c r="C94" s="934" t="s">
        <v>4542</v>
      </c>
      <c r="D94" s="934" t="s">
        <v>4543</v>
      </c>
      <c r="E94" s="1022">
        <v>46156</v>
      </c>
      <c r="F94" s="912">
        <v>46156</v>
      </c>
      <c r="G94" s="913">
        <f>VLOOKUP(F94,환율!A:B,2,0)</f>
        <v>1495.1</v>
      </c>
      <c r="H94" s="1304">
        <v>18743.887407407408</v>
      </c>
      <c r="I94" s="1305">
        <v>25304248</v>
      </c>
      <c r="J94" s="926">
        <f t="shared" ref="J94" si="23">I94</f>
        <v>25304248</v>
      </c>
      <c r="K94" s="927"/>
      <c r="M94" s="1412" t="s">
        <v>4624</v>
      </c>
      <c r="N94" s="1412" t="s">
        <v>4624</v>
      </c>
      <c r="O94" s="1412" t="s">
        <v>4624</v>
      </c>
      <c r="P94" s="1412" t="s">
        <v>4624</v>
      </c>
      <c r="Q94" s="376">
        <v>46156</v>
      </c>
    </row>
    <row r="95" spans="1:17" s="97" customFormat="1" ht="24" customHeight="1">
      <c r="A95" s="1020" t="s">
        <v>4044</v>
      </c>
      <c r="B95" s="1021" t="s">
        <v>4039</v>
      </c>
      <c r="C95" s="934" t="s">
        <v>4544</v>
      </c>
      <c r="D95" s="934" t="s">
        <v>4545</v>
      </c>
      <c r="E95" s="911">
        <v>46162</v>
      </c>
      <c r="F95" s="912">
        <v>46162</v>
      </c>
      <c r="G95" s="913">
        <f>VLOOKUP(F95,환율!A:B,2,0)</f>
        <v>1503.8</v>
      </c>
      <c r="H95" s="1304">
        <v>20749.395555555555</v>
      </c>
      <c r="I95" s="1305">
        <v>28011684</v>
      </c>
      <c r="J95" s="926">
        <f t="shared" ref="J95:J100" si="24">I95</f>
        <v>28011684</v>
      </c>
      <c r="K95" s="927"/>
      <c r="M95" s="1412" t="s">
        <v>4624</v>
      </c>
      <c r="N95" s="1412" t="s">
        <v>4624</v>
      </c>
      <c r="O95" s="1412" t="s">
        <v>4624</v>
      </c>
      <c r="P95" s="1412" t="s">
        <v>4624</v>
      </c>
      <c r="Q95" s="376">
        <v>46162</v>
      </c>
    </row>
    <row r="96" spans="1:17" s="97" customFormat="1" ht="24" customHeight="1">
      <c r="A96" s="1020" t="s">
        <v>4045</v>
      </c>
      <c r="B96" s="1021" t="s">
        <v>4039</v>
      </c>
      <c r="C96" s="1063" t="s">
        <v>4546</v>
      </c>
      <c r="D96" s="1063" t="s">
        <v>4547</v>
      </c>
      <c r="E96" s="1180">
        <v>46163</v>
      </c>
      <c r="F96" s="1199">
        <v>46163</v>
      </c>
      <c r="G96" s="1064">
        <f>VLOOKUP(F96,환율!A:B,2,0)</f>
        <v>1509.7</v>
      </c>
      <c r="H96" s="1304">
        <v>36531.982222222221</v>
      </c>
      <c r="I96" s="1305">
        <v>49318176</v>
      </c>
      <c r="J96" s="926">
        <f t="shared" si="24"/>
        <v>49318176</v>
      </c>
      <c r="K96" s="1052"/>
      <c r="M96" s="1412" t="s">
        <v>4624</v>
      </c>
      <c r="N96" s="1412" t="s">
        <v>4624</v>
      </c>
      <c r="O96" s="1412" t="s">
        <v>4624</v>
      </c>
      <c r="P96" s="1412" t="s">
        <v>4624</v>
      </c>
      <c r="Q96" s="376">
        <v>46163</v>
      </c>
    </row>
    <row r="97" spans="1:17" s="97" customFormat="1" ht="24" customHeight="1">
      <c r="A97" s="1020" t="s">
        <v>4045</v>
      </c>
      <c r="B97" s="1021" t="s">
        <v>4039</v>
      </c>
      <c r="C97" s="1063" t="s">
        <v>4548</v>
      </c>
      <c r="D97" s="1063" t="s">
        <v>4549</v>
      </c>
      <c r="E97" s="1180">
        <v>46163</v>
      </c>
      <c r="F97" s="1199">
        <v>46163</v>
      </c>
      <c r="G97" s="1064">
        <f>VLOOKUP(F97,환율!A:B,2,0)</f>
        <v>1509.7</v>
      </c>
      <c r="H97" s="1304">
        <v>6524.68</v>
      </c>
      <c r="I97" s="1305">
        <v>8808318</v>
      </c>
      <c r="J97" s="926">
        <f t="shared" si="24"/>
        <v>8808318</v>
      </c>
      <c r="K97" s="1052"/>
      <c r="M97" s="1412" t="s">
        <v>4624</v>
      </c>
      <c r="N97" s="1412" t="s">
        <v>4624</v>
      </c>
      <c r="O97" s="1412" t="s">
        <v>4624</v>
      </c>
      <c r="P97" s="1412" t="s">
        <v>4624</v>
      </c>
      <c r="Q97" s="376">
        <v>46163</v>
      </c>
    </row>
    <row r="98" spans="1:17" s="97" customFormat="1" ht="24" customHeight="1">
      <c r="A98" s="875" t="s">
        <v>4045</v>
      </c>
      <c r="B98" s="876" t="s">
        <v>4039</v>
      </c>
      <c r="C98" s="897" t="s">
        <v>4562</v>
      </c>
      <c r="D98" s="880"/>
      <c r="E98" s="879"/>
      <c r="F98" s="880">
        <v>46174</v>
      </c>
      <c r="G98" s="881">
        <f>VLOOKUP(F98,환율!A:B,2,0)</f>
        <v>1503.2</v>
      </c>
      <c r="H98" s="1137">
        <v>98388.3</v>
      </c>
      <c r="I98" s="1138">
        <v>132824204</v>
      </c>
      <c r="J98" s="882"/>
      <c r="K98" s="883">
        <f t="shared" ref="K98" si="25">I98</f>
        <v>132824204</v>
      </c>
      <c r="M98" s="126"/>
      <c r="N98" s="126"/>
      <c r="O98" s="126"/>
      <c r="P98" s="126"/>
    </row>
    <row r="99" spans="1:17" s="97" customFormat="1" ht="24" customHeight="1" thickBot="1">
      <c r="A99" s="875" t="s">
        <v>4045</v>
      </c>
      <c r="B99" s="876" t="s">
        <v>4039</v>
      </c>
      <c r="C99" s="897" t="s">
        <v>4563</v>
      </c>
      <c r="D99" s="880" t="s">
        <v>4564</v>
      </c>
      <c r="E99" s="879">
        <v>46175</v>
      </c>
      <c r="F99" s="880">
        <v>46174</v>
      </c>
      <c r="G99" s="881">
        <f>VLOOKUP(F99,환율!A:B,2,0)</f>
        <v>1503.2</v>
      </c>
      <c r="H99" s="1137">
        <v>14568.21</v>
      </c>
      <c r="I99" s="1138">
        <v>19667081</v>
      </c>
      <c r="J99" s="882"/>
      <c r="K99" s="883">
        <f t="shared" ref="K99" si="26">I99</f>
        <v>19667081</v>
      </c>
      <c r="M99" s="126"/>
      <c r="N99" s="126"/>
      <c r="O99" s="126"/>
      <c r="P99" s="126"/>
    </row>
    <row r="100" spans="1:17" s="97" customFormat="1" ht="24" customHeight="1">
      <c r="A100" s="816" t="s">
        <v>664</v>
      </c>
      <c r="B100" s="817" t="s">
        <v>626</v>
      </c>
      <c r="C100" s="1375" t="s">
        <v>4402</v>
      </c>
      <c r="D100" s="821" t="s">
        <v>4407</v>
      </c>
      <c r="E100" s="894">
        <v>46144</v>
      </c>
      <c r="F100" s="819">
        <v>46144</v>
      </c>
      <c r="G100" s="1376">
        <f>VLOOKUP(F100,환율!A:B,2,0)</f>
        <v>1476.1</v>
      </c>
      <c r="H100" s="1377">
        <v>467066.2</v>
      </c>
      <c r="I100" s="1142">
        <f t="shared" ref="I100:I141" si="27">ROUNDDOWN(H100*G100,0)</f>
        <v>689436417</v>
      </c>
      <c r="J100" s="823">
        <f t="shared" si="24"/>
        <v>689436417</v>
      </c>
      <c r="K100" s="824"/>
      <c r="M100" s="1412" t="s">
        <v>4624</v>
      </c>
      <c r="N100" s="1412" t="s">
        <v>4624</v>
      </c>
      <c r="O100" s="1412" t="s">
        <v>4624</v>
      </c>
      <c r="P100" s="1412" t="s">
        <v>4624</v>
      </c>
      <c r="Q100" s="376">
        <v>46144</v>
      </c>
    </row>
    <row r="101" spans="1:17" s="97" customFormat="1" ht="24" customHeight="1">
      <c r="A101" s="1378" t="s">
        <v>29</v>
      </c>
      <c r="B101" s="1379" t="s">
        <v>4046</v>
      </c>
      <c r="C101" s="1380" t="s">
        <v>4399</v>
      </c>
      <c r="D101" s="867" t="s">
        <v>4401</v>
      </c>
      <c r="E101" s="896">
        <v>46146</v>
      </c>
      <c r="F101" s="867">
        <v>46146</v>
      </c>
      <c r="G101" s="1381">
        <f>VLOOKUP(F101,환율!A:B,2,0)</f>
        <v>1484.8</v>
      </c>
      <c r="H101" s="1132">
        <v>34658.639999999999</v>
      </c>
      <c r="I101" s="1133">
        <f t="shared" si="27"/>
        <v>51461148</v>
      </c>
      <c r="J101" s="1133">
        <f t="shared" ref="J101" si="28">I101</f>
        <v>51461148</v>
      </c>
      <c r="K101" s="1382"/>
      <c r="M101" s="1412" t="s">
        <v>4624</v>
      </c>
      <c r="N101" s="1412" t="s">
        <v>4624</v>
      </c>
      <c r="O101" s="1412" t="s">
        <v>4624</v>
      </c>
      <c r="P101" s="1412" t="s">
        <v>4624</v>
      </c>
      <c r="Q101" s="376">
        <v>46146</v>
      </c>
    </row>
    <row r="102" spans="1:17" s="97" customFormat="1" ht="24" customHeight="1">
      <c r="A102" s="1378" t="s">
        <v>29</v>
      </c>
      <c r="B102" s="1379" t="s">
        <v>4046</v>
      </c>
      <c r="C102" s="1380" t="s">
        <v>4400</v>
      </c>
      <c r="D102" s="867" t="s">
        <v>4616</v>
      </c>
      <c r="E102" s="896">
        <v>46150</v>
      </c>
      <c r="F102" s="867">
        <v>46150</v>
      </c>
      <c r="G102" s="1383">
        <f>VLOOKUP(F102,환율!A:B,2,0)</f>
        <v>1450.8</v>
      </c>
      <c r="H102" s="1384">
        <v>34658.639999999999</v>
      </c>
      <c r="I102" s="1133">
        <f t="shared" si="27"/>
        <v>50282754</v>
      </c>
      <c r="J102" s="1133">
        <f>I102</f>
        <v>50282754</v>
      </c>
      <c r="K102" s="1382"/>
      <c r="M102" s="1412" t="s">
        <v>4624</v>
      </c>
      <c r="N102" s="1412" t="s">
        <v>4624</v>
      </c>
      <c r="O102" s="1412" t="s">
        <v>4624</v>
      </c>
      <c r="P102" s="1412" t="s">
        <v>4624</v>
      </c>
      <c r="Q102" s="376">
        <v>46150</v>
      </c>
    </row>
    <row r="103" spans="1:17" s="120" customFormat="1" ht="24" customHeight="1">
      <c r="A103" s="1020" t="s">
        <v>29</v>
      </c>
      <c r="B103" s="1021" t="s">
        <v>4046</v>
      </c>
      <c r="C103" s="909" t="s">
        <v>4550</v>
      </c>
      <c r="D103" s="912" t="s">
        <v>4551</v>
      </c>
      <c r="E103" s="1022">
        <v>46155</v>
      </c>
      <c r="F103" s="912">
        <v>46155</v>
      </c>
      <c r="G103" s="913">
        <f>VLOOKUP(F103,환율!A:B,2,0)</f>
        <v>1484.3</v>
      </c>
      <c r="H103" s="1134">
        <v>399278.32</v>
      </c>
      <c r="I103" s="926">
        <f t="shared" ref="I103:I109" si="29">ROUNDDOWN(H103*G103,0)</f>
        <v>592648810</v>
      </c>
      <c r="J103" s="926">
        <f t="shared" ref="J103:J109" si="30">I103</f>
        <v>592648810</v>
      </c>
      <c r="K103" s="927"/>
      <c r="M103" s="1412" t="s">
        <v>4624</v>
      </c>
      <c r="N103" s="1412" t="s">
        <v>4624</v>
      </c>
      <c r="O103" s="1412" t="s">
        <v>4624</v>
      </c>
      <c r="P103" s="1412" t="s">
        <v>4624</v>
      </c>
      <c r="Q103" s="376">
        <v>46155</v>
      </c>
    </row>
    <row r="104" spans="1:17" s="120" customFormat="1" ht="24" customHeight="1">
      <c r="A104" s="1020" t="s">
        <v>29</v>
      </c>
      <c r="B104" s="1283" t="s">
        <v>4046</v>
      </c>
      <c r="C104" s="1284" t="s">
        <v>4552</v>
      </c>
      <c r="D104" s="1284" t="s">
        <v>4617</v>
      </c>
      <c r="E104" s="1022">
        <v>46171</v>
      </c>
      <c r="F104" s="1285">
        <v>46171</v>
      </c>
      <c r="G104" s="1287">
        <f>VLOOKUP(F104,환율!A:B,2,0)</f>
        <v>1505.8</v>
      </c>
      <c r="H104" s="1304">
        <v>384240.46</v>
      </c>
      <c r="I104" s="1289">
        <f t="shared" si="29"/>
        <v>578589284</v>
      </c>
      <c r="J104" s="1289">
        <f t="shared" si="30"/>
        <v>578589284</v>
      </c>
      <c r="K104" s="1290"/>
      <c r="M104" s="1412" t="s">
        <v>4624</v>
      </c>
      <c r="N104" s="1412" t="s">
        <v>4624</v>
      </c>
      <c r="O104" s="1412" t="s">
        <v>4624</v>
      </c>
      <c r="P104" s="1412" t="s">
        <v>4624</v>
      </c>
      <c r="Q104" s="1421">
        <v>46171</v>
      </c>
    </row>
    <row r="105" spans="1:17" s="120" customFormat="1" ht="24" customHeight="1">
      <c r="A105" s="1177" t="s">
        <v>29</v>
      </c>
      <c r="B105" s="1178" t="s">
        <v>4046</v>
      </c>
      <c r="C105" s="934" t="s">
        <v>4553</v>
      </c>
      <c r="D105" s="934" t="s">
        <v>4554</v>
      </c>
      <c r="E105" s="1022">
        <v>46172</v>
      </c>
      <c r="F105" s="910">
        <v>46172</v>
      </c>
      <c r="G105" s="1181">
        <f>VLOOKUP(F105,환율!A:B,2,0)</f>
        <v>1505.8</v>
      </c>
      <c r="H105" s="1134">
        <v>458597.3</v>
      </c>
      <c r="I105" s="1135">
        <f t="shared" si="29"/>
        <v>690555814</v>
      </c>
      <c r="J105" s="1135">
        <f t="shared" si="30"/>
        <v>690555814</v>
      </c>
      <c r="K105" s="1355"/>
      <c r="M105" s="1412" t="s">
        <v>4624</v>
      </c>
      <c r="N105" s="1412" t="s">
        <v>4624</v>
      </c>
      <c r="O105" s="1412" t="s">
        <v>4624</v>
      </c>
      <c r="P105" s="1412" t="s">
        <v>4624</v>
      </c>
      <c r="Q105" s="1421">
        <v>46172</v>
      </c>
    </row>
    <row r="106" spans="1:17" s="1040" customFormat="1" ht="24" customHeight="1">
      <c r="A106" s="1177" t="s">
        <v>29</v>
      </c>
      <c r="B106" s="1178" t="s">
        <v>4046</v>
      </c>
      <c r="C106" s="934" t="s">
        <v>4555</v>
      </c>
      <c r="D106" s="934" t="s">
        <v>4551</v>
      </c>
      <c r="E106" s="1022">
        <v>46155</v>
      </c>
      <c r="F106" s="910">
        <v>46161</v>
      </c>
      <c r="G106" s="1181">
        <f>VLOOKUP(F106,환율!A:B,2,0)</f>
        <v>1503.4</v>
      </c>
      <c r="H106" s="1134">
        <v>17808.96</v>
      </c>
      <c r="I106" s="1135">
        <f t="shared" si="29"/>
        <v>26773990</v>
      </c>
      <c r="J106" s="1135">
        <f t="shared" si="30"/>
        <v>26773990</v>
      </c>
      <c r="K106" s="1333"/>
      <c r="M106" s="1412" t="s">
        <v>4624</v>
      </c>
      <c r="N106" s="1412" t="s">
        <v>4624</v>
      </c>
      <c r="O106" s="1412" t="s">
        <v>4624</v>
      </c>
      <c r="P106" s="1412" t="s">
        <v>4624</v>
      </c>
      <c r="Q106" s="1421">
        <v>46161</v>
      </c>
    </row>
    <row r="107" spans="1:17" s="1040" customFormat="1" ht="24" customHeight="1">
      <c r="A107" s="1177" t="s">
        <v>664</v>
      </c>
      <c r="B107" s="1178" t="s">
        <v>4046</v>
      </c>
      <c r="C107" s="934" t="s">
        <v>4556</v>
      </c>
      <c r="D107" s="934" t="s">
        <v>4557</v>
      </c>
      <c r="E107" s="1022">
        <v>46163</v>
      </c>
      <c r="F107" s="910">
        <v>46163</v>
      </c>
      <c r="G107" s="1181">
        <f>VLOOKUP(F107,환율!A:B,2,0)</f>
        <v>1509.7</v>
      </c>
      <c r="H107" s="1134">
        <v>26713.439999999999</v>
      </c>
      <c r="I107" s="1135">
        <f t="shared" si="29"/>
        <v>40329280</v>
      </c>
      <c r="J107" s="1135">
        <f t="shared" si="30"/>
        <v>40329280</v>
      </c>
      <c r="K107" s="1333"/>
      <c r="M107" s="1412" t="s">
        <v>4624</v>
      </c>
      <c r="N107" s="1412" t="s">
        <v>4624</v>
      </c>
      <c r="O107" s="1412" t="s">
        <v>4624</v>
      </c>
      <c r="P107" s="1412" t="s">
        <v>4624</v>
      </c>
      <c r="Q107" s="1421">
        <v>46163</v>
      </c>
    </row>
    <row r="108" spans="1:17" s="718" customFormat="1" ht="24" customHeight="1">
      <c r="A108" s="1177" t="s">
        <v>29</v>
      </c>
      <c r="B108" s="1178" t="s">
        <v>4046</v>
      </c>
      <c r="C108" s="934" t="s">
        <v>4558</v>
      </c>
      <c r="D108" s="934" t="s">
        <v>4559</v>
      </c>
      <c r="E108" s="1022">
        <v>46163</v>
      </c>
      <c r="F108" s="910">
        <v>46163</v>
      </c>
      <c r="G108" s="1181">
        <f>VLOOKUP(F108,환율!A:B,2,0)</f>
        <v>1509.7</v>
      </c>
      <c r="H108" s="1134">
        <v>17808.96</v>
      </c>
      <c r="I108" s="1135">
        <f t="shared" si="29"/>
        <v>26886186</v>
      </c>
      <c r="J108" s="1135">
        <f t="shared" si="30"/>
        <v>26886186</v>
      </c>
      <c r="K108" s="1333"/>
      <c r="M108" s="1412" t="s">
        <v>4624</v>
      </c>
      <c r="N108" s="1412" t="s">
        <v>4624</v>
      </c>
      <c r="O108" s="1412" t="s">
        <v>4624</v>
      </c>
      <c r="P108" s="1412" t="s">
        <v>4624</v>
      </c>
      <c r="Q108" s="1421">
        <v>46163</v>
      </c>
    </row>
    <row r="109" spans="1:17" s="718" customFormat="1" ht="24" customHeight="1">
      <c r="A109" s="1177" t="s">
        <v>29</v>
      </c>
      <c r="B109" s="1178" t="s">
        <v>4046</v>
      </c>
      <c r="C109" s="934" t="s">
        <v>4560</v>
      </c>
      <c r="D109" s="934" t="s">
        <v>4561</v>
      </c>
      <c r="E109" s="911">
        <v>46171</v>
      </c>
      <c r="F109" s="910">
        <v>46171</v>
      </c>
      <c r="G109" s="1181">
        <f>VLOOKUP(F109,환율!A:B,2,0)</f>
        <v>1505.8</v>
      </c>
      <c r="H109" s="1134">
        <v>80140.320000000007</v>
      </c>
      <c r="I109" s="1135">
        <f t="shared" si="29"/>
        <v>120675293</v>
      </c>
      <c r="J109" s="1135">
        <f t="shared" si="30"/>
        <v>120675293</v>
      </c>
      <c r="K109" s="1333"/>
      <c r="M109" s="1412" t="s">
        <v>4624</v>
      </c>
      <c r="N109" s="1412" t="s">
        <v>4624</v>
      </c>
      <c r="O109" s="1412" t="s">
        <v>4624</v>
      </c>
      <c r="P109" s="1412" t="s">
        <v>4624</v>
      </c>
      <c r="Q109" s="1421">
        <v>46171</v>
      </c>
    </row>
    <row r="110" spans="1:17" s="718" customFormat="1" ht="24" customHeight="1">
      <c r="A110" s="1433" t="s">
        <v>29</v>
      </c>
      <c r="B110" s="1434" t="s">
        <v>626</v>
      </c>
      <c r="C110" s="1435" t="s">
        <v>4629</v>
      </c>
      <c r="D110" s="1435" t="s">
        <v>4595</v>
      </c>
      <c r="E110" s="1436"/>
      <c r="F110" s="1437">
        <v>46146</v>
      </c>
      <c r="G110" s="1185">
        <f>VLOOKUP(F110,환율!A:B,2,0)</f>
        <v>1484.8</v>
      </c>
      <c r="H110" s="1186">
        <v>28950</v>
      </c>
      <c r="I110" s="1187">
        <f t="shared" ref="I110" si="31">ROUNDDOWN(H110*G110,0)</f>
        <v>42984960</v>
      </c>
      <c r="J110" s="1187">
        <f t="shared" ref="J110" si="32">I110</f>
        <v>42984960</v>
      </c>
      <c r="K110" s="1438"/>
      <c r="M110" s="1412" t="s">
        <v>36</v>
      </c>
      <c r="N110" s="1412" t="s">
        <v>4624</v>
      </c>
      <c r="O110" s="1412" t="s">
        <v>36</v>
      </c>
      <c r="P110" s="1412" t="s">
        <v>36</v>
      </c>
      <c r="Q110" s="120"/>
    </row>
    <row r="111" spans="1:17" s="718" customFormat="1" ht="24" customHeight="1">
      <c r="A111" s="1433" t="s">
        <v>29</v>
      </c>
      <c r="B111" s="1434" t="s">
        <v>626</v>
      </c>
      <c r="C111" s="1435" t="s">
        <v>4628</v>
      </c>
      <c r="D111" s="1435" t="s">
        <v>4595</v>
      </c>
      <c r="E111" s="1436"/>
      <c r="F111" s="1437">
        <v>46153</v>
      </c>
      <c r="G111" s="1185">
        <f>VLOOKUP(F111,환율!A:B,2,0)</f>
        <v>1466</v>
      </c>
      <c r="H111" s="1186">
        <v>27300</v>
      </c>
      <c r="I111" s="1187">
        <f t="shared" ref="I111" si="33">ROUNDDOWN(H111*G111,0)</f>
        <v>40021800</v>
      </c>
      <c r="J111" s="1187">
        <f t="shared" ref="J111" si="34">I111</f>
        <v>40021800</v>
      </c>
      <c r="K111" s="1438"/>
      <c r="M111" s="1412"/>
      <c r="N111" s="1412"/>
      <c r="O111" s="1412"/>
      <c r="P111" s="1412"/>
      <c r="Q111" s="120"/>
    </row>
    <row r="112" spans="1:17" s="718" customFormat="1" ht="24" customHeight="1">
      <c r="A112" s="1227" t="s">
        <v>29</v>
      </c>
      <c r="B112" s="1228" t="s">
        <v>626</v>
      </c>
      <c r="C112" s="1229" t="s">
        <v>4597</v>
      </c>
      <c r="D112" s="1229" t="s">
        <v>4596</v>
      </c>
      <c r="E112" s="1103"/>
      <c r="F112" s="1087">
        <v>46144</v>
      </c>
      <c r="G112" s="1230">
        <f>VLOOKUP(F112,환율!A:B,2,0)</f>
        <v>1476.1</v>
      </c>
      <c r="H112" s="1130">
        <v>110215.89</v>
      </c>
      <c r="I112" s="1131">
        <f t="shared" ref="I112:I115" si="35">ROUNDDOWN(H112*G112,0)</f>
        <v>162689675</v>
      </c>
      <c r="J112" s="1131">
        <f t="shared" ref="J112:J115" si="36">I112</f>
        <v>162689675</v>
      </c>
      <c r="K112" s="1231"/>
      <c r="M112" s="1412" t="s">
        <v>36</v>
      </c>
      <c r="N112" s="1412" t="s">
        <v>4624</v>
      </c>
      <c r="O112" s="1412" t="s">
        <v>36</v>
      </c>
      <c r="P112" s="1412" t="s">
        <v>36</v>
      </c>
      <c r="Q112" s="120"/>
    </row>
    <row r="113" spans="1:17" s="718" customFormat="1" ht="24" customHeight="1">
      <c r="A113" s="1227" t="s">
        <v>29</v>
      </c>
      <c r="B113" s="1228" t="s">
        <v>626</v>
      </c>
      <c r="C113" s="1229" t="s">
        <v>4598</v>
      </c>
      <c r="D113" s="1229" t="s">
        <v>4596</v>
      </c>
      <c r="E113" s="1103"/>
      <c r="F113" s="1087">
        <v>46155</v>
      </c>
      <c r="G113" s="1230">
        <f>VLOOKUP(F113,환율!A:B,2,0)</f>
        <v>1484.3</v>
      </c>
      <c r="H113" s="1130">
        <v>94589.48</v>
      </c>
      <c r="I113" s="1131">
        <f t="shared" si="35"/>
        <v>140399165</v>
      </c>
      <c r="J113" s="1131">
        <f t="shared" si="36"/>
        <v>140399165</v>
      </c>
      <c r="K113" s="1231"/>
      <c r="M113" s="1412" t="s">
        <v>36</v>
      </c>
      <c r="N113" s="1412" t="s">
        <v>4624</v>
      </c>
      <c r="O113" s="1412" t="s">
        <v>36</v>
      </c>
      <c r="P113" s="1412" t="s">
        <v>36</v>
      </c>
      <c r="Q113" s="120"/>
    </row>
    <row r="114" spans="1:17" s="718" customFormat="1" ht="24" customHeight="1">
      <c r="A114" s="1227" t="s">
        <v>29</v>
      </c>
      <c r="B114" s="1228" t="s">
        <v>626</v>
      </c>
      <c r="C114" s="1229" t="s">
        <v>4599</v>
      </c>
      <c r="D114" s="1229" t="s">
        <v>4596</v>
      </c>
      <c r="E114" s="1103"/>
      <c r="F114" s="1087">
        <v>46171</v>
      </c>
      <c r="G114" s="1230">
        <f>VLOOKUP(F114,환율!A:B,2,0)</f>
        <v>1505.8</v>
      </c>
      <c r="H114" s="1130">
        <v>90720.31</v>
      </c>
      <c r="I114" s="1131">
        <f t="shared" ref="I114" si="37">ROUNDDOWN(H114*G114,0)</f>
        <v>136606642</v>
      </c>
      <c r="J114" s="1131">
        <f t="shared" ref="J114" si="38">I114</f>
        <v>136606642</v>
      </c>
      <c r="K114" s="1231"/>
      <c r="M114" s="1412" t="s">
        <v>36</v>
      </c>
      <c r="N114" s="1412" t="s">
        <v>4624</v>
      </c>
      <c r="O114" s="1412" t="s">
        <v>36</v>
      </c>
      <c r="P114" s="1412" t="s">
        <v>36</v>
      </c>
      <c r="Q114" s="120"/>
    </row>
    <row r="115" spans="1:17" s="718" customFormat="1" ht="24" customHeight="1">
      <c r="A115" s="1227" t="s">
        <v>29</v>
      </c>
      <c r="B115" s="1228" t="s">
        <v>626</v>
      </c>
      <c r="C115" s="1229" t="s">
        <v>4600</v>
      </c>
      <c r="D115" s="1229" t="s">
        <v>4596</v>
      </c>
      <c r="E115" s="1103"/>
      <c r="F115" s="1087">
        <v>46172</v>
      </c>
      <c r="G115" s="1230">
        <f>VLOOKUP(F115,환율!A:B,2,0)</f>
        <v>1505.8</v>
      </c>
      <c r="H115" s="1130">
        <v>108156.71</v>
      </c>
      <c r="I115" s="1131">
        <f t="shared" si="35"/>
        <v>162862373</v>
      </c>
      <c r="J115" s="1131">
        <f t="shared" si="36"/>
        <v>162862373</v>
      </c>
      <c r="K115" s="1231"/>
      <c r="M115" s="1412" t="s">
        <v>36</v>
      </c>
      <c r="N115" s="1412" t="s">
        <v>4624</v>
      </c>
      <c r="O115" s="1412" t="s">
        <v>36</v>
      </c>
      <c r="P115" s="1412" t="s">
        <v>36</v>
      </c>
      <c r="Q115" s="120"/>
    </row>
    <row r="116" spans="1:17" s="718" customFormat="1" ht="24" customHeight="1" thickBot="1">
      <c r="A116" s="875" t="s">
        <v>664</v>
      </c>
      <c r="B116" s="876" t="s">
        <v>626</v>
      </c>
      <c r="C116" s="897"/>
      <c r="D116" s="880"/>
      <c r="E116" s="879"/>
      <c r="F116" s="880"/>
      <c r="G116" s="881">
        <v>0</v>
      </c>
      <c r="H116" s="1137"/>
      <c r="I116" s="1138">
        <f t="shared" si="27"/>
        <v>0</v>
      </c>
      <c r="J116" s="882">
        <f t="shared" ref="J116" si="39">I116</f>
        <v>0</v>
      </c>
      <c r="K116" s="883">
        <f t="shared" ref="K116" si="40">I116</f>
        <v>0</v>
      </c>
      <c r="M116" s="128"/>
      <c r="N116" s="128"/>
      <c r="O116" s="128"/>
      <c r="P116" s="128"/>
      <c r="Q116" s="120"/>
    </row>
    <row r="117" spans="1:17" s="97" customFormat="1" ht="24" customHeight="1">
      <c r="A117" s="816" t="s">
        <v>47</v>
      </c>
      <c r="B117" s="817" t="s">
        <v>4047</v>
      </c>
      <c r="C117" s="893" t="s">
        <v>4428</v>
      </c>
      <c r="D117" s="821" t="s">
        <v>4316</v>
      </c>
      <c r="E117" s="894">
        <v>46149</v>
      </c>
      <c r="F117" s="819">
        <v>46149</v>
      </c>
      <c r="G117" s="861">
        <f>VLOOKUP(F117,환율!A:B,2,0)</f>
        <v>1456.8</v>
      </c>
      <c r="H117" s="1141">
        <v>35528.400000000001</v>
      </c>
      <c r="I117" s="1142">
        <f t="shared" si="27"/>
        <v>51757773</v>
      </c>
      <c r="J117" s="823">
        <f>I117</f>
        <v>51757773</v>
      </c>
      <c r="K117" s="1394" t="s">
        <v>720</v>
      </c>
      <c r="M117" s="1412" t="s">
        <v>4624</v>
      </c>
      <c r="N117" s="1412" t="s">
        <v>4624</v>
      </c>
      <c r="O117" s="1412" t="s">
        <v>4624</v>
      </c>
      <c r="P117" s="1412" t="s">
        <v>4624</v>
      </c>
      <c r="Q117" s="1421">
        <v>46149</v>
      </c>
    </row>
    <row r="118" spans="1:17" s="97" customFormat="1" ht="24" customHeight="1">
      <c r="A118" s="1020" t="s">
        <v>28</v>
      </c>
      <c r="B118" s="1021" t="s">
        <v>4047</v>
      </c>
      <c r="C118" s="925" t="s">
        <v>4584</v>
      </c>
      <c r="D118" s="910" t="s">
        <v>4618</v>
      </c>
      <c r="E118" s="911">
        <v>46156</v>
      </c>
      <c r="F118" s="912">
        <v>46156</v>
      </c>
      <c r="G118" s="913">
        <f>VLOOKUP(F118,환율!A:B,2,0)</f>
        <v>1495.1</v>
      </c>
      <c r="H118" s="1134">
        <v>7895.2</v>
      </c>
      <c r="I118" s="1135">
        <f t="shared" si="27"/>
        <v>11804113</v>
      </c>
      <c r="J118" s="926">
        <f>I118</f>
        <v>11804113</v>
      </c>
      <c r="K118" s="927"/>
      <c r="M118" s="1412" t="s">
        <v>4624</v>
      </c>
      <c r="N118" s="1412" t="s">
        <v>4624</v>
      </c>
      <c r="O118" s="1412" t="s">
        <v>4624</v>
      </c>
      <c r="P118" s="1412" t="s">
        <v>4624</v>
      </c>
      <c r="Q118" s="1421">
        <v>46156</v>
      </c>
    </row>
    <row r="119" spans="1:17" s="97" customFormat="1" ht="24" customHeight="1">
      <c r="A119" s="1061" t="s">
        <v>28</v>
      </c>
      <c r="B119" s="1062" t="s">
        <v>4047</v>
      </c>
      <c r="C119" s="1050" t="s">
        <v>4585</v>
      </c>
      <c r="D119" s="1071" t="s">
        <v>4586</v>
      </c>
      <c r="E119" s="1051">
        <v>46165</v>
      </c>
      <c r="F119" s="1199">
        <v>46164</v>
      </c>
      <c r="G119" s="1064">
        <f>VLOOKUP(F119,환율!A:B,2,0)</f>
        <v>1503.5</v>
      </c>
      <c r="H119" s="1143">
        <v>6908.3</v>
      </c>
      <c r="I119" s="1146">
        <f t="shared" ref="I119" si="41">ROUNDDOWN(H119*G119,0)</f>
        <v>10386629</v>
      </c>
      <c r="J119" s="1065">
        <f t="shared" ref="J119:J120" si="42">I119</f>
        <v>10386629</v>
      </c>
      <c r="K119" s="1052"/>
      <c r="M119" s="1412" t="s">
        <v>4624</v>
      </c>
      <c r="N119" s="1412" t="s">
        <v>4624</v>
      </c>
      <c r="O119" s="1412" t="s">
        <v>4624</v>
      </c>
      <c r="P119" s="1412" t="s">
        <v>4624</v>
      </c>
      <c r="Q119" s="1421">
        <v>46165</v>
      </c>
    </row>
    <row r="120" spans="1:17" s="97" customFormat="1" ht="24" customHeight="1">
      <c r="A120" s="1061" t="s">
        <v>28</v>
      </c>
      <c r="B120" s="1062" t="s">
        <v>4047</v>
      </c>
      <c r="C120" s="1050" t="s">
        <v>4587</v>
      </c>
      <c r="D120" s="1071" t="s">
        <v>4588</v>
      </c>
      <c r="E120" s="1051">
        <v>46173</v>
      </c>
      <c r="F120" s="1199">
        <v>46173</v>
      </c>
      <c r="G120" s="1064">
        <f>VLOOKUP(F120,환율!A:B,2,0)</f>
        <v>1505.8</v>
      </c>
      <c r="H120" s="1143">
        <v>19738</v>
      </c>
      <c r="I120" s="1146">
        <f t="shared" ref="I120" si="43">ROUNDDOWN(H120*G120,0)</f>
        <v>29721480</v>
      </c>
      <c r="J120" s="1065">
        <f t="shared" si="42"/>
        <v>29721480</v>
      </c>
      <c r="K120" s="1052"/>
      <c r="M120" s="1412" t="s">
        <v>4624</v>
      </c>
      <c r="N120" s="1412" t="s">
        <v>4624</v>
      </c>
      <c r="O120" s="1412" t="s">
        <v>4624</v>
      </c>
      <c r="P120" s="1412" t="s">
        <v>4624</v>
      </c>
      <c r="Q120" s="1421">
        <v>46173</v>
      </c>
    </row>
    <row r="121" spans="1:17" s="97" customFormat="1" ht="24.75" customHeight="1" thickBot="1">
      <c r="A121" s="884" t="s">
        <v>47</v>
      </c>
      <c r="B121" s="885" t="s">
        <v>4048</v>
      </c>
      <c r="C121" s="899"/>
      <c r="D121" s="889"/>
      <c r="E121" s="879"/>
      <c r="F121" s="889"/>
      <c r="G121" s="890"/>
      <c r="H121" s="1139"/>
      <c r="I121" s="1140">
        <f t="shared" si="27"/>
        <v>0</v>
      </c>
      <c r="J121" s="891">
        <f t="shared" ref="J121:J131" si="44">I121</f>
        <v>0</v>
      </c>
      <c r="K121" s="892">
        <f t="shared" ref="K121" si="45">I121</f>
        <v>0</v>
      </c>
      <c r="M121" s="1412"/>
      <c r="N121" s="1412"/>
      <c r="O121" s="1412"/>
      <c r="P121" s="1412"/>
      <c r="Q121" s="120"/>
    </row>
    <row r="122" spans="1:17" s="97" customFormat="1" ht="24" customHeight="1">
      <c r="A122" s="1222" t="s">
        <v>40</v>
      </c>
      <c r="B122" s="1223" t="s">
        <v>4048</v>
      </c>
      <c r="C122" s="935" t="s">
        <v>4429</v>
      </c>
      <c r="D122" s="935" t="s">
        <v>4430</v>
      </c>
      <c r="E122" s="894">
        <v>46147</v>
      </c>
      <c r="F122" s="821">
        <v>46147</v>
      </c>
      <c r="G122" s="1225">
        <f>VLOOKUP(F122,환율!A:B,2,0)</f>
        <v>1484.8</v>
      </c>
      <c r="H122" s="1141">
        <v>10782.5</v>
      </c>
      <c r="I122" s="1142">
        <f t="shared" si="27"/>
        <v>16009856</v>
      </c>
      <c r="J122" s="1142">
        <f t="shared" si="44"/>
        <v>16009856</v>
      </c>
      <c r="K122" s="1226"/>
      <c r="M122" s="1412" t="s">
        <v>4624</v>
      </c>
      <c r="N122" s="1412" t="s">
        <v>4624</v>
      </c>
      <c r="O122" s="1412" t="s">
        <v>4624</v>
      </c>
      <c r="P122" s="1412" t="s">
        <v>4624</v>
      </c>
      <c r="Q122" s="1421">
        <v>46147</v>
      </c>
    </row>
    <row r="123" spans="1:17" s="97" customFormat="1" ht="24" customHeight="1">
      <c r="A123" s="1020" t="s">
        <v>30</v>
      </c>
      <c r="B123" s="1021" t="s">
        <v>4047</v>
      </c>
      <c r="C123" s="934" t="s">
        <v>4565</v>
      </c>
      <c r="D123" s="934" t="s">
        <v>4566</v>
      </c>
      <c r="E123" s="911">
        <v>46161</v>
      </c>
      <c r="F123" s="910">
        <v>46160</v>
      </c>
      <c r="G123" s="913">
        <f>VLOOKUP(F123,환율!A:B,2,0)</f>
        <v>1499.8</v>
      </c>
      <c r="H123" s="1134">
        <v>2392.38</v>
      </c>
      <c r="I123" s="1135">
        <f t="shared" si="27"/>
        <v>3588091</v>
      </c>
      <c r="J123" s="926">
        <f t="shared" si="44"/>
        <v>3588091</v>
      </c>
      <c r="K123" s="927"/>
      <c r="M123" s="1412" t="s">
        <v>4624</v>
      </c>
      <c r="N123" s="1412" t="s">
        <v>4624</v>
      </c>
      <c r="O123" s="1412" t="s">
        <v>4624</v>
      </c>
      <c r="P123" s="1412" t="s">
        <v>4624</v>
      </c>
      <c r="Q123" s="1421">
        <v>46160</v>
      </c>
    </row>
    <row r="124" spans="1:17" s="97" customFormat="1" ht="24" customHeight="1">
      <c r="A124" s="1020" t="s">
        <v>30</v>
      </c>
      <c r="B124" s="1021" t="s">
        <v>4047</v>
      </c>
      <c r="C124" s="934" t="s">
        <v>4567</v>
      </c>
      <c r="D124" s="934" t="s">
        <v>4568</v>
      </c>
      <c r="E124" s="911">
        <v>46151</v>
      </c>
      <c r="F124" s="910">
        <v>46151</v>
      </c>
      <c r="G124" s="913">
        <f>VLOOKUP(F124,환율!A:B,2,0)</f>
        <v>1450.8</v>
      </c>
      <c r="H124" s="1134">
        <v>2234.92</v>
      </c>
      <c r="I124" s="1135">
        <f t="shared" ref="I124:I128" si="46">ROUNDDOWN(H124*G124,0)</f>
        <v>3242421</v>
      </c>
      <c r="J124" s="926">
        <f t="shared" ref="J124:J128" si="47">I124</f>
        <v>3242421</v>
      </c>
      <c r="K124" s="927"/>
      <c r="M124" s="1412" t="s">
        <v>4624</v>
      </c>
      <c r="N124" s="1412" t="s">
        <v>4624</v>
      </c>
      <c r="O124" s="1412" t="s">
        <v>4624</v>
      </c>
      <c r="P124" s="1412" t="s">
        <v>4624</v>
      </c>
      <c r="Q124" s="1421">
        <v>46151</v>
      </c>
    </row>
    <row r="125" spans="1:17" s="97" customFormat="1" ht="24" customHeight="1">
      <c r="A125" s="1020" t="s">
        <v>30</v>
      </c>
      <c r="B125" s="1021" t="s">
        <v>4047</v>
      </c>
      <c r="C125" s="934" t="s">
        <v>4569</v>
      </c>
      <c r="D125" s="934" t="s">
        <v>4570</v>
      </c>
      <c r="E125" s="911">
        <v>46172</v>
      </c>
      <c r="F125" s="910">
        <v>46172</v>
      </c>
      <c r="G125" s="913">
        <f>VLOOKUP(F125,환율!A:B,2,0)</f>
        <v>1505.8</v>
      </c>
      <c r="H125" s="1134">
        <v>2641.55</v>
      </c>
      <c r="I125" s="1135">
        <f t="shared" si="46"/>
        <v>3977645</v>
      </c>
      <c r="J125" s="926">
        <f t="shared" si="47"/>
        <v>3977645</v>
      </c>
      <c r="K125" s="927"/>
      <c r="M125" s="1412" t="s">
        <v>4624</v>
      </c>
      <c r="N125" s="1412" t="s">
        <v>4624</v>
      </c>
      <c r="O125" s="1412" t="s">
        <v>4624</v>
      </c>
      <c r="P125" s="1412" t="s">
        <v>4624</v>
      </c>
      <c r="Q125" s="1421">
        <v>46172</v>
      </c>
    </row>
    <row r="126" spans="1:17" s="97" customFormat="1" ht="24" customHeight="1">
      <c r="A126" s="1020" t="s">
        <v>30</v>
      </c>
      <c r="B126" s="1021" t="s">
        <v>4047</v>
      </c>
      <c r="C126" s="934" t="s">
        <v>4571</v>
      </c>
      <c r="D126" s="934" t="s">
        <v>4572</v>
      </c>
      <c r="E126" s="911">
        <v>46154</v>
      </c>
      <c r="F126" s="910">
        <v>46153</v>
      </c>
      <c r="G126" s="913">
        <f>VLOOKUP(F126,환율!A:B,2,0)</f>
        <v>1466</v>
      </c>
      <c r="H126" s="1134">
        <v>463.82</v>
      </c>
      <c r="I126" s="1135">
        <f t="shared" si="46"/>
        <v>679960</v>
      </c>
      <c r="J126" s="926">
        <f t="shared" si="47"/>
        <v>679960</v>
      </c>
      <c r="K126" s="927"/>
      <c r="M126" s="1412" t="s">
        <v>4624</v>
      </c>
      <c r="N126" s="1412" t="s">
        <v>4624</v>
      </c>
      <c r="O126" s="1412" t="s">
        <v>4624</v>
      </c>
      <c r="P126" s="1412" t="s">
        <v>4624</v>
      </c>
      <c r="Q126" s="1421">
        <v>46153</v>
      </c>
    </row>
    <row r="127" spans="1:17" s="97" customFormat="1" ht="24" customHeight="1">
      <c r="A127" s="1020" t="s">
        <v>30</v>
      </c>
      <c r="B127" s="1021" t="s">
        <v>4047</v>
      </c>
      <c r="C127" s="934" t="s">
        <v>4573</v>
      </c>
      <c r="D127" s="934" t="s">
        <v>4574</v>
      </c>
      <c r="E127" s="911">
        <v>46154</v>
      </c>
      <c r="F127" s="910">
        <v>46153</v>
      </c>
      <c r="G127" s="913">
        <f>VLOOKUP(F127,환율!A:B,2,0)</f>
        <v>1466</v>
      </c>
      <c r="H127" s="1134">
        <v>2606.25</v>
      </c>
      <c r="I127" s="1135">
        <f t="shared" si="46"/>
        <v>3820762</v>
      </c>
      <c r="J127" s="926">
        <f t="shared" si="47"/>
        <v>3820762</v>
      </c>
      <c r="K127" s="927"/>
      <c r="M127" s="1412" t="s">
        <v>4624</v>
      </c>
      <c r="N127" s="1412" t="s">
        <v>4624</v>
      </c>
      <c r="O127" s="1412" t="s">
        <v>4624</v>
      </c>
      <c r="P127" s="1412" t="s">
        <v>4624</v>
      </c>
      <c r="Q127" s="1421">
        <v>46153</v>
      </c>
    </row>
    <row r="128" spans="1:17" s="97" customFormat="1" ht="24" customHeight="1">
      <c r="A128" s="1020" t="s">
        <v>30</v>
      </c>
      <c r="B128" s="1021" t="s">
        <v>4047</v>
      </c>
      <c r="C128" s="934" t="s">
        <v>4575</v>
      </c>
      <c r="D128" s="934" t="s">
        <v>4619</v>
      </c>
      <c r="E128" s="911">
        <v>46164</v>
      </c>
      <c r="F128" s="910">
        <v>46164</v>
      </c>
      <c r="G128" s="913">
        <f>VLOOKUP(F128,환율!A:B,2,0)</f>
        <v>1503.5</v>
      </c>
      <c r="H128" s="1134">
        <v>14766.5</v>
      </c>
      <c r="I128" s="1135">
        <f t="shared" si="46"/>
        <v>22201432</v>
      </c>
      <c r="J128" s="926">
        <f t="shared" si="47"/>
        <v>22201432</v>
      </c>
      <c r="K128" s="927"/>
      <c r="M128" s="1412" t="s">
        <v>4624</v>
      </c>
      <c r="N128" s="1412" t="s">
        <v>4624</v>
      </c>
      <c r="O128" s="1412" t="s">
        <v>4624</v>
      </c>
      <c r="P128" s="1412" t="s">
        <v>4624</v>
      </c>
      <c r="Q128" s="1421">
        <v>46164</v>
      </c>
    </row>
    <row r="129" spans="1:17" s="97" customFormat="1" ht="24" customHeight="1">
      <c r="A129" s="1020" t="s">
        <v>30</v>
      </c>
      <c r="B129" s="1021" t="s">
        <v>4047</v>
      </c>
      <c r="C129" s="934" t="s">
        <v>4576</v>
      </c>
      <c r="D129" s="934" t="s">
        <v>4577</v>
      </c>
      <c r="E129" s="911">
        <v>46158</v>
      </c>
      <c r="F129" s="910">
        <v>46156</v>
      </c>
      <c r="G129" s="913">
        <f>VLOOKUP(F129,환율!A:B,2,0)</f>
        <v>1495.1</v>
      </c>
      <c r="H129" s="1134">
        <v>471.08</v>
      </c>
      <c r="I129" s="1135">
        <f t="shared" si="27"/>
        <v>704311</v>
      </c>
      <c r="J129" s="926">
        <f t="shared" si="44"/>
        <v>704311</v>
      </c>
      <c r="K129" s="927"/>
      <c r="M129" s="1412" t="s">
        <v>4624</v>
      </c>
      <c r="N129" s="1412" t="s">
        <v>4624</v>
      </c>
      <c r="O129" s="1412" t="s">
        <v>4624</v>
      </c>
      <c r="P129" s="1412" t="s">
        <v>4624</v>
      </c>
      <c r="Q129" s="1421">
        <v>46156</v>
      </c>
    </row>
    <row r="130" spans="1:17" s="97" customFormat="1" ht="24" customHeight="1">
      <c r="A130" s="1020" t="s">
        <v>30</v>
      </c>
      <c r="B130" s="1021" t="s">
        <v>4047</v>
      </c>
      <c r="C130" s="934" t="s">
        <v>4578</v>
      </c>
      <c r="D130" s="934" t="s">
        <v>4579</v>
      </c>
      <c r="E130" s="911">
        <v>46161</v>
      </c>
      <c r="F130" s="910">
        <v>46157</v>
      </c>
      <c r="G130" s="913">
        <f>VLOOKUP(F130,환율!A:B,2,0)</f>
        <v>1491.8</v>
      </c>
      <c r="H130" s="1134">
        <v>766.65</v>
      </c>
      <c r="I130" s="1135">
        <f t="shared" si="27"/>
        <v>1143688</v>
      </c>
      <c r="J130" s="926">
        <f t="shared" si="44"/>
        <v>1143688</v>
      </c>
      <c r="K130" s="927"/>
      <c r="M130" s="1412" t="s">
        <v>4624</v>
      </c>
      <c r="N130" s="1412" t="s">
        <v>4624</v>
      </c>
      <c r="O130" s="1412" t="s">
        <v>4624</v>
      </c>
      <c r="P130" s="1412" t="s">
        <v>4624</v>
      </c>
      <c r="Q130" s="1421">
        <v>46157</v>
      </c>
    </row>
    <row r="131" spans="1:17" s="97" customFormat="1" ht="24" customHeight="1">
      <c r="A131" s="1061" t="s">
        <v>30</v>
      </c>
      <c r="B131" s="1062" t="s">
        <v>4047</v>
      </c>
      <c r="C131" s="1063" t="s">
        <v>4580</v>
      </c>
      <c r="D131" s="1063" t="s">
        <v>4581</v>
      </c>
      <c r="E131" s="1051">
        <v>46163</v>
      </c>
      <c r="F131" s="1071">
        <v>46161</v>
      </c>
      <c r="G131" s="1064">
        <f>VLOOKUP(F131,환율!A:B,2,0)</f>
        <v>1503.4</v>
      </c>
      <c r="H131" s="1143">
        <v>471.08</v>
      </c>
      <c r="I131" s="1146">
        <f t="shared" si="27"/>
        <v>708221</v>
      </c>
      <c r="J131" s="1065">
        <f t="shared" si="44"/>
        <v>708221</v>
      </c>
      <c r="K131" s="1052"/>
      <c r="M131" s="1412" t="s">
        <v>4624</v>
      </c>
      <c r="N131" s="1412" t="s">
        <v>4624</v>
      </c>
      <c r="O131" s="1412" t="s">
        <v>4624</v>
      </c>
      <c r="P131" s="1412" t="s">
        <v>4624</v>
      </c>
      <c r="Q131" s="1421">
        <v>46161</v>
      </c>
    </row>
    <row r="132" spans="1:17" s="97" customFormat="1" ht="24" customHeight="1" thickBot="1">
      <c r="A132" s="884" t="s">
        <v>30</v>
      </c>
      <c r="B132" s="885" t="s">
        <v>4047</v>
      </c>
      <c r="C132" s="907" t="s">
        <v>4582</v>
      </c>
      <c r="D132" s="907" t="s">
        <v>4583</v>
      </c>
      <c r="E132" s="888"/>
      <c r="F132" s="889">
        <v>46174</v>
      </c>
      <c r="G132" s="890">
        <f>VLOOKUP(F132,환율!A:B,2,0)</f>
        <v>1503.2</v>
      </c>
      <c r="H132" s="1139">
        <v>12939</v>
      </c>
      <c r="I132" s="1140">
        <f t="shared" si="27"/>
        <v>19449904</v>
      </c>
      <c r="J132" s="891"/>
      <c r="K132" s="892">
        <f>I132</f>
        <v>19449904</v>
      </c>
      <c r="M132" s="1412" t="s">
        <v>4624</v>
      </c>
      <c r="N132" s="1412" t="s">
        <v>4624</v>
      </c>
      <c r="O132" s="1412" t="s">
        <v>4624</v>
      </c>
      <c r="P132" s="1412" t="s">
        <v>36</v>
      </c>
      <c r="Q132" s="120" t="s">
        <v>4626</v>
      </c>
    </row>
    <row r="133" spans="1:17" s="718" customFormat="1" ht="24" customHeight="1">
      <c r="A133" s="1307" t="s">
        <v>15</v>
      </c>
      <c r="B133" s="1308" t="s">
        <v>4048</v>
      </c>
      <c r="C133" s="1309" t="s">
        <v>4336</v>
      </c>
      <c r="D133" s="1309" t="s">
        <v>4403</v>
      </c>
      <c r="E133" s="1310">
        <v>46144</v>
      </c>
      <c r="F133" s="1311">
        <v>46144</v>
      </c>
      <c r="G133" s="1312">
        <f>VLOOKUP(F133,환율!A:B,2,0)</f>
        <v>1476.1</v>
      </c>
      <c r="H133" s="1313">
        <v>57914.46</v>
      </c>
      <c r="I133" s="1314">
        <v>85487534</v>
      </c>
      <c r="J133" s="1315">
        <f>I133</f>
        <v>85487534</v>
      </c>
      <c r="K133" s="1316"/>
      <c r="M133" s="1412" t="s">
        <v>4624</v>
      </c>
      <c r="N133" s="1412" t="s">
        <v>4624</v>
      </c>
      <c r="O133" s="1412" t="s">
        <v>4624</v>
      </c>
      <c r="P133" s="1412" t="s">
        <v>4624</v>
      </c>
      <c r="Q133" s="1421">
        <v>46144</v>
      </c>
    </row>
    <row r="134" spans="1:17" s="718" customFormat="1" ht="24" customHeight="1">
      <c r="A134" s="862" t="s">
        <v>15</v>
      </c>
      <c r="B134" s="863" t="s">
        <v>4048</v>
      </c>
      <c r="C134" s="1023" t="s">
        <v>4431</v>
      </c>
      <c r="D134" s="1023" t="s">
        <v>4404</v>
      </c>
      <c r="E134" s="896">
        <v>46147</v>
      </c>
      <c r="F134" s="867">
        <v>46147</v>
      </c>
      <c r="G134" s="868">
        <f>VLOOKUP(F134,환율!A:B,2,0)</f>
        <v>1484.8</v>
      </c>
      <c r="H134" s="1132">
        <v>10070.049999999999</v>
      </c>
      <c r="I134" s="1133">
        <v>14952010</v>
      </c>
      <c r="J134" s="869">
        <f>I134</f>
        <v>14952010</v>
      </c>
      <c r="K134" s="870"/>
      <c r="M134" s="1412" t="s">
        <v>4624</v>
      </c>
      <c r="N134" s="1412" t="s">
        <v>4624</v>
      </c>
      <c r="O134" s="1412" t="s">
        <v>4624</v>
      </c>
      <c r="P134" s="1412" t="s">
        <v>4624</v>
      </c>
      <c r="Q134" s="1421">
        <v>46147</v>
      </c>
    </row>
    <row r="135" spans="1:17" s="718" customFormat="1" ht="24" customHeight="1">
      <c r="A135" s="1020" t="s">
        <v>15</v>
      </c>
      <c r="B135" s="1021" t="s">
        <v>4048</v>
      </c>
      <c r="C135" s="934" t="s">
        <v>4591</v>
      </c>
      <c r="D135" s="934" t="s">
        <v>4592</v>
      </c>
      <c r="E135" s="911">
        <v>46152</v>
      </c>
      <c r="F135" s="910">
        <v>46152</v>
      </c>
      <c r="G135" s="913">
        <f>VLOOKUP(F135,환율!A:B,2,0)</f>
        <v>1450.8</v>
      </c>
      <c r="H135" s="1134">
        <v>33745.449999999997</v>
      </c>
      <c r="I135" s="1135">
        <f t="shared" ref="I135:I136" si="48">ROUNDDOWN(H135*G135,0)</f>
        <v>48957898</v>
      </c>
      <c r="J135" s="926">
        <f t="shared" ref="J135:J136" si="49">I135</f>
        <v>48957898</v>
      </c>
      <c r="K135" s="927"/>
      <c r="M135" s="1412" t="s">
        <v>4624</v>
      </c>
      <c r="N135" s="1412" t="s">
        <v>4624</v>
      </c>
      <c r="O135" s="1412" t="s">
        <v>4624</v>
      </c>
      <c r="P135" s="1412" t="s">
        <v>4624</v>
      </c>
      <c r="Q135" s="1421">
        <v>46152</v>
      </c>
    </row>
    <row r="136" spans="1:17" s="718" customFormat="1" ht="24" customHeight="1">
      <c r="A136" s="1020" t="s">
        <v>15</v>
      </c>
      <c r="B136" s="1021" t="s">
        <v>4048</v>
      </c>
      <c r="C136" s="934" t="s">
        <v>4593</v>
      </c>
      <c r="D136" s="934" t="s">
        <v>4594</v>
      </c>
      <c r="E136" s="911">
        <v>46169</v>
      </c>
      <c r="F136" s="910">
        <v>46169</v>
      </c>
      <c r="G136" s="913">
        <f>VLOOKUP(F136,환율!A:B,2,0)</f>
        <v>1507.9</v>
      </c>
      <c r="H136" s="1134">
        <v>5321.07</v>
      </c>
      <c r="I136" s="1135">
        <f t="shared" si="48"/>
        <v>8023641</v>
      </c>
      <c r="J136" s="926">
        <f t="shared" si="49"/>
        <v>8023641</v>
      </c>
      <c r="K136" s="927"/>
      <c r="M136" s="1412" t="s">
        <v>4624</v>
      </c>
      <c r="N136" s="1412" t="s">
        <v>4624</v>
      </c>
      <c r="O136" s="1412" t="s">
        <v>4624</v>
      </c>
      <c r="P136" s="1412" t="s">
        <v>4624</v>
      </c>
      <c r="Q136" s="1421">
        <v>46169</v>
      </c>
    </row>
    <row r="137" spans="1:17" s="718" customFormat="1" ht="24" customHeight="1" thickBot="1">
      <c r="A137" s="884" t="s">
        <v>15</v>
      </c>
      <c r="B137" s="885" t="s">
        <v>4048</v>
      </c>
      <c r="C137" s="907"/>
      <c r="D137" s="907"/>
      <c r="E137" s="900"/>
      <c r="F137" s="889"/>
      <c r="G137" s="890" t="e">
        <f>VLOOKUP(F137,환율!A:B,2,0)</f>
        <v>#N/A</v>
      </c>
      <c r="H137" s="1139"/>
      <c r="I137" s="1140"/>
      <c r="J137" s="891">
        <f t="shared" ref="J137" si="50">I137</f>
        <v>0</v>
      </c>
      <c r="K137" s="892">
        <f>I137</f>
        <v>0</v>
      </c>
      <c r="M137" s="128"/>
      <c r="N137" s="128"/>
      <c r="O137" s="128"/>
      <c r="P137" s="128"/>
      <c r="Q137" s="120"/>
    </row>
    <row r="138" spans="1:17" s="97" customFormat="1" ht="24" customHeight="1">
      <c r="A138" s="1344" t="s">
        <v>4049</v>
      </c>
      <c r="B138" s="1345" t="s">
        <v>4048</v>
      </c>
      <c r="C138" s="1346" t="s">
        <v>4432</v>
      </c>
      <c r="D138" s="1347" t="s">
        <v>2504</v>
      </c>
      <c r="E138" s="1348" t="s">
        <v>38</v>
      </c>
      <c r="F138" s="1216">
        <v>46153</v>
      </c>
      <c r="G138" s="1349">
        <f>VLOOKUP(F138,환율!A:B,2,0)</f>
        <v>1466</v>
      </c>
      <c r="H138" s="1149"/>
      <c r="I138" s="1150">
        <v>21526400</v>
      </c>
      <c r="J138" s="1150">
        <f>I138</f>
        <v>21526400</v>
      </c>
      <c r="K138" s="1350"/>
      <c r="M138" s="128"/>
      <c r="N138" s="128"/>
      <c r="O138" s="128"/>
      <c r="P138" s="128"/>
      <c r="Q138" s="120"/>
    </row>
    <row r="139" spans="1:17" s="97" customFormat="1" ht="24" customHeight="1">
      <c r="A139" s="1270" t="s">
        <v>4049</v>
      </c>
      <c r="B139" s="1271" t="s">
        <v>4048</v>
      </c>
      <c r="C139" s="1351" t="s">
        <v>4433</v>
      </c>
      <c r="D139" s="828" t="s">
        <v>2504</v>
      </c>
      <c r="E139" s="829" t="s">
        <v>38</v>
      </c>
      <c r="F139" s="910">
        <v>46155</v>
      </c>
      <c r="G139" s="1273">
        <f>VLOOKUP(F139,환율!A:B,2,0)</f>
        <v>1484.3</v>
      </c>
      <c r="H139" s="1136"/>
      <c r="I139" s="1123">
        <v>21526400</v>
      </c>
      <c r="J139" s="1123">
        <f>I139</f>
        <v>21526400</v>
      </c>
      <c r="K139" s="833"/>
      <c r="M139" s="128"/>
      <c r="N139" s="128"/>
      <c r="O139" s="128"/>
      <c r="P139" s="128"/>
      <c r="Q139" s="120"/>
    </row>
    <row r="140" spans="1:17" s="97" customFormat="1" ht="24" customHeight="1" thickBot="1">
      <c r="A140" s="1270" t="s">
        <v>4049</v>
      </c>
      <c r="B140" s="1271" t="s">
        <v>4048</v>
      </c>
      <c r="C140" s="1351" t="s">
        <v>4434</v>
      </c>
      <c r="D140" s="828" t="s">
        <v>2504</v>
      </c>
      <c r="E140" s="829" t="s">
        <v>38</v>
      </c>
      <c r="F140" s="910">
        <v>46161</v>
      </c>
      <c r="G140" s="1273">
        <f>VLOOKUP(F140,환율!A:B,2,0)</f>
        <v>1503.4</v>
      </c>
      <c r="H140" s="1136"/>
      <c r="I140" s="1123">
        <v>21526400</v>
      </c>
      <c r="J140" s="1123">
        <f>I140</f>
        <v>21526400</v>
      </c>
      <c r="K140" s="833"/>
      <c r="M140" s="128"/>
      <c r="N140" s="128"/>
      <c r="O140" s="128"/>
      <c r="P140" s="128"/>
      <c r="Q140" s="120"/>
    </row>
    <row r="141" spans="1:17" s="97" customFormat="1" ht="24" hidden="1" customHeight="1" thickBot="1">
      <c r="A141" s="1025" t="s">
        <v>4049</v>
      </c>
      <c r="B141" s="1026" t="s">
        <v>4048</v>
      </c>
      <c r="C141" s="1024"/>
      <c r="D141" s="1027"/>
      <c r="E141" s="1028"/>
      <c r="F141" s="1218"/>
      <c r="G141" s="1029"/>
      <c r="H141" s="1151"/>
      <c r="I141" s="1152">
        <f t="shared" si="27"/>
        <v>0</v>
      </c>
      <c r="J141" s="1030">
        <f>I141</f>
        <v>0</v>
      </c>
      <c r="K141" s="1031"/>
      <c r="M141" s="126"/>
      <c r="N141" s="126"/>
      <c r="O141" s="126"/>
      <c r="P141" s="126"/>
    </row>
    <row r="142" spans="1:17" s="496" customFormat="1" ht="24" customHeight="1" thickBot="1">
      <c r="A142" s="2165" t="s">
        <v>4056</v>
      </c>
      <c r="B142" s="2164"/>
      <c r="C142" s="2164"/>
      <c r="D142" s="2164"/>
      <c r="E142" s="2164"/>
      <c r="F142" s="2164"/>
      <c r="G142" s="2164"/>
      <c r="H142" s="1153"/>
      <c r="I142" s="1154">
        <f>SUM(I30:I141)</f>
        <v>8380517794</v>
      </c>
      <c r="J142" s="948">
        <f>SUM(J30:J141)</f>
        <v>7667156853</v>
      </c>
      <c r="K142" s="1718">
        <f>SUM(K30:K141)</f>
        <v>713360941</v>
      </c>
      <c r="M142" s="126"/>
      <c r="N142" s="126"/>
      <c r="O142" s="126"/>
      <c r="P142" s="126"/>
      <c r="Q142" s="97"/>
    </row>
    <row r="143" spans="1:17" ht="19.2">
      <c r="H143" s="2194" t="s">
        <v>4411</v>
      </c>
      <c r="I143" s="2194"/>
      <c r="J143" s="1163">
        <f>SUM(I47:I140)-K142</f>
        <v>6799609777</v>
      </c>
      <c r="M143" s="1398"/>
      <c r="N143" s="1398"/>
      <c r="O143" s="1398"/>
      <c r="P143" s="1398"/>
      <c r="Q143" s="496"/>
    </row>
    <row r="144" spans="1:17">
      <c r="I144" s="1174"/>
      <c r="J144" s="1175"/>
      <c r="K144" s="1018"/>
    </row>
    <row r="145" spans="9:11">
      <c r="I145" s="1174"/>
      <c r="J145" s="1175"/>
      <c r="K145" s="1018"/>
    </row>
  </sheetData>
  <autoFilter ref="A29:K143" xr:uid="{1CCF8D2F-36BE-46CD-94BA-38FEC2C856C0}"/>
  <mergeCells count="41">
    <mergeCell ref="E17:G17"/>
    <mergeCell ref="A1:G4"/>
    <mergeCell ref="A5:B5"/>
    <mergeCell ref="A6:B6"/>
    <mergeCell ref="A7:B7"/>
    <mergeCell ref="A8:A23"/>
    <mergeCell ref="E8:G8"/>
    <mergeCell ref="E9:G9"/>
    <mergeCell ref="E10:G10"/>
    <mergeCell ref="B11:C11"/>
    <mergeCell ref="E11:G11"/>
    <mergeCell ref="E12:G12"/>
    <mergeCell ref="E13:G13"/>
    <mergeCell ref="E14:G14"/>
    <mergeCell ref="E15:G15"/>
    <mergeCell ref="E16:G16"/>
    <mergeCell ref="E18:G18"/>
    <mergeCell ref="E19:G19"/>
    <mergeCell ref="E20:G20"/>
    <mergeCell ref="E21:G21"/>
    <mergeCell ref="B22:C22"/>
    <mergeCell ref="E22:G22"/>
    <mergeCell ref="B23:C23"/>
    <mergeCell ref="E23:G23"/>
    <mergeCell ref="A24:A26"/>
    <mergeCell ref="E24:G24"/>
    <mergeCell ref="H24:H26"/>
    <mergeCell ref="E25:G25"/>
    <mergeCell ref="E26:G26"/>
    <mergeCell ref="H143:I143"/>
    <mergeCell ref="A28:A29"/>
    <mergeCell ref="B28:B29"/>
    <mergeCell ref="C28:C29"/>
    <mergeCell ref="D28:D29"/>
    <mergeCell ref="E28:E29"/>
    <mergeCell ref="F28:F29"/>
    <mergeCell ref="M26:O26"/>
    <mergeCell ref="G28:G29"/>
    <mergeCell ref="H28:K28"/>
    <mergeCell ref="A142:D142"/>
    <mergeCell ref="E142:G142"/>
  </mergeCells>
  <phoneticPr fontId="2" type="noConversion"/>
  <conditionalFormatting sqref="A5:A7 C29:K42 C48:K99 C101:K116 C118:K132 A133:K141">
    <cfRule type="expression" dxfId="114" priority="15">
      <formula>#REF!="*01월*"</formula>
    </cfRule>
  </conditionalFormatting>
  <conditionalFormatting sqref="A29">
    <cfRule type="expression" dxfId="113" priority="11">
      <formula>#REF!="*01월*"</formula>
    </cfRule>
  </conditionalFormatting>
  <conditionalFormatting sqref="A142">
    <cfRule type="expression" dxfId="112" priority="14">
      <formula>#REF!="*01월*"</formula>
    </cfRule>
  </conditionalFormatting>
  <conditionalFormatting sqref="A28:K28 A31:B31 A43:K47 A88:B88 A91:B91">
    <cfRule type="expression" dxfId="111" priority="27">
      <formula>#REF!="*01월*"</formula>
    </cfRule>
  </conditionalFormatting>
  <conditionalFormatting sqref="A100:K100">
    <cfRule type="expression" dxfId="110" priority="7">
      <formula>#REF!="*01월*"</formula>
    </cfRule>
  </conditionalFormatting>
  <conditionalFormatting sqref="A117:K117">
    <cfRule type="expression" dxfId="109" priority="20">
      <formula>#REF!="*01월*"</formula>
    </cfRule>
  </conditionalFormatting>
  <conditionalFormatting sqref="B19:B22">
    <cfRule type="expression" dxfId="108" priority="12">
      <formula>#REF!="*01월*"</formula>
    </cfRule>
  </conditionalFormatting>
  <conditionalFormatting sqref="B10:C10 B11 B12:C12 B13:B16">
    <cfRule type="expression" dxfId="107" priority="19">
      <formula>#REF!="*01월*"</formula>
    </cfRule>
  </conditionalFormatting>
  <conditionalFormatting sqref="B17:C18">
    <cfRule type="expression" dxfId="106" priority="17">
      <formula>#REF!="*01월*"</formula>
    </cfRule>
  </conditionalFormatting>
  <conditionalFormatting sqref="B24:C26">
    <cfRule type="expression" dxfId="105" priority="13">
      <formula>#REF!="*01월*"</formula>
    </cfRule>
  </conditionalFormatting>
  <conditionalFormatting sqref="C15:C16">
    <cfRule type="expression" dxfId="104" priority="18">
      <formula>#REF!="*01월*"</formula>
    </cfRule>
  </conditionalFormatting>
  <conditionalFormatting sqref="C20:C21">
    <cfRule type="expression" dxfId="103" priority="16">
      <formula>#REF!="*01월*"</formula>
    </cfRule>
  </conditionalFormatting>
  <conditionalFormatting sqref="C129:C131">
    <cfRule type="expression" dxfId="102" priority="23">
      <formula>#REF!="*01월*"</formula>
    </cfRule>
  </conditionalFormatting>
  <conditionalFormatting sqref="D5:E5 G5 F53:F56">
    <cfRule type="expression" dxfId="101" priority="36">
      <formula>$F10="*01월*"</formula>
    </cfRule>
  </conditionalFormatting>
  <conditionalFormatting sqref="D6:E7 G6:G7 F51">
    <cfRule type="expression" dxfId="100" priority="37">
      <formula>$F12="*01월*"</formula>
    </cfRule>
  </conditionalFormatting>
  <conditionalFormatting sqref="D8:E8 E12:E19 D46:E46 F50">
    <cfRule type="expression" dxfId="99" priority="25">
      <formula>$F10="*01월*"</formula>
    </cfRule>
  </conditionalFormatting>
  <conditionalFormatting sqref="D9:E9 E10 E20">
    <cfRule type="expression" dxfId="98" priority="38">
      <formula>$F12="*01월*"</formula>
    </cfRule>
  </conditionalFormatting>
  <conditionalFormatting sqref="D43:E43">
    <cfRule type="expression" dxfId="97" priority="26">
      <formula>$F47="*01월*"</formula>
    </cfRule>
  </conditionalFormatting>
  <conditionalFormatting sqref="D44:E45">
    <cfRule type="expression" dxfId="96" priority="5">
      <formula>$F47="*01월*"</formula>
    </cfRule>
  </conditionalFormatting>
  <conditionalFormatting sqref="E21 F131 H142:K142">
    <cfRule type="expression" dxfId="95" priority="33">
      <formula>#REF!="*01월*"</formula>
    </cfRule>
  </conditionalFormatting>
  <conditionalFormatting sqref="F48:F49">
    <cfRule type="expression" dxfId="94" priority="9">
      <formula>#REF!="*01월*"</formula>
    </cfRule>
  </conditionalFormatting>
  <conditionalFormatting sqref="F51:F57">
    <cfRule type="expression" dxfId="93" priority="30">
      <formula>#REF!="*01월*"</formula>
    </cfRule>
  </conditionalFormatting>
  <conditionalFormatting sqref="F58">
    <cfRule type="expression" dxfId="92" priority="32">
      <formula>$F67="*01월*"</formula>
    </cfRule>
  </conditionalFormatting>
  <conditionalFormatting sqref="F59">
    <cfRule type="expression" dxfId="91" priority="22">
      <formula>$F67="*01월*"</formula>
    </cfRule>
  </conditionalFormatting>
  <conditionalFormatting sqref="F76">
    <cfRule type="expression" dxfId="90" priority="34">
      <formula>#REF!="*01월*"</formula>
    </cfRule>
    <cfRule type="expression" dxfId="89" priority="35">
      <formula>$F118="*01월*"</formula>
    </cfRule>
  </conditionalFormatting>
  <conditionalFormatting sqref="F129">
    <cfRule type="expression" dxfId="88" priority="1657">
      <formula>#REF!="*01월*"</formula>
    </cfRule>
  </conditionalFormatting>
  <conditionalFormatting sqref="H8:J8">
    <cfRule type="expression" dxfId="87" priority="21">
      <formula>$F10="*01월*"</formula>
    </cfRule>
  </conditionalFormatting>
  <pageMargins left="0.43307086614173229" right="0" top="0.59055118110236227" bottom="0.55000000000000004" header="0" footer="0"/>
  <pageSetup paperSize="9" scale="56" fitToHeight="0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372C1-1CD1-4BE5-BD59-6A1C00A3E29B}">
  <sheetPr>
    <pageSetUpPr fitToPage="1"/>
  </sheetPr>
  <dimension ref="A1:R130"/>
  <sheetViews>
    <sheetView zoomScale="85" zoomScaleNormal="85" zoomScaleSheetLayoutView="100" workbookViewId="0">
      <pane xSplit="1" ySplit="8" topLeftCell="B12" activePane="bottomRight" state="frozen"/>
      <selection pane="topRight" activeCell="B1" sqref="B1"/>
      <selection pane="bottomLeft" activeCell="A9" sqref="A9"/>
      <selection pane="bottomRight" activeCell="I27" sqref="I27"/>
    </sheetView>
  </sheetViews>
  <sheetFormatPr defaultRowHeight="17.399999999999999"/>
  <cols>
    <col min="1" max="1" width="13.59765625" style="809" customWidth="1"/>
    <col min="2" max="2" width="9.59765625" style="809" customWidth="1"/>
    <col min="3" max="3" width="21.69921875" style="810" customWidth="1"/>
    <col min="4" max="4" width="18.69921875" style="810" customWidth="1"/>
    <col min="5" max="5" width="9.19921875" style="811" customWidth="1"/>
    <col min="6" max="6" width="9.19921875" style="1172" customWidth="1"/>
    <col min="7" max="7" width="9.19921875" style="810" customWidth="1"/>
    <col min="8" max="8" width="16.8984375" style="1119" customWidth="1"/>
    <col min="9" max="10" width="16.8984375" style="810" customWidth="1"/>
    <col min="11" max="11" width="17.3984375" style="810" customWidth="1"/>
    <col min="12" max="12" width="2.69921875" style="1727" customWidth="1"/>
    <col min="13" max="16" width="14.19921875" style="40" customWidth="1"/>
    <col min="17" max="17" width="14.19921875" style="34" customWidth="1"/>
    <col min="18" max="18" width="18" style="34" customWidth="1"/>
  </cols>
  <sheetData>
    <row r="1" spans="1:18" ht="21.75" customHeight="1">
      <c r="A1" s="2163" t="s">
        <v>4630</v>
      </c>
      <c r="B1" s="2163"/>
      <c r="C1" s="2163"/>
      <c r="D1" s="2163"/>
      <c r="E1" s="2163"/>
      <c r="F1" s="2163"/>
      <c r="G1" s="2163"/>
      <c r="H1" s="810"/>
      <c r="K1"/>
    </row>
    <row r="2" spans="1:18" ht="21.75" customHeight="1">
      <c r="A2" s="2163"/>
      <c r="B2" s="2163"/>
      <c r="C2" s="2163"/>
      <c r="D2" s="2163"/>
      <c r="E2" s="2163"/>
      <c r="F2" s="2163"/>
      <c r="G2" s="2163"/>
      <c r="H2" s="810"/>
      <c r="K2"/>
    </row>
    <row r="3" spans="1:18" ht="19.5" customHeight="1">
      <c r="A3" s="2163"/>
      <c r="B3" s="2163"/>
      <c r="C3" s="2163"/>
      <c r="D3" s="2163"/>
      <c r="E3" s="2163"/>
      <c r="F3" s="2163"/>
      <c r="G3" s="2163"/>
      <c r="H3" s="1114"/>
      <c r="I3" s="1115"/>
      <c r="J3" s="812"/>
      <c r="K3" s="812"/>
    </row>
    <row r="4" spans="1:18" ht="19.5" customHeight="1">
      <c r="A4" s="2163"/>
      <c r="B4" s="2163"/>
      <c r="C4" s="2163"/>
      <c r="D4" s="2163"/>
      <c r="E4" s="2163"/>
      <c r="F4" s="2163"/>
      <c r="G4" s="2163"/>
      <c r="H4" s="1114"/>
      <c r="I4" s="1115"/>
      <c r="J4" s="812"/>
      <c r="K4" s="812"/>
    </row>
    <row r="5" spans="1:18" ht="19.5" customHeight="1">
      <c r="A5" s="2175" t="s">
        <v>3749</v>
      </c>
      <c r="B5" s="2175"/>
      <c r="C5" s="944"/>
      <c r="D5" s="944"/>
      <c r="E5" s="944"/>
      <c r="F5" s="1210"/>
      <c r="G5" s="944"/>
      <c r="H5" s="1114"/>
      <c r="I5" s="1115"/>
      <c r="J5" s="812"/>
      <c r="K5" s="812"/>
    </row>
    <row r="6" spans="1:18" ht="19.5" customHeight="1">
      <c r="A6" s="2176" t="s">
        <v>4226</v>
      </c>
      <c r="B6" s="2176"/>
      <c r="C6" s="944"/>
      <c r="D6" s="944"/>
      <c r="E6" s="1114"/>
      <c r="F6" s="1210"/>
      <c r="G6" s="944"/>
      <c r="H6" s="1114"/>
      <c r="I6" s="1116"/>
      <c r="J6" s="813"/>
      <c r="K6" s="813"/>
    </row>
    <row r="7" spans="1:18" ht="19.5" customHeight="1" thickBot="1">
      <c r="A7" s="2209" t="s">
        <v>3748</v>
      </c>
      <c r="B7" s="2209"/>
      <c r="C7" s="945"/>
      <c r="D7" s="1411" t="s">
        <v>4610</v>
      </c>
      <c r="E7" s="945"/>
      <c r="F7" s="1211"/>
      <c r="G7" s="945"/>
      <c r="H7" s="1117"/>
      <c r="I7" s="1116"/>
      <c r="J7" s="813"/>
      <c r="K7" s="813"/>
    </row>
    <row r="8" spans="1:18" s="126" customFormat="1" ht="25.5" customHeight="1">
      <c r="A8" s="2178" t="s">
        <v>4057</v>
      </c>
      <c r="B8" s="951" t="s">
        <v>4035</v>
      </c>
      <c r="C8" s="951" t="s">
        <v>236</v>
      </c>
      <c r="D8" s="952" t="s">
        <v>4053</v>
      </c>
      <c r="E8" s="2185" t="s">
        <v>4054</v>
      </c>
      <c r="F8" s="2186"/>
      <c r="G8" s="2187"/>
      <c r="H8" s="1155" t="s">
        <v>4051</v>
      </c>
      <c r="I8" s="1118" t="s">
        <v>4050</v>
      </c>
      <c r="J8" s="1258" t="s">
        <v>4055</v>
      </c>
      <c r="K8" s="953" t="s">
        <v>4058</v>
      </c>
      <c r="L8" s="1397"/>
      <c r="M8" s="40"/>
      <c r="N8" s="40"/>
      <c r="O8" s="40"/>
      <c r="P8" s="40"/>
      <c r="Q8" s="40"/>
      <c r="R8" s="40"/>
    </row>
    <row r="9" spans="1:18" s="126" customFormat="1" ht="25.5" customHeight="1">
      <c r="A9" s="2092"/>
      <c r="B9" s="954" t="s">
        <v>375</v>
      </c>
      <c r="C9" s="954" t="s">
        <v>4036</v>
      </c>
      <c r="D9" s="955">
        <v>0</v>
      </c>
      <c r="E9" s="2133">
        <f>SUM(J30:J32)</f>
        <v>459257431</v>
      </c>
      <c r="F9" s="2134"/>
      <c r="G9" s="2135"/>
      <c r="H9" s="1156">
        <f>SUM(K30:K33)</f>
        <v>0</v>
      </c>
      <c r="I9" s="1428">
        <f ca="1">SUMIF($A$30:$A$128,C9,$I$30:$I$127)</f>
        <v>459257431</v>
      </c>
      <c r="J9" s="1235">
        <f>SUM(D9:G9)</f>
        <v>459257431</v>
      </c>
      <c r="K9" s="957"/>
      <c r="L9" s="1397"/>
      <c r="M9" s="40"/>
      <c r="N9" s="40"/>
      <c r="O9" s="40"/>
      <c r="P9" s="40"/>
      <c r="Q9" s="40"/>
      <c r="R9" s="40"/>
    </row>
    <row r="10" spans="1:18" s="19" customFormat="1" ht="25.5" customHeight="1">
      <c r="A10" s="2092"/>
      <c r="B10" s="964" t="s">
        <v>375</v>
      </c>
      <c r="C10" s="964" t="s">
        <v>4025</v>
      </c>
      <c r="D10" s="965">
        <v>0</v>
      </c>
      <c r="E10" s="2182">
        <f>SUM(J34:J34)</f>
        <v>63943530</v>
      </c>
      <c r="F10" s="2183"/>
      <c r="G10" s="2184"/>
      <c r="H10" s="1157">
        <v>0</v>
      </c>
      <c r="I10" s="1429">
        <f ca="1">SUMIF($A$30:$A$128,C10,$I$30:$I$127)</f>
        <v>63943530</v>
      </c>
      <c r="J10" s="1242">
        <f t="shared" ref="J10:J20" si="0">SUM(D10:G10)</f>
        <v>63943530</v>
      </c>
      <c r="K10" s="966">
        <f>SUM(J9:J10)</f>
        <v>523200961</v>
      </c>
      <c r="L10" s="1728"/>
      <c r="M10" s="40"/>
      <c r="N10" s="40"/>
      <c r="O10" s="40"/>
      <c r="P10" s="40"/>
      <c r="Q10" s="40"/>
      <c r="R10" s="40"/>
    </row>
    <row r="11" spans="1:18" s="19" customFormat="1" ht="25.5" customHeight="1">
      <c r="A11" s="2092"/>
      <c r="B11" s="2210" t="s">
        <v>4244</v>
      </c>
      <c r="C11" s="2211"/>
      <c r="D11" s="1112">
        <f>SUM(D9:D10)</f>
        <v>0</v>
      </c>
      <c r="E11" s="2200">
        <f>SUM(E9:G10)</f>
        <v>523200961</v>
      </c>
      <c r="F11" s="2201"/>
      <c r="G11" s="2202"/>
      <c r="H11" s="1158">
        <f t="shared" ref="H11:K11" si="1">SUM(H9:H10)</f>
        <v>0</v>
      </c>
      <c r="I11" s="1112">
        <f t="shared" ca="1" si="1"/>
        <v>523200961</v>
      </c>
      <c r="J11" s="1184">
        <f t="shared" si="1"/>
        <v>523200961</v>
      </c>
      <c r="K11" s="1113">
        <f t="shared" si="1"/>
        <v>523200961</v>
      </c>
      <c r="L11" s="1728"/>
      <c r="M11" s="40"/>
      <c r="N11" s="40"/>
      <c r="O11" s="40"/>
      <c r="P11" s="40"/>
      <c r="Q11" s="40"/>
      <c r="R11" s="40"/>
    </row>
    <row r="12" spans="1:18" ht="25.5" customHeight="1">
      <c r="A12" s="2092"/>
      <c r="B12" s="970" t="s">
        <v>478</v>
      </c>
      <c r="C12" s="970" t="s">
        <v>4026</v>
      </c>
      <c r="D12" s="971">
        <v>0</v>
      </c>
      <c r="E12" s="2157">
        <f>SUM(J35)</f>
        <v>0</v>
      </c>
      <c r="F12" s="2158"/>
      <c r="G12" s="2159"/>
      <c r="H12" s="1159">
        <v>0</v>
      </c>
      <c r="I12" s="971">
        <f t="shared" ref="I12:I21" ca="1" si="2">SUMIF($A$30:$A$128,C12,$I$30:$I$127)</f>
        <v>0</v>
      </c>
      <c r="J12" s="1234">
        <f>SUM(D12:G12)</f>
        <v>0</v>
      </c>
      <c r="K12" s="972"/>
    </row>
    <row r="13" spans="1:18" s="24" customFormat="1" ht="25.5" customHeight="1">
      <c r="A13" s="2092"/>
      <c r="B13" s="959" t="s">
        <v>478</v>
      </c>
      <c r="C13" s="959" t="s">
        <v>660</v>
      </c>
      <c r="D13" s="956">
        <f>SUM(J36:J37)</f>
        <v>96743059</v>
      </c>
      <c r="E13" s="2133">
        <f>SUM(J38:J45)</f>
        <v>413061333</v>
      </c>
      <c r="F13" s="2134"/>
      <c r="G13" s="2135"/>
      <c r="H13" s="1393">
        <f>SUM(K46)</f>
        <v>82413293.184</v>
      </c>
      <c r="I13" s="956">
        <f t="shared" ca="1" si="2"/>
        <v>592217685.18400002</v>
      </c>
      <c r="J13" s="1235">
        <f>SUM(D13:G13)</f>
        <v>509804392</v>
      </c>
      <c r="K13" s="1233"/>
      <c r="L13" s="1729"/>
      <c r="M13" s="40"/>
      <c r="N13" s="40"/>
      <c r="O13" s="40"/>
      <c r="P13" s="40"/>
      <c r="Q13" s="55"/>
      <c r="R13" s="55"/>
    </row>
    <row r="14" spans="1:18" s="24" customFormat="1" ht="25.5" customHeight="1">
      <c r="A14" s="2092"/>
      <c r="B14" s="959" t="s">
        <v>478</v>
      </c>
      <c r="C14" s="959" t="s">
        <v>4042</v>
      </c>
      <c r="D14" s="956">
        <f>SUM(J47:J52)</f>
        <v>383899241</v>
      </c>
      <c r="E14" s="2133">
        <f>SUM(J53:J67)</f>
        <v>1140014806</v>
      </c>
      <c r="F14" s="2134"/>
      <c r="G14" s="2135"/>
      <c r="H14" s="1393">
        <f>SUM(K69:K76)</f>
        <v>552870139</v>
      </c>
      <c r="I14" s="956">
        <f t="shared" ca="1" si="2"/>
        <v>2077911703</v>
      </c>
      <c r="J14" s="1235">
        <f>SUM(D14:G14)</f>
        <v>1523914047</v>
      </c>
      <c r="K14" s="957"/>
      <c r="L14" s="1729"/>
      <c r="M14" s="40"/>
      <c r="N14" s="40"/>
      <c r="O14" s="40"/>
      <c r="P14" s="40"/>
      <c r="Q14" s="55"/>
      <c r="R14" s="55"/>
    </row>
    <row r="15" spans="1:18" s="24" customFormat="1" ht="25.5" customHeight="1">
      <c r="A15" s="2092"/>
      <c r="B15" s="959" t="s">
        <v>478</v>
      </c>
      <c r="C15" s="959" t="s">
        <v>4041</v>
      </c>
      <c r="D15" s="956">
        <f>SUM(J77)</f>
        <v>72250598</v>
      </c>
      <c r="E15" s="2133">
        <f>SUM(J78:J79)</f>
        <v>246720596</v>
      </c>
      <c r="F15" s="2134"/>
      <c r="G15" s="2135"/>
      <c r="H15" s="1393">
        <f>SUM(K80)</f>
        <v>97376009</v>
      </c>
      <c r="I15" s="956">
        <f t="shared" ca="1" si="2"/>
        <v>416347203</v>
      </c>
      <c r="J15" s="1235">
        <f>SUM(D15:G15)</f>
        <v>318971194</v>
      </c>
      <c r="K15" s="960"/>
      <c r="L15" s="1729"/>
      <c r="M15" s="40"/>
      <c r="N15" s="40"/>
      <c r="O15" s="40"/>
      <c r="P15" s="40"/>
      <c r="Q15" s="55"/>
      <c r="R15" s="55"/>
    </row>
    <row r="16" spans="1:18" s="24" customFormat="1" ht="25.5" customHeight="1">
      <c r="A16" s="2092"/>
      <c r="B16" s="973" t="s">
        <v>478</v>
      </c>
      <c r="C16" s="973" t="s">
        <v>4045</v>
      </c>
      <c r="D16" s="974">
        <f>SUM(J81:J82)</f>
        <v>152491285</v>
      </c>
      <c r="E16" s="2160">
        <f>SUM(J83:J85)</f>
        <v>130271836</v>
      </c>
      <c r="F16" s="2161"/>
      <c r="G16" s="2162"/>
      <c r="H16" s="1469">
        <f>SUM(K86)</f>
        <v>45325513.000000007</v>
      </c>
      <c r="I16" s="974">
        <f t="shared" ca="1" si="2"/>
        <v>328088634</v>
      </c>
      <c r="J16" s="1236">
        <f t="shared" si="0"/>
        <v>282763121</v>
      </c>
      <c r="K16" s="975">
        <f>SUM(J12:J16)</f>
        <v>2635452754</v>
      </c>
      <c r="L16" s="1729"/>
      <c r="M16" s="40"/>
      <c r="N16" s="40"/>
      <c r="O16" s="40"/>
      <c r="P16" s="40"/>
      <c r="Q16" s="55"/>
      <c r="R16" s="55"/>
    </row>
    <row r="17" spans="1:18" s="24" customFormat="1" ht="25.5" customHeight="1">
      <c r="A17" s="2092"/>
      <c r="B17" s="946" t="s">
        <v>626</v>
      </c>
      <c r="C17" s="946" t="s">
        <v>664</v>
      </c>
      <c r="D17" s="808">
        <v>0</v>
      </c>
      <c r="E17" s="2188">
        <f>SUM(J87:J97)</f>
        <v>2129232030</v>
      </c>
      <c r="F17" s="2189"/>
      <c r="G17" s="2190"/>
      <c r="H17" s="1161">
        <f>SUM(K103)</f>
        <v>0</v>
      </c>
      <c r="I17" s="1430">
        <f t="shared" ca="1" si="2"/>
        <v>2574579618</v>
      </c>
      <c r="J17" s="1237">
        <f>SUM(D17:G17)</f>
        <v>2129232030</v>
      </c>
      <c r="K17" s="950">
        <f>J17</f>
        <v>2129232030</v>
      </c>
      <c r="L17" s="1729"/>
      <c r="M17" s="40"/>
      <c r="N17" s="40"/>
      <c r="O17" s="40"/>
      <c r="P17" s="40"/>
      <c r="Q17" s="55"/>
      <c r="R17" s="55"/>
    </row>
    <row r="18" spans="1:18" ht="25.5" customHeight="1">
      <c r="A18" s="2092"/>
      <c r="B18" s="967" t="s">
        <v>4048</v>
      </c>
      <c r="C18" s="1470" t="s">
        <v>47</v>
      </c>
      <c r="D18" s="1471">
        <v>0</v>
      </c>
      <c r="E18" s="2238">
        <f>SUM(J104:J107)</f>
        <v>133186880</v>
      </c>
      <c r="F18" s="2239"/>
      <c r="G18" s="2240"/>
      <c r="H18" s="1472">
        <f>SUM(K104)</f>
        <v>0</v>
      </c>
      <c r="I18" s="1473">
        <f t="shared" ca="1" si="2"/>
        <v>133186880</v>
      </c>
      <c r="J18" s="1474">
        <f t="shared" si="0"/>
        <v>133186880</v>
      </c>
      <c r="K18" s="969"/>
    </row>
    <row r="19" spans="1:18" ht="25.5" customHeight="1" thickBot="1">
      <c r="A19" s="2092"/>
      <c r="B19" s="959" t="s">
        <v>4048</v>
      </c>
      <c r="C19" s="959" t="s">
        <v>40</v>
      </c>
      <c r="D19" s="956">
        <f>SUM(J108)</f>
        <v>19778555</v>
      </c>
      <c r="E19" s="2133">
        <f>SUM(J109:J113)</f>
        <v>55763391</v>
      </c>
      <c r="F19" s="2134"/>
      <c r="G19" s="2135"/>
      <c r="H19" s="1393">
        <f>SUM(K115:K117)</f>
        <v>28523849</v>
      </c>
      <c r="I19" s="1428">
        <f t="shared" ca="1" si="2"/>
        <v>109084445</v>
      </c>
      <c r="J19" s="1235">
        <f t="shared" si="0"/>
        <v>75541946</v>
      </c>
      <c r="K19" s="960"/>
    </row>
    <row r="20" spans="1:18" ht="25.5" customHeight="1">
      <c r="A20" s="2092"/>
      <c r="B20" s="973" t="s">
        <v>4048</v>
      </c>
      <c r="C20" s="1475" t="s">
        <v>15</v>
      </c>
      <c r="D20" s="1476">
        <v>0</v>
      </c>
      <c r="E20" s="2241">
        <f>SUM(J118:J122)</f>
        <v>230017367</v>
      </c>
      <c r="F20" s="2242"/>
      <c r="G20" s="2243"/>
      <c r="H20" s="1477">
        <f>SUM(K123)</f>
        <v>84617737</v>
      </c>
      <c r="I20" s="1476">
        <f t="shared" ca="1" si="2"/>
        <v>314635104</v>
      </c>
      <c r="J20" s="1478">
        <f t="shared" si="0"/>
        <v>230017367</v>
      </c>
      <c r="K20" s="975">
        <f>SUM(J18:J21)</f>
        <v>503325393</v>
      </c>
      <c r="M20" s="1407" t="s">
        <v>4606</v>
      </c>
      <c r="N20" s="1408" t="s">
        <v>4605</v>
      </c>
      <c r="O20" s="1408" t="s">
        <v>4607</v>
      </c>
      <c r="P20" s="1408" t="s">
        <v>4608</v>
      </c>
      <c r="Q20" s="1409" t="s">
        <v>4052</v>
      </c>
    </row>
    <row r="21" spans="1:18" ht="25.5" customHeight="1">
      <c r="A21" s="2092"/>
      <c r="B21" s="967" t="s">
        <v>4048</v>
      </c>
      <c r="C21" s="1259" t="s">
        <v>4049</v>
      </c>
      <c r="D21" s="971">
        <v>0</v>
      </c>
      <c r="E21" s="2191">
        <f>SUM(J124:J127)</f>
        <v>64579200</v>
      </c>
      <c r="F21" s="2192"/>
      <c r="G21" s="2193"/>
      <c r="H21" s="1183"/>
      <c r="I21" s="968">
        <f t="shared" ca="1" si="2"/>
        <v>64579200</v>
      </c>
      <c r="J21" s="1238">
        <f>SUM(D21:G21)</f>
        <v>64579200</v>
      </c>
      <c r="K21" s="1260" t="s">
        <v>4241</v>
      </c>
      <c r="M21" s="1439" t="s">
        <v>4603</v>
      </c>
      <c r="N21" s="45" t="s">
        <v>4242</v>
      </c>
      <c r="O21" s="1440">
        <f>SUM(H30:H32,H34:H34)</f>
        <v>54899888</v>
      </c>
      <c r="P21" s="1441">
        <f>SUM(J30:J32,J34:J34)</f>
        <v>523200961</v>
      </c>
      <c r="Q21" s="1442"/>
    </row>
    <row r="22" spans="1:18" ht="25.5" customHeight="1" thickBot="1">
      <c r="A22" s="2092"/>
      <c r="B22" s="2210" t="s">
        <v>4245</v>
      </c>
      <c r="C22" s="2211"/>
      <c r="D22" s="1112">
        <f>SUM(D12:D21)</f>
        <v>725162738</v>
      </c>
      <c r="E22" s="2200">
        <f>SUM(E12:G21)</f>
        <v>4542847439</v>
      </c>
      <c r="F22" s="2201">
        <f t="shared" ref="F22:K22" si="3">SUM(F12:F21)</f>
        <v>0</v>
      </c>
      <c r="G22" s="2202">
        <f t="shared" si="3"/>
        <v>0</v>
      </c>
      <c r="H22" s="1158">
        <f t="shared" si="3"/>
        <v>891126540.18400002</v>
      </c>
      <c r="I22" s="1112">
        <f t="shared" ca="1" si="3"/>
        <v>6610630472.184</v>
      </c>
      <c r="J22" s="1184">
        <f>SUM(J12:J21)</f>
        <v>5268010177</v>
      </c>
      <c r="K22" s="1113">
        <f t="shared" si="3"/>
        <v>5268010177</v>
      </c>
      <c r="M22" s="1443"/>
      <c r="N22" s="1444" t="s">
        <v>4595</v>
      </c>
      <c r="O22" s="1445">
        <v>0</v>
      </c>
      <c r="P22" s="1835">
        <v>0</v>
      </c>
      <c r="Q22" s="1447">
        <f>SUM(P21:P22)</f>
        <v>523200961</v>
      </c>
      <c r="R22" s="1448"/>
    </row>
    <row r="23" spans="1:18" ht="30" customHeight="1" thickBot="1">
      <c r="A23" s="2179"/>
      <c r="B23" s="2180" t="s">
        <v>4052</v>
      </c>
      <c r="C23" s="2181"/>
      <c r="D23" s="962">
        <f>SUM(D22,D11)</f>
        <v>725162738</v>
      </c>
      <c r="E23" s="2172">
        <f t="shared" ref="E23:I23" si="4">SUM(E22,E11)</f>
        <v>5066048400</v>
      </c>
      <c r="F23" s="2173">
        <f t="shared" si="4"/>
        <v>0</v>
      </c>
      <c r="G23" s="2174">
        <f t="shared" si="4"/>
        <v>0</v>
      </c>
      <c r="H23" s="1162">
        <f t="shared" si="4"/>
        <v>891126540.18400002</v>
      </c>
      <c r="I23" s="962">
        <f t="shared" ca="1" si="4"/>
        <v>7133831433.184</v>
      </c>
      <c r="J23" s="1162">
        <f>SUM(J22,J11)</f>
        <v>5791211138</v>
      </c>
      <c r="K23" s="976">
        <f>SUM(K22,K11)</f>
        <v>5791211138</v>
      </c>
      <c r="M23" s="1449" t="s">
        <v>4604</v>
      </c>
      <c r="N23" s="1450" t="s">
        <v>4242</v>
      </c>
      <c r="O23" s="1836">
        <f>SUM(H47:H67,H77:H79,H81:H85,H87:H102,H104:H107,H108:H113,H118:H122,H124:H127)</f>
        <v>3434791.3737037033</v>
      </c>
      <c r="P23" s="1838">
        <f>SUM(I47:I67,I77:I79,I81:I85,I87:I97,I104:I107,I108:I113,I118:I122,I124:I127)</f>
        <v>4758205785</v>
      </c>
      <c r="Q23" s="1452"/>
    </row>
    <row r="24" spans="1:18" ht="30" customHeight="1" thickBot="1">
      <c r="A24" s="2149" t="s">
        <v>4059</v>
      </c>
      <c r="B24" s="977" t="s">
        <v>478</v>
      </c>
      <c r="C24" s="977" t="s">
        <v>4042</v>
      </c>
      <c r="D24" s="978">
        <v>1</v>
      </c>
      <c r="E24" s="2228">
        <f>SUM(J68)</f>
        <v>1127517</v>
      </c>
      <c r="F24" s="2229"/>
      <c r="G24" s="2230"/>
      <c r="H24" s="2231">
        <f>SUM(E24:G26)</f>
        <v>451493755</v>
      </c>
      <c r="I24" s="1104" t="s">
        <v>4231</v>
      </c>
      <c r="J24" s="1243" t="s">
        <v>4241</v>
      </c>
      <c r="K24" s="1244">
        <f>J21</f>
        <v>64579200</v>
      </c>
      <c r="M24" s="1439"/>
      <c r="N24" s="1453" t="s">
        <v>4595</v>
      </c>
      <c r="O24" s="1454">
        <f>SUM(H68,H98:H102,H114,)</f>
        <v>294661.8</v>
      </c>
      <c r="P24" s="1441">
        <f>SUM(I68,I98:I102,I114,)</f>
        <v>451493755</v>
      </c>
      <c r="Q24" s="1442"/>
    </row>
    <row r="25" spans="1:18" ht="30" customHeight="1" thickBot="1">
      <c r="A25" s="2195"/>
      <c r="B25" s="959" t="s">
        <v>4046</v>
      </c>
      <c r="C25" s="1164" t="s">
        <v>664</v>
      </c>
      <c r="D25" s="1091">
        <v>5</v>
      </c>
      <c r="E25" s="2234">
        <f>SUM(J98:J102)</f>
        <v>445347588</v>
      </c>
      <c r="F25" s="2235"/>
      <c r="G25" s="2236"/>
      <c r="H25" s="2232"/>
      <c r="I25" s="1092" t="s">
        <v>4232</v>
      </c>
      <c r="J25" s="1245" t="s">
        <v>4242</v>
      </c>
      <c r="K25" s="1246">
        <f>SUM(J9:J10,J12:J20)</f>
        <v>5726631938</v>
      </c>
      <c r="M25" s="1443"/>
      <c r="N25" s="1444" t="s">
        <v>4241</v>
      </c>
      <c r="O25" s="1455">
        <f>SUM(H124:H126)</f>
        <v>54726</v>
      </c>
      <c r="P25" s="1446">
        <f>SUM(I124:I126)</f>
        <v>64579200</v>
      </c>
      <c r="Q25" s="1447">
        <f>SUM(P23:P25)</f>
        <v>5274278740</v>
      </c>
    </row>
    <row r="26" spans="1:18" ht="30" customHeight="1" thickBot="1">
      <c r="A26" s="2196"/>
      <c r="B26" s="1093" t="s">
        <v>4048</v>
      </c>
      <c r="C26" s="1093" t="s">
        <v>40</v>
      </c>
      <c r="D26" s="1094">
        <v>1</v>
      </c>
      <c r="E26" s="2237">
        <f>SUM(J114)</f>
        <v>5018650</v>
      </c>
      <c r="F26" s="2170"/>
      <c r="G26" s="2171"/>
      <c r="H26" s="2233"/>
      <c r="I26" s="1095" t="s">
        <v>4987</v>
      </c>
      <c r="J26" s="1241" t="s">
        <v>4052</v>
      </c>
      <c r="K26" s="1240">
        <f>SUM(K24:K25)</f>
        <v>5791211138</v>
      </c>
      <c r="M26" s="2213" t="s">
        <v>4633</v>
      </c>
      <c r="N26" s="2214"/>
      <c r="O26" s="2215"/>
      <c r="P26" s="1420">
        <f>SUM(P21:P25)</f>
        <v>5797479701</v>
      </c>
      <c r="Q26" s="1410">
        <f>SUM(Q21:Q25)</f>
        <v>5797479701</v>
      </c>
    </row>
    <row r="27" spans="1:18" ht="18" thickBot="1">
      <c r="A27" s="980" t="s">
        <v>4060</v>
      </c>
      <c r="N27" s="1456"/>
      <c r="O27" s="1456"/>
      <c r="P27" s="40" t="s">
        <v>4977</v>
      </c>
      <c r="Q27" s="1837">
        <f>K26</f>
        <v>5791211138</v>
      </c>
    </row>
    <row r="28" spans="1:18" ht="23.25" customHeight="1">
      <c r="A28" s="2216" t="s">
        <v>0</v>
      </c>
      <c r="B28" s="2218" t="s">
        <v>4035</v>
      </c>
      <c r="C28" s="2218" t="s">
        <v>1</v>
      </c>
      <c r="D28" s="2220" t="s">
        <v>2</v>
      </c>
      <c r="E28" s="2222" t="s">
        <v>4103</v>
      </c>
      <c r="F28" s="2220" t="s">
        <v>3</v>
      </c>
      <c r="G28" s="2224" t="s">
        <v>4</v>
      </c>
      <c r="H28" s="2226" t="s">
        <v>2352</v>
      </c>
      <c r="I28" s="2226"/>
      <c r="J28" s="2226"/>
      <c r="K28" s="2227"/>
      <c r="M28" s="1456"/>
      <c r="N28" s="1456"/>
      <c r="O28" s="1456"/>
      <c r="P28" s="40" t="s">
        <v>4978</v>
      </c>
      <c r="Q28" s="1837">
        <f>Q27-Q26</f>
        <v>-6268563</v>
      </c>
    </row>
    <row r="29" spans="1:18" ht="23.25" customHeight="1">
      <c r="A29" s="2217"/>
      <c r="B29" s="2219"/>
      <c r="C29" s="2219"/>
      <c r="D29" s="2221"/>
      <c r="E29" s="2223"/>
      <c r="F29" s="2221"/>
      <c r="G29" s="2225"/>
      <c r="H29" s="1479" t="s">
        <v>6</v>
      </c>
      <c r="I29" s="1480" t="s">
        <v>7</v>
      </c>
      <c r="J29" s="1481" t="s">
        <v>2479</v>
      </c>
      <c r="K29" s="1482" t="s">
        <v>2336</v>
      </c>
    </row>
    <row r="30" spans="1:18" s="97" customFormat="1" ht="24" customHeight="1">
      <c r="A30" s="1489" t="s">
        <v>4037</v>
      </c>
      <c r="B30" s="1490" t="s">
        <v>375</v>
      </c>
      <c r="C30" s="1491" t="s">
        <v>4786</v>
      </c>
      <c r="D30" s="1492" t="s">
        <v>4789</v>
      </c>
      <c r="E30" s="1493">
        <v>46187</v>
      </c>
      <c r="F30" s="1494">
        <v>46187</v>
      </c>
      <c r="G30" s="1495">
        <v>9.5428999999999995</v>
      </c>
      <c r="H30" s="1496">
        <v>18149720</v>
      </c>
      <c r="I30" s="1497">
        <f t="shared" ref="I30:I80" si="5">ROUNDDOWN(H30*G30,0)</f>
        <v>173200962</v>
      </c>
      <c r="J30" s="1498">
        <f>I30</f>
        <v>173200962</v>
      </c>
      <c r="K30" s="1499"/>
      <c r="L30" s="1723"/>
      <c r="M30" s="40"/>
      <c r="N30" s="40"/>
      <c r="O30" s="40"/>
      <c r="P30" s="40"/>
      <c r="Q30" s="34"/>
      <c r="R30" s="34"/>
    </row>
    <row r="31" spans="1:18" s="97" customFormat="1" ht="24" customHeight="1">
      <c r="A31" s="1500" t="s">
        <v>4036</v>
      </c>
      <c r="B31" s="1501" t="s">
        <v>4038</v>
      </c>
      <c r="C31" s="1491" t="s">
        <v>4787</v>
      </c>
      <c r="D31" s="1492" t="s">
        <v>4790</v>
      </c>
      <c r="E31" s="1493">
        <v>46198</v>
      </c>
      <c r="F31" s="1492">
        <v>46196</v>
      </c>
      <c r="G31" s="1502">
        <v>9.5048999999999992</v>
      </c>
      <c r="H31" s="1503">
        <v>15080320</v>
      </c>
      <c r="I31" s="1497">
        <f t="shared" si="5"/>
        <v>143336933</v>
      </c>
      <c r="J31" s="1504">
        <f t="shared" ref="J31:J32" si="6">I31</f>
        <v>143336933</v>
      </c>
      <c r="K31" s="1505"/>
      <c r="L31" s="1723"/>
      <c r="M31" s="1726"/>
      <c r="N31" s="40"/>
      <c r="O31" s="40"/>
      <c r="P31" s="40"/>
      <c r="Q31" s="34"/>
      <c r="R31" s="34"/>
    </row>
    <row r="32" spans="1:18" s="97" customFormat="1" ht="24" customHeight="1">
      <c r="A32" s="1500" t="s">
        <v>4036</v>
      </c>
      <c r="B32" s="1501" t="s">
        <v>4038</v>
      </c>
      <c r="C32" s="1491" t="s">
        <v>4788</v>
      </c>
      <c r="D32" s="1492" t="s">
        <v>4795</v>
      </c>
      <c r="E32" s="1493">
        <v>46198</v>
      </c>
      <c r="F32" s="1492">
        <v>46201</v>
      </c>
      <c r="G32" s="1502">
        <v>9.5512999999999995</v>
      </c>
      <c r="H32" s="1503">
        <v>14942420</v>
      </c>
      <c r="I32" s="1497">
        <f t="shared" si="5"/>
        <v>142719536</v>
      </c>
      <c r="J32" s="1504">
        <f t="shared" si="6"/>
        <v>142719536</v>
      </c>
      <c r="K32" s="1505"/>
      <c r="L32" s="1723"/>
      <c r="M32" s="40"/>
      <c r="N32" s="40"/>
      <c r="O32" s="40"/>
      <c r="P32" s="40"/>
      <c r="Q32" s="34"/>
      <c r="R32" s="34"/>
    </row>
    <row r="33" spans="1:18" s="97" customFormat="1" ht="24" customHeight="1" thickBot="1">
      <c r="A33" s="1506" t="s">
        <v>4036</v>
      </c>
      <c r="B33" s="1507" t="s">
        <v>4038</v>
      </c>
      <c r="C33" s="1508"/>
      <c r="D33" s="1509"/>
      <c r="E33" s="1510"/>
      <c r="F33" s="1511"/>
      <c r="G33" s="1512">
        <v>0</v>
      </c>
      <c r="H33" s="1513"/>
      <c r="I33" s="1514">
        <f t="shared" si="5"/>
        <v>0</v>
      </c>
      <c r="J33" s="1515"/>
      <c r="K33" s="1516">
        <f>I33</f>
        <v>0</v>
      </c>
      <c r="L33" s="718"/>
      <c r="M33" s="40"/>
      <c r="N33" s="40"/>
      <c r="O33" s="40"/>
      <c r="P33" s="40"/>
      <c r="Q33" s="34"/>
      <c r="R33" s="34"/>
    </row>
    <row r="34" spans="1:18" s="97" customFormat="1" ht="24" customHeight="1" thickBot="1">
      <c r="A34" s="1517" t="s">
        <v>2787</v>
      </c>
      <c r="B34" s="1518" t="s">
        <v>375</v>
      </c>
      <c r="C34" s="1519" t="s">
        <v>4784</v>
      </c>
      <c r="D34" s="1519" t="s">
        <v>4785</v>
      </c>
      <c r="E34" s="1520">
        <v>46198</v>
      </c>
      <c r="F34" s="1521">
        <v>46196</v>
      </c>
      <c r="G34" s="1522">
        <v>9.5048999999999992</v>
      </c>
      <c r="H34" s="1523">
        <v>6727428</v>
      </c>
      <c r="I34" s="1524">
        <f t="shared" si="5"/>
        <v>63943530</v>
      </c>
      <c r="J34" s="1525">
        <f t="shared" ref="J34:J35" si="7">I34</f>
        <v>63943530</v>
      </c>
      <c r="K34" s="1526"/>
      <c r="L34" s="718"/>
      <c r="M34" s="40"/>
      <c r="N34" s="40"/>
      <c r="O34" s="40"/>
      <c r="P34" s="40"/>
      <c r="Q34" s="34"/>
      <c r="R34" s="34"/>
    </row>
    <row r="35" spans="1:18" ht="24" customHeight="1" thickBot="1">
      <c r="A35" s="1529" t="s">
        <v>4026</v>
      </c>
      <c r="B35" s="1530" t="s">
        <v>478</v>
      </c>
      <c r="C35" s="1531"/>
      <c r="D35" s="1532"/>
      <c r="E35" s="1533"/>
      <c r="F35" s="1534"/>
      <c r="G35" s="1535">
        <v>0</v>
      </c>
      <c r="H35" s="1536"/>
      <c r="I35" s="1537">
        <f t="shared" si="5"/>
        <v>0</v>
      </c>
      <c r="J35" s="1538">
        <f t="shared" si="7"/>
        <v>0</v>
      </c>
      <c r="K35" s="1539"/>
      <c r="M35" s="1467" t="s">
        <v>33</v>
      </c>
      <c r="N35" s="1467" t="s">
        <v>4621</v>
      </c>
      <c r="O35" s="1467" t="s">
        <v>4622</v>
      </c>
      <c r="P35" s="1467" t="s">
        <v>2062</v>
      </c>
      <c r="Q35" s="1467" t="s">
        <v>4631</v>
      </c>
    </row>
    <row r="36" spans="1:18" s="97" customFormat="1" ht="24" customHeight="1">
      <c r="A36" s="1540" t="s">
        <v>698</v>
      </c>
      <c r="B36" s="1541" t="s">
        <v>4039</v>
      </c>
      <c r="C36" s="1542" t="s">
        <v>4478</v>
      </c>
      <c r="D36" s="1543" t="s">
        <v>4791</v>
      </c>
      <c r="E36" s="1544">
        <v>46178</v>
      </c>
      <c r="F36" s="1543">
        <v>46178</v>
      </c>
      <c r="G36" s="1545">
        <f>VLOOKUP(F36,환율!A:B,2,0)</f>
        <v>1528.6</v>
      </c>
      <c r="H36" s="1546">
        <v>30736.799999999999</v>
      </c>
      <c r="I36" s="1547">
        <f t="shared" si="5"/>
        <v>46984272</v>
      </c>
      <c r="J36" s="1548">
        <f>I36</f>
        <v>46984272</v>
      </c>
      <c r="K36" s="1549"/>
      <c r="L36" s="1723" t="s">
        <v>4796</v>
      </c>
      <c r="M36" s="1461"/>
      <c r="N36" s="1461"/>
      <c r="O36" s="1461"/>
      <c r="P36" s="1461"/>
      <c r="Q36" s="1462"/>
      <c r="R36" s="34"/>
    </row>
    <row r="37" spans="1:18" s="120" customFormat="1" ht="24" customHeight="1">
      <c r="A37" s="1483" t="s">
        <v>698</v>
      </c>
      <c r="B37" s="1484" t="s">
        <v>4039</v>
      </c>
      <c r="C37" s="1550" t="s">
        <v>4480</v>
      </c>
      <c r="D37" s="1485" t="s">
        <v>4481</v>
      </c>
      <c r="E37" s="1486">
        <v>46181</v>
      </c>
      <c r="F37" s="1485">
        <v>46181</v>
      </c>
      <c r="G37" s="1551">
        <f>VLOOKUP(F37,환율!A:B,2,0)</f>
        <v>1543</v>
      </c>
      <c r="H37" s="1552">
        <v>32248.080000000002</v>
      </c>
      <c r="I37" s="1487">
        <f t="shared" si="5"/>
        <v>49758787</v>
      </c>
      <c r="J37" s="1488">
        <f>I37</f>
        <v>49758787</v>
      </c>
      <c r="K37" s="1553"/>
      <c r="L37" s="1724"/>
      <c r="M37" s="1461"/>
      <c r="N37" s="1461"/>
      <c r="O37" s="1461"/>
      <c r="P37" s="1461"/>
      <c r="Q37" s="1462"/>
      <c r="R37" s="20"/>
    </row>
    <row r="38" spans="1:18" s="120" customFormat="1" ht="24" customHeight="1">
      <c r="A38" s="1554" t="s">
        <v>660</v>
      </c>
      <c r="B38" s="1555" t="s">
        <v>478</v>
      </c>
      <c r="C38" s="1556" t="s">
        <v>4634</v>
      </c>
      <c r="D38" s="1557" t="s">
        <v>4635</v>
      </c>
      <c r="E38" s="1558">
        <v>46184</v>
      </c>
      <c r="F38" s="1557">
        <v>46184</v>
      </c>
      <c r="G38" s="1559">
        <f>VLOOKUP(F38,환율!A:B,2,0)</f>
        <v>1522.4</v>
      </c>
      <c r="H38" s="1560">
        <v>45249.120000000003</v>
      </c>
      <c r="I38" s="1561">
        <f t="shared" si="5"/>
        <v>68887260</v>
      </c>
      <c r="J38" s="1561">
        <f>I38</f>
        <v>68887260</v>
      </c>
      <c r="K38" s="1562"/>
      <c r="L38" s="1724"/>
      <c r="M38" s="1461"/>
      <c r="N38" s="1461"/>
      <c r="O38" s="1461"/>
      <c r="P38" s="1461"/>
      <c r="Q38" s="1463"/>
      <c r="R38" s="20"/>
    </row>
    <row r="39" spans="1:18" s="120" customFormat="1" ht="24" customHeight="1">
      <c r="A39" s="1489" t="s">
        <v>698</v>
      </c>
      <c r="B39" s="1490" t="s">
        <v>4039</v>
      </c>
      <c r="C39" s="1563" t="s">
        <v>4636</v>
      </c>
      <c r="D39" s="1492" t="s">
        <v>4637</v>
      </c>
      <c r="E39" s="1493">
        <v>46185</v>
      </c>
      <c r="F39" s="1494">
        <v>46185</v>
      </c>
      <c r="G39" s="1564">
        <f>VLOOKUP(F39,환율!A:B,2,0)</f>
        <v>1527</v>
      </c>
      <c r="H39" s="1565">
        <v>57817.440000000002</v>
      </c>
      <c r="I39" s="1497">
        <f t="shared" si="5"/>
        <v>88287230</v>
      </c>
      <c r="J39" s="1498">
        <f>I39</f>
        <v>88287230</v>
      </c>
      <c r="K39" s="1499"/>
      <c r="L39" s="1724"/>
      <c r="M39" s="1461"/>
      <c r="N39" s="1461"/>
      <c r="O39" s="1461"/>
      <c r="P39" s="1461"/>
      <c r="Q39" s="1464"/>
      <c r="R39" s="20"/>
    </row>
    <row r="40" spans="1:18" s="120" customFormat="1" ht="24" customHeight="1">
      <c r="A40" s="1489" t="s">
        <v>698</v>
      </c>
      <c r="B40" s="1490" t="s">
        <v>4039</v>
      </c>
      <c r="C40" s="1563" t="s">
        <v>4797</v>
      </c>
      <c r="D40" s="1492" t="s">
        <v>4638</v>
      </c>
      <c r="E40" s="1493">
        <v>46184</v>
      </c>
      <c r="F40" s="1494">
        <v>46184</v>
      </c>
      <c r="G40" s="1564">
        <f>VLOOKUP(F40,환율!A:B,2,0)</f>
        <v>1522.4</v>
      </c>
      <c r="H40" s="1565">
        <v>60510.239999999998</v>
      </c>
      <c r="I40" s="1497">
        <f t="shared" si="5"/>
        <v>92120789</v>
      </c>
      <c r="J40" s="1498">
        <f t="shared" ref="J40:J45" si="8">I40</f>
        <v>92120789</v>
      </c>
      <c r="K40" s="1499"/>
      <c r="L40" s="1724"/>
      <c r="M40" s="1461"/>
      <c r="N40" s="1461"/>
      <c r="O40" s="1461"/>
      <c r="P40" s="1461"/>
      <c r="Q40" s="1464"/>
      <c r="R40" s="20"/>
    </row>
    <row r="41" spans="1:18" s="120" customFormat="1" ht="24" customHeight="1">
      <c r="A41" s="1489" t="s">
        <v>698</v>
      </c>
      <c r="B41" s="1490" t="s">
        <v>4039</v>
      </c>
      <c r="C41" s="1563" t="s">
        <v>4639</v>
      </c>
      <c r="D41" s="1492" t="s">
        <v>4640</v>
      </c>
      <c r="E41" s="1493">
        <v>46199</v>
      </c>
      <c r="F41" s="1494">
        <v>46199</v>
      </c>
      <c r="G41" s="1564">
        <f>VLOOKUP(F41,환율!A:B,2,0)</f>
        <v>1545.3</v>
      </c>
      <c r="H41" s="1565">
        <v>80845.919999999998</v>
      </c>
      <c r="I41" s="1497">
        <f t="shared" si="5"/>
        <v>124931200</v>
      </c>
      <c r="J41" s="1498">
        <f t="shared" si="8"/>
        <v>124931200</v>
      </c>
      <c r="K41" s="1499"/>
      <c r="L41" s="1724"/>
      <c r="M41" s="1461"/>
      <c r="N41" s="1461"/>
      <c r="O41" s="1461"/>
      <c r="P41" s="1461"/>
      <c r="Q41" s="1463"/>
      <c r="R41" s="20"/>
    </row>
    <row r="42" spans="1:18" s="120" customFormat="1" ht="24" customHeight="1">
      <c r="A42" s="1489" t="s">
        <v>698</v>
      </c>
      <c r="B42" s="1490" t="s">
        <v>4039</v>
      </c>
      <c r="C42" s="1563" t="s">
        <v>4641</v>
      </c>
      <c r="D42" s="1492" t="s">
        <v>4642</v>
      </c>
      <c r="E42" s="1493">
        <v>46203</v>
      </c>
      <c r="F42" s="1494">
        <v>46203</v>
      </c>
      <c r="G42" s="1564">
        <f>VLOOKUP(F42,환율!A:B,2,0)</f>
        <v>1541.5</v>
      </c>
      <c r="H42" s="1565">
        <v>23904.000000000004</v>
      </c>
      <c r="I42" s="1497">
        <f t="shared" si="5"/>
        <v>36848016</v>
      </c>
      <c r="J42" s="1498">
        <f t="shared" si="8"/>
        <v>36848016</v>
      </c>
      <c r="K42" s="1499"/>
      <c r="L42" s="1724"/>
      <c r="M42" s="1461"/>
      <c r="N42" s="1461"/>
      <c r="O42" s="1461"/>
      <c r="P42" s="1461"/>
      <c r="Q42" s="1463"/>
      <c r="R42" s="20"/>
    </row>
    <row r="43" spans="1:18" s="120" customFormat="1" ht="24" customHeight="1">
      <c r="A43" s="1489" t="s">
        <v>698</v>
      </c>
      <c r="B43" s="1490" t="s">
        <v>4039</v>
      </c>
      <c r="C43" s="1563" t="s">
        <v>4643</v>
      </c>
      <c r="D43" s="1492" t="s">
        <v>4644</v>
      </c>
      <c r="E43" s="1493">
        <v>46184</v>
      </c>
      <c r="F43" s="1494">
        <v>46184</v>
      </c>
      <c r="G43" s="1564">
        <f>VLOOKUP(F43,환율!A:B,2,0)</f>
        <v>1522.4</v>
      </c>
      <c r="H43" s="1565">
        <v>283.5</v>
      </c>
      <c r="I43" s="1497">
        <f t="shared" si="5"/>
        <v>431600</v>
      </c>
      <c r="J43" s="1498">
        <f t="shared" si="8"/>
        <v>431600</v>
      </c>
      <c r="K43" s="1499"/>
      <c r="L43" s="1724"/>
      <c r="M43" s="1461"/>
      <c r="N43" s="1461"/>
      <c r="O43" s="1461"/>
      <c r="P43" s="1461"/>
      <c r="Q43" s="1463"/>
      <c r="R43" s="20"/>
    </row>
    <row r="44" spans="1:18" s="120" customFormat="1" ht="24" customHeight="1">
      <c r="A44" s="1489" t="s">
        <v>698</v>
      </c>
      <c r="B44" s="1490" t="s">
        <v>4039</v>
      </c>
      <c r="C44" s="1563" t="s">
        <v>4645</v>
      </c>
      <c r="D44" s="1492" t="s">
        <v>4646</v>
      </c>
      <c r="E44" s="1493">
        <v>46184</v>
      </c>
      <c r="F44" s="1494">
        <v>46184</v>
      </c>
      <c r="G44" s="1564">
        <f>VLOOKUP(F44,환율!A:B,2,0)</f>
        <v>1522.4</v>
      </c>
      <c r="H44" s="1565">
        <v>448.35</v>
      </c>
      <c r="I44" s="1497">
        <f t="shared" si="5"/>
        <v>682568</v>
      </c>
      <c r="J44" s="1498">
        <f t="shared" si="8"/>
        <v>682568</v>
      </c>
      <c r="K44" s="1499"/>
      <c r="L44" s="1724"/>
      <c r="M44" s="1461"/>
      <c r="N44" s="1461"/>
      <c r="O44" s="1461"/>
      <c r="P44" s="1461"/>
      <c r="Q44" s="1463"/>
      <c r="R44" s="20"/>
    </row>
    <row r="45" spans="1:18" s="1040" customFormat="1" ht="24" customHeight="1">
      <c r="A45" s="1489" t="s">
        <v>698</v>
      </c>
      <c r="B45" s="1490" t="s">
        <v>4039</v>
      </c>
      <c r="C45" s="1563" t="s">
        <v>4647</v>
      </c>
      <c r="D45" s="1492" t="s">
        <v>4648</v>
      </c>
      <c r="E45" s="1493">
        <v>46184</v>
      </c>
      <c r="F45" s="1494">
        <v>46184</v>
      </c>
      <c r="G45" s="1564">
        <f>VLOOKUP(F45,환율!A:B,2,0)</f>
        <v>1522.4</v>
      </c>
      <c r="H45" s="1565">
        <v>573.22</v>
      </c>
      <c r="I45" s="1497">
        <f t="shared" si="5"/>
        <v>872670</v>
      </c>
      <c r="J45" s="1498">
        <f t="shared" si="8"/>
        <v>872670</v>
      </c>
      <c r="K45" s="1499"/>
      <c r="L45" s="1724"/>
      <c r="M45" s="1461"/>
      <c r="N45" s="1461"/>
      <c r="O45" s="1461"/>
      <c r="P45" s="1461"/>
      <c r="Q45" s="1463"/>
      <c r="R45" s="1457"/>
    </row>
    <row r="46" spans="1:18" s="120" customFormat="1" ht="24" customHeight="1" thickBot="1">
      <c r="A46" s="1566" t="s">
        <v>698</v>
      </c>
      <c r="B46" s="1567" t="s">
        <v>4039</v>
      </c>
      <c r="C46" s="1568" t="s">
        <v>4730</v>
      </c>
      <c r="D46" s="1569" t="s">
        <v>4731</v>
      </c>
      <c r="E46" s="1570">
        <v>46205</v>
      </c>
      <c r="F46" s="1569">
        <v>46205</v>
      </c>
      <c r="G46" s="1571">
        <f>VLOOKUP(F46,환율!A:B,2,0)</f>
        <v>1554.4</v>
      </c>
      <c r="H46" s="1572">
        <v>53019.360000000001</v>
      </c>
      <c r="I46" s="1573">
        <f>G46*H46</f>
        <v>82413293.184</v>
      </c>
      <c r="J46" s="1574"/>
      <c r="K46" s="1575">
        <f>I46</f>
        <v>82413293.184</v>
      </c>
      <c r="L46" s="1040"/>
      <c r="M46" s="1461"/>
      <c r="N46" s="1461"/>
      <c r="O46" s="1461"/>
      <c r="P46" s="1461"/>
      <c r="Q46" s="1463"/>
      <c r="R46" s="20"/>
    </row>
    <row r="47" spans="1:18" s="97" customFormat="1" ht="24" customHeight="1">
      <c r="A47" s="1540" t="s">
        <v>4042</v>
      </c>
      <c r="B47" s="1541" t="s">
        <v>478</v>
      </c>
      <c r="C47" s="1576" t="s">
        <v>4522</v>
      </c>
      <c r="D47" s="1577" t="s">
        <v>4523</v>
      </c>
      <c r="E47" s="1578">
        <v>46182</v>
      </c>
      <c r="F47" s="1577">
        <v>46182</v>
      </c>
      <c r="G47" s="1545">
        <f>VLOOKUP(F47,환율!A:B,2,0)</f>
        <v>1546.5</v>
      </c>
      <c r="H47" s="1546">
        <v>28908.799999999999</v>
      </c>
      <c r="I47" s="1547">
        <f t="shared" si="5"/>
        <v>44707459</v>
      </c>
      <c r="J47" s="1548">
        <f>I47</f>
        <v>44707459</v>
      </c>
      <c r="K47" s="1549"/>
      <c r="L47" s="1723" t="s">
        <v>4798</v>
      </c>
      <c r="M47" s="1461"/>
      <c r="N47" s="1461"/>
      <c r="O47" s="1461"/>
      <c r="P47" s="1461"/>
      <c r="Q47" s="1463"/>
      <c r="R47" s="34"/>
    </row>
    <row r="48" spans="1:18" s="97" customFormat="1" ht="24" customHeight="1">
      <c r="A48" s="1483" t="s">
        <v>4042</v>
      </c>
      <c r="B48" s="1484" t="s">
        <v>4039</v>
      </c>
      <c r="C48" s="1579" t="s">
        <v>4524</v>
      </c>
      <c r="D48" s="1580" t="s">
        <v>4525</v>
      </c>
      <c r="E48" s="1581">
        <v>46182</v>
      </c>
      <c r="F48" s="1580">
        <v>46182</v>
      </c>
      <c r="G48" s="1582">
        <f>VLOOKUP(F48,환율!A:B,2,0)</f>
        <v>1546.5</v>
      </c>
      <c r="H48" s="1583">
        <v>58101.24</v>
      </c>
      <c r="I48" s="1584">
        <f t="shared" ref="I48:I52" si="9">ROUNDDOWN(H48*G48,0)</f>
        <v>89853567</v>
      </c>
      <c r="J48" s="1585">
        <f t="shared" ref="J48:J52" si="10">I48</f>
        <v>89853567</v>
      </c>
      <c r="K48" s="1586"/>
      <c r="L48" s="1723"/>
      <c r="M48" s="1461"/>
      <c r="N48" s="1461"/>
      <c r="O48" s="1461"/>
      <c r="P48" s="1461"/>
      <c r="Q48" s="1463"/>
      <c r="R48" s="34"/>
    </row>
    <row r="49" spans="1:18" s="97" customFormat="1" ht="24" customHeight="1">
      <c r="A49" s="1483" t="s">
        <v>4042</v>
      </c>
      <c r="B49" s="1484" t="s">
        <v>4039</v>
      </c>
      <c r="C49" s="1579" t="s">
        <v>4526</v>
      </c>
      <c r="D49" s="1580" t="s">
        <v>4527</v>
      </c>
      <c r="E49" s="1581">
        <v>46182</v>
      </c>
      <c r="F49" s="1580">
        <v>46182</v>
      </c>
      <c r="G49" s="1582">
        <f>VLOOKUP(F49,환율!A:B,2,0)</f>
        <v>1546.5</v>
      </c>
      <c r="H49" s="1583">
        <v>62569.58</v>
      </c>
      <c r="I49" s="1584">
        <f t="shared" si="9"/>
        <v>96763855</v>
      </c>
      <c r="J49" s="1585">
        <f t="shared" si="10"/>
        <v>96763855</v>
      </c>
      <c r="K49" s="1586"/>
      <c r="L49" s="1723"/>
      <c r="M49" s="1461"/>
      <c r="N49" s="1461"/>
      <c r="O49" s="1461"/>
      <c r="P49" s="1461"/>
      <c r="Q49" s="1463"/>
      <c r="R49" s="34"/>
    </row>
    <row r="50" spans="1:18" s="97" customFormat="1" ht="24" customHeight="1">
      <c r="A50" s="1483" t="s">
        <v>4042</v>
      </c>
      <c r="B50" s="1484" t="s">
        <v>4039</v>
      </c>
      <c r="C50" s="1579" t="s">
        <v>4528</v>
      </c>
      <c r="D50" s="1580" t="s">
        <v>4529</v>
      </c>
      <c r="E50" s="1581">
        <v>46182</v>
      </c>
      <c r="F50" s="1580">
        <v>46182</v>
      </c>
      <c r="G50" s="1582">
        <f>VLOOKUP(F50,환율!A:B,2,0)</f>
        <v>1546.5</v>
      </c>
      <c r="H50" s="1583">
        <v>9173.8799999999992</v>
      </c>
      <c r="I50" s="1584">
        <f t="shared" si="9"/>
        <v>14187405</v>
      </c>
      <c r="J50" s="1585">
        <f t="shared" si="10"/>
        <v>14187405</v>
      </c>
      <c r="K50" s="1586"/>
      <c r="L50" s="1723"/>
      <c r="M50" s="1461"/>
      <c r="N50" s="1461"/>
      <c r="O50" s="1461"/>
      <c r="P50" s="1461"/>
      <c r="Q50" s="1463"/>
      <c r="R50" s="34"/>
    </row>
    <row r="51" spans="1:18" s="97" customFormat="1" ht="24" customHeight="1">
      <c r="A51" s="1483" t="s">
        <v>4042</v>
      </c>
      <c r="B51" s="1484" t="s">
        <v>4039</v>
      </c>
      <c r="C51" s="1579" t="s">
        <v>4530</v>
      </c>
      <c r="D51" s="1580" t="s">
        <v>4531</v>
      </c>
      <c r="E51" s="1581">
        <v>46185</v>
      </c>
      <c r="F51" s="1580">
        <v>46185</v>
      </c>
      <c r="G51" s="1582">
        <f>VLOOKUP(F51,환율!A:B,2,0)</f>
        <v>1527</v>
      </c>
      <c r="H51" s="1583">
        <v>81638.53</v>
      </c>
      <c r="I51" s="1584">
        <f t="shared" si="9"/>
        <v>124662035</v>
      </c>
      <c r="J51" s="1585">
        <f t="shared" si="10"/>
        <v>124662035</v>
      </c>
      <c r="K51" s="1586"/>
      <c r="L51" s="1723"/>
      <c r="M51" s="1461"/>
      <c r="N51" s="1461"/>
      <c r="O51" s="1461"/>
      <c r="P51" s="1461"/>
      <c r="Q51" s="1463"/>
      <c r="R51" s="34"/>
    </row>
    <row r="52" spans="1:18" s="97" customFormat="1" ht="24" customHeight="1">
      <c r="A52" s="1483" t="s">
        <v>4042</v>
      </c>
      <c r="B52" s="1484" t="s">
        <v>4039</v>
      </c>
      <c r="C52" s="1579" t="s">
        <v>4532</v>
      </c>
      <c r="D52" s="1580" t="s">
        <v>4533</v>
      </c>
      <c r="E52" s="1581">
        <v>46185</v>
      </c>
      <c r="F52" s="1580">
        <v>46185</v>
      </c>
      <c r="G52" s="1582">
        <f>VLOOKUP(F52,환율!A:B,2,0)</f>
        <v>1527</v>
      </c>
      <c r="H52" s="1583">
        <v>8988.16</v>
      </c>
      <c r="I52" s="1584">
        <f t="shared" si="9"/>
        <v>13724920</v>
      </c>
      <c r="J52" s="1585">
        <f t="shared" si="10"/>
        <v>13724920</v>
      </c>
      <c r="K52" s="1586"/>
      <c r="L52" s="1723"/>
      <c r="M52" s="1461"/>
      <c r="N52" s="1461"/>
      <c r="O52" s="1461"/>
      <c r="P52" s="1461"/>
      <c r="Q52" s="1463"/>
      <c r="R52" s="34"/>
    </row>
    <row r="53" spans="1:18" s="126" customFormat="1" ht="24" customHeight="1">
      <c r="A53" s="1500" t="s">
        <v>4042</v>
      </c>
      <c r="B53" s="1501" t="s">
        <v>4039</v>
      </c>
      <c r="C53" s="1491" t="s">
        <v>4799</v>
      </c>
      <c r="D53" s="1587" t="s">
        <v>4649</v>
      </c>
      <c r="E53" s="1527">
        <v>46184</v>
      </c>
      <c r="F53" s="1494">
        <v>46184</v>
      </c>
      <c r="G53" s="1588">
        <f>VLOOKUP(F53,환율!A:B,2,0)</f>
        <v>1522.4</v>
      </c>
      <c r="H53" s="1589">
        <v>49421.440000000002</v>
      </c>
      <c r="I53" s="1528">
        <f t="shared" si="5"/>
        <v>75239200</v>
      </c>
      <c r="J53" s="1504">
        <f t="shared" ref="J53:J68" si="11">I53</f>
        <v>75239200</v>
      </c>
      <c r="K53" s="1590"/>
      <c r="L53" s="1725"/>
      <c r="M53" s="1461"/>
      <c r="N53" s="1461"/>
      <c r="O53" s="1461"/>
      <c r="P53" s="1461"/>
      <c r="Q53" s="1463"/>
      <c r="R53" s="40"/>
    </row>
    <row r="54" spans="1:18" s="126" customFormat="1" ht="24" customHeight="1">
      <c r="A54" s="1500" t="s">
        <v>4042</v>
      </c>
      <c r="B54" s="1501" t="s">
        <v>4039</v>
      </c>
      <c r="C54" s="1491" t="s">
        <v>4650</v>
      </c>
      <c r="D54" s="1587" t="s">
        <v>4651</v>
      </c>
      <c r="E54" s="1527">
        <v>46185</v>
      </c>
      <c r="F54" s="1494">
        <v>46185</v>
      </c>
      <c r="G54" s="1588">
        <f>VLOOKUP(F54,환율!A:B,2,0)</f>
        <v>1527</v>
      </c>
      <c r="H54" s="1589">
        <v>51985.32</v>
      </c>
      <c r="I54" s="1528">
        <f t="shared" si="5"/>
        <v>79381583</v>
      </c>
      <c r="J54" s="1504">
        <f t="shared" si="11"/>
        <v>79381583</v>
      </c>
      <c r="K54" s="1590"/>
      <c r="L54" s="1725"/>
      <c r="M54" s="1461"/>
      <c r="N54" s="1461"/>
      <c r="O54" s="1461"/>
      <c r="P54" s="1461"/>
      <c r="Q54" s="1463"/>
      <c r="R54" s="40"/>
    </row>
    <row r="55" spans="1:18" s="126" customFormat="1" ht="24" customHeight="1">
      <c r="A55" s="1591" t="s">
        <v>4042</v>
      </c>
      <c r="B55" s="1592" t="s">
        <v>4039</v>
      </c>
      <c r="C55" s="1593" t="s">
        <v>4652</v>
      </c>
      <c r="D55" s="1587" t="s">
        <v>4653</v>
      </c>
      <c r="E55" s="1527">
        <v>46185</v>
      </c>
      <c r="F55" s="1494">
        <v>46185</v>
      </c>
      <c r="G55" s="1594">
        <f>VLOOKUP(F55,환율!A:B,2,0)</f>
        <v>1527</v>
      </c>
      <c r="H55" s="1589">
        <v>23407.84</v>
      </c>
      <c r="I55" s="1528">
        <f t="shared" si="5"/>
        <v>35743771</v>
      </c>
      <c r="J55" s="1528">
        <f t="shared" si="11"/>
        <v>35743771</v>
      </c>
      <c r="K55" s="1595"/>
      <c r="L55" s="1725"/>
      <c r="M55" s="1461"/>
      <c r="N55" s="1461"/>
      <c r="O55" s="1461"/>
      <c r="P55" s="1461"/>
      <c r="Q55" s="1463"/>
      <c r="R55" s="40"/>
    </row>
    <row r="56" spans="1:18" s="126" customFormat="1" ht="24" customHeight="1">
      <c r="A56" s="1500" t="s">
        <v>4042</v>
      </c>
      <c r="B56" s="1501" t="s">
        <v>4039</v>
      </c>
      <c r="C56" s="1491" t="s">
        <v>4654</v>
      </c>
      <c r="D56" s="1587" t="s">
        <v>4655</v>
      </c>
      <c r="E56" s="1527">
        <v>46194</v>
      </c>
      <c r="F56" s="1494">
        <v>46194</v>
      </c>
      <c r="G56" s="1594">
        <f>VLOOKUP(F56,환율!A:B,2,0)</f>
        <v>1523.4</v>
      </c>
      <c r="H56" s="1589">
        <v>5105.7</v>
      </c>
      <c r="I56" s="1528">
        <f t="shared" si="5"/>
        <v>7778023</v>
      </c>
      <c r="J56" s="1528">
        <f t="shared" si="11"/>
        <v>7778023</v>
      </c>
      <c r="K56" s="1590"/>
      <c r="L56" s="1725"/>
      <c r="M56" s="1461"/>
      <c r="N56" s="1461"/>
      <c r="O56" s="1461"/>
      <c r="P56" s="1461"/>
      <c r="Q56" s="1463"/>
      <c r="R56" s="40"/>
    </row>
    <row r="57" spans="1:18" s="126" customFormat="1" ht="24" customHeight="1">
      <c r="A57" s="1489" t="s">
        <v>4042</v>
      </c>
      <c r="B57" s="1490" t="s">
        <v>4039</v>
      </c>
      <c r="C57" s="1596" t="s">
        <v>4656</v>
      </c>
      <c r="D57" s="1494" t="s">
        <v>4657</v>
      </c>
      <c r="E57" s="1493">
        <v>46187</v>
      </c>
      <c r="F57" s="1494">
        <v>46187</v>
      </c>
      <c r="G57" s="1594">
        <f>VLOOKUP(F57,환율!A:B,2,0)</f>
        <v>1527</v>
      </c>
      <c r="H57" s="1565">
        <v>59630.22</v>
      </c>
      <c r="I57" s="1497">
        <f t="shared" si="5"/>
        <v>91055345</v>
      </c>
      <c r="J57" s="1504">
        <f t="shared" si="11"/>
        <v>91055345</v>
      </c>
      <c r="K57" s="1499"/>
      <c r="L57" s="1725"/>
      <c r="M57" s="1461"/>
      <c r="N57" s="1461"/>
      <c r="O57" s="1461"/>
      <c r="P57" s="1461"/>
      <c r="Q57" s="1463"/>
      <c r="R57" s="40"/>
    </row>
    <row r="58" spans="1:18" s="126" customFormat="1" ht="24" customHeight="1">
      <c r="A58" s="1489" t="s">
        <v>4042</v>
      </c>
      <c r="B58" s="1490" t="s">
        <v>4039</v>
      </c>
      <c r="C58" s="1596" t="s">
        <v>4658</v>
      </c>
      <c r="D58" s="1494" t="s">
        <v>4659</v>
      </c>
      <c r="E58" s="1493">
        <v>46185</v>
      </c>
      <c r="F58" s="1494">
        <v>46185</v>
      </c>
      <c r="G58" s="1594">
        <f>VLOOKUP(F58,환율!A:B,2,0)</f>
        <v>1527</v>
      </c>
      <c r="H58" s="1565">
        <v>5896.32</v>
      </c>
      <c r="I58" s="1497">
        <f t="shared" si="5"/>
        <v>9003680</v>
      </c>
      <c r="J58" s="1504">
        <f t="shared" si="11"/>
        <v>9003680</v>
      </c>
      <c r="K58" s="1499"/>
      <c r="L58" s="1725"/>
      <c r="M58" s="1461"/>
      <c r="N58" s="1461"/>
      <c r="O58" s="1461"/>
      <c r="P58" s="1461"/>
      <c r="Q58" s="1463"/>
      <c r="R58" s="40"/>
    </row>
    <row r="59" spans="1:18" s="126" customFormat="1" ht="24" customHeight="1">
      <c r="A59" s="1489" t="s">
        <v>4042</v>
      </c>
      <c r="B59" s="1490" t="s">
        <v>4039</v>
      </c>
      <c r="C59" s="1596" t="s">
        <v>4660</v>
      </c>
      <c r="D59" s="1596" t="s">
        <v>4661</v>
      </c>
      <c r="E59" s="1597">
        <v>46185</v>
      </c>
      <c r="F59" s="1494">
        <v>46185</v>
      </c>
      <c r="G59" s="1594">
        <f>VLOOKUP(F59,환율!A:B,2,0)</f>
        <v>1527</v>
      </c>
      <c r="H59" s="1565">
        <v>8988.16</v>
      </c>
      <c r="I59" s="1497">
        <f t="shared" si="5"/>
        <v>13724920</v>
      </c>
      <c r="J59" s="1504">
        <f t="shared" si="11"/>
        <v>13724920</v>
      </c>
      <c r="K59" s="1499"/>
      <c r="L59" s="1723" t="s">
        <v>4798</v>
      </c>
      <c r="M59" s="1461"/>
      <c r="N59" s="1461"/>
      <c r="O59" s="1461"/>
      <c r="P59" s="1461"/>
      <c r="Q59" s="1463"/>
      <c r="R59" s="40"/>
    </row>
    <row r="60" spans="1:18" s="126" customFormat="1" ht="24" customHeight="1">
      <c r="A60" s="1489" t="s">
        <v>4042</v>
      </c>
      <c r="B60" s="1490" t="s">
        <v>4039</v>
      </c>
      <c r="C60" s="1596" t="s">
        <v>4662</v>
      </c>
      <c r="D60" s="1494" t="s">
        <v>4663</v>
      </c>
      <c r="E60" s="1597">
        <v>46197</v>
      </c>
      <c r="F60" s="1494">
        <v>46197</v>
      </c>
      <c r="G60" s="1598">
        <f>VLOOKUP(F60,환율!A:B,2,0)</f>
        <v>1537.2</v>
      </c>
      <c r="H60" s="1565">
        <v>45590.2</v>
      </c>
      <c r="I60" s="1497">
        <f t="shared" si="5"/>
        <v>70081255</v>
      </c>
      <c r="J60" s="1498">
        <f t="shared" si="11"/>
        <v>70081255</v>
      </c>
      <c r="K60" s="1499"/>
      <c r="L60" s="1725"/>
      <c r="M60" s="1461"/>
      <c r="N60" s="1461"/>
      <c r="O60" s="1461"/>
      <c r="P60" s="1461"/>
      <c r="Q60" s="1463"/>
      <c r="R60" s="40"/>
    </row>
    <row r="61" spans="1:18" s="126" customFormat="1" ht="24" customHeight="1">
      <c r="A61" s="1489" t="s">
        <v>4042</v>
      </c>
      <c r="B61" s="1490" t="s">
        <v>4039</v>
      </c>
      <c r="C61" s="1596" t="s">
        <v>4664</v>
      </c>
      <c r="D61" s="1494" t="s">
        <v>4665</v>
      </c>
      <c r="E61" s="1597">
        <v>46194</v>
      </c>
      <c r="F61" s="1494">
        <v>46194</v>
      </c>
      <c r="G61" s="1594">
        <f>VLOOKUP(F61,환율!A:B,2,0)</f>
        <v>1523.4</v>
      </c>
      <c r="H61" s="1565">
        <v>111429.82</v>
      </c>
      <c r="I61" s="1497">
        <f t="shared" si="5"/>
        <v>169752187</v>
      </c>
      <c r="J61" s="1504">
        <f t="shared" si="11"/>
        <v>169752187</v>
      </c>
      <c r="K61" s="1499"/>
      <c r="L61" s="1725"/>
      <c r="M61" s="1461"/>
      <c r="N61" s="1461"/>
      <c r="O61" s="1461"/>
      <c r="P61" s="1461"/>
      <c r="Q61" s="1463"/>
      <c r="R61" s="40"/>
    </row>
    <row r="62" spans="1:18" s="126" customFormat="1" ht="24" customHeight="1">
      <c r="A62" s="1489" t="s">
        <v>4042</v>
      </c>
      <c r="B62" s="1490" t="s">
        <v>4039</v>
      </c>
      <c r="C62" s="1596" t="s">
        <v>4666</v>
      </c>
      <c r="D62" s="1494" t="s">
        <v>4667</v>
      </c>
      <c r="E62" s="1597">
        <v>46187</v>
      </c>
      <c r="F62" s="1494">
        <v>46187</v>
      </c>
      <c r="G62" s="1594">
        <f>VLOOKUP(F62,환율!A:B,2,0)</f>
        <v>1527</v>
      </c>
      <c r="H62" s="1565">
        <v>63268.800000000003</v>
      </c>
      <c r="I62" s="1497">
        <f t="shared" si="5"/>
        <v>96611457</v>
      </c>
      <c r="J62" s="1504">
        <f t="shared" si="11"/>
        <v>96611457</v>
      </c>
      <c r="K62" s="1499"/>
      <c r="L62" s="1725"/>
      <c r="M62" s="1461"/>
      <c r="N62" s="1461"/>
      <c r="O62" s="1461"/>
      <c r="P62" s="1461"/>
      <c r="Q62" s="1463"/>
      <c r="R62" s="40"/>
    </row>
    <row r="63" spans="1:18" s="126" customFormat="1" ht="24" customHeight="1">
      <c r="A63" s="1489" t="s">
        <v>4042</v>
      </c>
      <c r="B63" s="1490" t="s">
        <v>4039</v>
      </c>
      <c r="C63" s="1596" t="s">
        <v>4668</v>
      </c>
      <c r="D63" s="1599" t="s">
        <v>4669</v>
      </c>
      <c r="E63" s="1597">
        <v>46194</v>
      </c>
      <c r="F63" s="1494">
        <v>46194</v>
      </c>
      <c r="G63" s="1594">
        <f>VLOOKUP(F63,환율!A:B,2,0)</f>
        <v>1523.4</v>
      </c>
      <c r="H63" s="1565">
        <v>86768.639999999999</v>
      </c>
      <c r="I63" s="1497">
        <f t="shared" si="5"/>
        <v>132183346</v>
      </c>
      <c r="J63" s="1498">
        <f t="shared" si="11"/>
        <v>132183346</v>
      </c>
      <c r="K63" s="1499"/>
      <c r="L63" s="1725"/>
      <c r="M63" s="1461"/>
      <c r="N63" s="1461"/>
      <c r="O63" s="1461"/>
      <c r="P63" s="1461"/>
      <c r="Q63" s="1463"/>
      <c r="R63" s="40"/>
    </row>
    <row r="64" spans="1:18" s="126" customFormat="1" ht="24" customHeight="1">
      <c r="A64" s="1489" t="s">
        <v>4042</v>
      </c>
      <c r="B64" s="1490" t="s">
        <v>4039</v>
      </c>
      <c r="C64" s="1596" t="s">
        <v>4670</v>
      </c>
      <c r="D64" s="1494" t="s">
        <v>4671</v>
      </c>
      <c r="E64" s="1597">
        <v>46197</v>
      </c>
      <c r="F64" s="1494">
        <v>46197</v>
      </c>
      <c r="G64" s="1594">
        <f>VLOOKUP(F64,환율!A:B,2,0)</f>
        <v>1537.2</v>
      </c>
      <c r="H64" s="1565">
        <v>51212.46</v>
      </c>
      <c r="I64" s="1497">
        <f t="shared" si="5"/>
        <v>78723793</v>
      </c>
      <c r="J64" s="1498">
        <f t="shared" si="11"/>
        <v>78723793</v>
      </c>
      <c r="K64" s="1499"/>
      <c r="L64" s="1725"/>
      <c r="M64" s="1461"/>
      <c r="N64" s="1461"/>
      <c r="O64" s="1461"/>
      <c r="P64" s="1461"/>
      <c r="Q64" s="1463"/>
      <c r="R64" s="40"/>
    </row>
    <row r="65" spans="1:18" s="126" customFormat="1" ht="24" customHeight="1">
      <c r="A65" s="1489" t="s">
        <v>4042</v>
      </c>
      <c r="B65" s="1490" t="s">
        <v>4039</v>
      </c>
      <c r="C65" s="1596" t="s">
        <v>4672</v>
      </c>
      <c r="D65" s="1494" t="s">
        <v>4673</v>
      </c>
      <c r="E65" s="1597">
        <v>46203</v>
      </c>
      <c r="F65" s="1494">
        <v>46203</v>
      </c>
      <c r="G65" s="1594">
        <f>VLOOKUP(F65,환율!A:B,2,0)</f>
        <v>1541.5</v>
      </c>
      <c r="H65" s="1565">
        <v>97669</v>
      </c>
      <c r="I65" s="1497">
        <f t="shared" si="5"/>
        <v>150556763</v>
      </c>
      <c r="J65" s="1504">
        <f t="shared" si="11"/>
        <v>150556763</v>
      </c>
      <c r="K65" s="1499"/>
      <c r="L65" s="1725"/>
      <c r="M65" s="1461"/>
      <c r="N65" s="1461"/>
      <c r="O65" s="1461"/>
      <c r="P65" s="1461"/>
      <c r="Q65" s="1463"/>
      <c r="R65" s="40"/>
    </row>
    <row r="66" spans="1:18" s="126" customFormat="1" ht="24" customHeight="1">
      <c r="A66" s="1489" t="s">
        <v>4042</v>
      </c>
      <c r="B66" s="1490" t="s">
        <v>4039</v>
      </c>
      <c r="C66" s="1596" t="s">
        <v>4674</v>
      </c>
      <c r="D66" s="1494" t="s">
        <v>4675</v>
      </c>
      <c r="E66" s="1597">
        <v>46203</v>
      </c>
      <c r="F66" s="1494">
        <v>46203</v>
      </c>
      <c r="G66" s="1594">
        <f>VLOOKUP(F66,환율!A:B,2,0)</f>
        <v>1541.5</v>
      </c>
      <c r="H66" s="1565">
        <v>82919.199999999997</v>
      </c>
      <c r="I66" s="1497">
        <f t="shared" si="5"/>
        <v>127819946</v>
      </c>
      <c r="J66" s="1504">
        <f t="shared" si="11"/>
        <v>127819946</v>
      </c>
      <c r="K66" s="1499"/>
      <c r="L66" s="1725"/>
      <c r="M66" s="1461"/>
      <c r="N66" s="1461"/>
      <c r="O66" s="1461"/>
      <c r="P66" s="1461"/>
      <c r="Q66" s="1463"/>
      <c r="R66" s="40"/>
    </row>
    <row r="67" spans="1:18" s="126" customFormat="1" ht="24" customHeight="1">
      <c r="A67" s="1489" t="s">
        <v>4042</v>
      </c>
      <c r="B67" s="1490" t="s">
        <v>4039</v>
      </c>
      <c r="C67" s="1596" t="s">
        <v>4748</v>
      </c>
      <c r="D67" s="1494" t="s">
        <v>4749</v>
      </c>
      <c r="E67" s="1597">
        <v>46203</v>
      </c>
      <c r="F67" s="1494">
        <v>46202</v>
      </c>
      <c r="G67" s="1594">
        <v>1544.2</v>
      </c>
      <c r="H67" s="1565">
        <v>1528</v>
      </c>
      <c r="I67" s="1497">
        <f>ROUNDDOWN(G67*H67,0)</f>
        <v>2359537</v>
      </c>
      <c r="J67" s="1504">
        <f t="shared" si="11"/>
        <v>2359537</v>
      </c>
      <c r="K67" s="1499"/>
      <c r="L67" s="1725"/>
      <c r="M67" s="1461"/>
      <c r="N67" s="1461"/>
      <c r="O67" s="1461"/>
      <c r="P67" s="1461"/>
      <c r="Q67" s="1463"/>
      <c r="R67" s="40"/>
    </row>
    <row r="68" spans="1:18" s="126" customFormat="1" ht="24" customHeight="1">
      <c r="A68" s="1600" t="s">
        <v>4042</v>
      </c>
      <c r="B68" s="1601" t="s">
        <v>4039</v>
      </c>
      <c r="C68" s="1602" t="s">
        <v>4762</v>
      </c>
      <c r="D68" s="1603" t="s">
        <v>4763</v>
      </c>
      <c r="E68" s="1604">
        <v>46190</v>
      </c>
      <c r="F68" s="1603">
        <v>46189</v>
      </c>
      <c r="G68" s="1605">
        <f>VLOOKUP(F68,환율!A:B,2,0)</f>
        <v>1510</v>
      </c>
      <c r="H68" s="1606">
        <v>746.7</v>
      </c>
      <c r="I68" s="1607">
        <v>1127517</v>
      </c>
      <c r="J68" s="1608">
        <f t="shared" si="11"/>
        <v>1127517</v>
      </c>
      <c r="K68" s="1609"/>
      <c r="L68" s="1725"/>
      <c r="M68" s="1461"/>
      <c r="N68" s="1461"/>
      <c r="O68" s="1461"/>
      <c r="P68" s="1461"/>
      <c r="Q68" s="1463"/>
      <c r="R68" s="40"/>
    </row>
    <row r="69" spans="1:18" s="126" customFormat="1" ht="24" customHeight="1">
      <c r="A69" s="1566" t="s">
        <v>4042</v>
      </c>
      <c r="B69" s="1567" t="s">
        <v>4039</v>
      </c>
      <c r="C69" s="1610" t="s">
        <v>4732</v>
      </c>
      <c r="D69" s="1611" t="s">
        <v>4733</v>
      </c>
      <c r="E69" s="1570">
        <v>46204</v>
      </c>
      <c r="F69" s="1611">
        <v>46205</v>
      </c>
      <c r="G69" s="1612">
        <f>VLOOKUP(F69,환율!A:B,2,0)</f>
        <v>1554.4</v>
      </c>
      <c r="H69" s="1572">
        <v>19712</v>
      </c>
      <c r="I69" s="1573">
        <f t="shared" ref="I69:I76" si="12">ROUNDDOWN(G69*H69,0)</f>
        <v>30640332</v>
      </c>
      <c r="J69" s="1574"/>
      <c r="K69" s="1575">
        <f>I69</f>
        <v>30640332</v>
      </c>
      <c r="L69" s="1397"/>
      <c r="M69" s="1461"/>
      <c r="N69" s="1461"/>
      <c r="O69" s="1461"/>
      <c r="P69" s="1461"/>
      <c r="Q69" s="1463"/>
      <c r="R69" s="40"/>
    </row>
    <row r="70" spans="1:18" s="126" customFormat="1" ht="24" customHeight="1">
      <c r="A70" s="1566" t="s">
        <v>4042</v>
      </c>
      <c r="B70" s="1567" t="s">
        <v>4039</v>
      </c>
      <c r="C70" s="1610" t="s">
        <v>4734</v>
      </c>
      <c r="D70" s="1611" t="s">
        <v>4735</v>
      </c>
      <c r="E70" s="1570">
        <v>46204</v>
      </c>
      <c r="F70" s="1611">
        <v>46205</v>
      </c>
      <c r="G70" s="1612">
        <f>VLOOKUP(F70,환율!A:B,2,0)</f>
        <v>1554.4</v>
      </c>
      <c r="H70" s="1572">
        <v>58046.8</v>
      </c>
      <c r="I70" s="1573">
        <f t="shared" si="12"/>
        <v>90227945</v>
      </c>
      <c r="J70" s="1574"/>
      <c r="K70" s="1575">
        <f t="shared" ref="K70:K76" si="13">I70</f>
        <v>90227945</v>
      </c>
      <c r="L70" s="1397"/>
      <c r="M70" s="1461"/>
      <c r="N70" s="1461"/>
      <c r="O70" s="1461"/>
      <c r="P70" s="1461"/>
      <c r="Q70" s="1465"/>
      <c r="R70" s="40"/>
    </row>
    <row r="71" spans="1:18" s="126" customFormat="1" ht="24" customHeight="1">
      <c r="A71" s="1566" t="s">
        <v>4042</v>
      </c>
      <c r="B71" s="1567" t="s">
        <v>4039</v>
      </c>
      <c r="C71" s="1610" t="s">
        <v>4736</v>
      </c>
      <c r="D71" s="1611" t="s">
        <v>4737</v>
      </c>
      <c r="E71" s="1570">
        <v>46204</v>
      </c>
      <c r="F71" s="1611">
        <v>46204</v>
      </c>
      <c r="G71" s="1612">
        <f>VLOOKUP(F71,환율!A:B,2,0)</f>
        <v>1548.4</v>
      </c>
      <c r="H71" s="1572">
        <v>13760.82</v>
      </c>
      <c r="I71" s="1573">
        <f t="shared" si="12"/>
        <v>21307253</v>
      </c>
      <c r="J71" s="1574"/>
      <c r="K71" s="1575">
        <f t="shared" si="13"/>
        <v>21307253</v>
      </c>
      <c r="L71" s="1397"/>
      <c r="M71" s="1461"/>
      <c r="N71" s="1461"/>
      <c r="O71" s="1461"/>
      <c r="P71" s="1461"/>
      <c r="Q71" s="1466"/>
      <c r="R71" s="40"/>
    </row>
    <row r="72" spans="1:18" s="126" customFormat="1" ht="24" customHeight="1">
      <c r="A72" s="1566" t="s">
        <v>4042</v>
      </c>
      <c r="B72" s="1567" t="s">
        <v>4039</v>
      </c>
      <c r="C72" s="1610" t="s">
        <v>4738</v>
      </c>
      <c r="D72" s="1611" t="s">
        <v>4739</v>
      </c>
      <c r="E72" s="1570"/>
      <c r="F72" s="1611">
        <v>46204</v>
      </c>
      <c r="G72" s="1612">
        <f>VLOOKUP(F72,환율!A:B,2,0)</f>
        <v>1548.4</v>
      </c>
      <c r="H72" s="1572">
        <v>5619.06</v>
      </c>
      <c r="I72" s="1573">
        <f t="shared" si="12"/>
        <v>8700552</v>
      </c>
      <c r="J72" s="1574"/>
      <c r="K72" s="1575">
        <f t="shared" si="13"/>
        <v>8700552</v>
      </c>
      <c r="L72" s="1397"/>
      <c r="M72" s="1461"/>
      <c r="N72" s="1461"/>
      <c r="O72" s="1461"/>
      <c r="P72" s="1461"/>
      <c r="Q72" s="1466"/>
      <c r="R72" s="40"/>
    </row>
    <row r="73" spans="1:18" s="126" customFormat="1" ht="24" customHeight="1">
      <c r="A73" s="1566" t="s">
        <v>4042</v>
      </c>
      <c r="B73" s="1567" t="s">
        <v>4039</v>
      </c>
      <c r="C73" s="1610" t="s">
        <v>4740</v>
      </c>
      <c r="D73" s="1611" t="s">
        <v>4741</v>
      </c>
      <c r="E73" s="1570"/>
      <c r="F73" s="1611">
        <v>46204</v>
      </c>
      <c r="G73" s="1612">
        <f>VLOOKUP(F73,환율!A:B,2,0)</f>
        <v>1548.4</v>
      </c>
      <c r="H73" s="1572">
        <v>12912</v>
      </c>
      <c r="I73" s="1573">
        <f t="shared" si="12"/>
        <v>19992940</v>
      </c>
      <c r="J73" s="1574"/>
      <c r="K73" s="1575">
        <f t="shared" si="13"/>
        <v>19992940</v>
      </c>
      <c r="L73" s="1397"/>
      <c r="M73" s="1461"/>
      <c r="N73" s="1461"/>
      <c r="O73" s="1461"/>
      <c r="P73" s="1461"/>
      <c r="Q73" s="1466"/>
      <c r="R73" s="40"/>
    </row>
    <row r="74" spans="1:18" s="126" customFormat="1" ht="24" customHeight="1">
      <c r="A74" s="1566" t="s">
        <v>4042</v>
      </c>
      <c r="B74" s="1567" t="s">
        <v>4039</v>
      </c>
      <c r="C74" s="1610" t="s">
        <v>4742</v>
      </c>
      <c r="D74" s="1611" t="s">
        <v>4743</v>
      </c>
      <c r="E74" s="1570"/>
      <c r="F74" s="1611">
        <v>46204</v>
      </c>
      <c r="G74" s="1612">
        <f>VLOOKUP(F74,환율!A:B,2,0)</f>
        <v>1548.4</v>
      </c>
      <c r="H74" s="1572">
        <v>157930.07999999999</v>
      </c>
      <c r="I74" s="1573">
        <f t="shared" si="12"/>
        <v>244538935</v>
      </c>
      <c r="J74" s="1574"/>
      <c r="K74" s="1575">
        <f t="shared" si="13"/>
        <v>244538935</v>
      </c>
      <c r="L74" s="1397"/>
      <c r="M74" s="1461"/>
      <c r="N74" s="1461"/>
      <c r="O74" s="1461"/>
      <c r="P74" s="1461"/>
      <c r="Q74" s="1466"/>
      <c r="R74" s="40"/>
    </row>
    <row r="75" spans="1:18" s="126" customFormat="1" ht="24" customHeight="1">
      <c r="A75" s="1566" t="s">
        <v>4042</v>
      </c>
      <c r="B75" s="1567" t="s">
        <v>4039</v>
      </c>
      <c r="C75" s="1610" t="s">
        <v>4744</v>
      </c>
      <c r="D75" s="1611" t="s">
        <v>4745</v>
      </c>
      <c r="E75" s="1570"/>
      <c r="F75" s="1611">
        <v>46204</v>
      </c>
      <c r="G75" s="1612">
        <f>VLOOKUP(F75,환율!A:B,2,0)</f>
        <v>1548.4</v>
      </c>
      <c r="H75" s="1572">
        <v>37629.199999999997</v>
      </c>
      <c r="I75" s="1573">
        <f t="shared" si="12"/>
        <v>58265053</v>
      </c>
      <c r="J75" s="1574"/>
      <c r="K75" s="1575">
        <f t="shared" si="13"/>
        <v>58265053</v>
      </c>
      <c r="L75" s="1397"/>
      <c r="M75" s="1461"/>
      <c r="N75" s="1461"/>
      <c r="O75" s="1461"/>
      <c r="P75" s="1461"/>
      <c r="Q75" s="1466"/>
      <c r="R75" s="40"/>
    </row>
    <row r="76" spans="1:18" s="126" customFormat="1" ht="24" customHeight="1" thickBot="1">
      <c r="A76" s="1566" t="s">
        <v>4042</v>
      </c>
      <c r="B76" s="1567" t="s">
        <v>4039</v>
      </c>
      <c r="C76" s="1610" t="s">
        <v>4746</v>
      </c>
      <c r="D76" s="1611" t="s">
        <v>4747</v>
      </c>
      <c r="E76" s="1570"/>
      <c r="F76" s="1611">
        <v>46204</v>
      </c>
      <c r="G76" s="1612">
        <f>VLOOKUP(F76,환율!A:B,2,0)</f>
        <v>1548.4</v>
      </c>
      <c r="H76" s="1572">
        <v>51147.72</v>
      </c>
      <c r="I76" s="1573">
        <f t="shared" si="12"/>
        <v>79197129</v>
      </c>
      <c r="J76" s="1574"/>
      <c r="K76" s="1575">
        <f t="shared" si="13"/>
        <v>79197129</v>
      </c>
      <c r="L76" s="1397"/>
      <c r="M76" s="1461"/>
      <c r="N76" s="1461"/>
      <c r="O76" s="1461"/>
      <c r="P76" s="1461"/>
      <c r="Q76" s="1466"/>
      <c r="R76" s="40"/>
    </row>
    <row r="77" spans="1:18" s="97" customFormat="1" ht="24" customHeight="1">
      <c r="A77" s="1613" t="s">
        <v>4040</v>
      </c>
      <c r="B77" s="1614" t="s">
        <v>4039</v>
      </c>
      <c r="C77" s="1615" t="s">
        <v>4589</v>
      </c>
      <c r="D77" s="1615" t="s">
        <v>4590</v>
      </c>
      <c r="E77" s="1578">
        <v>46175</v>
      </c>
      <c r="F77" s="1577">
        <v>46175</v>
      </c>
      <c r="G77" s="1616">
        <f>VLOOKUP(F77,환율!A:B,2,0)</f>
        <v>1511.3</v>
      </c>
      <c r="H77" s="1546">
        <v>47806.92</v>
      </c>
      <c r="I77" s="1547">
        <f t="shared" si="5"/>
        <v>72250598</v>
      </c>
      <c r="J77" s="1547">
        <f>I77</f>
        <v>72250598</v>
      </c>
      <c r="K77" s="1617"/>
      <c r="L77" s="1723" t="s">
        <v>4798</v>
      </c>
      <c r="M77" s="1461"/>
      <c r="N77" s="1461"/>
      <c r="O77" s="1461"/>
      <c r="P77" s="1461"/>
      <c r="Q77" s="1466"/>
      <c r="R77" s="34"/>
    </row>
    <row r="78" spans="1:18" s="718" customFormat="1" ht="24" customHeight="1">
      <c r="A78" s="1489" t="s">
        <v>4040</v>
      </c>
      <c r="B78" s="1490" t="s">
        <v>478</v>
      </c>
      <c r="C78" s="1618" t="s">
        <v>4676</v>
      </c>
      <c r="D78" s="1618" t="s">
        <v>4677</v>
      </c>
      <c r="E78" s="1619">
        <v>46187</v>
      </c>
      <c r="F78" s="1620">
        <v>46186</v>
      </c>
      <c r="G78" s="1564">
        <f>VLOOKUP(F78,환율!A:B,2,0)</f>
        <v>1527</v>
      </c>
      <c r="H78" s="1621">
        <v>46719.360000000001</v>
      </c>
      <c r="I78" s="1497">
        <f t="shared" si="5"/>
        <v>71340462</v>
      </c>
      <c r="J78" s="1498">
        <f t="shared" ref="J78" si="14">I78</f>
        <v>71340462</v>
      </c>
      <c r="K78" s="1622"/>
      <c r="L78" s="1723"/>
      <c r="M78" s="1461"/>
      <c r="N78" s="1461"/>
      <c r="O78" s="1461"/>
      <c r="P78" s="1461"/>
      <c r="Q78" s="1466"/>
      <c r="R78" s="1458"/>
    </row>
    <row r="79" spans="1:18" s="718" customFormat="1" ht="24" customHeight="1">
      <c r="A79" s="1489" t="s">
        <v>4040</v>
      </c>
      <c r="B79" s="1490" t="s">
        <v>478</v>
      </c>
      <c r="C79" s="1618" t="s">
        <v>4678</v>
      </c>
      <c r="D79" s="1618" t="s">
        <v>4679</v>
      </c>
      <c r="E79" s="1619">
        <v>46196</v>
      </c>
      <c r="F79" s="1620">
        <v>46196</v>
      </c>
      <c r="G79" s="1564">
        <f>VLOOKUP(F79,환율!A:B,2,0)</f>
        <v>1535.7</v>
      </c>
      <c r="H79" s="1621">
        <v>114202.08</v>
      </c>
      <c r="I79" s="1497">
        <f t="shared" ref="I79:I85" si="15">ROUNDDOWN(H79*G79,0)</f>
        <v>175380134</v>
      </c>
      <c r="J79" s="1498">
        <f t="shared" ref="J79" si="16">I79</f>
        <v>175380134</v>
      </c>
      <c r="K79" s="1622"/>
      <c r="L79" s="1723"/>
      <c r="M79" s="1461"/>
      <c r="N79" s="1461"/>
      <c r="O79" s="1461"/>
      <c r="P79" s="1461"/>
      <c r="Q79" s="1466"/>
      <c r="R79" s="1458"/>
    </row>
    <row r="80" spans="1:18" s="718" customFormat="1" ht="24" customHeight="1" thickBot="1">
      <c r="A80" s="1566" t="s">
        <v>4040</v>
      </c>
      <c r="B80" s="1567" t="s">
        <v>478</v>
      </c>
      <c r="C80" s="1623" t="s">
        <v>4750</v>
      </c>
      <c r="D80" s="1623" t="s">
        <v>4751</v>
      </c>
      <c r="E80" s="1624"/>
      <c r="F80" s="1625">
        <v>46205</v>
      </c>
      <c r="G80" s="1571">
        <f>VLOOKUP(F80,환율!A:B,2,0)</f>
        <v>1554.4</v>
      </c>
      <c r="H80" s="1626">
        <v>62645.4</v>
      </c>
      <c r="I80" s="1573">
        <f t="shared" si="5"/>
        <v>97376009</v>
      </c>
      <c r="J80" s="1574"/>
      <c r="K80" s="1627">
        <f>I80</f>
        <v>97376009</v>
      </c>
      <c r="M80" s="1461"/>
      <c r="N80" s="1461"/>
      <c r="O80" s="1461"/>
      <c r="P80" s="1461"/>
      <c r="Q80" s="1466"/>
      <c r="R80" s="1458"/>
    </row>
    <row r="81" spans="1:18" s="97" customFormat="1" ht="24" customHeight="1">
      <c r="A81" s="1628" t="s">
        <v>4045</v>
      </c>
      <c r="B81" s="1629" t="s">
        <v>478</v>
      </c>
      <c r="C81" s="1630" t="s">
        <v>4563</v>
      </c>
      <c r="D81" s="1630" t="s">
        <v>4564</v>
      </c>
      <c r="E81" s="1631">
        <v>46175</v>
      </c>
      <c r="F81" s="1632">
        <v>46175</v>
      </c>
      <c r="G81" s="1633">
        <v>1350</v>
      </c>
      <c r="H81" s="1634">
        <v>14568.208148148147</v>
      </c>
      <c r="I81" s="1635">
        <f>ROUNDDOWN(H81*G81,0)</f>
        <v>19667081</v>
      </c>
      <c r="J81" s="1636">
        <f t="shared" ref="J81:J82" si="17">I81</f>
        <v>19667081</v>
      </c>
      <c r="K81" s="1637"/>
      <c r="L81" s="1723" t="s">
        <v>4800</v>
      </c>
      <c r="M81" s="1461"/>
      <c r="N81" s="1461"/>
      <c r="O81" s="1461"/>
      <c r="P81" s="1461"/>
      <c r="Q81" s="1466"/>
      <c r="R81" s="34"/>
    </row>
    <row r="82" spans="1:18" s="97" customFormat="1" ht="24" customHeight="1">
      <c r="A82" s="1483" t="s">
        <v>4044</v>
      </c>
      <c r="B82" s="1484" t="s">
        <v>4632</v>
      </c>
      <c r="C82" s="1638" t="s">
        <v>4562</v>
      </c>
      <c r="D82" s="1638" t="s">
        <v>4680</v>
      </c>
      <c r="E82" s="1639">
        <v>46187</v>
      </c>
      <c r="F82" s="1640">
        <v>46187</v>
      </c>
      <c r="G82" s="1641">
        <v>1350</v>
      </c>
      <c r="H82" s="1642">
        <v>98388.299259259264</v>
      </c>
      <c r="I82" s="1487">
        <f t="shared" si="15"/>
        <v>132824204</v>
      </c>
      <c r="J82" s="1488">
        <f t="shared" si="17"/>
        <v>132824204</v>
      </c>
      <c r="K82" s="1553"/>
      <c r="L82" s="1723"/>
      <c r="M82" s="1461"/>
      <c r="N82" s="1461"/>
      <c r="O82" s="1461"/>
      <c r="P82" s="1461"/>
      <c r="Q82" s="1466"/>
      <c r="R82" s="34"/>
    </row>
    <row r="83" spans="1:18" s="97" customFormat="1" ht="24" customHeight="1">
      <c r="A83" s="1489" t="s">
        <v>4044</v>
      </c>
      <c r="B83" s="1490" t="s">
        <v>4039</v>
      </c>
      <c r="C83" s="1643" t="s">
        <v>4681</v>
      </c>
      <c r="D83" s="1643" t="s">
        <v>4682</v>
      </c>
      <c r="E83" s="1493">
        <v>46189</v>
      </c>
      <c r="F83" s="1492">
        <v>46189</v>
      </c>
      <c r="G83" s="1564">
        <v>1350</v>
      </c>
      <c r="H83" s="1644">
        <v>37449.263703703698</v>
      </c>
      <c r="I83" s="1645">
        <f t="shared" si="15"/>
        <v>50556506</v>
      </c>
      <c r="J83" s="1498">
        <f t="shared" ref="J83:J85" si="18">I83</f>
        <v>50556506</v>
      </c>
      <c r="K83" s="1499"/>
      <c r="L83" s="1723"/>
      <c r="M83" s="1461"/>
      <c r="N83" s="1461"/>
      <c r="O83" s="1461"/>
      <c r="P83" s="1461"/>
      <c r="Q83" s="1466"/>
      <c r="R83" s="34"/>
    </row>
    <row r="84" spans="1:18" s="97" customFormat="1" ht="24" customHeight="1">
      <c r="A84" s="1489" t="s">
        <v>4044</v>
      </c>
      <c r="B84" s="1490" t="s">
        <v>4039</v>
      </c>
      <c r="C84" s="1643" t="s">
        <v>4683</v>
      </c>
      <c r="D84" s="1643" t="s">
        <v>4684</v>
      </c>
      <c r="E84" s="1493">
        <v>46195</v>
      </c>
      <c r="F84" s="1492">
        <v>46195</v>
      </c>
      <c r="G84" s="1564">
        <v>1350</v>
      </c>
      <c r="H84" s="1644">
        <v>45398.850370370368</v>
      </c>
      <c r="I84" s="1645">
        <f t="shared" si="15"/>
        <v>61288448</v>
      </c>
      <c r="J84" s="1498">
        <f t="shared" si="18"/>
        <v>61288448</v>
      </c>
      <c r="K84" s="1499"/>
      <c r="L84" s="1723"/>
      <c r="M84" s="1461"/>
      <c r="N84" s="1461"/>
      <c r="O84" s="1461"/>
      <c r="P84" s="1461"/>
      <c r="Q84" s="1466"/>
      <c r="R84" s="34"/>
    </row>
    <row r="85" spans="1:18" s="97" customFormat="1" ht="24" customHeight="1">
      <c r="A85" s="1489" t="s">
        <v>4044</v>
      </c>
      <c r="B85" s="1490" t="s">
        <v>4039</v>
      </c>
      <c r="C85" s="1643" t="s">
        <v>4685</v>
      </c>
      <c r="D85" s="1643" t="s">
        <v>4686</v>
      </c>
      <c r="E85" s="1493">
        <v>46197</v>
      </c>
      <c r="F85" s="1492">
        <v>46197</v>
      </c>
      <c r="G85" s="1564">
        <v>1350</v>
      </c>
      <c r="H85" s="1644">
        <v>13649.542222222222</v>
      </c>
      <c r="I85" s="1645">
        <f t="shared" si="15"/>
        <v>18426882</v>
      </c>
      <c r="J85" s="1498">
        <f t="shared" si="18"/>
        <v>18426882</v>
      </c>
      <c r="K85" s="1499"/>
      <c r="L85" s="1723"/>
      <c r="M85" s="1461"/>
      <c r="N85" s="1461"/>
      <c r="O85" s="1461"/>
      <c r="P85" s="1461"/>
      <c r="Q85" s="1466"/>
      <c r="R85" s="34"/>
    </row>
    <row r="86" spans="1:18" s="97" customFormat="1" ht="24" customHeight="1" thickBot="1">
      <c r="A86" s="1646" t="s">
        <v>4045</v>
      </c>
      <c r="B86" s="1647" t="s">
        <v>4039</v>
      </c>
      <c r="C86" s="1648" t="s">
        <v>4752</v>
      </c>
      <c r="D86" s="1649" t="s">
        <v>4753</v>
      </c>
      <c r="E86" s="1650"/>
      <c r="F86" s="1649">
        <v>46204</v>
      </c>
      <c r="G86" s="1651">
        <v>1350</v>
      </c>
      <c r="H86" s="1652">
        <v>33574.454074074078</v>
      </c>
      <c r="I86" s="1653">
        <f>G86*H86</f>
        <v>45325513.000000007</v>
      </c>
      <c r="J86" s="1654"/>
      <c r="K86" s="1655">
        <f>I86</f>
        <v>45325513.000000007</v>
      </c>
      <c r="L86" s="718"/>
      <c r="M86" s="1461"/>
      <c r="N86" s="1461"/>
      <c r="O86" s="1461"/>
      <c r="P86" s="1461"/>
      <c r="Q86" s="1466"/>
      <c r="R86" s="34"/>
    </row>
    <row r="87" spans="1:18" s="120" customFormat="1" ht="24" customHeight="1">
      <c r="A87" s="1554" t="s">
        <v>4725</v>
      </c>
      <c r="B87" s="1555" t="s">
        <v>4046</v>
      </c>
      <c r="C87" s="1656" t="s">
        <v>4726</v>
      </c>
      <c r="D87" s="1557" t="s">
        <v>4728</v>
      </c>
      <c r="E87" s="1558">
        <v>46186</v>
      </c>
      <c r="F87" s="1557">
        <v>46186</v>
      </c>
      <c r="G87" s="1559">
        <f>VLOOKUP(F87,환율!A:B,2,0)</f>
        <v>1527</v>
      </c>
      <c r="H87" s="1644">
        <v>389516.48</v>
      </c>
      <c r="I87" s="1561">
        <f t="shared" ref="I87:I127" si="19">ROUNDDOWN(H87*G87,0)</f>
        <v>594791664</v>
      </c>
      <c r="J87" s="1561">
        <f t="shared" ref="J87:J102" si="20">I87</f>
        <v>594791664</v>
      </c>
      <c r="K87" s="1562"/>
      <c r="L87" s="1724" t="s">
        <v>4801</v>
      </c>
      <c r="M87" s="1461"/>
      <c r="N87" s="1461"/>
      <c r="O87" s="1461"/>
      <c r="P87" s="1461"/>
      <c r="Q87" s="1466"/>
      <c r="R87" s="20"/>
    </row>
    <row r="88" spans="1:18" s="120" customFormat="1" ht="24" customHeight="1">
      <c r="A88" s="1489" t="s">
        <v>29</v>
      </c>
      <c r="B88" s="1555" t="s">
        <v>4046</v>
      </c>
      <c r="C88" s="1556" t="s">
        <v>4716</v>
      </c>
      <c r="D88" s="1556" t="s">
        <v>4772</v>
      </c>
      <c r="E88" s="1493">
        <v>46193</v>
      </c>
      <c r="F88" s="1557">
        <v>46193</v>
      </c>
      <c r="G88" s="1559">
        <f>VLOOKUP(F88,환율!A:B,2,0)</f>
        <v>1523.4</v>
      </c>
      <c r="H88" s="1644">
        <v>396353.47999999992</v>
      </c>
      <c r="I88" s="1561">
        <f t="shared" si="19"/>
        <v>603804891</v>
      </c>
      <c r="J88" s="1561">
        <f t="shared" si="20"/>
        <v>603804891</v>
      </c>
      <c r="K88" s="1562"/>
      <c r="L88" s="1724"/>
      <c r="M88" s="1461"/>
      <c r="N88" s="1461"/>
      <c r="O88" s="1461"/>
      <c r="P88" s="1461"/>
      <c r="Q88" s="1466"/>
      <c r="R88" s="20"/>
    </row>
    <row r="89" spans="1:18" s="120" customFormat="1" ht="24" customHeight="1">
      <c r="A89" s="1657" t="s">
        <v>29</v>
      </c>
      <c r="B89" s="1658" t="s">
        <v>4046</v>
      </c>
      <c r="C89" s="1643" t="s">
        <v>4717</v>
      </c>
      <c r="D89" s="1643" t="s">
        <v>4729</v>
      </c>
      <c r="E89" s="1493">
        <v>46199</v>
      </c>
      <c r="F89" s="1494">
        <v>46200</v>
      </c>
      <c r="G89" s="1598">
        <f>VLOOKUP(F89,환율!A:B,2,0)</f>
        <v>1545.3</v>
      </c>
      <c r="H89" s="1565">
        <v>398307.88</v>
      </c>
      <c r="I89" s="1497">
        <f t="shared" si="19"/>
        <v>615505166</v>
      </c>
      <c r="J89" s="1497">
        <f t="shared" si="20"/>
        <v>615505166</v>
      </c>
      <c r="K89" s="1659"/>
      <c r="L89" s="1724"/>
      <c r="M89" s="1461"/>
      <c r="N89" s="1461"/>
      <c r="O89" s="1461"/>
      <c r="P89" s="1461"/>
      <c r="Q89" s="1466"/>
      <c r="R89" s="20"/>
    </row>
    <row r="90" spans="1:18" s="1040" customFormat="1" ht="24" customHeight="1">
      <c r="A90" s="1657" t="s">
        <v>29</v>
      </c>
      <c r="B90" s="1658" t="s">
        <v>4046</v>
      </c>
      <c r="C90" s="1643" t="s">
        <v>4718</v>
      </c>
      <c r="D90" s="1643" t="s">
        <v>4773</v>
      </c>
      <c r="E90" s="1493">
        <v>46201</v>
      </c>
      <c r="F90" s="1494">
        <v>46201</v>
      </c>
      <c r="G90" s="1598">
        <f>VLOOKUP(F90,환율!A:B,2,0)</f>
        <v>1545.3</v>
      </c>
      <c r="H90" s="1565">
        <v>27636.48</v>
      </c>
      <c r="I90" s="1497">
        <f t="shared" si="19"/>
        <v>42706652</v>
      </c>
      <c r="J90" s="1497">
        <f t="shared" si="20"/>
        <v>42706652</v>
      </c>
      <c r="K90" s="1660"/>
      <c r="L90" s="1724"/>
      <c r="M90" s="1461"/>
      <c r="N90" s="1461"/>
      <c r="O90" s="1461"/>
      <c r="P90" s="1461"/>
      <c r="Q90" s="1466"/>
      <c r="R90" s="1457"/>
    </row>
    <row r="91" spans="1:18" s="1040" customFormat="1" ht="24" customHeight="1">
      <c r="A91" s="1657" t="s">
        <v>664</v>
      </c>
      <c r="B91" s="1658" t="s">
        <v>4046</v>
      </c>
      <c r="C91" s="1643" t="s">
        <v>4727</v>
      </c>
      <c r="D91" s="1643" t="s">
        <v>4774</v>
      </c>
      <c r="E91" s="1493">
        <v>46180</v>
      </c>
      <c r="F91" s="1494">
        <v>46179</v>
      </c>
      <c r="G91" s="1598">
        <f>VLOOKUP(F91,환율!A:B,2,0)</f>
        <v>1528.6</v>
      </c>
      <c r="H91" s="1565">
        <v>26713.439999999999</v>
      </c>
      <c r="I91" s="1497">
        <f t="shared" si="19"/>
        <v>40834164</v>
      </c>
      <c r="J91" s="1497">
        <f t="shared" si="20"/>
        <v>40834164</v>
      </c>
      <c r="K91" s="1660"/>
      <c r="L91" s="1724"/>
      <c r="M91" s="1461"/>
      <c r="N91" s="1461"/>
      <c r="O91" s="1461"/>
      <c r="P91" s="1461"/>
      <c r="Q91" s="1466"/>
      <c r="R91" s="1457"/>
    </row>
    <row r="92" spans="1:18" s="1040" customFormat="1" ht="24" customHeight="1">
      <c r="A92" s="1657" t="s">
        <v>664</v>
      </c>
      <c r="B92" s="1658" t="s">
        <v>4046</v>
      </c>
      <c r="C92" s="1643" t="s">
        <v>4719</v>
      </c>
      <c r="D92" s="1643" t="s">
        <v>4775</v>
      </c>
      <c r="E92" s="1493">
        <v>46180</v>
      </c>
      <c r="F92" s="1494">
        <v>46179</v>
      </c>
      <c r="G92" s="1598">
        <f>VLOOKUP(F92,환율!A:B,2,0)</f>
        <v>1528.6</v>
      </c>
      <c r="H92" s="1565">
        <v>17808.96</v>
      </c>
      <c r="I92" s="1497">
        <f t="shared" ref="I92:I94" si="21">ROUNDDOWN(H92*G92,0)</f>
        <v>27222776</v>
      </c>
      <c r="J92" s="1497">
        <f t="shared" ref="J92:J94" si="22">I92</f>
        <v>27222776</v>
      </c>
      <c r="K92" s="1660"/>
      <c r="L92" s="1724"/>
      <c r="M92" s="1461"/>
      <c r="N92" s="1461"/>
      <c r="O92" s="1461"/>
      <c r="P92" s="1461"/>
      <c r="Q92" s="1466"/>
      <c r="R92" s="1457"/>
    </row>
    <row r="93" spans="1:18" s="1040" customFormat="1" ht="24" customHeight="1">
      <c r="A93" s="1657" t="s">
        <v>664</v>
      </c>
      <c r="B93" s="1658" t="s">
        <v>4046</v>
      </c>
      <c r="C93" s="1643" t="s">
        <v>4720</v>
      </c>
      <c r="D93" s="1643" t="s">
        <v>4776</v>
      </c>
      <c r="E93" s="1493">
        <v>46185</v>
      </c>
      <c r="F93" s="1494">
        <v>46184</v>
      </c>
      <c r="G93" s="1598">
        <f>VLOOKUP(F93,환율!A:B,2,0)</f>
        <v>1522.4</v>
      </c>
      <c r="H93" s="1565">
        <v>17808.96</v>
      </c>
      <c r="I93" s="1497">
        <f t="shared" si="21"/>
        <v>27112360</v>
      </c>
      <c r="J93" s="1497">
        <f t="shared" si="22"/>
        <v>27112360</v>
      </c>
      <c r="K93" s="1660"/>
      <c r="L93" s="1724"/>
      <c r="M93" s="1461"/>
      <c r="N93" s="1461"/>
      <c r="O93" s="1461"/>
      <c r="P93" s="1461"/>
      <c r="Q93" s="1466"/>
      <c r="R93" s="1457"/>
    </row>
    <row r="94" spans="1:18" s="1040" customFormat="1" ht="24" customHeight="1">
      <c r="A94" s="1657" t="s">
        <v>664</v>
      </c>
      <c r="B94" s="1658" t="s">
        <v>4046</v>
      </c>
      <c r="C94" s="1643" t="s">
        <v>4721</v>
      </c>
      <c r="D94" s="1643" t="s">
        <v>4777</v>
      </c>
      <c r="E94" s="1493">
        <v>46187</v>
      </c>
      <c r="F94" s="1494">
        <v>46186</v>
      </c>
      <c r="G94" s="1598">
        <f>VLOOKUP(F94,환율!A:B,2,0)</f>
        <v>1527</v>
      </c>
      <c r="H94" s="1565">
        <v>35617.919999999998</v>
      </c>
      <c r="I94" s="1497">
        <f t="shared" si="21"/>
        <v>54388563</v>
      </c>
      <c r="J94" s="1497">
        <f t="shared" si="22"/>
        <v>54388563</v>
      </c>
      <c r="K94" s="1660"/>
      <c r="L94" s="1724"/>
      <c r="M94" s="1461"/>
      <c r="N94" s="1461"/>
      <c r="O94" s="1461"/>
      <c r="P94" s="1461"/>
      <c r="Q94" s="1466"/>
      <c r="R94" s="1457"/>
    </row>
    <row r="95" spans="1:18" s="718" customFormat="1" ht="24" customHeight="1">
      <c r="A95" s="1657" t="s">
        <v>29</v>
      </c>
      <c r="B95" s="1658" t="s">
        <v>4046</v>
      </c>
      <c r="C95" s="1643" t="s">
        <v>4722</v>
      </c>
      <c r="D95" s="1643" t="s">
        <v>4778</v>
      </c>
      <c r="E95" s="1597">
        <v>46194</v>
      </c>
      <c r="F95" s="1494">
        <v>46193</v>
      </c>
      <c r="G95" s="1598">
        <f>VLOOKUP(F95,환율!A:B,2,0)</f>
        <v>1523.4</v>
      </c>
      <c r="H95" s="1565">
        <v>17808.96</v>
      </c>
      <c r="I95" s="1497">
        <f t="shared" ref="I95" si="23">ROUNDDOWN(H95*G95,0)</f>
        <v>27130169</v>
      </c>
      <c r="J95" s="1497">
        <f t="shared" ref="J95" si="24">I95</f>
        <v>27130169</v>
      </c>
      <c r="K95" s="1660"/>
      <c r="L95" s="1723"/>
      <c r="M95" s="1461"/>
      <c r="N95" s="1461"/>
      <c r="O95" s="1461"/>
      <c r="P95" s="1461"/>
      <c r="Q95" s="1466"/>
      <c r="R95" s="1458"/>
    </row>
    <row r="96" spans="1:18" s="718" customFormat="1" ht="24" customHeight="1">
      <c r="A96" s="1657" t="s">
        <v>29</v>
      </c>
      <c r="B96" s="1658" t="s">
        <v>4046</v>
      </c>
      <c r="C96" s="1643" t="s">
        <v>4723</v>
      </c>
      <c r="D96" s="1643" t="s">
        <v>4779</v>
      </c>
      <c r="E96" s="1493">
        <v>46196</v>
      </c>
      <c r="F96" s="1494">
        <v>46193</v>
      </c>
      <c r="G96" s="1598">
        <f>VLOOKUP(F96,환율!A:B,2,0)</f>
        <v>1523.4</v>
      </c>
      <c r="H96" s="1565">
        <v>26713.439999999999</v>
      </c>
      <c r="I96" s="1497">
        <f t="shared" si="19"/>
        <v>40695254</v>
      </c>
      <c r="J96" s="1497">
        <f t="shared" si="20"/>
        <v>40695254</v>
      </c>
      <c r="K96" s="1660"/>
      <c r="L96" s="1723"/>
      <c r="M96" s="1461"/>
      <c r="N96" s="1461"/>
      <c r="O96" s="1461"/>
      <c r="P96" s="1461"/>
      <c r="Q96" s="1466"/>
      <c r="R96" s="1458"/>
    </row>
    <row r="97" spans="1:18" s="718" customFormat="1" ht="24" customHeight="1">
      <c r="A97" s="1657" t="s">
        <v>29</v>
      </c>
      <c r="B97" s="1658" t="s">
        <v>4046</v>
      </c>
      <c r="C97" s="1643" t="s">
        <v>4724</v>
      </c>
      <c r="D97" s="1643" t="s">
        <v>4780</v>
      </c>
      <c r="E97" s="1597">
        <v>46203</v>
      </c>
      <c r="F97" s="1494">
        <v>46200</v>
      </c>
      <c r="G97" s="1598">
        <f>VLOOKUP(F97,환율!A:B,2,0)</f>
        <v>1545.3</v>
      </c>
      <c r="H97" s="1565">
        <v>35617.919999999998</v>
      </c>
      <c r="I97" s="1497">
        <f t="shared" si="19"/>
        <v>55040371</v>
      </c>
      <c r="J97" s="1497">
        <f t="shared" si="20"/>
        <v>55040371</v>
      </c>
      <c r="K97" s="1660"/>
      <c r="L97" s="1723"/>
      <c r="M97" s="1461"/>
      <c r="N97" s="1461"/>
      <c r="O97" s="1461"/>
      <c r="P97" s="1461"/>
      <c r="Q97" s="1466"/>
      <c r="R97" s="1458"/>
    </row>
    <row r="98" spans="1:18" s="718" customFormat="1" ht="24" customHeight="1">
      <c r="A98" s="1662" t="s">
        <v>29</v>
      </c>
      <c r="B98" s="1663" t="s">
        <v>626</v>
      </c>
      <c r="C98" s="1664" t="s">
        <v>4770</v>
      </c>
      <c r="D98" s="1664" t="s">
        <v>4771</v>
      </c>
      <c r="E98" s="1604">
        <v>46187</v>
      </c>
      <c r="F98" s="1603">
        <v>46186</v>
      </c>
      <c r="G98" s="1605">
        <f>VLOOKUP(F98,환율!A:B,2,0)</f>
        <v>1527</v>
      </c>
      <c r="H98" s="1606">
        <v>4206.33</v>
      </c>
      <c r="I98" s="1607">
        <f t="shared" si="19"/>
        <v>6423065</v>
      </c>
      <c r="J98" s="1607">
        <f t="shared" ref="J98" si="25">I98</f>
        <v>6423065</v>
      </c>
      <c r="K98" s="1661"/>
      <c r="L98" s="1723" t="s">
        <v>4801</v>
      </c>
      <c r="M98" s="1461"/>
      <c r="N98" s="1461"/>
      <c r="O98" s="1461"/>
      <c r="P98" s="1461"/>
      <c r="Q98" s="1466"/>
      <c r="R98" s="1458"/>
    </row>
    <row r="99" spans="1:18" s="718" customFormat="1" ht="24" customHeight="1">
      <c r="A99" s="1662" t="s">
        <v>29</v>
      </c>
      <c r="B99" s="1663" t="s">
        <v>626</v>
      </c>
      <c r="C99" s="1664" t="s">
        <v>4766</v>
      </c>
      <c r="D99" s="1664" t="s">
        <v>4596</v>
      </c>
      <c r="E99" s="1604"/>
      <c r="F99" s="1603">
        <v>46186</v>
      </c>
      <c r="G99" s="1605">
        <f>VLOOKUP(F99,환율!A:B,2,0)</f>
        <v>1527</v>
      </c>
      <c r="H99" s="1606">
        <v>92404.6</v>
      </c>
      <c r="I99" s="1607">
        <f t="shared" si="19"/>
        <v>141101824</v>
      </c>
      <c r="J99" s="1607">
        <f t="shared" si="20"/>
        <v>141101824</v>
      </c>
      <c r="K99" s="1665"/>
      <c r="L99" s="1723"/>
      <c r="M99" s="1461"/>
      <c r="N99" s="1461"/>
      <c r="O99" s="1461"/>
      <c r="P99" s="1461"/>
      <c r="Q99" s="1466"/>
      <c r="R99" s="1458"/>
    </row>
    <row r="100" spans="1:18" s="718" customFormat="1" ht="24" customHeight="1">
      <c r="A100" s="1662" t="s">
        <v>29</v>
      </c>
      <c r="B100" s="1663" t="s">
        <v>626</v>
      </c>
      <c r="C100" s="1664" t="s">
        <v>4767</v>
      </c>
      <c r="D100" s="1664" t="s">
        <v>4596</v>
      </c>
      <c r="E100" s="1604"/>
      <c r="F100" s="1603">
        <v>46193</v>
      </c>
      <c r="G100" s="1605">
        <f>VLOOKUP(F100,환율!A:B,2,0)</f>
        <v>1523.4</v>
      </c>
      <c r="H100" s="1606">
        <v>93571.199999999997</v>
      </c>
      <c r="I100" s="1607">
        <f t="shared" si="19"/>
        <v>142546366</v>
      </c>
      <c r="J100" s="1607">
        <f t="shared" si="20"/>
        <v>142546366</v>
      </c>
      <c r="K100" s="1665"/>
      <c r="L100" s="1723"/>
      <c r="M100" s="1461"/>
      <c r="N100" s="1461"/>
      <c r="O100" s="1461"/>
      <c r="P100" s="1461"/>
      <c r="Q100" s="1466"/>
      <c r="R100" s="1458"/>
    </row>
    <row r="101" spans="1:18" s="718" customFormat="1" ht="24" customHeight="1">
      <c r="A101" s="1662" t="s">
        <v>29</v>
      </c>
      <c r="B101" s="1663" t="s">
        <v>626</v>
      </c>
      <c r="C101" s="1664" t="s">
        <v>4768</v>
      </c>
      <c r="D101" s="1664" t="s">
        <v>4596</v>
      </c>
      <c r="E101" s="1604"/>
      <c r="F101" s="1603">
        <v>46200</v>
      </c>
      <c r="G101" s="1605">
        <f>VLOOKUP(F101,환율!A:B,2,0)</f>
        <v>1545.3</v>
      </c>
      <c r="H101" s="1606">
        <v>93940.87</v>
      </c>
      <c r="I101" s="1607">
        <f t="shared" si="19"/>
        <v>145166826</v>
      </c>
      <c r="J101" s="1607">
        <f t="shared" si="20"/>
        <v>145166826</v>
      </c>
      <c r="K101" s="1665"/>
      <c r="L101" s="1723"/>
      <c r="M101" s="1461"/>
      <c r="N101" s="1461"/>
      <c r="O101" s="1461"/>
      <c r="P101" s="1461"/>
      <c r="Q101" s="1466"/>
      <c r="R101" s="1458"/>
    </row>
    <row r="102" spans="1:18" s="718" customFormat="1" ht="24" customHeight="1">
      <c r="A102" s="1662" t="s">
        <v>29</v>
      </c>
      <c r="B102" s="1663" t="s">
        <v>626</v>
      </c>
      <c r="C102" s="1664" t="s">
        <v>4769</v>
      </c>
      <c r="D102" s="1664" t="s">
        <v>4596</v>
      </c>
      <c r="E102" s="1604"/>
      <c r="F102" s="1603">
        <v>46201</v>
      </c>
      <c r="G102" s="1605">
        <f>VLOOKUP(F102,환율!A:B,2,0)</f>
        <v>1545.3</v>
      </c>
      <c r="H102" s="1606">
        <v>6542.1</v>
      </c>
      <c r="I102" s="1607">
        <f t="shared" si="19"/>
        <v>10109507</v>
      </c>
      <c r="J102" s="1607">
        <f t="shared" si="20"/>
        <v>10109507</v>
      </c>
      <c r="K102" s="1665"/>
      <c r="L102" s="1723"/>
      <c r="M102" s="1461"/>
      <c r="N102" s="1461"/>
      <c r="O102" s="1461"/>
      <c r="P102" s="1461"/>
      <c r="Q102" s="1466"/>
      <c r="R102" s="1458"/>
    </row>
    <row r="103" spans="1:18" s="718" customFormat="1" ht="24" customHeight="1" thickBot="1">
      <c r="A103" s="1566" t="s">
        <v>664</v>
      </c>
      <c r="B103" s="1567" t="s">
        <v>626</v>
      </c>
      <c r="C103" s="1610"/>
      <c r="D103" s="1611"/>
      <c r="E103" s="1570"/>
      <c r="F103" s="1611"/>
      <c r="G103" s="1571">
        <v>0</v>
      </c>
      <c r="H103" s="1572"/>
      <c r="I103" s="1573"/>
      <c r="J103" s="1574"/>
      <c r="K103" s="1575"/>
      <c r="M103" s="1461"/>
      <c r="N103" s="1461"/>
      <c r="O103" s="1721"/>
      <c r="P103" s="1461"/>
      <c r="Q103" s="1466"/>
      <c r="R103" s="1458"/>
    </row>
    <row r="104" spans="1:18" s="97" customFormat="1" ht="24" customHeight="1">
      <c r="A104" s="1666" t="s">
        <v>47</v>
      </c>
      <c r="B104" s="1667" t="s">
        <v>4047</v>
      </c>
      <c r="C104" s="1668" t="s">
        <v>4687</v>
      </c>
      <c r="D104" s="1669" t="s">
        <v>4688</v>
      </c>
      <c r="E104" s="1670">
        <v>46186</v>
      </c>
      <c r="F104" s="1671">
        <v>46186</v>
      </c>
      <c r="G104" s="1672">
        <f>VLOOKUP(F104,환율!A:B,2,0)</f>
        <v>1527</v>
      </c>
      <c r="H104" s="1673">
        <v>19738</v>
      </c>
      <c r="I104" s="1674">
        <f t="shared" si="19"/>
        <v>30139926</v>
      </c>
      <c r="J104" s="1675">
        <f>I104</f>
        <v>30139926</v>
      </c>
      <c r="K104" s="1676" t="s">
        <v>720</v>
      </c>
      <c r="L104" s="1723" t="s">
        <v>4802</v>
      </c>
      <c r="M104" s="1461"/>
      <c r="N104" s="1461"/>
      <c r="O104" s="1461"/>
      <c r="P104" s="1461"/>
      <c r="Q104" s="1466"/>
      <c r="R104" s="34"/>
    </row>
    <row r="105" spans="1:18" s="97" customFormat="1" ht="24" customHeight="1">
      <c r="A105" s="1489" t="s">
        <v>28</v>
      </c>
      <c r="B105" s="1490" t="s">
        <v>4047</v>
      </c>
      <c r="C105" s="1596" t="s">
        <v>4689</v>
      </c>
      <c r="D105" s="1494" t="s">
        <v>4690</v>
      </c>
      <c r="E105" s="1597">
        <v>46195</v>
      </c>
      <c r="F105" s="1492">
        <v>46195</v>
      </c>
      <c r="G105" s="1564">
        <f>VLOOKUP(F105,환율!A:B,2,0)</f>
        <v>1535</v>
      </c>
      <c r="H105" s="1565">
        <v>39476</v>
      </c>
      <c r="I105" s="1497">
        <f t="shared" si="19"/>
        <v>60595660</v>
      </c>
      <c r="J105" s="1498">
        <f>I105</f>
        <v>60595660</v>
      </c>
      <c r="K105" s="1499"/>
      <c r="L105" s="1723"/>
      <c r="M105" s="1461"/>
      <c r="N105" s="1461"/>
      <c r="O105" s="1461"/>
      <c r="P105" s="1461"/>
      <c r="Q105" s="1466"/>
      <c r="R105" s="34"/>
    </row>
    <row r="106" spans="1:18" s="97" customFormat="1" ht="24" customHeight="1">
      <c r="A106" s="1677" t="s">
        <v>28</v>
      </c>
      <c r="B106" s="1678" t="s">
        <v>4047</v>
      </c>
      <c r="C106" s="1618" t="s">
        <v>4691</v>
      </c>
      <c r="D106" s="1679" t="s">
        <v>4692</v>
      </c>
      <c r="E106" s="1619">
        <v>46191</v>
      </c>
      <c r="F106" s="1620">
        <v>46191</v>
      </c>
      <c r="G106" s="1680">
        <f>VLOOKUP(F106,환율!A:B,2,0)</f>
        <v>1512.8</v>
      </c>
      <c r="H106" s="1621">
        <v>3866.96</v>
      </c>
      <c r="I106" s="1681">
        <f t="shared" si="19"/>
        <v>5849937</v>
      </c>
      <c r="J106" s="1682">
        <f t="shared" ref="J106:J114" si="26">I106</f>
        <v>5849937</v>
      </c>
      <c r="K106" s="1622"/>
      <c r="L106" s="1723"/>
      <c r="M106" s="1461"/>
      <c r="N106" s="1461"/>
      <c r="O106" s="1461"/>
      <c r="P106" s="1461"/>
      <c r="Q106" s="1466"/>
      <c r="R106" s="34"/>
    </row>
    <row r="107" spans="1:18" s="97" customFormat="1" ht="24" customHeight="1" thickBot="1">
      <c r="A107" s="1677" t="s">
        <v>28</v>
      </c>
      <c r="B107" s="1678" t="s">
        <v>4047</v>
      </c>
      <c r="C107" s="1618" t="s">
        <v>4693</v>
      </c>
      <c r="D107" s="1679" t="s">
        <v>4694</v>
      </c>
      <c r="E107" s="1619">
        <v>46201</v>
      </c>
      <c r="F107" s="1620">
        <v>46201</v>
      </c>
      <c r="G107" s="1680">
        <f>VLOOKUP(F107,환율!A:B,2,0)</f>
        <v>1545.3</v>
      </c>
      <c r="H107" s="1621">
        <v>23685.599999999999</v>
      </c>
      <c r="I107" s="1681">
        <f t="shared" si="19"/>
        <v>36601357</v>
      </c>
      <c r="J107" s="1682">
        <f t="shared" si="26"/>
        <v>36601357</v>
      </c>
      <c r="K107" s="1622"/>
      <c r="L107" s="1723"/>
      <c r="M107" s="1461"/>
      <c r="N107" s="1461"/>
      <c r="O107" s="1461"/>
      <c r="P107" s="1461"/>
      <c r="Q107" s="1466"/>
      <c r="R107" s="34"/>
    </row>
    <row r="108" spans="1:18" s="97" customFormat="1" ht="24" customHeight="1">
      <c r="A108" s="1613" t="s">
        <v>40</v>
      </c>
      <c r="B108" s="1614" t="s">
        <v>4048</v>
      </c>
      <c r="C108" s="1683" t="s">
        <v>4582</v>
      </c>
      <c r="D108" s="1683" t="s">
        <v>4583</v>
      </c>
      <c r="E108" s="1578">
        <v>46178</v>
      </c>
      <c r="F108" s="1577">
        <v>46178</v>
      </c>
      <c r="G108" s="1616">
        <f>VLOOKUP(F108,환율!A:B,2,0)</f>
        <v>1528.6</v>
      </c>
      <c r="H108" s="1546">
        <v>12939</v>
      </c>
      <c r="I108" s="1547">
        <f t="shared" si="19"/>
        <v>19778555</v>
      </c>
      <c r="J108" s="1547">
        <f t="shared" si="26"/>
        <v>19778555</v>
      </c>
      <c r="K108" s="1617"/>
      <c r="L108" s="1723"/>
      <c r="M108" s="1461"/>
      <c r="N108" s="1461"/>
      <c r="O108" s="1461"/>
      <c r="P108" s="1461"/>
      <c r="Q108" s="1466"/>
      <c r="R108" s="34"/>
    </row>
    <row r="109" spans="1:18" s="97" customFormat="1" ht="24" customHeight="1">
      <c r="A109" s="1489" t="s">
        <v>30</v>
      </c>
      <c r="B109" s="1490" t="s">
        <v>4047</v>
      </c>
      <c r="C109" s="1643" t="s">
        <v>4695</v>
      </c>
      <c r="D109" s="1643" t="s">
        <v>4696</v>
      </c>
      <c r="E109" s="1597">
        <v>46184</v>
      </c>
      <c r="F109" s="1494">
        <v>46184</v>
      </c>
      <c r="G109" s="1564">
        <f>VLOOKUP(F109,환율!A:B,2,0)</f>
        <v>1522.4</v>
      </c>
      <c r="H109" s="1565">
        <v>15936</v>
      </c>
      <c r="I109" s="1497">
        <f t="shared" si="19"/>
        <v>24260966</v>
      </c>
      <c r="J109" s="1498">
        <f t="shared" si="26"/>
        <v>24260966</v>
      </c>
      <c r="K109" s="1499"/>
      <c r="L109" s="1723"/>
      <c r="M109" s="1461"/>
      <c r="N109" s="1461"/>
      <c r="O109" s="1461"/>
      <c r="P109" s="1461"/>
      <c r="Q109" s="1466"/>
      <c r="R109" s="34"/>
    </row>
    <row r="110" spans="1:18" s="97" customFormat="1" ht="24" customHeight="1">
      <c r="A110" s="1489" t="s">
        <v>30</v>
      </c>
      <c r="B110" s="1490" t="s">
        <v>4047</v>
      </c>
      <c r="C110" s="1643" t="s">
        <v>4697</v>
      </c>
      <c r="D110" s="1643" t="s">
        <v>4698</v>
      </c>
      <c r="E110" s="1597">
        <v>46184</v>
      </c>
      <c r="F110" s="1494">
        <v>46184</v>
      </c>
      <c r="G110" s="1564">
        <f>VLOOKUP(F110,환율!A:B,2,0)</f>
        <v>1522.4</v>
      </c>
      <c r="H110" s="1565">
        <v>15095.5</v>
      </c>
      <c r="I110" s="1497">
        <f t="shared" si="19"/>
        <v>22981389</v>
      </c>
      <c r="J110" s="1498">
        <f t="shared" si="26"/>
        <v>22981389</v>
      </c>
      <c r="K110" s="1499"/>
      <c r="L110" s="1723"/>
      <c r="M110" s="1461"/>
      <c r="N110" s="1461"/>
      <c r="O110" s="1461"/>
      <c r="P110" s="1461"/>
      <c r="Q110" s="1466"/>
      <c r="R110" s="34"/>
    </row>
    <row r="111" spans="1:18" s="97" customFormat="1" ht="24" customHeight="1">
      <c r="A111" s="1489" t="s">
        <v>30</v>
      </c>
      <c r="B111" s="1490" t="s">
        <v>4047</v>
      </c>
      <c r="C111" s="1643" t="s">
        <v>4699</v>
      </c>
      <c r="D111" s="1643" t="s">
        <v>4700</v>
      </c>
      <c r="E111" s="1597">
        <v>46175</v>
      </c>
      <c r="F111" s="1494">
        <v>46174</v>
      </c>
      <c r="G111" s="1564">
        <f>VLOOKUP(F111,환율!A:B,2,0)</f>
        <v>1503.2</v>
      </c>
      <c r="H111" s="1565">
        <v>640.78</v>
      </c>
      <c r="I111" s="1497">
        <f t="shared" si="19"/>
        <v>963220</v>
      </c>
      <c r="J111" s="1498">
        <f t="shared" si="26"/>
        <v>963220</v>
      </c>
      <c r="K111" s="1499"/>
      <c r="L111" s="1723"/>
      <c r="M111" s="1461"/>
      <c r="N111" s="1461"/>
      <c r="O111" s="1461"/>
      <c r="P111" s="1461"/>
      <c r="Q111" s="1466"/>
      <c r="R111" s="34"/>
    </row>
    <row r="112" spans="1:18" s="97" customFormat="1" ht="24" customHeight="1">
      <c r="A112" s="1489" t="s">
        <v>30</v>
      </c>
      <c r="B112" s="1490" t="s">
        <v>4047</v>
      </c>
      <c r="C112" s="1643" t="s">
        <v>4701</v>
      </c>
      <c r="D112" s="1643" t="s">
        <v>4702</v>
      </c>
      <c r="E112" s="1597">
        <v>46185</v>
      </c>
      <c r="F112" s="1494">
        <v>46184</v>
      </c>
      <c r="G112" s="1564">
        <f>VLOOKUP(F112,환율!A:B,2,0)</f>
        <v>1522.4</v>
      </c>
      <c r="H112" s="1565">
        <v>409.98</v>
      </c>
      <c r="I112" s="1497">
        <f t="shared" si="19"/>
        <v>624153</v>
      </c>
      <c r="J112" s="1498">
        <f t="shared" si="26"/>
        <v>624153</v>
      </c>
      <c r="K112" s="1499"/>
      <c r="L112" s="1723"/>
      <c r="M112" s="1461"/>
      <c r="N112" s="1461"/>
      <c r="O112" s="1461"/>
      <c r="P112" s="1461"/>
      <c r="Q112" s="1466"/>
      <c r="R112" s="34"/>
    </row>
    <row r="113" spans="1:18" s="97" customFormat="1" ht="24" customHeight="1">
      <c r="A113" s="1489" t="s">
        <v>30</v>
      </c>
      <c r="B113" s="1490" t="s">
        <v>4047</v>
      </c>
      <c r="C113" s="1643" t="s">
        <v>4703</v>
      </c>
      <c r="D113" s="1643" t="s">
        <v>4704</v>
      </c>
      <c r="E113" s="1597">
        <v>46193</v>
      </c>
      <c r="F113" s="1494">
        <v>46192</v>
      </c>
      <c r="G113" s="1564">
        <f>VLOOKUP(F113,환율!A:B,2,0)</f>
        <v>1523.4</v>
      </c>
      <c r="H113" s="1565">
        <v>4551.4399999999996</v>
      </c>
      <c r="I113" s="1497">
        <f t="shared" si="19"/>
        <v>6933663</v>
      </c>
      <c r="J113" s="1498">
        <f t="shared" si="26"/>
        <v>6933663</v>
      </c>
      <c r="K113" s="1499"/>
      <c r="L113" s="1723"/>
      <c r="M113" s="1461"/>
      <c r="N113" s="1461"/>
      <c r="O113" s="1461"/>
      <c r="P113" s="1461"/>
      <c r="Q113" s="1466"/>
      <c r="R113" s="34"/>
    </row>
    <row r="114" spans="1:18" s="97" customFormat="1" ht="24" customHeight="1">
      <c r="A114" s="1600" t="s">
        <v>30</v>
      </c>
      <c r="B114" s="1601" t="s">
        <v>4047</v>
      </c>
      <c r="C114" s="1664" t="s">
        <v>4764</v>
      </c>
      <c r="D114" s="1664" t="s">
        <v>4765</v>
      </c>
      <c r="E114" s="1604"/>
      <c r="F114" s="1603">
        <v>46202</v>
      </c>
      <c r="G114" s="1684">
        <f>VLOOKUP(F114,환율!A:B,2,0)</f>
        <v>1544.2</v>
      </c>
      <c r="H114" s="1606">
        <v>3250</v>
      </c>
      <c r="I114" s="1607">
        <v>5018650</v>
      </c>
      <c r="J114" s="1608">
        <f t="shared" si="26"/>
        <v>5018650</v>
      </c>
      <c r="K114" s="1609"/>
      <c r="L114" s="1723"/>
      <c r="M114" s="1461"/>
      <c r="N114" s="1461"/>
      <c r="O114" s="1461"/>
      <c r="P114" s="1461"/>
      <c r="Q114" s="1466"/>
      <c r="R114" s="34"/>
    </row>
    <row r="115" spans="1:18" s="97" customFormat="1" ht="24" customHeight="1">
      <c r="A115" s="1685" t="s">
        <v>30</v>
      </c>
      <c r="B115" s="1686" t="s">
        <v>4047</v>
      </c>
      <c r="C115" s="1687" t="s">
        <v>4754</v>
      </c>
      <c r="D115" s="1687" t="s">
        <v>4755</v>
      </c>
      <c r="E115" s="1624"/>
      <c r="F115" s="1688">
        <v>46204</v>
      </c>
      <c r="G115" s="1689">
        <f>VLOOKUP(F115,환율!A:B,2,0)</f>
        <v>1548.4</v>
      </c>
      <c r="H115" s="1626">
        <v>7968.0000000000009</v>
      </c>
      <c r="I115" s="1690">
        <f t="shared" ref="I115:I117" si="27">ROUNDDOWN(G115*H115,0)</f>
        <v>12337651</v>
      </c>
      <c r="J115" s="1691"/>
      <c r="K115" s="1627">
        <f>I115</f>
        <v>12337651</v>
      </c>
      <c r="L115" s="718"/>
      <c r="M115" s="1461"/>
      <c r="N115" s="1461"/>
      <c r="O115" s="1461"/>
      <c r="P115" s="1461"/>
      <c r="Q115" s="1466"/>
      <c r="R115" s="34"/>
    </row>
    <row r="116" spans="1:18" s="97" customFormat="1" ht="24" customHeight="1">
      <c r="A116" s="1685" t="s">
        <v>30</v>
      </c>
      <c r="B116" s="1686" t="s">
        <v>4047</v>
      </c>
      <c r="C116" s="1687" t="s">
        <v>4756</v>
      </c>
      <c r="D116" s="1687" t="s">
        <v>4757</v>
      </c>
      <c r="E116" s="1624"/>
      <c r="F116" s="1688">
        <v>46204</v>
      </c>
      <c r="G116" s="1689">
        <f>VLOOKUP(F116,환율!A:B,2,0)</f>
        <v>1548.4</v>
      </c>
      <c r="H116" s="1626">
        <v>3984.0000000000005</v>
      </c>
      <c r="I116" s="1690">
        <f t="shared" si="27"/>
        <v>6168825</v>
      </c>
      <c r="J116" s="1691"/>
      <c r="K116" s="1627">
        <f t="shared" ref="K116:K117" si="28">I116</f>
        <v>6168825</v>
      </c>
      <c r="L116" s="718"/>
      <c r="M116" s="1461"/>
      <c r="N116" s="1461"/>
      <c r="O116" s="1461"/>
      <c r="P116" s="1461"/>
      <c r="Q116" s="1466"/>
      <c r="R116" s="34"/>
    </row>
    <row r="117" spans="1:18" s="97" customFormat="1" ht="24" customHeight="1" thickBot="1">
      <c r="A117" s="1646" t="s">
        <v>30</v>
      </c>
      <c r="B117" s="1647" t="s">
        <v>4047</v>
      </c>
      <c r="C117" s="1692" t="s">
        <v>4758</v>
      </c>
      <c r="D117" s="1692" t="s">
        <v>4759</v>
      </c>
      <c r="E117" s="1650"/>
      <c r="F117" s="1649">
        <v>46204</v>
      </c>
      <c r="G117" s="1651">
        <f>VLOOKUP(F117,환율!A:B,2,0)</f>
        <v>1548.4</v>
      </c>
      <c r="H117" s="1652">
        <v>6469.5</v>
      </c>
      <c r="I117" s="1722">
        <f t="shared" si="27"/>
        <v>10017373</v>
      </c>
      <c r="J117" s="1654"/>
      <c r="K117" s="1720">
        <f t="shared" si="28"/>
        <v>10017373</v>
      </c>
      <c r="L117" s="718"/>
      <c r="M117" s="1461"/>
      <c r="N117" s="1461"/>
      <c r="O117" s="1461"/>
      <c r="P117" s="1461"/>
      <c r="Q117" s="1466"/>
      <c r="R117" s="34"/>
    </row>
    <row r="118" spans="1:18" s="718" customFormat="1" ht="24" customHeight="1">
      <c r="A118" s="1693" t="s">
        <v>15</v>
      </c>
      <c r="B118" s="1694" t="s">
        <v>4048</v>
      </c>
      <c r="C118" s="1695" t="s">
        <v>4711</v>
      </c>
      <c r="D118" s="1695" t="s">
        <v>4705</v>
      </c>
      <c r="E118" s="1696">
        <v>46191</v>
      </c>
      <c r="F118" s="1697">
        <v>46191</v>
      </c>
      <c r="G118" s="1698">
        <f>VLOOKUP(F118,환율!A:B,2,0)</f>
        <v>1512.8</v>
      </c>
      <c r="H118" s="1699">
        <v>54328.81</v>
      </c>
      <c r="I118" s="1700">
        <f t="shared" si="19"/>
        <v>82188623</v>
      </c>
      <c r="J118" s="1561">
        <f t="shared" ref="J118:J122" si="29">I118</f>
        <v>82188623</v>
      </c>
      <c r="K118" s="1701"/>
      <c r="L118" s="1723" t="s">
        <v>4802</v>
      </c>
      <c r="M118" s="1461"/>
      <c r="N118" s="1461"/>
      <c r="O118" s="1461"/>
      <c r="P118" s="1461"/>
      <c r="Q118" s="1466"/>
      <c r="R118" s="34"/>
    </row>
    <row r="119" spans="1:18" s="718" customFormat="1" ht="24" customHeight="1">
      <c r="A119" s="1489" t="s">
        <v>15</v>
      </c>
      <c r="B119" s="1490" t="s">
        <v>4048</v>
      </c>
      <c r="C119" s="1643" t="s">
        <v>4712</v>
      </c>
      <c r="D119" s="1643" t="s">
        <v>4706</v>
      </c>
      <c r="E119" s="1597">
        <v>46181</v>
      </c>
      <c r="F119" s="1494">
        <v>46180</v>
      </c>
      <c r="G119" s="1564">
        <f>VLOOKUP(F119,환율!A:B,2,0)</f>
        <v>1528.6</v>
      </c>
      <c r="H119" s="1565">
        <v>32438.5</v>
      </c>
      <c r="I119" s="1497">
        <f t="shared" si="19"/>
        <v>49585491</v>
      </c>
      <c r="J119" s="1498">
        <f t="shared" si="29"/>
        <v>49585491</v>
      </c>
      <c r="K119" s="1499"/>
      <c r="L119" s="1723"/>
      <c r="M119" s="1461"/>
      <c r="N119" s="1461"/>
      <c r="O119" s="1461"/>
      <c r="P119" s="1461"/>
      <c r="Q119" s="1466"/>
      <c r="R119" s="1458"/>
    </row>
    <row r="120" spans="1:18" s="718" customFormat="1" ht="24" customHeight="1">
      <c r="A120" s="1489" t="s">
        <v>15</v>
      </c>
      <c r="B120" s="1490" t="s">
        <v>4048</v>
      </c>
      <c r="C120" s="1643" t="s">
        <v>4713</v>
      </c>
      <c r="D120" s="1643" t="s">
        <v>4707</v>
      </c>
      <c r="E120" s="1597">
        <v>46183</v>
      </c>
      <c r="F120" s="1494">
        <v>46183</v>
      </c>
      <c r="G120" s="1564">
        <f>VLOOKUP(F120,환율!A:B,2,0)</f>
        <v>1518.4</v>
      </c>
      <c r="H120" s="1565">
        <v>12869.88</v>
      </c>
      <c r="I120" s="1497">
        <f t="shared" ref="I120:I122" si="30">ROUNDDOWN(H120*G120,0)</f>
        <v>19541625</v>
      </c>
      <c r="J120" s="1498">
        <f t="shared" si="29"/>
        <v>19541625</v>
      </c>
      <c r="K120" s="1499"/>
      <c r="L120" s="1723"/>
      <c r="M120" s="1461"/>
      <c r="N120" s="1461"/>
      <c r="O120" s="1461"/>
      <c r="P120" s="1461"/>
      <c r="Q120" s="1466"/>
      <c r="R120" s="1458"/>
    </row>
    <row r="121" spans="1:18" s="718" customFormat="1" ht="24" customHeight="1">
      <c r="A121" s="1489" t="s">
        <v>15</v>
      </c>
      <c r="B121" s="1490" t="s">
        <v>4048</v>
      </c>
      <c r="C121" s="1643" t="s">
        <v>4708</v>
      </c>
      <c r="D121" s="1643" t="s">
        <v>4709</v>
      </c>
      <c r="E121" s="1597">
        <v>46197</v>
      </c>
      <c r="F121" s="1494">
        <v>46197</v>
      </c>
      <c r="G121" s="1564">
        <f>VLOOKUP(F121,환율!A:B,2,0)</f>
        <v>1537.2</v>
      </c>
      <c r="H121" s="1565">
        <v>28981.96</v>
      </c>
      <c r="I121" s="1497">
        <f t="shared" ref="I121" si="31">ROUNDDOWN(H121*G121,0)</f>
        <v>44551068</v>
      </c>
      <c r="J121" s="1498">
        <f t="shared" ref="J121" si="32">I121</f>
        <v>44551068</v>
      </c>
      <c r="K121" s="1499"/>
      <c r="L121" s="1723"/>
      <c r="M121" s="1461"/>
      <c r="N121" s="1461"/>
      <c r="O121" s="1461"/>
      <c r="P121" s="1461"/>
      <c r="Q121" s="1466"/>
      <c r="R121" s="1458"/>
    </row>
    <row r="122" spans="1:18" s="718" customFormat="1" ht="24" customHeight="1">
      <c r="A122" s="1489" t="s">
        <v>15</v>
      </c>
      <c r="B122" s="1490" t="s">
        <v>4048</v>
      </c>
      <c r="C122" s="1643" t="s">
        <v>4714</v>
      </c>
      <c r="D122" s="1643" t="s">
        <v>4710</v>
      </c>
      <c r="E122" s="1597">
        <v>46203</v>
      </c>
      <c r="F122" s="1494">
        <v>46203</v>
      </c>
      <c r="G122" s="1564">
        <f>VLOOKUP(F122,환율!A:B,2,0)</f>
        <v>1541.5</v>
      </c>
      <c r="H122" s="1565">
        <v>22154.11</v>
      </c>
      <c r="I122" s="1497">
        <f t="shared" si="30"/>
        <v>34150560</v>
      </c>
      <c r="J122" s="1498">
        <f t="shared" si="29"/>
        <v>34150560</v>
      </c>
      <c r="K122" s="1499"/>
      <c r="L122" s="1723"/>
      <c r="M122" s="1461"/>
      <c r="N122" s="1461"/>
      <c r="O122" s="1461"/>
      <c r="P122" s="1461"/>
      <c r="Q122" s="1466"/>
      <c r="R122" s="1458"/>
    </row>
    <row r="123" spans="1:18" s="718" customFormat="1" ht="24" customHeight="1" thickBot="1">
      <c r="A123" s="1646" t="s">
        <v>15</v>
      </c>
      <c r="B123" s="1647" t="s">
        <v>4048</v>
      </c>
      <c r="C123" s="1692" t="s">
        <v>4760</v>
      </c>
      <c r="D123" s="1692" t="s">
        <v>4761</v>
      </c>
      <c r="E123" s="1702">
        <v>46204</v>
      </c>
      <c r="F123" s="1649">
        <v>46204</v>
      </c>
      <c r="G123" s="1651">
        <f>VLOOKUP(F123,환율!A:B,2,0)</f>
        <v>1548.4</v>
      </c>
      <c r="H123" s="1652">
        <v>54648.499999999993</v>
      </c>
      <c r="I123" s="1653">
        <f t="shared" ref="I123" si="33">ROUNDDOWN(G123*H123,0)</f>
        <v>84617737</v>
      </c>
      <c r="J123" s="1654"/>
      <c r="K123" s="1655">
        <f>I123</f>
        <v>84617737</v>
      </c>
      <c r="M123" s="1461"/>
      <c r="N123" s="1461"/>
      <c r="O123" s="1461"/>
      <c r="P123" s="1461"/>
      <c r="Q123" s="1466"/>
      <c r="R123" s="1458"/>
    </row>
    <row r="124" spans="1:18" s="97" customFormat="1" ht="24" customHeight="1">
      <c r="A124" s="1703" t="s">
        <v>4049</v>
      </c>
      <c r="B124" s="1704" t="s">
        <v>4048</v>
      </c>
      <c r="C124" s="1705" t="s">
        <v>4781</v>
      </c>
      <c r="D124" s="1706" t="s">
        <v>4782</v>
      </c>
      <c r="E124" s="1707">
        <v>46175</v>
      </c>
      <c r="F124" s="1521"/>
      <c r="G124" s="1708" t="e">
        <f>VLOOKUP(F124,환율!A:B,2,0)</f>
        <v>#N/A</v>
      </c>
      <c r="H124" s="1709">
        <v>18242</v>
      </c>
      <c r="I124" s="1710">
        <v>21526400</v>
      </c>
      <c r="J124" s="1524">
        <f>I124</f>
        <v>21526400</v>
      </c>
      <c r="K124" s="1711"/>
      <c r="L124" s="1723"/>
      <c r="M124" s="1461"/>
      <c r="N124" s="1461"/>
      <c r="O124" s="1461"/>
      <c r="P124" s="1461"/>
      <c r="Q124" s="1466"/>
      <c r="R124" s="34"/>
    </row>
    <row r="125" spans="1:18" s="97" customFormat="1" ht="24" customHeight="1">
      <c r="A125" s="1591" t="s">
        <v>4049</v>
      </c>
      <c r="B125" s="1592" t="s">
        <v>4048</v>
      </c>
      <c r="C125" s="1712" t="s">
        <v>4783</v>
      </c>
      <c r="D125" s="1713" t="s">
        <v>4782</v>
      </c>
      <c r="E125" s="1714">
        <v>46189</v>
      </c>
      <c r="F125" s="1494"/>
      <c r="G125" s="1594" t="e">
        <f>VLOOKUP(F125,환율!A:B,2,0)</f>
        <v>#N/A</v>
      </c>
      <c r="H125" s="1715">
        <v>18242</v>
      </c>
      <c r="I125" s="1716">
        <v>21526400</v>
      </c>
      <c r="J125" s="1528">
        <f>I125</f>
        <v>21526400</v>
      </c>
      <c r="K125" s="1505"/>
      <c r="L125" s="1723"/>
      <c r="M125" s="1461"/>
      <c r="N125" s="1461"/>
      <c r="O125" s="1461"/>
      <c r="P125" s="1461"/>
      <c r="Q125" s="1466"/>
      <c r="R125" s="34"/>
    </row>
    <row r="126" spans="1:18" s="97" customFormat="1" ht="24" customHeight="1">
      <c r="A126" s="1591" t="s">
        <v>4049</v>
      </c>
      <c r="B126" s="1592" t="s">
        <v>4048</v>
      </c>
      <c r="C126" s="1717" t="s">
        <v>4783</v>
      </c>
      <c r="D126" s="1713" t="s">
        <v>4782</v>
      </c>
      <c r="E126" s="1714">
        <v>46189</v>
      </c>
      <c r="F126" s="1494"/>
      <c r="G126" s="1594" t="e">
        <f>VLOOKUP(F126,환율!A:B,2,0)</f>
        <v>#N/A</v>
      </c>
      <c r="H126" s="1715">
        <v>18242</v>
      </c>
      <c r="I126" s="1716">
        <v>21526400</v>
      </c>
      <c r="J126" s="1528">
        <f>I126</f>
        <v>21526400</v>
      </c>
      <c r="K126" s="1505"/>
      <c r="L126" s="1723"/>
      <c r="M126" s="1461"/>
      <c r="N126" s="1461"/>
      <c r="O126" s="1461"/>
      <c r="P126" s="1461"/>
      <c r="Q126" s="1466"/>
      <c r="R126" s="34"/>
    </row>
    <row r="127" spans="1:18" s="97" customFormat="1" ht="24" customHeight="1" thickBot="1">
      <c r="A127" s="1025" t="s">
        <v>4049</v>
      </c>
      <c r="B127" s="1026" t="s">
        <v>4048</v>
      </c>
      <c r="C127" s="1024"/>
      <c r="D127" s="1027"/>
      <c r="E127" s="1028"/>
      <c r="F127" s="1218"/>
      <c r="G127" s="1029"/>
      <c r="H127" s="1151"/>
      <c r="I127" s="1152">
        <f t="shared" si="19"/>
        <v>0</v>
      </c>
      <c r="J127" s="1030">
        <f>I127</f>
        <v>0</v>
      </c>
      <c r="K127" s="1031"/>
      <c r="L127" s="1723"/>
      <c r="M127" s="40"/>
      <c r="N127" s="40"/>
      <c r="O127" s="40"/>
      <c r="P127" s="40"/>
      <c r="Q127" s="34"/>
      <c r="R127" s="34"/>
    </row>
    <row r="128" spans="1:18" s="496" customFormat="1" ht="24" customHeight="1" thickBot="1">
      <c r="A128" s="2165" t="s">
        <v>4056</v>
      </c>
      <c r="B128" s="2164"/>
      <c r="C128" s="2164"/>
      <c r="D128" s="2164"/>
      <c r="E128" s="2164"/>
      <c r="F128" s="2164"/>
      <c r="G128" s="2164"/>
      <c r="H128" s="1153"/>
      <c r="I128" s="1154">
        <f>SUM(I30:I127)</f>
        <v>7133831433.184</v>
      </c>
      <c r="J128" s="1154">
        <f>SUM(J30:J127)</f>
        <v>6242704893</v>
      </c>
      <c r="K128" s="949">
        <f>SUM(K30:K127)</f>
        <v>891126540.18400002</v>
      </c>
      <c r="M128" s="40"/>
      <c r="N128" s="40"/>
      <c r="O128" s="40"/>
      <c r="P128" s="40"/>
      <c r="Q128" s="34"/>
      <c r="R128" s="1459"/>
    </row>
    <row r="129" spans="4:17" ht="19.2">
      <c r="D129" s="810" t="s">
        <v>4715</v>
      </c>
      <c r="H129" s="2194" t="s">
        <v>4411</v>
      </c>
      <c r="I129" s="2194"/>
      <c r="J129" s="1163">
        <f>SUM(I35:I126)-K128</f>
        <v>5719503932</v>
      </c>
      <c r="M129" s="1460"/>
      <c r="N129" s="1719"/>
      <c r="O129" s="1719"/>
      <c r="P129" s="1460"/>
      <c r="Q129" s="1459"/>
    </row>
    <row r="130" spans="4:17" ht="19.2">
      <c r="H130" s="1468"/>
      <c r="I130" s="1468"/>
      <c r="J130" s="1163"/>
      <c r="M130" s="1460"/>
      <c r="N130" s="1460"/>
      <c r="O130" s="1460"/>
      <c r="P130" s="1460"/>
      <c r="Q130" s="1459"/>
    </row>
  </sheetData>
  <autoFilter ref="A29:K129" xr:uid="{1CCF8D2F-36BE-46CD-94BA-38FEC2C856C0}"/>
  <mergeCells count="41">
    <mergeCell ref="E17:G17"/>
    <mergeCell ref="A1:G4"/>
    <mergeCell ref="A5:B5"/>
    <mergeCell ref="A6:B6"/>
    <mergeCell ref="A7:B7"/>
    <mergeCell ref="A8:A23"/>
    <mergeCell ref="E8:G8"/>
    <mergeCell ref="E9:G9"/>
    <mergeCell ref="E10:G10"/>
    <mergeCell ref="B11:C11"/>
    <mergeCell ref="E11:G11"/>
    <mergeCell ref="E12:G12"/>
    <mergeCell ref="E13:G13"/>
    <mergeCell ref="E14:G14"/>
    <mergeCell ref="E15:G15"/>
    <mergeCell ref="E16:G16"/>
    <mergeCell ref="E18:G18"/>
    <mergeCell ref="E19:G19"/>
    <mergeCell ref="E20:G20"/>
    <mergeCell ref="E21:G21"/>
    <mergeCell ref="B22:C22"/>
    <mergeCell ref="E22:G22"/>
    <mergeCell ref="B23:C23"/>
    <mergeCell ref="E23:G23"/>
    <mergeCell ref="A24:A26"/>
    <mergeCell ref="E24:G24"/>
    <mergeCell ref="H24:H26"/>
    <mergeCell ref="E25:G25"/>
    <mergeCell ref="E26:G26"/>
    <mergeCell ref="A128:D128"/>
    <mergeCell ref="E128:G128"/>
    <mergeCell ref="H129:I129"/>
    <mergeCell ref="M26:O26"/>
    <mergeCell ref="A28:A29"/>
    <mergeCell ref="B28:B29"/>
    <mergeCell ref="C28:C29"/>
    <mergeCell ref="D28:D29"/>
    <mergeCell ref="E28:E29"/>
    <mergeCell ref="F28:F29"/>
    <mergeCell ref="G28:G29"/>
    <mergeCell ref="H28:K28"/>
  </mergeCells>
  <phoneticPr fontId="2" type="noConversion"/>
  <conditionalFormatting sqref="A5:A7 C29:K33 A34:K35 C36:K103 C105:K117">
    <cfRule type="expression" dxfId="86" priority="11">
      <formula>#REF!="*01월*"</formula>
    </cfRule>
  </conditionalFormatting>
  <conditionalFormatting sqref="A29">
    <cfRule type="expression" dxfId="85" priority="7">
      <formula>#REF!="*01월*"</formula>
    </cfRule>
  </conditionalFormatting>
  <conditionalFormatting sqref="A128">
    <cfRule type="expression" dxfId="84" priority="10">
      <formula>#REF!="*01월*"</formula>
    </cfRule>
  </conditionalFormatting>
  <conditionalFormatting sqref="A28:K28 A30:B30 A77:B77 A81:B82">
    <cfRule type="expression" dxfId="83" priority="22">
      <formula>#REF!="*01월*"</formula>
    </cfRule>
  </conditionalFormatting>
  <conditionalFormatting sqref="A104:K104">
    <cfRule type="expression" dxfId="82" priority="16">
      <formula>#REF!="*01월*"</formula>
    </cfRule>
  </conditionalFormatting>
  <conditionalFormatting sqref="A118:K127">
    <cfRule type="expression" dxfId="81" priority="1">
      <formula>#REF!="*01월*"</formula>
    </cfRule>
  </conditionalFormatting>
  <conditionalFormatting sqref="B19:B22">
    <cfRule type="expression" dxfId="80" priority="8">
      <formula>#REF!="*01월*"</formula>
    </cfRule>
  </conditionalFormatting>
  <conditionalFormatting sqref="B10:C10 B11 B12:C12 B13:B16">
    <cfRule type="expression" dxfId="79" priority="15">
      <formula>#REF!="*01월*"</formula>
    </cfRule>
  </conditionalFormatting>
  <conditionalFormatting sqref="B17:C18">
    <cfRule type="expression" dxfId="78" priority="13">
      <formula>#REF!="*01월*"</formula>
    </cfRule>
  </conditionalFormatting>
  <conditionalFormatting sqref="B24:C26">
    <cfRule type="expression" dxfId="77" priority="9">
      <formula>#REF!="*01월*"</formula>
    </cfRule>
  </conditionalFormatting>
  <conditionalFormatting sqref="C15:C16">
    <cfRule type="expression" dxfId="76" priority="14">
      <formula>#REF!="*01월*"</formula>
    </cfRule>
  </conditionalFormatting>
  <conditionalFormatting sqref="C20:C21">
    <cfRule type="expression" dxfId="75" priority="12">
      <formula>#REF!="*01월*"</formula>
    </cfRule>
  </conditionalFormatting>
  <conditionalFormatting sqref="C114:C116">
    <cfRule type="expression" dxfId="74" priority="19">
      <formula>#REF!="*01월*"</formula>
    </cfRule>
  </conditionalFormatting>
  <conditionalFormatting sqref="D5:E5 G5 F41">
    <cfRule type="expression" dxfId="73" priority="28">
      <formula>$F10="*01월*"</formula>
    </cfRule>
  </conditionalFormatting>
  <conditionalFormatting sqref="D6:E7 G6:G7 F39">
    <cfRule type="expression" dxfId="72" priority="29">
      <formula>$F12="*01월*"</formula>
    </cfRule>
  </conditionalFormatting>
  <conditionalFormatting sqref="D8:E8 E12:E19 F38">
    <cfRule type="expression" dxfId="71" priority="20">
      <formula>$F10="*01월*"</formula>
    </cfRule>
  </conditionalFormatting>
  <conditionalFormatting sqref="D9:E9 E10 E20">
    <cfRule type="expression" dxfId="70" priority="30">
      <formula>$F12="*01월*"</formula>
    </cfRule>
  </conditionalFormatting>
  <conditionalFormatting sqref="D34:E34">
    <cfRule type="expression" dxfId="69" priority="1660">
      <formula>$F35="*01월*"</formula>
    </cfRule>
  </conditionalFormatting>
  <conditionalFormatting sqref="E21 F114:F116 H128:K128">
    <cfRule type="expression" dxfId="68" priority="25">
      <formula>#REF!="*01월*"</formula>
    </cfRule>
  </conditionalFormatting>
  <conditionalFormatting sqref="F36:F37">
    <cfRule type="expression" dxfId="67" priority="6">
      <formula>#REF!="*01월*"</formula>
    </cfRule>
  </conditionalFormatting>
  <conditionalFormatting sqref="F39:F45">
    <cfRule type="expression" dxfId="66" priority="23">
      <formula>#REF!="*01월*"</formula>
    </cfRule>
  </conditionalFormatting>
  <conditionalFormatting sqref="F43">
    <cfRule type="expression" dxfId="65" priority="21">
      <formula>$F47="*01월*"</formula>
    </cfRule>
  </conditionalFormatting>
  <conditionalFormatting sqref="F46">
    <cfRule type="expression" dxfId="64" priority="24">
      <formula>$F58="*01월*"</formula>
    </cfRule>
  </conditionalFormatting>
  <conditionalFormatting sqref="H8:J8">
    <cfRule type="expression" dxfId="63" priority="17">
      <formula>$F10="*01월*"</formula>
    </cfRule>
  </conditionalFormatting>
  <pageMargins left="0.43307086614173229" right="0" top="0.59055118110236227" bottom="0.55000000000000004" header="0" footer="0"/>
  <pageSetup paperSize="9" scale="56" fitToHeight="0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9FDCC-CD86-44E0-B80B-70B26B3FFDBE}">
  <sheetPr codeName="Sheet1">
    <pageSetUpPr fitToPage="1"/>
  </sheetPr>
  <dimension ref="A1:T137"/>
  <sheetViews>
    <sheetView zoomScale="85" zoomScaleNormal="85" zoomScaleSheetLayoutView="100" workbookViewId="0">
      <pane xSplit="1" ySplit="8" topLeftCell="B15" activePane="bottomRight" state="frozen"/>
      <selection pane="topRight" activeCell="B1" sqref="B1"/>
      <selection pane="bottomLeft" activeCell="A9" sqref="A9"/>
      <selection pane="bottomRight" activeCell="I25" sqref="I25"/>
    </sheetView>
  </sheetViews>
  <sheetFormatPr defaultRowHeight="17.399999999999999"/>
  <cols>
    <col min="1" max="1" width="13.59765625" style="809" customWidth="1"/>
    <col min="2" max="2" width="9.59765625" style="809" customWidth="1"/>
    <col min="3" max="3" width="21.69921875" style="810" customWidth="1"/>
    <col min="4" max="4" width="18.69921875" style="810" customWidth="1"/>
    <col min="5" max="5" width="9.19921875" style="811" customWidth="1"/>
    <col min="6" max="6" width="9.19921875" style="1172" customWidth="1"/>
    <col min="7" max="7" width="9.19921875" style="810" customWidth="1"/>
    <col min="8" max="8" width="16.8984375" style="1119" customWidth="1"/>
    <col min="9" max="10" width="16.8984375" style="810" customWidth="1"/>
    <col min="11" max="11" width="17.3984375" style="810" customWidth="1"/>
    <col min="12" max="12" width="17.3984375" style="1172" customWidth="1"/>
    <col min="13" max="13" width="16.3984375" style="1727" customWidth="1"/>
    <col min="14" max="16" width="14.19921875" style="40" customWidth="1"/>
    <col min="17" max="17" width="15.19921875" style="40" customWidth="1"/>
    <col min="18" max="18" width="14.19921875" style="34" customWidth="1"/>
    <col min="19" max="19" width="14.8984375" style="34" customWidth="1"/>
    <col min="20" max="20" width="14.8984375" customWidth="1"/>
  </cols>
  <sheetData>
    <row r="1" spans="1:19" ht="21.75" customHeight="1">
      <c r="A1" s="2163" t="s">
        <v>4821</v>
      </c>
      <c r="B1" s="2163"/>
      <c r="C1" s="2163"/>
      <c r="D1" s="2163"/>
      <c r="E1" s="2163"/>
      <c r="F1" s="2163"/>
      <c r="G1" s="2163"/>
      <c r="H1" s="810"/>
      <c r="K1"/>
      <c r="L1" s="1727"/>
    </row>
    <row r="2" spans="1:19" ht="21.75" customHeight="1">
      <c r="A2" s="2163"/>
      <c r="B2" s="2163"/>
      <c r="C2" s="2163"/>
      <c r="D2" s="2163"/>
      <c r="E2" s="2163"/>
      <c r="F2" s="2163"/>
      <c r="G2" s="2163"/>
      <c r="H2" s="810"/>
      <c r="K2"/>
      <c r="L2" s="1727"/>
    </row>
    <row r="3" spans="1:19" ht="19.5" customHeight="1">
      <c r="A3" s="2163"/>
      <c r="B3" s="2163"/>
      <c r="C3" s="2163"/>
      <c r="D3" s="2163"/>
      <c r="E3" s="2163"/>
      <c r="F3" s="2163"/>
      <c r="G3" s="2163"/>
      <c r="H3" s="1114"/>
      <c r="I3" s="1115"/>
      <c r="J3" s="812"/>
      <c r="K3" s="812"/>
      <c r="L3" s="1793"/>
    </row>
    <row r="4" spans="1:19" ht="19.5" customHeight="1">
      <c r="A4" s="2163"/>
      <c r="B4" s="2163"/>
      <c r="C4" s="2163"/>
      <c r="D4" s="2163"/>
      <c r="E4" s="2163"/>
      <c r="F4" s="2163"/>
      <c r="G4" s="2163"/>
      <c r="H4" s="1114"/>
      <c r="I4" s="1115"/>
      <c r="J4" s="812"/>
      <c r="K4" s="812"/>
      <c r="L4" s="1793"/>
    </row>
    <row r="5" spans="1:19" ht="19.5" customHeight="1">
      <c r="A5" s="2175" t="s">
        <v>3749</v>
      </c>
      <c r="B5" s="2175"/>
      <c r="C5" s="944"/>
      <c r="D5" s="944"/>
      <c r="E5" s="944"/>
      <c r="F5" s="1210"/>
      <c r="G5" s="944"/>
      <c r="H5" s="1114"/>
      <c r="I5" s="1115"/>
      <c r="J5" s="812"/>
      <c r="K5" s="812"/>
      <c r="L5" s="1793"/>
    </row>
    <row r="6" spans="1:19" ht="19.5" customHeight="1">
      <c r="A6" s="2176" t="s">
        <v>4226</v>
      </c>
      <c r="B6" s="2176"/>
      <c r="C6" s="944"/>
      <c r="D6" s="944"/>
      <c r="E6" s="1114"/>
      <c r="F6" s="1210"/>
      <c r="G6" s="944"/>
      <c r="H6" s="1114"/>
      <c r="I6" s="1116"/>
      <c r="J6" s="813"/>
      <c r="K6" s="813"/>
      <c r="L6" s="1794"/>
    </row>
    <row r="7" spans="1:19" ht="19.5" customHeight="1" thickBot="1">
      <c r="A7" s="2209" t="s">
        <v>3748</v>
      </c>
      <c r="B7" s="2209"/>
      <c r="C7" s="945"/>
      <c r="D7" s="1411" t="s">
        <v>4610</v>
      </c>
      <c r="E7" s="945"/>
      <c r="F7" s="1211"/>
      <c r="G7" s="945"/>
      <c r="H7" s="1117"/>
      <c r="I7" s="1116"/>
      <c r="J7" s="813"/>
      <c r="K7" s="813"/>
      <c r="L7" s="1794"/>
    </row>
    <row r="8" spans="1:19" s="126" customFormat="1" ht="25.5" customHeight="1">
      <c r="A8" s="2178" t="s">
        <v>4057</v>
      </c>
      <c r="B8" s="951" t="s">
        <v>4035</v>
      </c>
      <c r="C8" s="951" t="s">
        <v>236</v>
      </c>
      <c r="D8" s="952" t="s">
        <v>4053</v>
      </c>
      <c r="E8" s="2185" t="s">
        <v>4054</v>
      </c>
      <c r="F8" s="2186"/>
      <c r="G8" s="2187"/>
      <c r="H8" s="1155" t="s">
        <v>4051</v>
      </c>
      <c r="I8" s="1118" t="s">
        <v>4050</v>
      </c>
      <c r="J8" s="1258" t="s">
        <v>4055</v>
      </c>
      <c r="K8" s="953" t="s">
        <v>4058</v>
      </c>
      <c r="L8" s="1795"/>
      <c r="M8" s="1397"/>
      <c r="N8" s="40"/>
      <c r="O8" s="40"/>
      <c r="P8" s="40"/>
      <c r="Q8" s="40"/>
      <c r="R8" s="40"/>
      <c r="S8" s="40"/>
    </row>
    <row r="9" spans="1:19" s="126" customFormat="1" ht="25.5" customHeight="1">
      <c r="A9" s="2092"/>
      <c r="B9" s="954" t="s">
        <v>375</v>
      </c>
      <c r="C9" s="954" t="s">
        <v>4036</v>
      </c>
      <c r="D9" s="956">
        <f>SUM(J30)</f>
        <v>106209377</v>
      </c>
      <c r="E9" s="2133">
        <f>SUM(J31:J33)</f>
        <v>460233808</v>
      </c>
      <c r="F9" s="2134"/>
      <c r="G9" s="2135"/>
      <c r="H9" s="1156">
        <f>SUM(K30:K33)</f>
        <v>0</v>
      </c>
      <c r="I9" s="1428">
        <f ca="1">SUMIF($A$30:$A$134,C9,$I$30:$I$133)</f>
        <v>566443185</v>
      </c>
      <c r="J9" s="1235">
        <f>SUM(D9:G9)</f>
        <v>566443185</v>
      </c>
      <c r="K9" s="957"/>
      <c r="L9" s="1796"/>
      <c r="M9" s="1397"/>
      <c r="N9" s="40"/>
      <c r="O9" s="40"/>
      <c r="P9" s="40"/>
      <c r="Q9" s="40"/>
      <c r="R9" s="40"/>
      <c r="S9" s="40"/>
    </row>
    <row r="10" spans="1:19" s="19" customFormat="1" ht="25.5" customHeight="1">
      <c r="A10" s="2092"/>
      <c r="B10" s="964" t="s">
        <v>375</v>
      </c>
      <c r="C10" s="964" t="s">
        <v>4025</v>
      </c>
      <c r="D10" s="965">
        <v>0</v>
      </c>
      <c r="E10" s="2182">
        <f>SUM(J34:J36)</f>
        <v>186028258</v>
      </c>
      <c r="F10" s="2183"/>
      <c r="G10" s="2184"/>
      <c r="H10" s="1157">
        <v>0</v>
      </c>
      <c r="I10" s="1429">
        <f ca="1">SUMIF($A$30:$A$134,C10,$I$30:$I$133)</f>
        <v>186028258</v>
      </c>
      <c r="J10" s="1242">
        <f t="shared" ref="J10:J20" si="0">SUM(D10:G10)</f>
        <v>186028258</v>
      </c>
      <c r="K10" s="966">
        <f>SUM(J9:J10)</f>
        <v>752471443</v>
      </c>
      <c r="L10" s="1797"/>
      <c r="M10" s="1728"/>
      <c r="N10" s="40"/>
      <c r="O10" s="40"/>
      <c r="P10" s="40"/>
      <c r="Q10" s="40"/>
      <c r="R10" s="40"/>
      <c r="S10" s="40"/>
    </row>
    <row r="11" spans="1:19" s="19" customFormat="1" ht="25.5" customHeight="1">
      <c r="A11" s="2092"/>
      <c r="B11" s="2210" t="s">
        <v>4244</v>
      </c>
      <c r="C11" s="2211"/>
      <c r="D11" s="1112">
        <f>SUM(D9:D10)</f>
        <v>106209377</v>
      </c>
      <c r="E11" s="2200">
        <f>SUM(E9:G10)</f>
        <v>646262066</v>
      </c>
      <c r="F11" s="2201"/>
      <c r="G11" s="2202"/>
      <c r="H11" s="1158">
        <f t="shared" ref="H11:K11" si="1">SUM(H9:H10)</f>
        <v>0</v>
      </c>
      <c r="I11" s="1112">
        <f t="shared" ca="1" si="1"/>
        <v>752471443</v>
      </c>
      <c r="J11" s="1184">
        <f t="shared" si="1"/>
        <v>752471443</v>
      </c>
      <c r="K11" s="1113">
        <f t="shared" si="1"/>
        <v>752471443</v>
      </c>
      <c r="L11" s="1797"/>
      <c r="M11" s="1728"/>
      <c r="N11" s="40"/>
      <c r="O11" s="40"/>
      <c r="P11" s="40"/>
      <c r="Q11" s="40"/>
      <c r="R11" s="40"/>
      <c r="S11" s="40"/>
    </row>
    <row r="12" spans="1:19" ht="25.5" customHeight="1">
      <c r="A12" s="2092"/>
      <c r="B12" s="970" t="s">
        <v>478</v>
      </c>
      <c r="C12" s="970" t="s">
        <v>4026</v>
      </c>
      <c r="D12" s="971">
        <v>0</v>
      </c>
      <c r="E12" s="2133">
        <f>SUM(J37)</f>
        <v>0</v>
      </c>
      <c r="F12" s="2134"/>
      <c r="G12" s="2135"/>
      <c r="H12" s="1774">
        <f>SUM(K37)</f>
        <v>10028903</v>
      </c>
      <c r="I12" s="971">
        <f t="shared" ref="I12:I21" ca="1" si="2">SUMIF($A$30:$A$134,C12,$I$30:$I$133)</f>
        <v>10028903</v>
      </c>
      <c r="J12" s="1234">
        <f>SUM(D12:G12)</f>
        <v>0</v>
      </c>
      <c r="K12" s="972"/>
      <c r="L12" s="1796"/>
    </row>
    <row r="13" spans="1:19" s="24" customFormat="1" ht="25.5" customHeight="1">
      <c r="A13" s="2092"/>
      <c r="B13" s="959" t="s">
        <v>478</v>
      </c>
      <c r="C13" s="959" t="s">
        <v>660</v>
      </c>
      <c r="D13" s="956">
        <f>SUM(J38)</f>
        <v>82413293</v>
      </c>
      <c r="E13" s="2133">
        <f>SUM(J39)</f>
        <v>101739044</v>
      </c>
      <c r="F13" s="2134"/>
      <c r="G13" s="2135"/>
      <c r="H13" s="1393">
        <f>SUM(K40:K47)</f>
        <v>394360412</v>
      </c>
      <c r="I13" s="956">
        <f t="shared" ca="1" si="2"/>
        <v>578512749</v>
      </c>
      <c r="J13" s="1235">
        <f>SUM(D13:G13)</f>
        <v>184152337</v>
      </c>
      <c r="K13" s="1233"/>
      <c r="L13" s="1789"/>
      <c r="M13" s="1729"/>
      <c r="N13" s="40"/>
      <c r="O13" s="40"/>
      <c r="P13" s="40"/>
      <c r="Q13" s="40"/>
      <c r="R13" s="55"/>
      <c r="S13" s="55"/>
    </row>
    <row r="14" spans="1:19" s="24" customFormat="1" ht="25.5" customHeight="1">
      <c r="A14" s="2092"/>
      <c r="B14" s="959" t="s">
        <v>478</v>
      </c>
      <c r="C14" s="959" t="s">
        <v>4042</v>
      </c>
      <c r="D14" s="956">
        <f>SUM(J48:J55)</f>
        <v>543678915</v>
      </c>
      <c r="E14" s="2244">
        <f>SUM(J56:J73)</f>
        <v>1314688246</v>
      </c>
      <c r="F14" s="2134"/>
      <c r="G14" s="2135"/>
      <c r="H14" s="1393">
        <f>SUM(K74:K84)</f>
        <v>650590296</v>
      </c>
      <c r="I14" s="956">
        <f t="shared" ca="1" si="2"/>
        <v>2508957457</v>
      </c>
      <c r="J14" s="1235">
        <f>SUM(D14:G14)</f>
        <v>1858367161</v>
      </c>
      <c r="K14" s="957"/>
      <c r="L14" s="1796"/>
      <c r="M14" s="1729"/>
      <c r="N14" s="40"/>
      <c r="O14" s="40"/>
      <c r="P14" s="40"/>
      <c r="Q14" s="40"/>
      <c r="R14" s="55"/>
      <c r="S14" s="55"/>
    </row>
    <row r="15" spans="1:19" s="24" customFormat="1" ht="25.5" customHeight="1">
      <c r="A15" s="2092"/>
      <c r="B15" s="959" t="s">
        <v>478</v>
      </c>
      <c r="C15" s="959" t="s">
        <v>4041</v>
      </c>
      <c r="D15" s="956">
        <f>SUM(J85)</f>
        <v>97376009</v>
      </c>
      <c r="E15" s="2133">
        <f>SUM(J86:J87)</f>
        <v>319202376</v>
      </c>
      <c r="F15" s="2134"/>
      <c r="G15" s="2135"/>
      <c r="H15" s="1393">
        <f>SUM(K88)</f>
        <v>71391041</v>
      </c>
      <c r="I15" s="956">
        <f t="shared" ca="1" si="2"/>
        <v>487969426</v>
      </c>
      <c r="J15" s="1235">
        <f>SUM(D15:G15)</f>
        <v>416578385</v>
      </c>
      <c r="K15" s="960"/>
      <c r="L15" s="1789"/>
      <c r="M15" s="1729"/>
      <c r="N15" s="40"/>
      <c r="O15" s="40"/>
      <c r="P15" s="40"/>
      <c r="Q15" s="40"/>
      <c r="R15" s="55"/>
      <c r="S15" s="55"/>
    </row>
    <row r="16" spans="1:19" s="24" customFormat="1" ht="25.5" customHeight="1">
      <c r="A16" s="2092"/>
      <c r="B16" s="973" t="s">
        <v>478</v>
      </c>
      <c r="C16" s="973" t="s">
        <v>4045</v>
      </c>
      <c r="D16" s="974">
        <f>SUM(J89)</f>
        <v>45325513</v>
      </c>
      <c r="E16" s="2160">
        <f>SUM(J90:J93)</f>
        <v>105235266</v>
      </c>
      <c r="F16" s="2161"/>
      <c r="G16" s="2162"/>
      <c r="H16" s="1469">
        <f>SUM(K94:K96)</f>
        <v>80779044</v>
      </c>
      <c r="I16" s="974">
        <f t="shared" ca="1" si="2"/>
        <v>231339823</v>
      </c>
      <c r="J16" s="1236">
        <f t="shared" si="0"/>
        <v>150560779</v>
      </c>
      <c r="K16" s="975">
        <f>SUM(J12:J16)</f>
        <v>2609658662</v>
      </c>
      <c r="L16" s="1797"/>
      <c r="M16" s="1729"/>
      <c r="N16" s="40"/>
      <c r="O16" s="40"/>
      <c r="P16" s="40"/>
      <c r="Q16" s="40"/>
      <c r="R16" s="55"/>
      <c r="S16" s="55"/>
    </row>
    <row r="17" spans="1:20" s="24" customFormat="1" ht="25.5" customHeight="1">
      <c r="A17" s="2092"/>
      <c r="B17" s="946" t="s">
        <v>626</v>
      </c>
      <c r="C17" s="946" t="s">
        <v>4979</v>
      </c>
      <c r="D17" s="808">
        <v>0</v>
      </c>
      <c r="E17" s="2188">
        <f>SUM(J97:J109)</f>
        <v>1720531883</v>
      </c>
      <c r="F17" s="2189"/>
      <c r="G17" s="2190"/>
      <c r="H17" s="1772">
        <f>SUM(K110:K112)</f>
        <v>728247288</v>
      </c>
      <c r="I17" s="1430">
        <f t="shared" ca="1" si="2"/>
        <v>0</v>
      </c>
      <c r="J17" s="1237">
        <f>SUM(D17:G17)</f>
        <v>1720531883</v>
      </c>
      <c r="K17" s="950">
        <f>J17</f>
        <v>1720531883</v>
      </c>
      <c r="L17" s="1797"/>
      <c r="M17" s="1729"/>
      <c r="N17" s="40"/>
      <c r="O17" s="40"/>
      <c r="P17" s="40"/>
      <c r="Q17" s="40"/>
      <c r="R17" s="55"/>
      <c r="S17" s="55"/>
    </row>
    <row r="18" spans="1:20" ht="25.5" customHeight="1">
      <c r="A18" s="2092"/>
      <c r="B18" s="967" t="s">
        <v>4048</v>
      </c>
      <c r="C18" s="1470" t="s">
        <v>47</v>
      </c>
      <c r="D18" s="1471">
        <v>0</v>
      </c>
      <c r="E18" s="2238">
        <f>SUM(J113:J115)</f>
        <v>117239879</v>
      </c>
      <c r="F18" s="2239"/>
      <c r="G18" s="2240"/>
      <c r="H18" s="1773">
        <f>SUM(K116)</f>
        <v>68034215</v>
      </c>
      <c r="I18" s="1473">
        <f t="shared" ca="1" si="2"/>
        <v>185274094</v>
      </c>
      <c r="J18" s="1474">
        <f t="shared" si="0"/>
        <v>117239879</v>
      </c>
      <c r="K18" s="969"/>
      <c r="L18" s="1789"/>
    </row>
    <row r="19" spans="1:20" ht="25.5" customHeight="1" thickBot="1">
      <c r="A19" s="2092"/>
      <c r="B19" s="959" t="s">
        <v>4048</v>
      </c>
      <c r="C19" s="959" t="s">
        <v>40</v>
      </c>
      <c r="D19" s="956">
        <f>SUM(J117:J119)</f>
        <v>27888101</v>
      </c>
      <c r="E19" s="2133">
        <f>SUM(J120:J125)</f>
        <v>10873820</v>
      </c>
      <c r="F19" s="2134"/>
      <c r="G19" s="2135"/>
      <c r="H19" s="1393">
        <f>SUM(K126:K127)</f>
        <v>35396297</v>
      </c>
      <c r="I19" s="1428">
        <f t="shared" ca="1" si="2"/>
        <v>74158218</v>
      </c>
      <c r="J19" s="1235">
        <f t="shared" si="0"/>
        <v>38761921</v>
      </c>
      <c r="K19" s="960"/>
      <c r="L19" s="1789"/>
    </row>
    <row r="20" spans="1:20" ht="25.5" customHeight="1">
      <c r="A20" s="2092"/>
      <c r="B20" s="973" t="s">
        <v>4048</v>
      </c>
      <c r="C20" s="1475" t="s">
        <v>15</v>
      </c>
      <c r="D20" s="956">
        <f>SUM(J128)</f>
        <v>84617737</v>
      </c>
      <c r="E20" s="2241">
        <f>SUM(J129:J130)</f>
        <v>59888993</v>
      </c>
      <c r="F20" s="2242"/>
      <c r="G20" s="2243"/>
      <c r="H20" s="1477">
        <f>SUM(K131)</f>
        <v>64125822</v>
      </c>
      <c r="I20" s="1476">
        <f t="shared" ca="1" si="2"/>
        <v>208632552</v>
      </c>
      <c r="J20" s="1478">
        <f t="shared" si="0"/>
        <v>144506730</v>
      </c>
      <c r="K20" s="975">
        <f>SUM(J18:J21)</f>
        <v>343561330</v>
      </c>
      <c r="L20" s="1797"/>
      <c r="N20" s="1407" t="s">
        <v>4606</v>
      </c>
      <c r="O20" s="1408" t="s">
        <v>4605</v>
      </c>
      <c r="P20" s="1408" t="s">
        <v>4607</v>
      </c>
      <c r="Q20" s="1408" t="s">
        <v>4608</v>
      </c>
      <c r="R20" s="1409" t="s">
        <v>4052</v>
      </c>
      <c r="S20" s="1846" t="s">
        <v>4981</v>
      </c>
      <c r="T20" s="1409" t="s">
        <v>4980</v>
      </c>
    </row>
    <row r="21" spans="1:20" ht="25.5" customHeight="1">
      <c r="A21" s="2092"/>
      <c r="B21" s="967" t="s">
        <v>4048</v>
      </c>
      <c r="C21" s="1259" t="s">
        <v>4049</v>
      </c>
      <c r="D21" s="971">
        <v>0</v>
      </c>
      <c r="E21" s="2191">
        <f>SUM(J132:J133)</f>
        <v>43052800</v>
      </c>
      <c r="F21" s="2192"/>
      <c r="G21" s="2193"/>
      <c r="H21" s="1183"/>
      <c r="I21" s="968">
        <f t="shared" ca="1" si="2"/>
        <v>43052800</v>
      </c>
      <c r="J21" s="1238">
        <f>SUM(D21:G21)</f>
        <v>43052800</v>
      </c>
      <c r="K21" s="1260" t="s">
        <v>4241</v>
      </c>
      <c r="L21" s="1798"/>
      <c r="N21" s="1854" t="s">
        <v>4603</v>
      </c>
      <c r="O21" s="45" t="s">
        <v>4242</v>
      </c>
      <c r="P21" s="1839">
        <f>SUM(H30:H36,)</f>
        <v>81514587</v>
      </c>
      <c r="Q21" s="1441">
        <f>SUM(J30:J36)</f>
        <v>752471443</v>
      </c>
      <c r="R21" s="1442"/>
      <c r="S21" s="1442"/>
      <c r="T21" s="1442"/>
    </row>
    <row r="22" spans="1:20" ht="25.5" customHeight="1" thickBot="1">
      <c r="A22" s="2092"/>
      <c r="B22" s="2210" t="s">
        <v>4245</v>
      </c>
      <c r="C22" s="2211"/>
      <c r="D22" s="1112">
        <f>SUM(D12:D21)</f>
        <v>881299568</v>
      </c>
      <c r="E22" s="2200">
        <f>SUM(E12:G21)</f>
        <v>3792452307</v>
      </c>
      <c r="F22" s="2201">
        <f t="shared" ref="F22:K22" si="3">SUM(F12:F21)</f>
        <v>0</v>
      </c>
      <c r="G22" s="2202">
        <f t="shared" si="3"/>
        <v>0</v>
      </c>
      <c r="H22" s="1834">
        <f>SUM(H12:H21)</f>
        <v>2102953318</v>
      </c>
      <c r="I22" s="1112">
        <f ca="1">SUM(I12:I21)</f>
        <v>4327926022</v>
      </c>
      <c r="J22" s="1184">
        <f>SUM(J12:J21)</f>
        <v>4673751875</v>
      </c>
      <c r="K22" s="1113">
        <f t="shared" si="3"/>
        <v>4673751875</v>
      </c>
      <c r="L22" s="1797"/>
      <c r="N22" s="1443"/>
      <c r="O22" s="1444" t="s">
        <v>4595</v>
      </c>
      <c r="P22" s="1446"/>
      <c r="Q22" s="1835"/>
      <c r="R22" s="1447">
        <f>SUM(Q21:Q22)</f>
        <v>752471443</v>
      </c>
      <c r="S22" s="1853">
        <f>K11</f>
        <v>752471443</v>
      </c>
      <c r="T22" s="1447">
        <f>R22-S22</f>
        <v>0</v>
      </c>
    </row>
    <row r="23" spans="1:20" ht="30" customHeight="1" thickBot="1">
      <c r="A23" s="2179"/>
      <c r="B23" s="2180" t="s">
        <v>4052</v>
      </c>
      <c r="C23" s="2181"/>
      <c r="D23" s="962">
        <f>SUM(D22,D11)</f>
        <v>987508945</v>
      </c>
      <c r="E23" s="2172">
        <f t="shared" ref="E23:I23" si="4">SUM(E22,E11)</f>
        <v>4438714373</v>
      </c>
      <c r="F23" s="2173">
        <f t="shared" si="4"/>
        <v>0</v>
      </c>
      <c r="G23" s="2174">
        <f t="shared" si="4"/>
        <v>0</v>
      </c>
      <c r="H23" s="1162">
        <f t="shared" si="4"/>
        <v>2102953318</v>
      </c>
      <c r="I23" s="962">
        <f t="shared" ca="1" si="4"/>
        <v>5080397465</v>
      </c>
      <c r="J23" s="1843">
        <f>SUM(J22,J11)</f>
        <v>5426223318</v>
      </c>
      <c r="K23" s="976">
        <f>SUM(K22,K11)</f>
        <v>5426223318</v>
      </c>
      <c r="L23" s="1790"/>
      <c r="N23" s="1855" t="s">
        <v>4604</v>
      </c>
      <c r="O23" s="1450" t="s">
        <v>4242</v>
      </c>
      <c r="P23" s="1840">
        <f>SUM(H38:H39,H48:H72,H85:H87,H89:H93,H97:H103,H113:H115,H117:H124,H128:H130,)</f>
        <v>2912024.7929629628</v>
      </c>
      <c r="Q23" s="1451">
        <f>SUM(I38:I39,I48:I72,I85:I87,I89:I93,I97:I103,I113:I115,I117:I124,I128:I130,)</f>
        <v>4319540772</v>
      </c>
      <c r="R23" s="1452"/>
      <c r="S23" s="1452"/>
      <c r="T23" s="1452"/>
    </row>
    <row r="24" spans="1:20" ht="30" customHeight="1" thickBot="1">
      <c r="A24" s="2149" t="s">
        <v>4986</v>
      </c>
      <c r="B24" s="977" t="s">
        <v>478</v>
      </c>
      <c r="C24" s="977" t="s">
        <v>4042</v>
      </c>
      <c r="D24" s="978">
        <v>1</v>
      </c>
      <c r="E24" s="2228">
        <v>5084858</v>
      </c>
      <c r="F24" s="2229"/>
      <c r="G24" s="2230"/>
      <c r="H24" s="2231">
        <f>SUM(E24:G26)</f>
        <v>311158303</v>
      </c>
      <c r="I24" s="1104" t="s">
        <v>4231</v>
      </c>
      <c r="J24" s="1243" t="s">
        <v>4983</v>
      </c>
      <c r="K24" s="1244">
        <f>J21</f>
        <v>43052800</v>
      </c>
      <c r="L24" s="1844"/>
      <c r="N24" s="1439"/>
      <c r="O24" s="1453" t="s">
        <v>4595</v>
      </c>
      <c r="P24" s="1841">
        <f>SUM(H73,H104:H109,H125)</f>
        <v>213110.62000000002</v>
      </c>
      <c r="Q24" s="1441">
        <f>SUM(I73,I104:I109,I125)</f>
        <v>311158303</v>
      </c>
      <c r="R24" s="1442"/>
      <c r="S24" s="1442"/>
      <c r="T24" s="1442"/>
    </row>
    <row r="25" spans="1:20" ht="30" customHeight="1" thickBot="1">
      <c r="A25" s="2195"/>
      <c r="B25" s="959" t="s">
        <v>4046</v>
      </c>
      <c r="C25" s="1164" t="s">
        <v>664</v>
      </c>
      <c r="D25" s="1091">
        <v>6</v>
      </c>
      <c r="E25" s="2234">
        <f>SUM(J104:J109)</f>
        <v>305572385</v>
      </c>
      <c r="F25" s="2235"/>
      <c r="G25" s="2236"/>
      <c r="H25" s="2232"/>
      <c r="I25" s="1092" t="s">
        <v>4961</v>
      </c>
      <c r="J25" s="1849" t="s">
        <v>4242</v>
      </c>
      <c r="K25" s="1850">
        <f>SUM(J9:J10,J12:J20)</f>
        <v>5383170518</v>
      </c>
      <c r="L25" s="1845" t="s">
        <v>4982</v>
      </c>
      <c r="N25" s="1443"/>
      <c r="O25" s="1444" t="s">
        <v>4241</v>
      </c>
      <c r="P25" s="1842">
        <f>SUM(H132:H133)</f>
        <v>36484</v>
      </c>
      <c r="Q25" s="1446">
        <f>SUM(I132:I133)</f>
        <v>43052800</v>
      </c>
      <c r="R25" s="1447">
        <f>SUM(Q23:Q25)</f>
        <v>4673751875</v>
      </c>
      <c r="S25" s="1447"/>
      <c r="T25" s="1447"/>
    </row>
    <row r="26" spans="1:20" ht="30" customHeight="1" thickBot="1">
      <c r="A26" s="2196"/>
      <c r="B26" s="1093" t="s">
        <v>4048</v>
      </c>
      <c r="C26" s="1093" t="s">
        <v>40</v>
      </c>
      <c r="D26" s="1094">
        <v>1</v>
      </c>
      <c r="E26" s="2237">
        <v>501060</v>
      </c>
      <c r="F26" s="2170"/>
      <c r="G26" s="2171"/>
      <c r="H26" s="2233"/>
      <c r="I26" s="1095" t="s">
        <v>4988</v>
      </c>
      <c r="J26" s="1851" t="s">
        <v>4052</v>
      </c>
      <c r="K26" s="1852">
        <f>SUM(K24:K25)</f>
        <v>5426223318</v>
      </c>
      <c r="L26" s="1847">
        <f>J23-K26</f>
        <v>0</v>
      </c>
      <c r="N26" s="2213" t="s">
        <v>4984</v>
      </c>
      <c r="O26" s="2214"/>
      <c r="P26" s="2215"/>
      <c r="Q26" s="1420">
        <f>SUM(Q21:Q25)</f>
        <v>5426223318</v>
      </c>
      <c r="R26" s="1410">
        <f>SUM(R21:R25)</f>
        <v>5426223318</v>
      </c>
      <c r="S26" s="1848">
        <f>J23</f>
        <v>5426223318</v>
      </c>
      <c r="T26" s="1410">
        <f>R26-S26</f>
        <v>0</v>
      </c>
    </row>
    <row r="27" spans="1:20" ht="30" customHeight="1" thickBot="1">
      <c r="A27" s="980" t="s">
        <v>4060</v>
      </c>
      <c r="L27" s="1791"/>
      <c r="O27" s="1456"/>
      <c r="P27" s="1456"/>
      <c r="R27" s="1837"/>
    </row>
    <row r="28" spans="1:20">
      <c r="A28" s="2216" t="s">
        <v>0</v>
      </c>
      <c r="B28" s="2218" t="s">
        <v>4035</v>
      </c>
      <c r="C28" s="2218" t="s">
        <v>1</v>
      </c>
      <c r="D28" s="2220" t="s">
        <v>2</v>
      </c>
      <c r="E28" s="2222" t="s">
        <v>4103</v>
      </c>
      <c r="F28" s="2220" t="s">
        <v>3</v>
      </c>
      <c r="G28" s="2224" t="s">
        <v>4</v>
      </c>
      <c r="H28" s="2226" t="s">
        <v>2352</v>
      </c>
      <c r="I28" s="2226"/>
      <c r="J28" s="2226"/>
      <c r="K28" s="2227"/>
      <c r="N28" s="1456"/>
      <c r="O28" s="1456"/>
      <c r="P28" s="1456"/>
      <c r="R28" s="1837"/>
    </row>
    <row r="29" spans="1:20" ht="23.25" customHeight="1">
      <c r="A29" s="2217"/>
      <c r="B29" s="2219"/>
      <c r="C29" s="2219"/>
      <c r="D29" s="2221"/>
      <c r="E29" s="2223"/>
      <c r="F29" s="2221"/>
      <c r="G29" s="2225"/>
      <c r="H29" s="1479" t="s">
        <v>6</v>
      </c>
      <c r="I29" s="1480" t="s">
        <v>7</v>
      </c>
      <c r="J29" s="1481" t="s">
        <v>2479</v>
      </c>
      <c r="K29" s="1482" t="s">
        <v>2336</v>
      </c>
      <c r="L29" s="1799"/>
    </row>
    <row r="30" spans="1:20" ht="23.25" customHeight="1">
      <c r="A30" s="1483" t="s">
        <v>4037</v>
      </c>
      <c r="B30" s="1484" t="s">
        <v>375</v>
      </c>
      <c r="C30" s="1730" t="s">
        <v>4962</v>
      </c>
      <c r="D30" s="1485" t="s">
        <v>4966</v>
      </c>
      <c r="E30" s="1486">
        <v>46206</v>
      </c>
      <c r="F30" s="1731">
        <v>46205</v>
      </c>
      <c r="G30" s="1777">
        <v>9.5632000000000001</v>
      </c>
      <c r="H30" s="1778">
        <v>11106050</v>
      </c>
      <c r="I30" s="1487">
        <f t="shared" ref="I30:I92" si="5">ROUNDDOWN(H30*G30,0)</f>
        <v>106209377</v>
      </c>
      <c r="J30" s="1488">
        <f>I30</f>
        <v>106209377</v>
      </c>
      <c r="K30" s="1553"/>
      <c r="L30" s="1859" t="s">
        <v>4990</v>
      </c>
      <c r="M30" t="s">
        <v>4989</v>
      </c>
    </row>
    <row r="31" spans="1:20" s="97" customFormat="1" ht="24" customHeight="1">
      <c r="A31" s="1500" t="s">
        <v>4036</v>
      </c>
      <c r="B31" s="1501" t="s">
        <v>4038</v>
      </c>
      <c r="C31" s="1491" t="s">
        <v>4963</v>
      </c>
      <c r="D31" s="1492" t="s">
        <v>4967</v>
      </c>
      <c r="E31" s="1493">
        <v>46216</v>
      </c>
      <c r="F31" s="1492">
        <v>46216</v>
      </c>
      <c r="G31" s="1502">
        <v>9.3008000000000006</v>
      </c>
      <c r="H31" s="1503">
        <v>19608450</v>
      </c>
      <c r="I31" s="1497">
        <f t="shared" si="5"/>
        <v>182374271</v>
      </c>
      <c r="J31" s="1504">
        <f t="shared" ref="J31:J35" si="6">I31</f>
        <v>182374271</v>
      </c>
      <c r="K31" s="1505"/>
      <c r="L31" s="1792"/>
      <c r="M31" s="718"/>
      <c r="N31" s="1726"/>
      <c r="O31" s="40"/>
      <c r="P31" s="40"/>
      <c r="Q31" s="40"/>
      <c r="R31" s="34"/>
      <c r="S31" s="34"/>
    </row>
    <row r="32" spans="1:20" s="97" customFormat="1" ht="24" customHeight="1">
      <c r="A32" s="1500" t="s">
        <v>4036</v>
      </c>
      <c r="B32" s="1501" t="s">
        <v>4038</v>
      </c>
      <c r="C32" s="1491" t="s">
        <v>4964</v>
      </c>
      <c r="D32" s="1492" t="s">
        <v>4968</v>
      </c>
      <c r="E32" s="1493">
        <v>46222</v>
      </c>
      <c r="F32" s="1492">
        <v>46221</v>
      </c>
      <c r="G32" s="1502">
        <v>9.1836000000000002</v>
      </c>
      <c r="H32" s="1503">
        <v>15885577</v>
      </c>
      <c r="I32" s="1497">
        <f t="shared" si="5"/>
        <v>145886784</v>
      </c>
      <c r="J32" s="1504">
        <f t="shared" si="6"/>
        <v>145886784</v>
      </c>
      <c r="K32" s="1505"/>
      <c r="L32" s="1803"/>
      <c r="M32" s="718"/>
      <c r="N32" s="40"/>
      <c r="O32" s="40"/>
      <c r="P32" s="40"/>
      <c r="Q32" s="40"/>
      <c r="R32" s="34"/>
      <c r="S32" s="34"/>
    </row>
    <row r="33" spans="1:19" s="97" customFormat="1" ht="24" customHeight="1" thickBot="1">
      <c r="A33" s="1489" t="s">
        <v>4036</v>
      </c>
      <c r="B33" s="1490" t="s">
        <v>4038</v>
      </c>
      <c r="C33" s="1596" t="s">
        <v>4965</v>
      </c>
      <c r="D33" s="1492" t="s">
        <v>4969</v>
      </c>
      <c r="E33" s="1597">
        <v>46230</v>
      </c>
      <c r="F33" s="1492">
        <v>46230</v>
      </c>
      <c r="G33" s="1775">
        <v>8.9581</v>
      </c>
      <c r="H33" s="1496">
        <v>14732226</v>
      </c>
      <c r="I33" s="1497">
        <f t="shared" si="5"/>
        <v>131972753</v>
      </c>
      <c r="J33" s="1504">
        <f t="shared" si="6"/>
        <v>131972753</v>
      </c>
      <c r="K33" s="1776"/>
      <c r="L33" s="1803"/>
      <c r="M33" s="718"/>
      <c r="N33" s="40"/>
      <c r="O33" s="40"/>
      <c r="P33" s="40"/>
      <c r="Q33" s="40"/>
      <c r="R33" s="34"/>
      <c r="S33" s="34"/>
    </row>
    <row r="34" spans="1:19" s="97" customFormat="1" ht="24" customHeight="1">
      <c r="A34" s="1517" t="s">
        <v>2787</v>
      </c>
      <c r="B34" s="1518" t="s">
        <v>375</v>
      </c>
      <c r="C34" s="1519" t="s">
        <v>4974</v>
      </c>
      <c r="D34" s="1519" t="s">
        <v>4970</v>
      </c>
      <c r="E34" s="1520">
        <v>46204</v>
      </c>
      <c r="F34" s="1521">
        <v>46204</v>
      </c>
      <c r="G34" s="1522">
        <v>9.5225000000000009</v>
      </c>
      <c r="H34" s="1523">
        <v>6727428</v>
      </c>
      <c r="I34" s="1524">
        <f t="shared" ref="I34:I35" si="7">ROUNDDOWN(H34*G34,0)</f>
        <v>64061933</v>
      </c>
      <c r="J34" s="1525">
        <f t="shared" si="6"/>
        <v>64061933</v>
      </c>
      <c r="K34" s="1526"/>
      <c r="L34" s="1856"/>
      <c r="M34" s="718"/>
      <c r="N34" s="40"/>
      <c r="O34" s="40"/>
      <c r="P34" s="40"/>
      <c r="Q34" s="40"/>
      <c r="R34" s="34"/>
      <c r="S34" s="34"/>
    </row>
    <row r="35" spans="1:19" s="97" customFormat="1" ht="24" customHeight="1">
      <c r="A35" s="1500" t="s">
        <v>2787</v>
      </c>
      <c r="B35" s="1501" t="s">
        <v>375</v>
      </c>
      <c r="C35" s="1596" t="s">
        <v>4975</v>
      </c>
      <c r="D35" s="1492" t="s">
        <v>4971</v>
      </c>
      <c r="E35" s="1597">
        <v>46217</v>
      </c>
      <c r="F35" s="1492">
        <v>46218</v>
      </c>
      <c r="G35" s="1775">
        <v>9.1982999999999997</v>
      </c>
      <c r="H35" s="1496">
        <v>5979936</v>
      </c>
      <c r="I35" s="1497">
        <f t="shared" si="7"/>
        <v>55005245</v>
      </c>
      <c r="J35" s="1504">
        <f t="shared" si="6"/>
        <v>55005245</v>
      </c>
      <c r="K35" s="1776"/>
      <c r="L35" s="1857"/>
      <c r="M35" s="718"/>
      <c r="N35" s="40"/>
      <c r="O35" s="40"/>
      <c r="P35" s="40"/>
      <c r="Q35" s="40"/>
      <c r="R35" s="34"/>
      <c r="S35" s="34"/>
    </row>
    <row r="36" spans="1:19" s="97" customFormat="1" ht="24" customHeight="1" thickBot="1">
      <c r="A36" s="1779" t="s">
        <v>2787</v>
      </c>
      <c r="B36" s="1780" t="s">
        <v>375</v>
      </c>
      <c r="C36" s="1781" t="s">
        <v>4976</v>
      </c>
      <c r="D36" s="1781" t="s">
        <v>4972</v>
      </c>
      <c r="E36" s="1782">
        <v>46231</v>
      </c>
      <c r="F36" s="1783">
        <v>46230</v>
      </c>
      <c r="G36" s="1784">
        <v>8.9581</v>
      </c>
      <c r="H36" s="1785">
        <v>7474920</v>
      </c>
      <c r="I36" s="1786">
        <f t="shared" si="5"/>
        <v>66961080</v>
      </c>
      <c r="J36" s="1787">
        <f t="shared" ref="J36" si="8">I36</f>
        <v>66961080</v>
      </c>
      <c r="K36" s="1788"/>
      <c r="L36" s="1856"/>
      <c r="M36" s="718"/>
      <c r="N36" s="40"/>
      <c r="O36" s="40"/>
      <c r="P36" s="40"/>
      <c r="Q36" s="40"/>
      <c r="R36" s="34"/>
      <c r="S36" s="34"/>
    </row>
    <row r="37" spans="1:19" s="97" customFormat="1" ht="24" customHeight="1" thickBot="1">
      <c r="A37" s="1805" t="s">
        <v>4026</v>
      </c>
      <c r="B37" s="1806" t="s">
        <v>478</v>
      </c>
      <c r="C37" s="1807" t="s">
        <v>4880</v>
      </c>
      <c r="D37" s="1808" t="s">
        <v>4881</v>
      </c>
      <c r="E37" s="1809"/>
      <c r="F37" s="1808">
        <v>46235</v>
      </c>
      <c r="G37" s="1810">
        <f>VLOOKUP(F37,환율!A:B,2,0)</f>
        <v>1441.1</v>
      </c>
      <c r="H37" s="1811">
        <v>6959.1999999999989</v>
      </c>
      <c r="I37" s="1812">
        <f t="shared" si="5"/>
        <v>10028903</v>
      </c>
      <c r="J37" s="1813">
        <v>0</v>
      </c>
      <c r="K37" s="1814">
        <f t="shared" ref="K37" si="9">I37</f>
        <v>10028903</v>
      </c>
      <c r="L37" s="1857"/>
      <c r="M37" s="718"/>
      <c r="N37" s="1467" t="s">
        <v>33</v>
      </c>
      <c r="O37" s="1467" t="s">
        <v>4621</v>
      </c>
      <c r="P37" s="1467" t="s">
        <v>4622</v>
      </c>
      <c r="Q37" s="1467" t="s">
        <v>2062</v>
      </c>
      <c r="R37" s="1467" t="s">
        <v>4973</v>
      </c>
      <c r="S37" s="34"/>
    </row>
    <row r="38" spans="1:19" ht="24" customHeight="1">
      <c r="A38" s="1540" t="s">
        <v>698</v>
      </c>
      <c r="B38" s="1541" t="s">
        <v>4039</v>
      </c>
      <c r="C38" s="1542" t="s">
        <v>4730</v>
      </c>
      <c r="D38" s="1543" t="s">
        <v>4731</v>
      </c>
      <c r="E38" s="1544">
        <v>46205</v>
      </c>
      <c r="F38" s="1543">
        <v>46205</v>
      </c>
      <c r="G38" s="1545">
        <f>VLOOKUP(F38,환율!A:B,2,0)</f>
        <v>1554.4</v>
      </c>
      <c r="H38" s="1546">
        <v>53019.360000000001</v>
      </c>
      <c r="I38" s="1547">
        <f t="shared" si="5"/>
        <v>82413293</v>
      </c>
      <c r="J38" s="1548">
        <f>I38</f>
        <v>82413293</v>
      </c>
      <c r="K38" s="1549"/>
      <c r="L38" s="1792"/>
      <c r="M38" s="1727" t="s">
        <v>4992</v>
      </c>
      <c r="N38" s="1461"/>
      <c r="O38" s="1461"/>
      <c r="P38" s="1461"/>
      <c r="Q38" s="1461"/>
      <c r="R38" s="1462"/>
    </row>
    <row r="39" spans="1:19" s="97" customFormat="1" ht="24" customHeight="1">
      <c r="A39" s="1489" t="s">
        <v>698</v>
      </c>
      <c r="B39" s="1490" t="s">
        <v>4039</v>
      </c>
      <c r="C39" s="1563" t="s">
        <v>4803</v>
      </c>
      <c r="D39" s="1492" t="s">
        <v>4804</v>
      </c>
      <c r="E39" s="1493">
        <v>46226</v>
      </c>
      <c r="F39" s="1492">
        <v>46226</v>
      </c>
      <c r="G39" s="1564">
        <f>VLOOKUP(F39,환율!A:B,2,0)</f>
        <v>1480.9</v>
      </c>
      <c r="H39" s="1565">
        <v>68700.820000000007</v>
      </c>
      <c r="I39" s="1497">
        <f t="shared" si="5"/>
        <v>101739044</v>
      </c>
      <c r="J39" s="1498">
        <f>I39</f>
        <v>101739044</v>
      </c>
      <c r="K39" s="1499"/>
      <c r="L39" s="1792"/>
      <c r="M39" t="s">
        <v>4991</v>
      </c>
      <c r="N39" s="1461"/>
      <c r="O39" s="1461"/>
      <c r="P39" s="1461"/>
      <c r="Q39" s="1804"/>
      <c r="R39" s="1462"/>
      <c r="S39" s="34"/>
    </row>
    <row r="40" spans="1:19" s="120" customFormat="1" ht="24" customHeight="1">
      <c r="A40" s="1815" t="s">
        <v>660</v>
      </c>
      <c r="B40" s="1816" t="s">
        <v>478</v>
      </c>
      <c r="C40" s="1817" t="s">
        <v>4805</v>
      </c>
      <c r="D40" s="1818" t="s">
        <v>4806</v>
      </c>
      <c r="E40" s="1819">
        <v>46236</v>
      </c>
      <c r="F40" s="1819">
        <v>46235</v>
      </c>
      <c r="G40" s="1820">
        <f>VLOOKUP(F40,환율!A:B,2,0)</f>
        <v>1441.1</v>
      </c>
      <c r="H40" s="1821">
        <v>34657.919999999998</v>
      </c>
      <c r="I40" s="1822">
        <f t="shared" si="5"/>
        <v>49945528</v>
      </c>
      <c r="J40" s="1822"/>
      <c r="K40" s="1823">
        <f t="shared" ref="K40:K47" si="10">I40</f>
        <v>49945528</v>
      </c>
      <c r="L40" s="1800"/>
      <c r="M40" s="1040"/>
      <c r="N40" s="1461"/>
      <c r="O40" s="1461"/>
      <c r="P40" s="1461"/>
      <c r="Q40" s="1461"/>
      <c r="R40" s="1463"/>
      <c r="S40" s="20"/>
    </row>
    <row r="41" spans="1:19" s="120" customFormat="1" ht="24" customHeight="1">
      <c r="A41" s="1824" t="s">
        <v>698</v>
      </c>
      <c r="B41" s="1825" t="s">
        <v>4039</v>
      </c>
      <c r="C41" s="1826" t="s">
        <v>4807</v>
      </c>
      <c r="D41" s="1827" t="s">
        <v>4808</v>
      </c>
      <c r="E41" s="1828">
        <v>46236</v>
      </c>
      <c r="F41" s="1819">
        <v>46235</v>
      </c>
      <c r="G41" s="1829">
        <f>VLOOKUP(F41,환율!A:B,2,0)</f>
        <v>1441.1</v>
      </c>
      <c r="H41" s="1830">
        <v>47384.639999999999</v>
      </c>
      <c r="I41" s="1831">
        <f t="shared" si="5"/>
        <v>68286004</v>
      </c>
      <c r="J41" s="1832"/>
      <c r="K41" s="1823">
        <f t="shared" si="10"/>
        <v>68286004</v>
      </c>
      <c r="L41" s="1800"/>
      <c r="M41" s="1040"/>
      <c r="N41" s="1461"/>
      <c r="O41" s="1461"/>
      <c r="P41" s="1461"/>
      <c r="Q41" s="1461"/>
      <c r="R41" s="1464"/>
      <c r="S41" s="20"/>
    </row>
    <row r="42" spans="1:19" s="120" customFormat="1" ht="24" customHeight="1">
      <c r="A42" s="1824" t="s">
        <v>698</v>
      </c>
      <c r="B42" s="1825" t="s">
        <v>4039</v>
      </c>
      <c r="C42" s="1826" t="s">
        <v>4809</v>
      </c>
      <c r="D42" s="1827" t="s">
        <v>4810</v>
      </c>
      <c r="E42" s="1828"/>
      <c r="F42" s="1819">
        <v>46235</v>
      </c>
      <c r="G42" s="1829">
        <f>VLOOKUP(F42,환율!A:B,2,0)</f>
        <v>1441.1</v>
      </c>
      <c r="H42" s="1830">
        <v>47960.639999999999</v>
      </c>
      <c r="I42" s="1831">
        <f t="shared" si="5"/>
        <v>69116078</v>
      </c>
      <c r="J42" s="1832"/>
      <c r="K42" s="1823">
        <f t="shared" si="10"/>
        <v>69116078</v>
      </c>
      <c r="L42" s="1800"/>
      <c r="M42" s="1040"/>
      <c r="N42" s="1461"/>
      <c r="O42" s="1461"/>
      <c r="P42" s="1461"/>
      <c r="Q42" s="1461"/>
      <c r="R42" s="1464"/>
      <c r="S42" s="20"/>
    </row>
    <row r="43" spans="1:19" s="120" customFormat="1" ht="24" customHeight="1">
      <c r="A43" s="1824" t="s">
        <v>698</v>
      </c>
      <c r="B43" s="1825" t="s">
        <v>4039</v>
      </c>
      <c r="C43" s="1826" t="s">
        <v>4811</v>
      </c>
      <c r="D43" s="1827" t="s">
        <v>4812</v>
      </c>
      <c r="E43" s="1828">
        <v>46240</v>
      </c>
      <c r="F43" s="1819">
        <v>46235</v>
      </c>
      <c r="G43" s="1829">
        <f>VLOOKUP(F43,환율!A:B,2,0)</f>
        <v>1441.1</v>
      </c>
      <c r="H43" s="1830">
        <v>64995.840000000004</v>
      </c>
      <c r="I43" s="1831">
        <f t="shared" si="5"/>
        <v>93665505</v>
      </c>
      <c r="J43" s="1832"/>
      <c r="K43" s="1823">
        <f t="shared" si="10"/>
        <v>93665505</v>
      </c>
      <c r="L43" s="1800"/>
      <c r="M43" s="1040"/>
      <c r="N43" s="1461"/>
      <c r="O43" s="1461"/>
      <c r="P43" s="1461"/>
      <c r="Q43" s="1461"/>
      <c r="R43" s="1463"/>
      <c r="S43" s="20"/>
    </row>
    <row r="44" spans="1:19" s="120" customFormat="1" ht="24" customHeight="1">
      <c r="A44" s="1824" t="s">
        <v>698</v>
      </c>
      <c r="B44" s="1825" t="s">
        <v>4039</v>
      </c>
      <c r="C44" s="1826" t="s">
        <v>4813</v>
      </c>
      <c r="D44" s="1827" t="s">
        <v>4814</v>
      </c>
      <c r="E44" s="1828"/>
      <c r="F44" s="1819">
        <v>46235</v>
      </c>
      <c r="G44" s="1829">
        <f>VLOOKUP(F44,환율!A:B,2,0)</f>
        <v>1441.1</v>
      </c>
      <c r="H44" s="1830">
        <v>43662.96</v>
      </c>
      <c r="I44" s="1831">
        <f t="shared" si="5"/>
        <v>62922691</v>
      </c>
      <c r="J44" s="1832"/>
      <c r="K44" s="1823">
        <f t="shared" si="10"/>
        <v>62922691</v>
      </c>
      <c r="L44" s="1800"/>
      <c r="M44" s="1040"/>
      <c r="N44" s="1461"/>
      <c r="O44" s="1461"/>
      <c r="P44" s="1461"/>
      <c r="Q44" s="1461"/>
      <c r="R44" s="1463"/>
      <c r="S44" s="20"/>
    </row>
    <row r="45" spans="1:19" s="120" customFormat="1" ht="24" customHeight="1">
      <c r="A45" s="1824" t="s">
        <v>698</v>
      </c>
      <c r="B45" s="1825" t="s">
        <v>4039</v>
      </c>
      <c r="C45" s="1826" t="s">
        <v>4815</v>
      </c>
      <c r="D45" s="1827" t="s">
        <v>4816</v>
      </c>
      <c r="E45" s="1828"/>
      <c r="F45" s="1819">
        <v>46235</v>
      </c>
      <c r="G45" s="1829">
        <f>VLOOKUP(F45,환율!A:B,2,0)</f>
        <v>1441.1</v>
      </c>
      <c r="H45" s="1830">
        <v>34752.959999999999</v>
      </c>
      <c r="I45" s="1831">
        <f t="shared" si="5"/>
        <v>50082490</v>
      </c>
      <c r="J45" s="1832"/>
      <c r="K45" s="1823">
        <f t="shared" si="10"/>
        <v>50082490</v>
      </c>
      <c r="L45" s="1800"/>
      <c r="M45" s="1040"/>
      <c r="N45" s="1461"/>
      <c r="O45" s="1461"/>
      <c r="P45" s="1461"/>
      <c r="Q45" s="1461"/>
      <c r="R45" s="1463"/>
      <c r="S45" s="20"/>
    </row>
    <row r="46" spans="1:19" s="120" customFormat="1" ht="24" customHeight="1">
      <c r="A46" s="1824" t="s">
        <v>698</v>
      </c>
      <c r="B46" s="1825" t="s">
        <v>4039</v>
      </c>
      <c r="C46" s="1826" t="s">
        <v>4817</v>
      </c>
      <c r="D46" s="1827" t="s">
        <v>4818</v>
      </c>
      <c r="E46" s="1828">
        <v>46236</v>
      </c>
      <c r="F46" s="1819">
        <v>46235</v>
      </c>
      <c r="G46" s="1829">
        <f>VLOOKUP(F46,환율!A:B,2,0)</f>
        <v>1441.1</v>
      </c>
      <c r="H46" s="1830">
        <v>118.69999999999999</v>
      </c>
      <c r="I46" s="1831">
        <f t="shared" si="5"/>
        <v>171058</v>
      </c>
      <c r="J46" s="1832"/>
      <c r="K46" s="1823">
        <f t="shared" si="10"/>
        <v>171058</v>
      </c>
      <c r="L46" s="1800"/>
      <c r="M46" s="1040"/>
      <c r="N46" s="1461"/>
      <c r="O46" s="1461"/>
      <c r="P46" s="1461"/>
      <c r="Q46" s="1461"/>
      <c r="R46" s="1463"/>
      <c r="S46" s="20"/>
    </row>
    <row r="47" spans="1:19" s="120" customFormat="1" ht="24" customHeight="1" thickBot="1">
      <c r="A47" s="1824" t="s">
        <v>698</v>
      </c>
      <c r="B47" s="1825" t="s">
        <v>4039</v>
      </c>
      <c r="C47" s="1826" t="s">
        <v>4819</v>
      </c>
      <c r="D47" s="1827" t="s">
        <v>4820</v>
      </c>
      <c r="E47" s="1828">
        <v>46236</v>
      </c>
      <c r="F47" s="1819">
        <v>46235</v>
      </c>
      <c r="G47" s="1833">
        <f>VLOOKUP(F47,환율!A:B,2,0)</f>
        <v>1441.1</v>
      </c>
      <c r="H47" s="1830">
        <v>118.69999999999999</v>
      </c>
      <c r="I47" s="1831">
        <f t="shared" si="5"/>
        <v>171058</v>
      </c>
      <c r="J47" s="1832"/>
      <c r="K47" s="1823">
        <f t="shared" si="10"/>
        <v>171058</v>
      </c>
      <c r="L47" s="1800"/>
      <c r="M47" s="1040"/>
      <c r="N47" s="1461"/>
      <c r="O47" s="1461"/>
      <c r="P47" s="1461"/>
      <c r="Q47" s="1461"/>
      <c r="R47" s="1463"/>
      <c r="S47" s="20"/>
    </row>
    <row r="48" spans="1:19" s="1040" customFormat="1" ht="24" customHeight="1">
      <c r="A48" s="1540" t="s">
        <v>4042</v>
      </c>
      <c r="B48" s="1541" t="s">
        <v>478</v>
      </c>
      <c r="C48" s="1576" t="s">
        <v>4732</v>
      </c>
      <c r="D48" s="1577" t="s">
        <v>4733</v>
      </c>
      <c r="E48" s="1578">
        <v>46204</v>
      </c>
      <c r="F48" s="1577">
        <v>46205</v>
      </c>
      <c r="G48" s="1732">
        <f>VLOOKUP(F48,환율!A:B,2,0)</f>
        <v>1554.4</v>
      </c>
      <c r="H48" s="1546">
        <v>19712</v>
      </c>
      <c r="I48" s="1547">
        <f t="shared" si="5"/>
        <v>30640332</v>
      </c>
      <c r="J48" s="1548">
        <f>I48</f>
        <v>30640332</v>
      </c>
      <c r="K48" s="1549"/>
      <c r="L48" s="1792"/>
      <c r="M48" s="1769" t="s">
        <v>4994</v>
      </c>
      <c r="N48" s="1461"/>
      <c r="O48" s="1461"/>
      <c r="P48" s="1461"/>
      <c r="Q48" s="1461"/>
      <c r="R48" s="1463"/>
      <c r="S48" s="1457"/>
    </row>
    <row r="49" spans="1:19" s="97" customFormat="1" ht="24" customHeight="1">
      <c r="A49" s="1483" t="s">
        <v>4042</v>
      </c>
      <c r="B49" s="1484" t="s">
        <v>4039</v>
      </c>
      <c r="C49" s="1579" t="s">
        <v>4734</v>
      </c>
      <c r="D49" s="1580" t="s">
        <v>4735</v>
      </c>
      <c r="E49" s="1581">
        <v>46204</v>
      </c>
      <c r="F49" s="1580">
        <v>46205</v>
      </c>
      <c r="G49" s="1551">
        <f>VLOOKUP(F49,환율!A:B,2,0)</f>
        <v>1554.4</v>
      </c>
      <c r="H49" s="1583">
        <v>58046.8</v>
      </c>
      <c r="I49" s="1584">
        <f t="shared" si="5"/>
        <v>90227945</v>
      </c>
      <c r="J49" s="1585">
        <f t="shared" ref="J49:J73" si="11">I49</f>
        <v>90227945</v>
      </c>
      <c r="K49" s="1586"/>
      <c r="L49" s="1792"/>
      <c r="M49" t="s">
        <v>4993</v>
      </c>
      <c r="N49" s="1461"/>
      <c r="O49" s="1461"/>
      <c r="P49" s="1461"/>
      <c r="Q49" s="1461"/>
      <c r="R49" s="1463"/>
      <c r="S49" s="34"/>
    </row>
    <row r="50" spans="1:19" s="97" customFormat="1" ht="24" customHeight="1">
      <c r="A50" s="1483" t="s">
        <v>4042</v>
      </c>
      <c r="B50" s="1484" t="s">
        <v>4039</v>
      </c>
      <c r="C50" s="1579" t="s">
        <v>4736</v>
      </c>
      <c r="D50" s="1580" t="s">
        <v>4737</v>
      </c>
      <c r="E50" s="1581">
        <v>46204</v>
      </c>
      <c r="F50" s="1580">
        <v>46205</v>
      </c>
      <c r="G50" s="1551">
        <f>VLOOKUP(F50,환율!A:B,2,0)</f>
        <v>1554.4</v>
      </c>
      <c r="H50" s="1583">
        <v>13760.82</v>
      </c>
      <c r="I50" s="1584">
        <f t="shared" si="5"/>
        <v>21389818</v>
      </c>
      <c r="J50" s="1585">
        <f t="shared" si="11"/>
        <v>21389818</v>
      </c>
      <c r="K50" s="1586"/>
      <c r="L50" s="1792"/>
      <c r="M50"/>
      <c r="N50" s="1461"/>
      <c r="O50" s="1461"/>
      <c r="P50" s="1461"/>
      <c r="Q50" s="1461"/>
      <c r="R50" s="1463"/>
      <c r="S50" s="34"/>
    </row>
    <row r="51" spans="1:19" s="97" customFormat="1" ht="24" customHeight="1">
      <c r="A51" s="1483" t="s">
        <v>4042</v>
      </c>
      <c r="B51" s="1484" t="s">
        <v>4039</v>
      </c>
      <c r="C51" s="1579" t="s">
        <v>4738</v>
      </c>
      <c r="D51" s="1580" t="s">
        <v>4739</v>
      </c>
      <c r="E51" s="1581">
        <v>46211</v>
      </c>
      <c r="F51" s="1580">
        <v>46211</v>
      </c>
      <c r="G51" s="1551">
        <f>VLOOKUP(F51,환율!A:B,2,0)</f>
        <v>1526.6</v>
      </c>
      <c r="H51" s="1583">
        <v>5619.06</v>
      </c>
      <c r="I51" s="1584">
        <f t="shared" si="5"/>
        <v>8578056</v>
      </c>
      <c r="J51" s="1585">
        <f t="shared" si="11"/>
        <v>8578056</v>
      </c>
      <c r="K51" s="1586"/>
      <c r="L51" s="1792"/>
      <c r="M51" s="718"/>
      <c r="N51" s="1461"/>
      <c r="O51" s="1461"/>
      <c r="P51" s="1461"/>
      <c r="Q51" s="1461"/>
      <c r="R51" s="1463"/>
      <c r="S51" s="34"/>
    </row>
    <row r="52" spans="1:19" s="97" customFormat="1" ht="24" customHeight="1">
      <c r="A52" s="1483" t="s">
        <v>4042</v>
      </c>
      <c r="B52" s="1484" t="s">
        <v>4039</v>
      </c>
      <c r="C52" s="1579" t="s">
        <v>4740</v>
      </c>
      <c r="D52" s="1580" t="s">
        <v>4741</v>
      </c>
      <c r="E52" s="1581">
        <v>46211</v>
      </c>
      <c r="F52" s="1580">
        <v>46211</v>
      </c>
      <c r="G52" s="1551">
        <f>VLOOKUP(F52,환율!A:B,2,0)</f>
        <v>1526.6</v>
      </c>
      <c r="H52" s="1583">
        <v>12912</v>
      </c>
      <c r="I52" s="1584">
        <f t="shared" si="5"/>
        <v>19711459</v>
      </c>
      <c r="J52" s="1585">
        <f t="shared" si="11"/>
        <v>19711459</v>
      </c>
      <c r="K52" s="1586"/>
      <c r="L52" s="1792"/>
      <c r="M52" s="718"/>
      <c r="N52" s="1461"/>
      <c r="O52" s="1461"/>
      <c r="P52" s="1461"/>
      <c r="Q52" s="1461"/>
      <c r="R52" s="1463"/>
      <c r="S52" s="34"/>
    </row>
    <row r="53" spans="1:19" s="97" customFormat="1" ht="24" customHeight="1">
      <c r="A53" s="1483" t="s">
        <v>4042</v>
      </c>
      <c r="B53" s="1484" t="s">
        <v>4039</v>
      </c>
      <c r="C53" s="1579" t="s">
        <v>4742</v>
      </c>
      <c r="D53" s="1580" t="s">
        <v>4743</v>
      </c>
      <c r="E53" s="1581">
        <v>46212</v>
      </c>
      <c r="F53" s="1580">
        <v>46212</v>
      </c>
      <c r="G53" s="1551">
        <f>VLOOKUP(F53,환율!A:B,2,0)</f>
        <v>1509.9</v>
      </c>
      <c r="H53" s="1583">
        <v>157930.07999999999</v>
      </c>
      <c r="I53" s="1584">
        <f t="shared" si="5"/>
        <v>238458627</v>
      </c>
      <c r="J53" s="1585">
        <f t="shared" si="11"/>
        <v>238458627</v>
      </c>
      <c r="K53" s="1586"/>
      <c r="L53" s="1792"/>
      <c r="M53" s="718"/>
      <c r="N53" s="1461"/>
      <c r="O53" s="1461"/>
      <c r="P53" s="1461"/>
      <c r="Q53" s="1461"/>
      <c r="R53" s="1463"/>
      <c r="S53" s="34"/>
    </row>
    <row r="54" spans="1:19" s="97" customFormat="1" ht="24" customHeight="1">
      <c r="A54" s="1483" t="s">
        <v>4042</v>
      </c>
      <c r="B54" s="1484" t="s">
        <v>4039</v>
      </c>
      <c r="C54" s="1730" t="s">
        <v>4744</v>
      </c>
      <c r="D54" s="1731" t="s">
        <v>4745</v>
      </c>
      <c r="E54" s="1733">
        <v>46211</v>
      </c>
      <c r="F54" s="1731">
        <v>46211</v>
      </c>
      <c r="G54" s="1551">
        <f>VLOOKUP(F54,환율!A:B,2,0)</f>
        <v>1526.6</v>
      </c>
      <c r="H54" s="1552">
        <v>37629.199999999997</v>
      </c>
      <c r="I54" s="1487">
        <f t="shared" si="5"/>
        <v>57444736</v>
      </c>
      <c r="J54" s="1488">
        <f t="shared" si="11"/>
        <v>57444736</v>
      </c>
      <c r="K54" s="1553"/>
      <c r="L54" s="1792"/>
      <c r="M54" s="718"/>
      <c r="N54" s="1461"/>
      <c r="O54" s="1461"/>
      <c r="P54" s="1461"/>
      <c r="Q54" s="1461"/>
      <c r="R54" s="1463"/>
      <c r="S54" s="34"/>
    </row>
    <row r="55" spans="1:19" s="126" customFormat="1" ht="24" customHeight="1">
      <c r="A55" s="1483" t="s">
        <v>4042</v>
      </c>
      <c r="B55" s="1484" t="s">
        <v>4039</v>
      </c>
      <c r="C55" s="1730" t="s">
        <v>4746</v>
      </c>
      <c r="D55" s="1731" t="s">
        <v>4747</v>
      </c>
      <c r="E55" s="1733">
        <v>46212</v>
      </c>
      <c r="F55" s="1731">
        <v>46212</v>
      </c>
      <c r="G55" s="1551">
        <f>VLOOKUP(F55,환율!A:B,2,0)</f>
        <v>1509.9</v>
      </c>
      <c r="H55" s="1552">
        <v>51147.72</v>
      </c>
      <c r="I55" s="1487">
        <f t="shared" si="5"/>
        <v>77227942</v>
      </c>
      <c r="J55" s="1488">
        <f t="shared" si="11"/>
        <v>77227942</v>
      </c>
      <c r="K55" s="1553"/>
      <c r="L55" s="1792"/>
      <c r="M55" s="1397"/>
      <c r="N55" s="1461"/>
      <c r="O55" s="1461"/>
      <c r="P55" s="1461"/>
      <c r="Q55" s="1461"/>
      <c r="R55" s="1463"/>
      <c r="S55" s="40"/>
    </row>
    <row r="56" spans="1:19" s="126" customFormat="1" ht="24" customHeight="1">
      <c r="A56" s="1591" t="s">
        <v>4042</v>
      </c>
      <c r="B56" s="1592" t="s">
        <v>4039</v>
      </c>
      <c r="C56" s="1593" t="s">
        <v>4822</v>
      </c>
      <c r="D56" s="1587" t="s">
        <v>4823</v>
      </c>
      <c r="E56" s="1527">
        <v>46220</v>
      </c>
      <c r="F56" s="1494">
        <v>46221</v>
      </c>
      <c r="G56" s="1564">
        <f>VLOOKUP(F56,환율!A:B,2,0)</f>
        <v>1488.8</v>
      </c>
      <c r="H56" s="1589">
        <v>30276.400000000001</v>
      </c>
      <c r="I56" s="1528">
        <f t="shared" si="5"/>
        <v>45075504</v>
      </c>
      <c r="J56" s="1528">
        <f t="shared" si="11"/>
        <v>45075504</v>
      </c>
      <c r="K56" s="1595"/>
      <c r="L56" s="1792"/>
      <c r="M56" s="1397"/>
      <c r="N56" s="1461"/>
      <c r="O56" s="1461"/>
      <c r="P56" s="1461"/>
      <c r="Q56" s="1461"/>
      <c r="R56" s="1463"/>
      <c r="S56" s="40"/>
    </row>
    <row r="57" spans="1:19" s="126" customFormat="1" ht="24" customHeight="1">
      <c r="A57" s="1500" t="s">
        <v>4042</v>
      </c>
      <c r="B57" s="1501" t="s">
        <v>4039</v>
      </c>
      <c r="C57" s="1491" t="s">
        <v>4824</v>
      </c>
      <c r="D57" s="1587" t="s">
        <v>4825</v>
      </c>
      <c r="E57" s="1527">
        <v>46217</v>
      </c>
      <c r="F57" s="1494">
        <v>46217</v>
      </c>
      <c r="G57" s="1564">
        <f>VLOOKUP(F57,환율!A:B,2,0)</f>
        <v>1504.9</v>
      </c>
      <c r="H57" s="1589">
        <v>165346.76</v>
      </c>
      <c r="I57" s="1528">
        <f t="shared" si="5"/>
        <v>248830339</v>
      </c>
      <c r="J57" s="1528">
        <f t="shared" si="11"/>
        <v>248830339</v>
      </c>
      <c r="K57" s="1590"/>
      <c r="L57" s="1801"/>
      <c r="M57" s="1397"/>
      <c r="N57" s="1461"/>
      <c r="O57" s="1461"/>
      <c r="P57" s="1461"/>
      <c r="Q57" s="1461"/>
      <c r="R57" s="1463"/>
      <c r="S57" s="40"/>
    </row>
    <row r="58" spans="1:19" s="126" customFormat="1" ht="24" customHeight="1">
      <c r="A58" s="1489" t="s">
        <v>4042</v>
      </c>
      <c r="B58" s="1490" t="s">
        <v>4039</v>
      </c>
      <c r="C58" s="1596" t="s">
        <v>4826</v>
      </c>
      <c r="D58" s="1494" t="s">
        <v>4827</v>
      </c>
      <c r="E58" s="1493">
        <v>46220</v>
      </c>
      <c r="F58" s="1494">
        <v>46221</v>
      </c>
      <c r="G58" s="1564">
        <f>VLOOKUP(F58,환율!A:B,2,0)</f>
        <v>1488.8</v>
      </c>
      <c r="H58" s="1565">
        <v>18286.8</v>
      </c>
      <c r="I58" s="1497">
        <f t="shared" si="5"/>
        <v>27225387</v>
      </c>
      <c r="J58" s="1504">
        <f t="shared" si="11"/>
        <v>27225387</v>
      </c>
      <c r="K58" s="1499"/>
      <c r="L58" s="1800"/>
      <c r="M58" s="1397"/>
      <c r="N58" s="1461"/>
      <c r="O58" s="1461"/>
      <c r="P58" s="1461"/>
      <c r="Q58" s="1461"/>
      <c r="R58" s="1463"/>
      <c r="S58" s="40"/>
    </row>
    <row r="59" spans="1:19" s="126" customFormat="1" ht="24" customHeight="1">
      <c r="A59" s="1489" t="s">
        <v>4042</v>
      </c>
      <c r="B59" s="1490" t="s">
        <v>4039</v>
      </c>
      <c r="C59" s="1596" t="s">
        <v>4828</v>
      </c>
      <c r="D59" s="1494" t="s">
        <v>4829</v>
      </c>
      <c r="E59" s="1493">
        <v>46217</v>
      </c>
      <c r="F59" s="1494">
        <v>46217</v>
      </c>
      <c r="G59" s="1564">
        <f>VLOOKUP(F59,환율!A:B,2,0)</f>
        <v>1504.9</v>
      </c>
      <c r="H59" s="1565">
        <v>1337.28</v>
      </c>
      <c r="I59" s="1497">
        <f t="shared" si="5"/>
        <v>2012472</v>
      </c>
      <c r="J59" s="1504">
        <f t="shared" si="11"/>
        <v>2012472</v>
      </c>
      <c r="K59" s="1499"/>
      <c r="L59" s="1800"/>
      <c r="M59" s="1397"/>
      <c r="N59" s="1461"/>
      <c r="O59" s="1461"/>
      <c r="P59" s="1461"/>
      <c r="Q59" s="1461"/>
      <c r="R59" s="1463"/>
      <c r="S59" s="40"/>
    </row>
    <row r="60" spans="1:19" s="126" customFormat="1" ht="24" customHeight="1">
      <c r="A60" s="1489" t="s">
        <v>4042</v>
      </c>
      <c r="B60" s="1490" t="s">
        <v>4039</v>
      </c>
      <c r="C60" s="1596" t="s">
        <v>4830</v>
      </c>
      <c r="D60" s="1596" t="s">
        <v>4831</v>
      </c>
      <c r="E60" s="1597">
        <v>46220</v>
      </c>
      <c r="F60" s="1494">
        <v>46221</v>
      </c>
      <c r="G60" s="1564">
        <f>VLOOKUP(F60,환율!A:B,2,0)</f>
        <v>1488.8</v>
      </c>
      <c r="H60" s="1565">
        <v>27519.8</v>
      </c>
      <c r="I60" s="1497">
        <f t="shared" si="5"/>
        <v>40971478</v>
      </c>
      <c r="J60" s="1504">
        <f t="shared" si="11"/>
        <v>40971478</v>
      </c>
      <c r="K60" s="1499"/>
      <c r="L60" s="1800"/>
      <c r="M60" s="1397"/>
      <c r="N60" s="1461"/>
      <c r="O60" s="1461"/>
      <c r="P60" s="1461"/>
      <c r="Q60" s="1461"/>
      <c r="R60" s="1463"/>
      <c r="S60" s="40"/>
    </row>
    <row r="61" spans="1:19" s="126" customFormat="1" ht="24" customHeight="1">
      <c r="A61" s="1489" t="s">
        <v>4042</v>
      </c>
      <c r="B61" s="1490" t="s">
        <v>4039</v>
      </c>
      <c r="C61" s="1596" t="s">
        <v>4832</v>
      </c>
      <c r="D61" s="1494" t="s">
        <v>4833</v>
      </c>
      <c r="E61" s="1597">
        <v>46217</v>
      </c>
      <c r="F61" s="1494">
        <v>46217</v>
      </c>
      <c r="G61" s="1564">
        <f>VLOOKUP(F61,환율!A:B,2,0)</f>
        <v>1504.9</v>
      </c>
      <c r="H61" s="1565">
        <v>18460.04</v>
      </c>
      <c r="I61" s="1497">
        <f t="shared" si="5"/>
        <v>27780514</v>
      </c>
      <c r="J61" s="1498">
        <f t="shared" si="11"/>
        <v>27780514</v>
      </c>
      <c r="K61" s="1499"/>
      <c r="L61" s="1800"/>
      <c r="M61" s="718" t="s">
        <v>4960</v>
      </c>
      <c r="N61" s="1461"/>
      <c r="O61" s="1461"/>
      <c r="P61" s="1461"/>
      <c r="Q61" s="1461"/>
      <c r="R61" s="1463"/>
      <c r="S61" s="40"/>
    </row>
    <row r="62" spans="1:19" s="126" customFormat="1" ht="24" customHeight="1">
      <c r="A62" s="1489" t="s">
        <v>4042</v>
      </c>
      <c r="B62" s="1490" t="s">
        <v>4039</v>
      </c>
      <c r="C62" s="1596" t="s">
        <v>4834</v>
      </c>
      <c r="D62" s="1494" t="s">
        <v>4835</v>
      </c>
      <c r="E62" s="1597">
        <v>46220</v>
      </c>
      <c r="F62" s="1494">
        <v>46220</v>
      </c>
      <c r="G62" s="1564">
        <f>VLOOKUP(F62,환율!A:B,2,0)</f>
        <v>1488.8</v>
      </c>
      <c r="H62" s="1565">
        <v>216776.08</v>
      </c>
      <c r="I62" s="1497">
        <f t="shared" si="5"/>
        <v>322736227</v>
      </c>
      <c r="J62" s="1504">
        <f t="shared" si="11"/>
        <v>322736227</v>
      </c>
      <c r="K62" s="1499"/>
      <c r="L62" s="1800"/>
      <c r="M62" s="1397"/>
      <c r="N62" s="1461"/>
      <c r="O62" s="1461"/>
      <c r="P62" s="1461"/>
      <c r="Q62" s="1461"/>
      <c r="R62" s="1463"/>
      <c r="S62" s="40"/>
    </row>
    <row r="63" spans="1:19" s="126" customFormat="1" ht="24" customHeight="1">
      <c r="A63" s="1489" t="s">
        <v>4042</v>
      </c>
      <c r="B63" s="1490" t="s">
        <v>4039</v>
      </c>
      <c r="C63" s="1596" t="s">
        <v>4836</v>
      </c>
      <c r="D63" s="1494" t="s">
        <v>4837</v>
      </c>
      <c r="E63" s="1597">
        <v>46220</v>
      </c>
      <c r="F63" s="1494">
        <v>46220</v>
      </c>
      <c r="G63" s="1564">
        <f>VLOOKUP(F63,환율!A:B,2,0)</f>
        <v>1488.8</v>
      </c>
      <c r="H63" s="1565">
        <v>14234.26</v>
      </c>
      <c r="I63" s="1497">
        <f t="shared" si="5"/>
        <v>21191966</v>
      </c>
      <c r="J63" s="1504">
        <f t="shared" si="11"/>
        <v>21191966</v>
      </c>
      <c r="K63" s="1499"/>
      <c r="L63" s="1800"/>
      <c r="M63" s="1397"/>
      <c r="N63" s="1461"/>
      <c r="O63" s="1461"/>
      <c r="P63" s="1461"/>
      <c r="Q63" s="1461"/>
      <c r="R63" s="1463"/>
      <c r="S63" s="40"/>
    </row>
    <row r="64" spans="1:19" s="126" customFormat="1" ht="24" customHeight="1">
      <c r="A64" s="1489" t="s">
        <v>4042</v>
      </c>
      <c r="B64" s="1490" t="s">
        <v>4039</v>
      </c>
      <c r="C64" s="1596" t="s">
        <v>4838</v>
      </c>
      <c r="D64" s="1599" t="s">
        <v>4839</v>
      </c>
      <c r="E64" s="1597">
        <v>46220</v>
      </c>
      <c r="F64" s="1494">
        <v>46221</v>
      </c>
      <c r="G64" s="1564">
        <f>VLOOKUP(F64,환율!A:B,2,0)</f>
        <v>1488.8</v>
      </c>
      <c r="H64" s="1565">
        <v>36703.26</v>
      </c>
      <c r="I64" s="1497">
        <f t="shared" si="5"/>
        <v>54643813</v>
      </c>
      <c r="J64" s="1498">
        <f t="shared" si="11"/>
        <v>54643813</v>
      </c>
      <c r="K64" s="1499"/>
      <c r="L64" s="1800"/>
      <c r="M64" s="1397"/>
      <c r="N64" s="1461"/>
      <c r="O64" s="1461"/>
      <c r="P64" s="1461"/>
      <c r="Q64" s="1461"/>
      <c r="R64" s="1463"/>
      <c r="S64" s="40"/>
    </row>
    <row r="65" spans="1:19" s="126" customFormat="1" ht="24" customHeight="1">
      <c r="A65" s="1489" t="s">
        <v>4042</v>
      </c>
      <c r="B65" s="1490" t="s">
        <v>4039</v>
      </c>
      <c r="C65" s="1596" t="s">
        <v>4840</v>
      </c>
      <c r="D65" s="1494" t="s">
        <v>4841</v>
      </c>
      <c r="E65" s="1597">
        <v>46227</v>
      </c>
      <c r="F65" s="1494">
        <v>46227</v>
      </c>
      <c r="G65" s="1564">
        <f>VLOOKUP(F65,환율!A:B,2,0)</f>
        <v>1469.4</v>
      </c>
      <c r="H65" s="1565">
        <v>89383.95</v>
      </c>
      <c r="I65" s="1497">
        <f t="shared" si="5"/>
        <v>131340776</v>
      </c>
      <c r="J65" s="1498">
        <f t="shared" si="11"/>
        <v>131340776</v>
      </c>
      <c r="K65" s="1499"/>
      <c r="L65" s="1800"/>
      <c r="M65" s="1397"/>
      <c r="N65" s="1461"/>
      <c r="O65" s="1461"/>
      <c r="P65" s="1461"/>
      <c r="Q65" s="1461"/>
      <c r="R65" s="1463"/>
      <c r="S65" s="40"/>
    </row>
    <row r="66" spans="1:19" s="126" customFormat="1" ht="24" customHeight="1">
      <c r="A66" s="1489" t="s">
        <v>4042</v>
      </c>
      <c r="B66" s="1490" t="s">
        <v>4039</v>
      </c>
      <c r="C66" s="1596" t="s">
        <v>4842</v>
      </c>
      <c r="D66" s="1494" t="s">
        <v>4843</v>
      </c>
      <c r="E66" s="1597">
        <v>46227</v>
      </c>
      <c r="F66" s="1494">
        <v>46227</v>
      </c>
      <c r="G66" s="1564">
        <f>VLOOKUP(F66,환율!A:B,2,0)</f>
        <v>1469.4</v>
      </c>
      <c r="H66" s="1565">
        <v>202718.36</v>
      </c>
      <c r="I66" s="1497">
        <f t="shared" si="5"/>
        <v>297874358</v>
      </c>
      <c r="J66" s="1504">
        <f t="shared" si="11"/>
        <v>297874358</v>
      </c>
      <c r="K66" s="1499"/>
      <c r="L66" s="1800"/>
      <c r="M66" s="1397"/>
      <c r="N66" s="1461"/>
      <c r="O66" s="1461"/>
      <c r="P66" s="1461"/>
      <c r="Q66" s="1461"/>
      <c r="R66" s="1463"/>
      <c r="S66" s="40"/>
    </row>
    <row r="67" spans="1:19" s="126" customFormat="1" ht="24" customHeight="1">
      <c r="A67" s="1489" t="s">
        <v>4042</v>
      </c>
      <c r="B67" s="1490" t="s">
        <v>4039</v>
      </c>
      <c r="C67" s="1596" t="s">
        <v>4844</v>
      </c>
      <c r="D67" s="1494" t="s">
        <v>4845</v>
      </c>
      <c r="E67" s="1597">
        <v>46227</v>
      </c>
      <c r="F67" s="1494">
        <v>46227</v>
      </c>
      <c r="G67" s="1564">
        <f>VLOOKUP(F67,환율!A:B,2,0)</f>
        <v>1469.4</v>
      </c>
      <c r="H67" s="1565">
        <v>9867</v>
      </c>
      <c r="I67" s="1497">
        <f t="shared" si="5"/>
        <v>14498569</v>
      </c>
      <c r="J67" s="1504">
        <f t="shared" si="11"/>
        <v>14498569</v>
      </c>
      <c r="K67" s="1499"/>
      <c r="L67" s="1800"/>
      <c r="M67" s="1397"/>
      <c r="N67" s="1461"/>
      <c r="O67" s="1461"/>
      <c r="P67" s="1461"/>
      <c r="Q67" s="1461"/>
      <c r="R67" s="1463"/>
      <c r="S67" s="40"/>
    </row>
    <row r="68" spans="1:19" s="126" customFormat="1" ht="24" customHeight="1">
      <c r="A68" s="1489" t="s">
        <v>4042</v>
      </c>
      <c r="B68" s="1490" t="s">
        <v>4039</v>
      </c>
      <c r="C68" s="1596" t="s">
        <v>4846</v>
      </c>
      <c r="D68" s="1494" t="s">
        <v>4847</v>
      </c>
      <c r="E68" s="1597">
        <v>46208</v>
      </c>
      <c r="F68" s="1494">
        <v>46208</v>
      </c>
      <c r="G68" s="1564">
        <f>VLOOKUP(F68,환율!A:B,2,0)</f>
        <v>1554.1</v>
      </c>
      <c r="H68" s="1565">
        <v>1867.6</v>
      </c>
      <c r="I68" s="1497">
        <f>ROUNDDOWN(G68*H68,0)</f>
        <v>2902437</v>
      </c>
      <c r="J68" s="1504">
        <f t="shared" si="11"/>
        <v>2902437</v>
      </c>
      <c r="K68" s="1499"/>
      <c r="L68" s="1800"/>
      <c r="M68" s="1397"/>
      <c r="N68" s="1461"/>
      <c r="O68" s="1461"/>
      <c r="P68" s="1461"/>
      <c r="Q68" s="1461"/>
      <c r="R68" s="1463"/>
      <c r="S68" s="40"/>
    </row>
    <row r="69" spans="1:19" s="126" customFormat="1" ht="24" customHeight="1">
      <c r="A69" s="1489" t="s">
        <v>4042</v>
      </c>
      <c r="B69" s="1490" t="s">
        <v>4039</v>
      </c>
      <c r="C69" s="1596" t="s">
        <v>4848</v>
      </c>
      <c r="D69" s="1494" t="s">
        <v>4849</v>
      </c>
      <c r="E69" s="1597">
        <v>46207</v>
      </c>
      <c r="F69" s="1494">
        <v>46207</v>
      </c>
      <c r="G69" s="1564">
        <f>VLOOKUP(F69,환율!A:B,2,0)</f>
        <v>1554.1</v>
      </c>
      <c r="H69" s="1565">
        <v>2729.5</v>
      </c>
      <c r="I69" s="1497">
        <f>ROUNDDOWN(G69*H69,0)</f>
        <v>4241915</v>
      </c>
      <c r="J69" s="1498">
        <f t="shared" si="11"/>
        <v>4241915</v>
      </c>
      <c r="K69" s="1499"/>
      <c r="L69" s="1800"/>
      <c r="M69" s="1397"/>
      <c r="N69" s="1461"/>
      <c r="O69" s="1461"/>
      <c r="P69" s="1461"/>
      <c r="Q69" s="1461"/>
      <c r="R69" s="1463"/>
      <c r="S69" s="40"/>
    </row>
    <row r="70" spans="1:19" s="126" customFormat="1" ht="24" customHeight="1">
      <c r="A70" s="1489" t="s">
        <v>4042</v>
      </c>
      <c r="B70" s="1490" t="s">
        <v>4039</v>
      </c>
      <c r="C70" s="1596" t="s">
        <v>4850</v>
      </c>
      <c r="D70" s="1494" t="s">
        <v>4851</v>
      </c>
      <c r="E70" s="1493">
        <v>46226</v>
      </c>
      <c r="F70" s="1494">
        <v>46226</v>
      </c>
      <c r="G70" s="1564">
        <f>VLOOKUP(F70,환율!A:B,2,0)</f>
        <v>1480.9</v>
      </c>
      <c r="H70" s="1565">
        <v>30006.9</v>
      </c>
      <c r="I70" s="1497">
        <f t="shared" ref="I70:I73" si="12">ROUNDDOWN(G70*H70,0)</f>
        <v>44437218</v>
      </c>
      <c r="J70" s="1498">
        <f t="shared" si="11"/>
        <v>44437218</v>
      </c>
      <c r="K70" s="1499"/>
      <c r="L70" s="1800"/>
      <c r="M70" s="1397"/>
      <c r="N70" s="1461"/>
      <c r="O70" s="1461"/>
      <c r="P70" s="1461"/>
      <c r="Q70" s="1461"/>
      <c r="R70" s="1463"/>
      <c r="S70" s="40"/>
    </row>
    <row r="71" spans="1:19" s="126" customFormat="1" ht="24" customHeight="1">
      <c r="A71" s="1489" t="s">
        <v>4042</v>
      </c>
      <c r="B71" s="1490" t="s">
        <v>4039</v>
      </c>
      <c r="C71" s="1596" t="s">
        <v>4852</v>
      </c>
      <c r="D71" s="1494" t="s">
        <v>4853</v>
      </c>
      <c r="E71" s="1493">
        <v>46218</v>
      </c>
      <c r="F71" s="1494">
        <v>46218</v>
      </c>
      <c r="G71" s="1564">
        <f>VLOOKUP(F71,환율!A:B,2,0)</f>
        <v>1492.2</v>
      </c>
      <c r="H71" s="1565">
        <v>1739.68</v>
      </c>
      <c r="I71" s="1497">
        <f t="shared" si="12"/>
        <v>2595950</v>
      </c>
      <c r="J71" s="1498">
        <f t="shared" si="11"/>
        <v>2595950</v>
      </c>
      <c r="K71" s="1499"/>
      <c r="L71" s="1800"/>
      <c r="M71" s="1397"/>
      <c r="N71" s="1461"/>
      <c r="O71" s="1461"/>
      <c r="P71" s="1461"/>
      <c r="Q71" s="1461"/>
      <c r="R71" s="1465"/>
      <c r="S71" s="40"/>
    </row>
    <row r="72" spans="1:19" s="126" customFormat="1" ht="24" customHeight="1">
      <c r="A72" s="1489" t="s">
        <v>4042</v>
      </c>
      <c r="B72" s="1490" t="s">
        <v>4039</v>
      </c>
      <c r="C72" s="1596" t="s">
        <v>4874</v>
      </c>
      <c r="D72" s="1494" t="s">
        <v>4875</v>
      </c>
      <c r="E72" s="1493">
        <v>46234</v>
      </c>
      <c r="F72" s="1494">
        <v>46235</v>
      </c>
      <c r="G72" s="1564">
        <v>1441.1</v>
      </c>
      <c r="H72" s="1565">
        <v>14741.84</v>
      </c>
      <c r="I72" s="1497">
        <v>21244465</v>
      </c>
      <c r="J72" s="1498">
        <f t="shared" si="11"/>
        <v>21244465</v>
      </c>
      <c r="K72" s="1499"/>
      <c r="L72" s="1800"/>
      <c r="M72" s="1397"/>
      <c r="N72" s="1461"/>
      <c r="O72" s="1461"/>
      <c r="P72" s="1461"/>
      <c r="Q72" s="1461"/>
      <c r="R72" s="1465"/>
      <c r="S72" s="40"/>
    </row>
    <row r="73" spans="1:19" s="126" customFormat="1" ht="24" customHeight="1">
      <c r="A73" s="1600" t="s">
        <v>4042</v>
      </c>
      <c r="B73" s="1601" t="s">
        <v>4039</v>
      </c>
      <c r="C73" s="1602" t="s">
        <v>4855</v>
      </c>
      <c r="D73" s="1603" t="s">
        <v>4854</v>
      </c>
      <c r="E73" s="1734">
        <v>46225</v>
      </c>
      <c r="F73" s="1603">
        <v>46225</v>
      </c>
      <c r="G73" s="1684">
        <f>VLOOKUP(F73,환율!A:B,2,0)</f>
        <v>1475.6</v>
      </c>
      <c r="H73" s="1606">
        <v>3445.96</v>
      </c>
      <c r="I73" s="1607">
        <f t="shared" si="12"/>
        <v>5084858</v>
      </c>
      <c r="J73" s="1608">
        <f t="shared" si="11"/>
        <v>5084858</v>
      </c>
      <c r="K73" s="1609"/>
      <c r="L73" s="1800"/>
      <c r="M73" s="1397"/>
      <c r="N73" s="1461"/>
      <c r="O73" s="1461"/>
      <c r="P73" s="1461"/>
      <c r="Q73" s="1461"/>
      <c r="R73" s="1466"/>
      <c r="S73" s="40"/>
    </row>
    <row r="74" spans="1:19" s="126" customFormat="1" ht="24" customHeight="1">
      <c r="A74" s="1566" t="s">
        <v>4042</v>
      </c>
      <c r="B74" s="1567" t="s">
        <v>4039</v>
      </c>
      <c r="C74" s="1610" t="s">
        <v>4856</v>
      </c>
      <c r="D74" s="1611" t="s">
        <v>4857</v>
      </c>
      <c r="E74" s="1570">
        <v>46235</v>
      </c>
      <c r="F74" s="1611">
        <v>46235</v>
      </c>
      <c r="G74" s="1571">
        <f>VLOOKUP(F74,환율!A:B,2,0)</f>
        <v>1441.1</v>
      </c>
      <c r="H74" s="1572">
        <v>25002</v>
      </c>
      <c r="I74" s="1573">
        <f t="shared" ref="I74:I84" si="13">ROUNDDOWN(G74*H74,0)</f>
        <v>36030382</v>
      </c>
      <c r="J74" s="1574"/>
      <c r="K74" s="1575">
        <f t="shared" ref="K74:K84" si="14">I74</f>
        <v>36030382</v>
      </c>
      <c r="L74" s="1800"/>
      <c r="M74" s="1397"/>
      <c r="N74" s="1461"/>
      <c r="O74" s="1461"/>
      <c r="P74" s="1461"/>
      <c r="Q74" s="1461"/>
      <c r="R74" s="1466"/>
      <c r="S74" s="40"/>
    </row>
    <row r="75" spans="1:19" s="126" customFormat="1" ht="24" customHeight="1">
      <c r="A75" s="1566" t="s">
        <v>4042</v>
      </c>
      <c r="B75" s="1567" t="s">
        <v>4039</v>
      </c>
      <c r="C75" s="1610" t="s">
        <v>4858</v>
      </c>
      <c r="D75" s="1611" t="s">
        <v>4859</v>
      </c>
      <c r="E75" s="1570">
        <v>46235</v>
      </c>
      <c r="F75" s="1611">
        <v>46235</v>
      </c>
      <c r="G75" s="1571">
        <f>VLOOKUP(F75,환율!A:B,2,0)</f>
        <v>1441.1</v>
      </c>
      <c r="H75" s="1572">
        <v>33171.599999999999</v>
      </c>
      <c r="I75" s="1573">
        <f t="shared" si="13"/>
        <v>47803592</v>
      </c>
      <c r="J75" s="1574"/>
      <c r="K75" s="1575">
        <f t="shared" si="14"/>
        <v>47803592</v>
      </c>
      <c r="L75" s="1800"/>
      <c r="M75" s="1397"/>
      <c r="N75" s="1461"/>
      <c r="O75" s="1461"/>
      <c r="P75" s="1461"/>
      <c r="Q75" s="1461"/>
      <c r="R75" s="1466"/>
      <c r="S75" s="40"/>
    </row>
    <row r="76" spans="1:19" s="126" customFormat="1" ht="24" customHeight="1">
      <c r="A76" s="1566" t="s">
        <v>4042</v>
      </c>
      <c r="B76" s="1567" t="s">
        <v>4039</v>
      </c>
      <c r="C76" s="1610" t="s">
        <v>4860</v>
      </c>
      <c r="D76" s="1611" t="s">
        <v>4861</v>
      </c>
      <c r="E76" s="1570">
        <v>46235</v>
      </c>
      <c r="F76" s="1611">
        <v>46235</v>
      </c>
      <c r="G76" s="1571">
        <f>VLOOKUP(F76,환율!A:B,2,0)</f>
        <v>1441.1</v>
      </c>
      <c r="H76" s="1572">
        <v>3206.36</v>
      </c>
      <c r="I76" s="1573">
        <f t="shared" si="13"/>
        <v>4620685</v>
      </c>
      <c r="J76" s="1574"/>
      <c r="K76" s="1575">
        <f t="shared" si="14"/>
        <v>4620685</v>
      </c>
      <c r="L76" s="1800"/>
      <c r="M76" s="1397"/>
      <c r="N76" s="1461"/>
      <c r="O76" s="1461"/>
      <c r="P76" s="1461"/>
      <c r="Q76" s="1461"/>
      <c r="R76" s="1466"/>
      <c r="S76" s="40"/>
    </row>
    <row r="77" spans="1:19" s="126" customFormat="1" ht="24" customHeight="1">
      <c r="A77" s="1566" t="s">
        <v>4042</v>
      </c>
      <c r="B77" s="1567" t="s">
        <v>4039</v>
      </c>
      <c r="C77" s="1610" t="s">
        <v>4862</v>
      </c>
      <c r="D77" s="1611" t="s">
        <v>4863</v>
      </c>
      <c r="E77" s="1570">
        <v>46238</v>
      </c>
      <c r="F77" s="1611">
        <v>46235</v>
      </c>
      <c r="G77" s="1571">
        <f>VLOOKUP(F77,환율!A:B,2,0)</f>
        <v>1441.1</v>
      </c>
      <c r="H77" s="1572">
        <v>7342.8</v>
      </c>
      <c r="I77" s="1573">
        <f t="shared" si="13"/>
        <v>10581709</v>
      </c>
      <c r="J77" s="1574"/>
      <c r="K77" s="1575">
        <f t="shared" si="14"/>
        <v>10581709</v>
      </c>
      <c r="L77" s="1800"/>
      <c r="M77" s="1397"/>
      <c r="N77" s="1461"/>
      <c r="O77" s="1461"/>
      <c r="P77" s="1461"/>
      <c r="Q77" s="1461"/>
      <c r="R77" s="1466"/>
      <c r="S77" s="40"/>
    </row>
    <row r="78" spans="1:19" s="126" customFormat="1" ht="24" customHeight="1">
      <c r="A78" s="1566" t="s">
        <v>4042</v>
      </c>
      <c r="B78" s="1567" t="s">
        <v>4039</v>
      </c>
      <c r="C78" s="1610" t="s">
        <v>4864</v>
      </c>
      <c r="D78" s="1611" t="s">
        <v>4865</v>
      </c>
      <c r="E78" s="1570"/>
      <c r="F78" s="1611">
        <v>46235</v>
      </c>
      <c r="G78" s="1571">
        <f>VLOOKUP(F78,환율!A:B,2,0)</f>
        <v>1441.1</v>
      </c>
      <c r="H78" s="1572">
        <v>9456.15</v>
      </c>
      <c r="I78" s="1573">
        <f t="shared" si="13"/>
        <v>13627257</v>
      </c>
      <c r="J78" s="1574"/>
      <c r="K78" s="1575">
        <f t="shared" si="14"/>
        <v>13627257</v>
      </c>
      <c r="L78" s="1800"/>
      <c r="M78" s="1397"/>
      <c r="N78" s="1461"/>
      <c r="O78" s="1461"/>
      <c r="P78" s="1461"/>
      <c r="Q78" s="1461"/>
      <c r="R78" s="1466"/>
      <c r="S78" s="40"/>
    </row>
    <row r="79" spans="1:19" s="126" customFormat="1" ht="24" customHeight="1">
      <c r="A79" s="1566" t="s">
        <v>4042</v>
      </c>
      <c r="B79" s="1567" t="s">
        <v>4039</v>
      </c>
      <c r="C79" s="1610" t="s">
        <v>4866</v>
      </c>
      <c r="D79" s="1611" t="s">
        <v>4867</v>
      </c>
      <c r="E79" s="1570"/>
      <c r="F79" s="1611">
        <v>46235</v>
      </c>
      <c r="G79" s="1571">
        <f>VLOOKUP(F79,환율!A:B,2,0)</f>
        <v>1441.1</v>
      </c>
      <c r="H79" s="1572">
        <v>163470.24</v>
      </c>
      <c r="I79" s="1573">
        <f t="shared" si="13"/>
        <v>235576962</v>
      </c>
      <c r="J79" s="1574"/>
      <c r="K79" s="1575">
        <f t="shared" si="14"/>
        <v>235576962</v>
      </c>
      <c r="L79" s="1800"/>
      <c r="M79" s="1397"/>
      <c r="N79" s="1461"/>
      <c r="O79" s="1461"/>
      <c r="P79" s="1461"/>
      <c r="Q79" s="1461"/>
      <c r="R79" s="1466"/>
      <c r="S79" s="40"/>
    </row>
    <row r="80" spans="1:19" s="126" customFormat="1" ht="24" customHeight="1">
      <c r="A80" s="1566" t="s">
        <v>4042</v>
      </c>
      <c r="B80" s="1567" t="s">
        <v>4039</v>
      </c>
      <c r="C80" s="1610" t="s">
        <v>4868</v>
      </c>
      <c r="D80" s="1611" t="s">
        <v>4869</v>
      </c>
      <c r="E80" s="1570">
        <v>46238</v>
      </c>
      <c r="F80" s="1611">
        <v>46235</v>
      </c>
      <c r="G80" s="1571">
        <f>VLOOKUP(F80,환율!A:B,2,0)</f>
        <v>1441.1</v>
      </c>
      <c r="H80" s="1572">
        <v>16828.68</v>
      </c>
      <c r="I80" s="1573">
        <f t="shared" si="13"/>
        <v>24251810</v>
      </c>
      <c r="J80" s="1574"/>
      <c r="K80" s="1575">
        <f t="shared" si="14"/>
        <v>24251810</v>
      </c>
      <c r="L80" s="1800"/>
      <c r="M80" s="1397"/>
      <c r="N80" s="1461"/>
      <c r="O80" s="1461"/>
      <c r="P80" s="1461"/>
      <c r="Q80" s="1461"/>
      <c r="R80" s="1466"/>
      <c r="S80" s="40"/>
    </row>
    <row r="81" spans="1:19" s="126" customFormat="1" ht="24" customHeight="1">
      <c r="A81" s="1566" t="s">
        <v>4042</v>
      </c>
      <c r="B81" s="1567" t="s">
        <v>4039</v>
      </c>
      <c r="C81" s="1610" t="s">
        <v>4870</v>
      </c>
      <c r="D81" s="1611" t="s">
        <v>4871</v>
      </c>
      <c r="E81" s="1570">
        <v>46238</v>
      </c>
      <c r="F81" s="1611">
        <v>46235</v>
      </c>
      <c r="G81" s="1571">
        <f>VLOOKUP(F81,환율!A:B,2,0)</f>
        <v>1441.1</v>
      </c>
      <c r="H81" s="1572">
        <v>67206.48</v>
      </c>
      <c r="I81" s="1573">
        <f t="shared" si="13"/>
        <v>96851258</v>
      </c>
      <c r="J81" s="1574"/>
      <c r="K81" s="1575">
        <f t="shared" si="14"/>
        <v>96851258</v>
      </c>
      <c r="L81" s="1800"/>
      <c r="M81" s="1397"/>
      <c r="N81" s="1461"/>
      <c r="O81" s="1461"/>
      <c r="P81" s="1461"/>
      <c r="Q81" s="1461"/>
      <c r="R81" s="1466"/>
      <c r="S81" s="40"/>
    </row>
    <row r="82" spans="1:19" s="126" customFormat="1" ht="24" customHeight="1">
      <c r="A82" s="1566" t="s">
        <v>4042</v>
      </c>
      <c r="B82" s="1567" t="s">
        <v>4039</v>
      </c>
      <c r="C82" s="1610" t="s">
        <v>4872</v>
      </c>
      <c r="D82" s="1611" t="s">
        <v>4873</v>
      </c>
      <c r="E82" s="1570"/>
      <c r="F82" s="1611">
        <v>46235</v>
      </c>
      <c r="G82" s="1571">
        <f>VLOOKUP(F82,환율!A:B,2,0)</f>
        <v>1441.1</v>
      </c>
      <c r="H82" s="1572">
        <v>48801.3</v>
      </c>
      <c r="I82" s="1573">
        <f t="shared" si="13"/>
        <v>70327553</v>
      </c>
      <c r="J82" s="1574"/>
      <c r="K82" s="1575">
        <f t="shared" si="14"/>
        <v>70327553</v>
      </c>
      <c r="L82" s="1800"/>
      <c r="M82" s="1397"/>
      <c r="N82" s="1461"/>
      <c r="O82" s="1461"/>
      <c r="P82" s="1461"/>
      <c r="Q82" s="1461"/>
      <c r="R82" s="1466"/>
      <c r="S82" s="40"/>
    </row>
    <row r="83" spans="1:19" s="126" customFormat="1" ht="24" customHeight="1">
      <c r="A83" s="1566" t="s">
        <v>4042</v>
      </c>
      <c r="B83" s="1567" t="s">
        <v>4039</v>
      </c>
      <c r="C83" s="1610" t="s">
        <v>4876</v>
      </c>
      <c r="D83" s="1611" t="s">
        <v>4877</v>
      </c>
      <c r="E83" s="1570"/>
      <c r="F83" s="1611">
        <v>46235</v>
      </c>
      <c r="G83" s="1571">
        <f>VLOOKUP(F83,환율!A:B,2,0)</f>
        <v>1441.1</v>
      </c>
      <c r="H83" s="1572">
        <v>21065.27</v>
      </c>
      <c r="I83" s="1573">
        <f t="shared" si="13"/>
        <v>30357160</v>
      </c>
      <c r="J83" s="1574"/>
      <c r="K83" s="1575">
        <f t="shared" si="14"/>
        <v>30357160</v>
      </c>
      <c r="L83" s="1800"/>
      <c r="M83" s="1397"/>
      <c r="N83" s="1461"/>
      <c r="O83" s="1461"/>
      <c r="P83" s="1461"/>
      <c r="Q83" s="1461"/>
      <c r="R83" s="1466"/>
      <c r="S83" s="40"/>
    </row>
    <row r="84" spans="1:19" s="126" customFormat="1" ht="24" customHeight="1" thickBot="1">
      <c r="A84" s="1566" t="s">
        <v>4042</v>
      </c>
      <c r="B84" s="1567" t="s">
        <v>4039</v>
      </c>
      <c r="C84" s="1610" t="s">
        <v>4878</v>
      </c>
      <c r="D84" s="1611" t="s">
        <v>4879</v>
      </c>
      <c r="E84" s="1570"/>
      <c r="F84" s="1611">
        <v>46235</v>
      </c>
      <c r="G84" s="1571">
        <f>VLOOKUP(F84,환율!A:B,2,0)</f>
        <v>1441.1</v>
      </c>
      <c r="H84" s="1572">
        <v>55903.08</v>
      </c>
      <c r="I84" s="1573">
        <f t="shared" si="13"/>
        <v>80561928</v>
      </c>
      <c r="J84" s="1574"/>
      <c r="K84" s="1575">
        <f t="shared" si="14"/>
        <v>80561928</v>
      </c>
      <c r="L84" s="1800"/>
      <c r="M84" s="1397"/>
      <c r="N84" s="1461"/>
      <c r="O84" s="1461"/>
      <c r="P84" s="1461"/>
      <c r="Q84" s="1461"/>
      <c r="R84" s="1466"/>
      <c r="S84" s="40"/>
    </row>
    <row r="85" spans="1:19" s="126" customFormat="1" ht="24" customHeight="1">
      <c r="A85" s="1613" t="s">
        <v>4040</v>
      </c>
      <c r="B85" s="1614" t="s">
        <v>4039</v>
      </c>
      <c r="C85" s="1615" t="s">
        <v>4750</v>
      </c>
      <c r="D85" s="1615" t="s">
        <v>4751</v>
      </c>
      <c r="E85" s="1578">
        <v>46205</v>
      </c>
      <c r="F85" s="1577">
        <v>46205</v>
      </c>
      <c r="G85" s="1616">
        <f>VLOOKUP(F85,환율!A:B,2,0)</f>
        <v>1554.4</v>
      </c>
      <c r="H85" s="1546">
        <v>62645.4</v>
      </c>
      <c r="I85" s="1547">
        <f t="shared" si="5"/>
        <v>97376009</v>
      </c>
      <c r="J85" s="1547">
        <f>I85</f>
        <v>97376009</v>
      </c>
      <c r="K85" s="1617"/>
      <c r="L85" s="1800"/>
      <c r="M85" s="1770">
        <f>SUM(K74:K84)</f>
        <v>650590296</v>
      </c>
      <c r="N85" s="1461"/>
      <c r="O85" s="1461"/>
      <c r="P85" s="1461"/>
      <c r="Q85" s="1461"/>
      <c r="R85" s="1466"/>
      <c r="S85" s="40"/>
    </row>
    <row r="86" spans="1:19" s="97" customFormat="1" ht="24" customHeight="1">
      <c r="A86" s="1489" t="s">
        <v>4040</v>
      </c>
      <c r="B86" s="1490" t="s">
        <v>478</v>
      </c>
      <c r="C86" s="1618" t="s">
        <v>4882</v>
      </c>
      <c r="D86" s="1618" t="s">
        <v>4883</v>
      </c>
      <c r="E86" s="1619">
        <v>46215</v>
      </c>
      <c r="F86" s="1620">
        <v>46215</v>
      </c>
      <c r="G86" s="1564">
        <f>VLOOKUP(F86,환율!A:B,2,0)</f>
        <v>1504.2</v>
      </c>
      <c r="H86" s="1621">
        <v>122657.4</v>
      </c>
      <c r="I86" s="1497">
        <f t="shared" si="5"/>
        <v>184501261</v>
      </c>
      <c r="J86" s="1498">
        <f t="shared" ref="J86:J87" si="15">I86</f>
        <v>184501261</v>
      </c>
      <c r="K86" s="1622"/>
      <c r="L86" s="1801"/>
      <c r="M86" s="718" t="s">
        <v>4798</v>
      </c>
      <c r="N86" s="1461"/>
      <c r="O86" s="1461"/>
      <c r="P86" s="1461"/>
      <c r="Q86" s="1461"/>
      <c r="R86" s="1466"/>
      <c r="S86" s="34"/>
    </row>
    <row r="87" spans="1:19" s="718" customFormat="1" ht="24" customHeight="1">
      <c r="A87" s="1489" t="s">
        <v>4040</v>
      </c>
      <c r="B87" s="1490" t="s">
        <v>478</v>
      </c>
      <c r="C87" s="1618" t="s">
        <v>4884</v>
      </c>
      <c r="D87" s="1618" t="s">
        <v>4885</v>
      </c>
      <c r="E87" s="1619">
        <v>46223</v>
      </c>
      <c r="F87" s="1620">
        <v>46223</v>
      </c>
      <c r="G87" s="1564">
        <f>VLOOKUP(F87,환율!A:B,2,0)</f>
        <v>1484.3</v>
      </c>
      <c r="H87" s="1621">
        <v>90750.6</v>
      </c>
      <c r="I87" s="1497">
        <f t="shared" si="5"/>
        <v>134701115</v>
      </c>
      <c r="J87" s="1498">
        <f t="shared" si="15"/>
        <v>134701115</v>
      </c>
      <c r="K87" s="1622"/>
      <c r="L87" s="1800"/>
      <c r="N87" s="1461"/>
      <c r="O87" s="1461"/>
      <c r="P87" s="1461"/>
      <c r="Q87" s="1461"/>
      <c r="R87" s="1466"/>
      <c r="S87" s="1458"/>
    </row>
    <row r="88" spans="1:19" s="718" customFormat="1" ht="24" customHeight="1" thickBot="1">
      <c r="A88" s="1566" t="s">
        <v>4040</v>
      </c>
      <c r="B88" s="1567" t="s">
        <v>478</v>
      </c>
      <c r="C88" s="1623" t="s">
        <v>4886</v>
      </c>
      <c r="D88" s="1623" t="s">
        <v>4887</v>
      </c>
      <c r="E88" s="1624">
        <v>46237</v>
      </c>
      <c r="F88" s="1625">
        <v>46235</v>
      </c>
      <c r="G88" s="1571">
        <f>VLOOKUP(F88,환율!A:B,2,0)</f>
        <v>1441.1</v>
      </c>
      <c r="H88" s="1626">
        <v>49539.27</v>
      </c>
      <c r="I88" s="1573">
        <f t="shared" si="5"/>
        <v>71391041</v>
      </c>
      <c r="J88" s="1574"/>
      <c r="K88" s="1627">
        <f>I88</f>
        <v>71391041</v>
      </c>
      <c r="L88" s="1800"/>
      <c r="N88" s="1461"/>
      <c r="O88" s="1461"/>
      <c r="P88" s="1461"/>
      <c r="Q88" s="1461"/>
      <c r="R88" s="1466"/>
      <c r="S88" s="1458"/>
    </row>
    <row r="89" spans="1:19" s="718" customFormat="1" ht="24" customHeight="1">
      <c r="A89" s="1628" t="s">
        <v>4045</v>
      </c>
      <c r="B89" s="1629" t="s">
        <v>478</v>
      </c>
      <c r="C89" s="1630" t="s">
        <v>4752</v>
      </c>
      <c r="D89" s="1630" t="s">
        <v>4753</v>
      </c>
      <c r="E89" s="1631">
        <v>46207</v>
      </c>
      <c r="F89" s="1632">
        <v>46207</v>
      </c>
      <c r="G89" s="1633">
        <v>1350</v>
      </c>
      <c r="H89" s="1634">
        <v>33574.454074074078</v>
      </c>
      <c r="I89" s="1635">
        <f>ROUNDDOWN(H89*G89,0)</f>
        <v>45325513</v>
      </c>
      <c r="J89" s="1636">
        <f t="shared" ref="J89:J92" si="16">I89</f>
        <v>45325513</v>
      </c>
      <c r="K89" s="1637"/>
      <c r="L89" s="1800"/>
      <c r="M89" s="1771">
        <f>SUM(K88)</f>
        <v>71391041</v>
      </c>
      <c r="N89" s="1461"/>
      <c r="O89" s="1461"/>
      <c r="P89" s="1461"/>
      <c r="Q89" s="1461"/>
      <c r="R89" s="1466"/>
      <c r="S89" s="1458"/>
    </row>
    <row r="90" spans="1:19" s="97" customFormat="1" ht="24" customHeight="1">
      <c r="A90" s="1489" t="s">
        <v>4044</v>
      </c>
      <c r="B90" s="1490" t="s">
        <v>478</v>
      </c>
      <c r="C90" s="1735" t="s">
        <v>4888</v>
      </c>
      <c r="D90" s="1735" t="s">
        <v>4889</v>
      </c>
      <c r="E90" s="1736">
        <v>46230</v>
      </c>
      <c r="F90" s="1679">
        <v>46230</v>
      </c>
      <c r="G90" s="1680">
        <v>1350</v>
      </c>
      <c r="H90" s="1621">
        <v>17983.217777777776</v>
      </c>
      <c r="I90" s="1681">
        <f t="shared" si="5"/>
        <v>24277344</v>
      </c>
      <c r="J90" s="1682">
        <f t="shared" si="16"/>
        <v>24277344</v>
      </c>
      <c r="K90" s="1622"/>
      <c r="L90" s="1800"/>
      <c r="M90" s="718" t="s">
        <v>4800</v>
      </c>
      <c r="N90" s="1461"/>
      <c r="O90" s="1461"/>
      <c r="P90" s="1461"/>
      <c r="Q90" s="1461"/>
      <c r="R90" s="1466"/>
      <c r="S90" s="34"/>
    </row>
    <row r="91" spans="1:19" s="97" customFormat="1" ht="24" customHeight="1">
      <c r="A91" s="1489" t="s">
        <v>4044</v>
      </c>
      <c r="B91" s="1490" t="s">
        <v>4039</v>
      </c>
      <c r="C91" s="1643" t="s">
        <v>4890</v>
      </c>
      <c r="D91" s="1643" t="s">
        <v>4891</v>
      </c>
      <c r="E91" s="1493">
        <v>46227</v>
      </c>
      <c r="F91" s="1492">
        <v>46227</v>
      </c>
      <c r="G91" s="1564">
        <v>1350</v>
      </c>
      <c r="H91" s="1742">
        <v>8252.9066666666658</v>
      </c>
      <c r="I91" s="1743">
        <f t="shared" si="5"/>
        <v>11141424</v>
      </c>
      <c r="J91" s="1744">
        <f t="shared" si="16"/>
        <v>11141424</v>
      </c>
      <c r="K91" s="1745"/>
      <c r="L91" s="1800"/>
      <c r="M91" s="718"/>
      <c r="N91" s="1461"/>
      <c r="O91" s="1461"/>
      <c r="P91" s="1461"/>
      <c r="Q91" s="1461"/>
      <c r="R91" s="1466"/>
      <c r="S91" s="34"/>
    </row>
    <row r="92" spans="1:19" s="97" customFormat="1" ht="24" customHeight="1">
      <c r="A92" s="1489" t="s">
        <v>4044</v>
      </c>
      <c r="B92" s="1490" t="s">
        <v>4039</v>
      </c>
      <c r="C92" s="1643" t="s">
        <v>4892</v>
      </c>
      <c r="D92" s="1643" t="s">
        <v>4893</v>
      </c>
      <c r="E92" s="1493">
        <v>46226</v>
      </c>
      <c r="F92" s="1492">
        <v>46226</v>
      </c>
      <c r="G92" s="1564">
        <v>1350</v>
      </c>
      <c r="H92" s="1742">
        <v>19481.81925925926</v>
      </c>
      <c r="I92" s="1743">
        <f t="shared" si="5"/>
        <v>26300456</v>
      </c>
      <c r="J92" s="1744">
        <f t="shared" si="16"/>
        <v>26300456</v>
      </c>
      <c r="K92" s="1745"/>
      <c r="L92" s="1800"/>
      <c r="M92" s="718"/>
      <c r="N92" s="1461"/>
      <c r="O92" s="1461"/>
      <c r="P92" s="1461"/>
      <c r="Q92" s="1461"/>
      <c r="R92" s="1466"/>
      <c r="S92" s="34"/>
    </row>
    <row r="93" spans="1:19" s="97" customFormat="1" ht="24" customHeight="1">
      <c r="A93" s="1489" t="s">
        <v>4044</v>
      </c>
      <c r="B93" s="1490" t="s">
        <v>4039</v>
      </c>
      <c r="C93" s="1643" t="s">
        <v>4894</v>
      </c>
      <c r="D93" s="1643" t="s">
        <v>4895</v>
      </c>
      <c r="E93" s="1493">
        <v>46229</v>
      </c>
      <c r="F93" s="1492">
        <v>46229</v>
      </c>
      <c r="G93" s="1564">
        <v>1350</v>
      </c>
      <c r="H93" s="1742">
        <v>32234.105185185184</v>
      </c>
      <c r="I93" s="1743">
        <f t="shared" ref="I93:I95" si="17">ROUNDDOWN(H93*G93,0)</f>
        <v>43516042</v>
      </c>
      <c r="J93" s="1744">
        <f t="shared" ref="J93" si="18">I93</f>
        <v>43516042</v>
      </c>
      <c r="K93" s="1745"/>
      <c r="L93" s="1800"/>
      <c r="M93" s="718"/>
      <c r="N93" s="1461"/>
      <c r="O93" s="1461"/>
      <c r="P93" s="1461"/>
      <c r="Q93" s="1461"/>
      <c r="R93" s="1466"/>
      <c r="S93" s="34"/>
    </row>
    <row r="94" spans="1:19" s="97" customFormat="1" ht="24" customHeight="1">
      <c r="A94" s="1566" t="s">
        <v>4044</v>
      </c>
      <c r="B94" s="1567" t="s">
        <v>4039</v>
      </c>
      <c r="C94" s="1737" t="s">
        <v>4896</v>
      </c>
      <c r="D94" s="1737" t="s">
        <v>4897</v>
      </c>
      <c r="E94" s="1570"/>
      <c r="F94" s="1569">
        <v>46235</v>
      </c>
      <c r="G94" s="1571">
        <v>1350</v>
      </c>
      <c r="H94" s="1738">
        <v>38600.463703703703</v>
      </c>
      <c r="I94" s="1739">
        <f t="shared" si="17"/>
        <v>52110626</v>
      </c>
      <c r="J94" s="1740"/>
      <c r="K94" s="1741">
        <f>I94</f>
        <v>52110626</v>
      </c>
      <c r="L94" s="1800"/>
      <c r="M94" s="718"/>
      <c r="N94" s="1461"/>
      <c r="O94" s="1461"/>
      <c r="P94" s="1461"/>
      <c r="Q94" s="1461"/>
      <c r="R94" s="1466"/>
      <c r="S94" s="34"/>
    </row>
    <row r="95" spans="1:19" s="97" customFormat="1" ht="24" customHeight="1">
      <c r="A95" s="1566" t="s">
        <v>4044</v>
      </c>
      <c r="B95" s="1567" t="s">
        <v>4039</v>
      </c>
      <c r="C95" s="1737" t="s">
        <v>4898</v>
      </c>
      <c r="D95" s="1737" t="s">
        <v>4899</v>
      </c>
      <c r="E95" s="1570">
        <v>46235</v>
      </c>
      <c r="F95" s="1569">
        <v>46235</v>
      </c>
      <c r="G95" s="1571">
        <v>1350</v>
      </c>
      <c r="H95" s="1738">
        <v>18745.373333333333</v>
      </c>
      <c r="I95" s="1739">
        <f t="shared" si="17"/>
        <v>25306254</v>
      </c>
      <c r="J95" s="1574"/>
      <c r="K95" s="1575">
        <f>I95</f>
        <v>25306254</v>
      </c>
      <c r="L95" s="1800"/>
      <c r="M95" s="718"/>
      <c r="N95" s="1461"/>
      <c r="O95" s="1461"/>
      <c r="P95" s="1461"/>
      <c r="Q95" s="1461"/>
      <c r="R95" s="1466"/>
      <c r="S95" s="34"/>
    </row>
    <row r="96" spans="1:19" s="97" customFormat="1" ht="24" customHeight="1" thickBot="1">
      <c r="A96" s="1646" t="s">
        <v>4044</v>
      </c>
      <c r="B96" s="1647" t="s">
        <v>4039</v>
      </c>
      <c r="C96" s="1648" t="s">
        <v>4900</v>
      </c>
      <c r="D96" s="1649" t="s">
        <v>4901</v>
      </c>
      <c r="E96" s="1650">
        <v>46235</v>
      </c>
      <c r="F96" s="1649">
        <v>46235</v>
      </c>
      <c r="G96" s="1651">
        <v>1350</v>
      </c>
      <c r="H96" s="1652">
        <v>2490.4918518518521</v>
      </c>
      <c r="I96" s="1653">
        <v>3362164</v>
      </c>
      <c r="J96" s="1654"/>
      <c r="K96" s="1655">
        <f>I96</f>
        <v>3362164</v>
      </c>
      <c r="L96" s="1800"/>
      <c r="M96" s="718"/>
      <c r="N96" s="1461"/>
      <c r="O96" s="1461"/>
      <c r="P96" s="1461"/>
      <c r="Q96" s="1461"/>
      <c r="R96" s="1466"/>
      <c r="S96" s="34"/>
    </row>
    <row r="97" spans="1:19" s="97" customFormat="1" ht="24" customHeight="1">
      <c r="A97" s="1554" t="s">
        <v>664</v>
      </c>
      <c r="B97" s="1555" t="s">
        <v>4046</v>
      </c>
      <c r="C97" s="1656" t="s">
        <v>4902</v>
      </c>
      <c r="D97" s="1557" t="s">
        <v>4903</v>
      </c>
      <c r="E97" s="1558">
        <v>46218</v>
      </c>
      <c r="F97" s="1557">
        <v>46218</v>
      </c>
      <c r="G97" s="1559">
        <f>VLOOKUP(F97,환율!A:B,2,0)</f>
        <v>1492.2</v>
      </c>
      <c r="H97" s="1644">
        <v>21495.040000000001</v>
      </c>
      <c r="I97" s="1561">
        <f t="shared" ref="I97:I130" si="19">ROUNDDOWN(H97*G97,0)</f>
        <v>32074898</v>
      </c>
      <c r="J97" s="1561">
        <f t="shared" ref="J97:J108" si="20">I97</f>
        <v>32074898</v>
      </c>
      <c r="K97" s="1562"/>
      <c r="L97" s="1792"/>
      <c r="M97" s="1771" t="s">
        <v>4995</v>
      </c>
      <c r="N97" s="1461"/>
      <c r="O97" s="1461"/>
      <c r="P97" s="1461"/>
      <c r="Q97" s="1461"/>
      <c r="R97" s="1466"/>
      <c r="S97" s="34"/>
    </row>
    <row r="98" spans="1:19" s="120" customFormat="1" ht="24" customHeight="1">
      <c r="A98" s="1489" t="s">
        <v>29</v>
      </c>
      <c r="B98" s="1555" t="s">
        <v>4046</v>
      </c>
      <c r="C98" s="1556" t="s">
        <v>4904</v>
      </c>
      <c r="D98" s="1556" t="s">
        <v>4905</v>
      </c>
      <c r="E98" s="1493">
        <v>46216</v>
      </c>
      <c r="F98" s="1557">
        <v>46216</v>
      </c>
      <c r="G98" s="1559">
        <f>VLOOKUP(F98,환율!A:B,2,0)</f>
        <v>1507.1</v>
      </c>
      <c r="H98" s="1644">
        <v>42990.080000000002</v>
      </c>
      <c r="I98" s="1561">
        <f t="shared" si="19"/>
        <v>64790349</v>
      </c>
      <c r="J98" s="1561">
        <f t="shared" si="20"/>
        <v>64790349</v>
      </c>
      <c r="K98" s="1562"/>
      <c r="L98" s="1792"/>
      <c r="M98" s="1040" t="s">
        <v>4801</v>
      </c>
      <c r="N98" s="1461"/>
      <c r="O98" s="1461"/>
      <c r="P98" s="1461"/>
      <c r="Q98" s="1461"/>
      <c r="R98" s="1466"/>
      <c r="S98" s="20"/>
    </row>
    <row r="99" spans="1:19" s="120" customFormat="1" ht="24" customHeight="1">
      <c r="A99" s="1657" t="s">
        <v>29</v>
      </c>
      <c r="B99" s="1658" t="s">
        <v>4046</v>
      </c>
      <c r="C99" s="1643" t="s">
        <v>4906</v>
      </c>
      <c r="D99" s="1643" t="s">
        <v>4907</v>
      </c>
      <c r="E99" s="1493">
        <v>46227</v>
      </c>
      <c r="F99" s="1494">
        <v>46227</v>
      </c>
      <c r="G99" s="1598">
        <f>VLOOKUP(F99,환율!A:B,2,0)</f>
        <v>1469.4</v>
      </c>
      <c r="H99" s="1565">
        <v>390027.45</v>
      </c>
      <c r="I99" s="1497">
        <f t="shared" si="19"/>
        <v>573106335</v>
      </c>
      <c r="J99" s="1497">
        <f t="shared" si="20"/>
        <v>573106335</v>
      </c>
      <c r="K99" s="1659"/>
      <c r="L99" s="1792"/>
      <c r="M99" s="1040"/>
      <c r="N99" s="1461"/>
      <c r="O99" s="1461"/>
      <c r="P99" s="1461"/>
      <c r="Q99" s="1461"/>
      <c r="R99" s="1466"/>
      <c r="S99" s="20"/>
    </row>
    <row r="100" spans="1:19" s="120" customFormat="1" ht="24" customHeight="1">
      <c r="A100" s="1657" t="s">
        <v>29</v>
      </c>
      <c r="B100" s="1658" t="s">
        <v>4046</v>
      </c>
      <c r="C100" s="1643" t="s">
        <v>4908</v>
      </c>
      <c r="D100" s="1643" t="s">
        <v>4909</v>
      </c>
      <c r="E100" s="1493">
        <v>46225</v>
      </c>
      <c r="F100" s="1494">
        <v>46225</v>
      </c>
      <c r="G100" s="1598">
        <f>VLOOKUP(F100,환율!A:B,2,0)</f>
        <v>1475.6</v>
      </c>
      <c r="H100" s="1565">
        <v>42990.080000000002</v>
      </c>
      <c r="I100" s="1497">
        <f t="shared" si="19"/>
        <v>63436162</v>
      </c>
      <c r="J100" s="1497">
        <f t="shared" si="20"/>
        <v>63436162</v>
      </c>
      <c r="K100" s="1660"/>
      <c r="L100" s="1861"/>
      <c r="M100" s="1040"/>
      <c r="N100" s="1461"/>
      <c r="O100" s="1461"/>
      <c r="P100" s="1461"/>
      <c r="Q100" s="1461"/>
      <c r="R100" s="1466"/>
      <c r="S100" s="20"/>
    </row>
    <row r="101" spans="1:19" s="1040" customFormat="1" ht="24" customHeight="1">
      <c r="A101" s="1657" t="s">
        <v>664</v>
      </c>
      <c r="B101" s="1658" t="s">
        <v>4046</v>
      </c>
      <c r="C101" s="1643" t="s">
        <v>4910</v>
      </c>
      <c r="D101" s="1643" t="s">
        <v>4911</v>
      </c>
      <c r="E101" s="1493">
        <v>46234</v>
      </c>
      <c r="F101" s="1494">
        <v>46234</v>
      </c>
      <c r="G101" s="1598">
        <f>VLOOKUP(F101,환율!A:B,2,0)</f>
        <v>1441.1</v>
      </c>
      <c r="H101" s="1565">
        <v>386804.66</v>
      </c>
      <c r="I101" s="1497">
        <f t="shared" si="19"/>
        <v>557424195</v>
      </c>
      <c r="J101" s="1497">
        <f t="shared" si="20"/>
        <v>557424195</v>
      </c>
      <c r="K101" s="1660"/>
      <c r="L101" s="1862"/>
      <c r="N101" s="1461"/>
      <c r="O101" s="1461"/>
      <c r="P101" s="1461"/>
      <c r="Q101" s="1461"/>
      <c r="R101" s="1466"/>
      <c r="S101" s="1457"/>
    </row>
    <row r="102" spans="1:19" s="1040" customFormat="1" ht="24" customHeight="1">
      <c r="A102" s="1657" t="s">
        <v>664</v>
      </c>
      <c r="B102" s="1658" t="s">
        <v>4046</v>
      </c>
      <c r="C102" s="1643" t="s">
        <v>4912</v>
      </c>
      <c r="D102" s="1643" t="s">
        <v>4913</v>
      </c>
      <c r="E102" s="1493">
        <v>46211</v>
      </c>
      <c r="F102" s="1494">
        <v>46208</v>
      </c>
      <c r="G102" s="1598">
        <f>VLOOKUP(F102,환율!A:B,2,0)</f>
        <v>1554.1</v>
      </c>
      <c r="H102" s="1565">
        <v>71235.839999999997</v>
      </c>
      <c r="I102" s="1497">
        <f t="shared" si="19"/>
        <v>110707618</v>
      </c>
      <c r="J102" s="1497">
        <f t="shared" si="20"/>
        <v>110707618</v>
      </c>
      <c r="K102" s="1660"/>
      <c r="L102" s="1862"/>
      <c r="N102" s="1461"/>
      <c r="O102" s="1461"/>
      <c r="P102" s="1461"/>
      <c r="Q102" s="1461"/>
      <c r="R102" s="1466"/>
      <c r="S102" s="1457"/>
    </row>
    <row r="103" spans="1:19" s="1040" customFormat="1" ht="24" customHeight="1">
      <c r="A103" s="1657" t="s">
        <v>664</v>
      </c>
      <c r="B103" s="1658" t="s">
        <v>4046</v>
      </c>
      <c r="C103" s="1643" t="s">
        <v>4914</v>
      </c>
      <c r="D103" s="1643" t="s">
        <v>4915</v>
      </c>
      <c r="E103" s="1493">
        <v>46216</v>
      </c>
      <c r="F103" s="1494">
        <v>46216</v>
      </c>
      <c r="G103" s="1598">
        <f>VLOOKUP(F103,환율!A:B,2,0)</f>
        <v>1507.1</v>
      </c>
      <c r="H103" s="1565">
        <v>8904.48</v>
      </c>
      <c r="I103" s="1497">
        <f t="shared" si="19"/>
        <v>13419941</v>
      </c>
      <c r="J103" s="1497">
        <f t="shared" si="20"/>
        <v>13419941</v>
      </c>
      <c r="K103" s="1660"/>
      <c r="L103" s="1801"/>
      <c r="N103" s="1461"/>
      <c r="O103" s="1461"/>
      <c r="P103" s="1461"/>
      <c r="Q103" s="1461"/>
      <c r="R103" s="1466"/>
      <c r="S103" s="1457"/>
    </row>
    <row r="104" spans="1:19" s="1040" customFormat="1" ht="24" customHeight="1">
      <c r="A104" s="1662" t="s">
        <v>664</v>
      </c>
      <c r="B104" s="1663" t="s">
        <v>4046</v>
      </c>
      <c r="C104" s="1664" t="s">
        <v>4923</v>
      </c>
      <c r="D104" s="1664" t="s">
        <v>4928</v>
      </c>
      <c r="E104" s="1734"/>
      <c r="F104" s="1603">
        <v>46218</v>
      </c>
      <c r="G104" s="1605">
        <f>VLOOKUP(F104,환율!A:B,2,0)</f>
        <v>1492.2</v>
      </c>
      <c r="H104" s="1606">
        <v>5088.3</v>
      </c>
      <c r="I104" s="1607">
        <f t="shared" si="19"/>
        <v>7592761</v>
      </c>
      <c r="J104" s="1607">
        <f t="shared" si="20"/>
        <v>7592761</v>
      </c>
      <c r="K104" s="1665"/>
      <c r="L104" s="1801"/>
      <c r="N104" s="1461"/>
      <c r="O104" s="1461"/>
      <c r="P104" s="1461"/>
      <c r="Q104" s="1461"/>
      <c r="R104" s="1466"/>
      <c r="S104" s="1457"/>
    </row>
    <row r="105" spans="1:19" s="1040" customFormat="1" ht="24" customHeight="1">
      <c r="A105" s="1662" t="s">
        <v>29</v>
      </c>
      <c r="B105" s="1663" t="s">
        <v>4046</v>
      </c>
      <c r="C105" s="1664" t="s">
        <v>4924</v>
      </c>
      <c r="D105" s="1664" t="s">
        <v>4928</v>
      </c>
      <c r="E105" s="1604"/>
      <c r="F105" s="1603">
        <v>46216</v>
      </c>
      <c r="G105" s="1605">
        <f>VLOOKUP(F105,환율!A:B,2,0)</f>
        <v>1507.1</v>
      </c>
      <c r="H105" s="1606">
        <v>10176.6</v>
      </c>
      <c r="I105" s="1607">
        <f t="shared" si="19"/>
        <v>15337153</v>
      </c>
      <c r="J105" s="1607">
        <f t="shared" si="20"/>
        <v>15337153</v>
      </c>
      <c r="K105" s="1665"/>
      <c r="L105" s="1801"/>
      <c r="N105" s="1461"/>
      <c r="O105" s="1461"/>
      <c r="P105" s="1461"/>
      <c r="Q105" s="1461"/>
      <c r="R105" s="1466"/>
      <c r="S105" s="1457"/>
    </row>
    <row r="106" spans="1:19" s="718" customFormat="1" ht="24" customHeight="1">
      <c r="A106" s="1662" t="s">
        <v>29</v>
      </c>
      <c r="B106" s="1663" t="s">
        <v>4046</v>
      </c>
      <c r="C106" s="1664" t="s">
        <v>4925</v>
      </c>
      <c r="D106" s="1664" t="s">
        <v>4928</v>
      </c>
      <c r="E106" s="1734"/>
      <c r="F106" s="1603">
        <v>46227</v>
      </c>
      <c r="G106" s="1605">
        <f>VLOOKUP(F106,환율!A:B,2,0)</f>
        <v>1469.4</v>
      </c>
      <c r="H106" s="1606">
        <v>92390.3</v>
      </c>
      <c r="I106" s="1607">
        <f t="shared" si="19"/>
        <v>135758306</v>
      </c>
      <c r="J106" s="1607">
        <f t="shared" si="20"/>
        <v>135758306</v>
      </c>
      <c r="K106" s="1665"/>
      <c r="L106" s="1801"/>
      <c r="N106" s="1461"/>
      <c r="O106" s="1461"/>
      <c r="P106" s="1461"/>
      <c r="Q106" s="1461"/>
      <c r="R106" s="1466"/>
      <c r="S106" s="1458"/>
    </row>
    <row r="107" spans="1:19" s="718" customFormat="1" ht="24" customHeight="1">
      <c r="A107" s="1662" t="s">
        <v>29</v>
      </c>
      <c r="B107" s="1663" t="s">
        <v>4046</v>
      </c>
      <c r="C107" s="1664" t="s">
        <v>4926</v>
      </c>
      <c r="D107" s="1664" t="s">
        <v>4928</v>
      </c>
      <c r="E107" s="1604"/>
      <c r="F107" s="1603">
        <v>46225</v>
      </c>
      <c r="G107" s="1605">
        <f>VLOOKUP(F107,환율!A:B,2,0)</f>
        <v>1475.6</v>
      </c>
      <c r="H107" s="1606">
        <v>10176.6</v>
      </c>
      <c r="I107" s="1607">
        <f t="shared" si="19"/>
        <v>15016590</v>
      </c>
      <c r="J107" s="1607">
        <f t="shared" si="20"/>
        <v>15016590</v>
      </c>
      <c r="K107" s="1665"/>
      <c r="L107" s="1801"/>
      <c r="N107" s="1461"/>
      <c r="O107" s="1461"/>
      <c r="P107" s="1461"/>
      <c r="Q107" s="1461"/>
      <c r="R107" s="1466"/>
      <c r="S107" s="1458"/>
    </row>
    <row r="108" spans="1:19" s="718" customFormat="1" ht="24" customHeight="1">
      <c r="A108" s="1662" t="s">
        <v>29</v>
      </c>
      <c r="B108" s="1663" t="s">
        <v>626</v>
      </c>
      <c r="C108" s="1664" t="s">
        <v>4927</v>
      </c>
      <c r="D108" s="1664" t="s">
        <v>4928</v>
      </c>
      <c r="E108" s="1604"/>
      <c r="F108" s="1603">
        <v>46234</v>
      </c>
      <c r="G108" s="1605">
        <f>VLOOKUP(F108,환율!A:B,2,0)</f>
        <v>1441.1</v>
      </c>
      <c r="H108" s="1606">
        <v>91499.64</v>
      </c>
      <c r="I108" s="1607">
        <f t="shared" si="19"/>
        <v>131860131</v>
      </c>
      <c r="J108" s="1607">
        <f t="shared" si="20"/>
        <v>131860131</v>
      </c>
      <c r="K108" s="1661"/>
      <c r="L108" s="1801"/>
      <c r="N108" s="1461"/>
      <c r="O108" s="1461"/>
      <c r="P108" s="1461"/>
      <c r="Q108" s="1461"/>
      <c r="R108" s="1466"/>
      <c r="S108" s="1458"/>
    </row>
    <row r="109" spans="1:19" s="718" customFormat="1" ht="24" customHeight="1">
      <c r="A109" s="1662" t="s">
        <v>29</v>
      </c>
      <c r="B109" s="1663" t="s">
        <v>4046</v>
      </c>
      <c r="C109" s="1664" t="s">
        <v>4922</v>
      </c>
      <c r="D109" s="1664" t="s">
        <v>4765</v>
      </c>
      <c r="E109" s="1604"/>
      <c r="F109" s="1603">
        <v>46219</v>
      </c>
      <c r="G109" s="1605">
        <f>VLOOKUP(F109,환율!A:B,2,0)</f>
        <v>1488.8</v>
      </c>
      <c r="H109" s="1606">
        <v>5</v>
      </c>
      <c r="I109" s="1607">
        <v>7444</v>
      </c>
      <c r="J109" s="1607">
        <v>7444</v>
      </c>
      <c r="K109" s="1665"/>
      <c r="L109" s="1857"/>
      <c r="M109" s="718" t="s">
        <v>4801</v>
      </c>
      <c r="N109" s="1461"/>
      <c r="O109" s="1461"/>
      <c r="P109" s="1461"/>
      <c r="Q109" s="1461"/>
      <c r="R109" s="1466"/>
      <c r="S109" s="1458"/>
    </row>
    <row r="110" spans="1:19" s="718" customFormat="1" ht="24" customHeight="1">
      <c r="A110" s="1746" t="s">
        <v>29</v>
      </c>
      <c r="B110" s="1747" t="s">
        <v>626</v>
      </c>
      <c r="C110" s="1737" t="s">
        <v>4916</v>
      </c>
      <c r="D110" s="1737" t="s">
        <v>4917</v>
      </c>
      <c r="E110" s="1748"/>
      <c r="F110" s="1611">
        <v>46235</v>
      </c>
      <c r="G110" s="1612">
        <f>VLOOKUP(F110,환율!A:B,2,0)</f>
        <v>1441.1</v>
      </c>
      <c r="H110" s="1572">
        <v>400488.46</v>
      </c>
      <c r="I110" s="1573">
        <f t="shared" si="19"/>
        <v>577143919</v>
      </c>
      <c r="J110" s="1573"/>
      <c r="K110" s="1749">
        <f>I110</f>
        <v>577143919</v>
      </c>
      <c r="L110" s="1801"/>
      <c r="N110" s="1461"/>
      <c r="O110" s="1461"/>
      <c r="P110" s="1461"/>
      <c r="Q110" s="1461"/>
      <c r="R110" s="1466"/>
      <c r="S110" s="1458"/>
    </row>
    <row r="111" spans="1:19" s="718" customFormat="1" ht="24" customHeight="1">
      <c r="A111" s="1746" t="s">
        <v>29</v>
      </c>
      <c r="B111" s="1747" t="s">
        <v>626</v>
      </c>
      <c r="C111" s="1737" t="s">
        <v>4918</v>
      </c>
      <c r="D111" s="1737" t="s">
        <v>4919</v>
      </c>
      <c r="E111" s="1748">
        <v>46235</v>
      </c>
      <c r="F111" s="1611">
        <v>46235</v>
      </c>
      <c r="G111" s="1612">
        <f>VLOOKUP(F111,환율!A:B,2,0)</f>
        <v>1441.1</v>
      </c>
      <c r="H111" s="1572">
        <v>15808</v>
      </c>
      <c r="I111" s="1573">
        <f t="shared" si="19"/>
        <v>22780908</v>
      </c>
      <c r="J111" s="1573"/>
      <c r="K111" s="1749">
        <f t="shared" ref="K111:K112" si="21">I111</f>
        <v>22780908</v>
      </c>
      <c r="L111" s="1801"/>
      <c r="N111" s="1461"/>
      <c r="O111" s="1461"/>
      <c r="P111" s="1461"/>
      <c r="Q111" s="1461"/>
      <c r="R111" s="1466"/>
      <c r="S111" s="1458"/>
    </row>
    <row r="112" spans="1:19" s="718" customFormat="1" ht="24" customHeight="1" thickBot="1">
      <c r="A112" s="1566" t="s">
        <v>664</v>
      </c>
      <c r="B112" s="1567" t="s">
        <v>626</v>
      </c>
      <c r="C112" s="1610" t="s">
        <v>4920</v>
      </c>
      <c r="D112" s="1611" t="s">
        <v>4921</v>
      </c>
      <c r="E112" s="1570"/>
      <c r="F112" s="1611">
        <v>46235</v>
      </c>
      <c r="G112" s="1612">
        <f>VLOOKUP(F112,환율!A:B,2,0)</f>
        <v>1441.1</v>
      </c>
      <c r="H112" s="1572">
        <v>89044.799999999988</v>
      </c>
      <c r="I112" s="1573">
        <f t="shared" ref="I112" si="22">ROUNDDOWN(H112*G112,0)</f>
        <v>128322461</v>
      </c>
      <c r="J112" s="1573"/>
      <c r="K112" s="1749">
        <f t="shared" si="21"/>
        <v>128322461</v>
      </c>
      <c r="L112" s="1801"/>
      <c r="N112" s="1461"/>
      <c r="O112" s="1461"/>
      <c r="P112" s="1721"/>
      <c r="Q112" s="1461"/>
      <c r="R112" s="1466"/>
      <c r="S112" s="1458"/>
    </row>
    <row r="113" spans="1:19" s="718" customFormat="1" ht="24" customHeight="1">
      <c r="A113" s="1666" t="s">
        <v>47</v>
      </c>
      <c r="B113" s="1667" t="s">
        <v>4047</v>
      </c>
      <c r="C113" s="1668" t="s">
        <v>4929</v>
      </c>
      <c r="D113" s="1669" t="s">
        <v>4930</v>
      </c>
      <c r="E113" s="1670">
        <v>46213</v>
      </c>
      <c r="F113" s="1671">
        <v>46213</v>
      </c>
      <c r="G113" s="1672">
        <f>VLOOKUP(F113,환율!A:B,2,0)</f>
        <v>1504.2</v>
      </c>
      <c r="H113" s="1673">
        <v>39153.440000000002</v>
      </c>
      <c r="I113" s="1674">
        <f t="shared" si="19"/>
        <v>58894604</v>
      </c>
      <c r="J113" s="1675">
        <f>I113</f>
        <v>58894604</v>
      </c>
      <c r="K113" s="1676" t="s">
        <v>720</v>
      </c>
      <c r="L113" s="1801"/>
      <c r="M113" s="1771">
        <f>SUM(K110:K112)</f>
        <v>728247288</v>
      </c>
      <c r="N113" s="1461"/>
      <c r="O113" s="1461"/>
      <c r="P113" s="1461"/>
      <c r="Q113" s="1461"/>
      <c r="R113" s="1466"/>
      <c r="S113" s="1458"/>
    </row>
    <row r="114" spans="1:19" s="97" customFormat="1" ht="24" customHeight="1">
      <c r="A114" s="1489" t="s">
        <v>28</v>
      </c>
      <c r="B114" s="1490" t="s">
        <v>4047</v>
      </c>
      <c r="C114" s="1596" t="s">
        <v>4931</v>
      </c>
      <c r="D114" s="1494" t="s">
        <v>4932</v>
      </c>
      <c r="E114" s="1597">
        <v>46222</v>
      </c>
      <c r="F114" s="1492">
        <v>46222</v>
      </c>
      <c r="G114" s="1564">
        <f>VLOOKUP(F114,환율!A:B,2,0)</f>
        <v>1488.8</v>
      </c>
      <c r="H114" s="1565">
        <v>15709.76</v>
      </c>
      <c r="I114" s="1497">
        <f t="shared" si="19"/>
        <v>23388690</v>
      </c>
      <c r="J114" s="1498">
        <f>I114</f>
        <v>23388690</v>
      </c>
      <c r="K114" s="1499"/>
      <c r="L114" s="1858"/>
      <c r="M114" s="718" t="s">
        <v>4802</v>
      </c>
      <c r="N114" s="1461"/>
      <c r="O114" s="1461"/>
      <c r="P114" s="1461"/>
      <c r="Q114" s="1461"/>
      <c r="R114" s="1466"/>
      <c r="S114" s="34"/>
    </row>
    <row r="115" spans="1:19" s="97" customFormat="1" ht="24" customHeight="1">
      <c r="A115" s="1677" t="s">
        <v>28</v>
      </c>
      <c r="B115" s="1678" t="s">
        <v>4047</v>
      </c>
      <c r="C115" s="1618" t="s">
        <v>4933</v>
      </c>
      <c r="D115" s="1679" t="s">
        <v>4934</v>
      </c>
      <c r="E115" s="1619">
        <v>46226</v>
      </c>
      <c r="F115" s="1620">
        <v>46226</v>
      </c>
      <c r="G115" s="1680">
        <f>VLOOKUP(F115,환율!A:B,2,0)</f>
        <v>1480.9</v>
      </c>
      <c r="H115" s="1621">
        <v>23604.959999999999</v>
      </c>
      <c r="I115" s="1681">
        <f t="shared" si="19"/>
        <v>34956585</v>
      </c>
      <c r="J115" s="1682">
        <f t="shared" ref="J115:J125" si="23">I115</f>
        <v>34956585</v>
      </c>
      <c r="K115" s="1622"/>
      <c r="L115" s="1800"/>
      <c r="M115" s="718"/>
      <c r="N115" s="1461"/>
      <c r="O115" s="1461"/>
      <c r="P115" s="1461"/>
      <c r="Q115" s="1461"/>
      <c r="R115" s="1466"/>
      <c r="S115" s="34"/>
    </row>
    <row r="116" spans="1:19" s="97" customFormat="1" ht="24" customHeight="1" thickBot="1">
      <c r="A116" s="1685" t="s">
        <v>28</v>
      </c>
      <c r="B116" s="1686" t="s">
        <v>4047</v>
      </c>
      <c r="C116" s="1623" t="s">
        <v>4935</v>
      </c>
      <c r="D116" s="1688" t="s">
        <v>4936</v>
      </c>
      <c r="E116" s="1624"/>
      <c r="F116" s="1625">
        <v>46235</v>
      </c>
      <c r="G116" s="1689">
        <f>VLOOKUP(F116,환율!A:B,2,0)</f>
        <v>1441.1</v>
      </c>
      <c r="H116" s="1626">
        <v>47209.919999999998</v>
      </c>
      <c r="I116" s="1690">
        <f t="shared" si="19"/>
        <v>68034215</v>
      </c>
      <c r="J116" s="1691"/>
      <c r="K116" s="1627">
        <f t="shared" ref="K116" si="24">I116</f>
        <v>68034215</v>
      </c>
      <c r="L116" s="1800"/>
      <c r="M116" s="718"/>
      <c r="N116" s="1461"/>
      <c r="O116" s="1461"/>
      <c r="P116" s="1461"/>
      <c r="Q116" s="1461"/>
      <c r="R116" s="1466"/>
      <c r="S116" s="34"/>
    </row>
    <row r="117" spans="1:19" s="97" customFormat="1" ht="24" customHeight="1">
      <c r="A117" s="1613" t="s">
        <v>40</v>
      </c>
      <c r="B117" s="1614" t="s">
        <v>4048</v>
      </c>
      <c r="C117" s="1683" t="s">
        <v>4754</v>
      </c>
      <c r="D117" s="1683" t="s">
        <v>4755</v>
      </c>
      <c r="E117" s="1578">
        <v>46211</v>
      </c>
      <c r="F117" s="1577">
        <v>46211</v>
      </c>
      <c r="G117" s="1616">
        <f>VLOOKUP(F117,환율!A:B,2,0)</f>
        <v>1526.6</v>
      </c>
      <c r="H117" s="1546">
        <v>7968.0000000000009</v>
      </c>
      <c r="I117" s="1547">
        <f t="shared" si="19"/>
        <v>12163948</v>
      </c>
      <c r="J117" s="1547">
        <f t="shared" si="23"/>
        <v>12163948</v>
      </c>
      <c r="K117" s="1617"/>
      <c r="L117" s="1800"/>
      <c r="M117" s="1771">
        <f>SUM(K116)</f>
        <v>68034215</v>
      </c>
      <c r="N117" s="1461"/>
      <c r="O117" s="1461"/>
      <c r="P117" s="1461"/>
      <c r="Q117" s="1461"/>
      <c r="R117" s="1466"/>
      <c r="S117" s="34"/>
    </row>
    <row r="118" spans="1:19" s="97" customFormat="1" ht="24" customHeight="1">
      <c r="A118" s="1483" t="s">
        <v>30</v>
      </c>
      <c r="B118" s="1484" t="s">
        <v>4047</v>
      </c>
      <c r="C118" s="1750" t="s">
        <v>4756</v>
      </c>
      <c r="D118" s="1750" t="s">
        <v>4757</v>
      </c>
      <c r="E118" s="1733">
        <v>46216</v>
      </c>
      <c r="F118" s="1731">
        <v>46215</v>
      </c>
      <c r="G118" s="1551">
        <f>VLOOKUP(F118,환율!A:B,2,0)</f>
        <v>1504.2</v>
      </c>
      <c r="H118" s="1552">
        <v>3984.0000000000005</v>
      </c>
      <c r="I118" s="1487">
        <f t="shared" si="19"/>
        <v>5992732</v>
      </c>
      <c r="J118" s="1488">
        <f t="shared" si="23"/>
        <v>5992732</v>
      </c>
      <c r="K118" s="1553"/>
      <c r="L118" s="1801"/>
      <c r="M118" s="718"/>
      <c r="N118" s="1461"/>
      <c r="O118" s="1461"/>
      <c r="P118" s="1461"/>
      <c r="Q118" s="1461"/>
      <c r="R118" s="1466"/>
      <c r="S118" s="34"/>
    </row>
    <row r="119" spans="1:19" s="97" customFormat="1" ht="24" customHeight="1">
      <c r="A119" s="1483" t="s">
        <v>30</v>
      </c>
      <c r="B119" s="1484" t="s">
        <v>4047</v>
      </c>
      <c r="C119" s="1750" t="s">
        <v>4758</v>
      </c>
      <c r="D119" s="1750" t="s">
        <v>4759</v>
      </c>
      <c r="E119" s="1733">
        <v>46216</v>
      </c>
      <c r="F119" s="1731">
        <v>46215</v>
      </c>
      <c r="G119" s="1551">
        <f>VLOOKUP(F119,환율!A:B,2,0)</f>
        <v>1504.2</v>
      </c>
      <c r="H119" s="1552">
        <v>6469.5</v>
      </c>
      <c r="I119" s="1487">
        <f t="shared" si="19"/>
        <v>9731421</v>
      </c>
      <c r="J119" s="1488">
        <f t="shared" si="23"/>
        <v>9731421</v>
      </c>
      <c r="K119" s="1553"/>
      <c r="L119" s="1800"/>
      <c r="M119" s="718"/>
      <c r="N119" s="1461"/>
      <c r="O119" s="1461"/>
      <c r="P119" s="1461"/>
      <c r="Q119" s="1461"/>
      <c r="R119" s="1466"/>
      <c r="S119" s="34"/>
    </row>
    <row r="120" spans="1:19" s="97" customFormat="1" ht="24" customHeight="1">
      <c r="A120" s="1489" t="s">
        <v>30</v>
      </c>
      <c r="B120" s="1490" t="s">
        <v>4047</v>
      </c>
      <c r="C120" s="1643" t="s">
        <v>4937</v>
      </c>
      <c r="D120" s="1643" t="s">
        <v>4938</v>
      </c>
      <c r="E120" s="1597">
        <v>46211</v>
      </c>
      <c r="F120" s="1494">
        <v>46210</v>
      </c>
      <c r="G120" s="1564">
        <f>VLOOKUP(F120,환율!A:B,2,0)</f>
        <v>1531.8</v>
      </c>
      <c r="H120" s="1565">
        <v>225.54</v>
      </c>
      <c r="I120" s="1497">
        <f t="shared" si="19"/>
        <v>345482</v>
      </c>
      <c r="J120" s="1498">
        <f t="shared" si="23"/>
        <v>345482</v>
      </c>
      <c r="K120" s="1499"/>
      <c r="L120" s="1800"/>
      <c r="M120" s="718"/>
      <c r="N120" s="1461"/>
      <c r="O120" s="1461"/>
      <c r="P120" s="1461"/>
      <c r="Q120" s="1461"/>
      <c r="R120" s="1466"/>
      <c r="S120" s="34"/>
    </row>
    <row r="121" spans="1:19" s="97" customFormat="1" ht="24" customHeight="1">
      <c r="A121" s="1489" t="s">
        <v>30</v>
      </c>
      <c r="B121" s="1490" t="s">
        <v>4047</v>
      </c>
      <c r="C121" s="1643" t="s">
        <v>4939</v>
      </c>
      <c r="D121" s="1643" t="s">
        <v>4940</v>
      </c>
      <c r="E121" s="1597">
        <v>46211</v>
      </c>
      <c r="F121" s="1494">
        <v>46210</v>
      </c>
      <c r="G121" s="1564">
        <f>VLOOKUP(F121,환율!A:B,2,0)</f>
        <v>1531.8</v>
      </c>
      <c r="H121" s="1565">
        <v>184.44</v>
      </c>
      <c r="I121" s="1497">
        <f t="shared" si="19"/>
        <v>282525</v>
      </c>
      <c r="J121" s="1498">
        <f t="shared" si="23"/>
        <v>282525</v>
      </c>
      <c r="K121" s="1499"/>
      <c r="L121" s="1800"/>
      <c r="M121" s="718"/>
      <c r="N121" s="1461"/>
      <c r="O121" s="1461"/>
      <c r="P121" s="1461"/>
      <c r="Q121" s="1461"/>
      <c r="R121" s="1466"/>
      <c r="S121" s="34"/>
    </row>
    <row r="122" spans="1:19" s="97" customFormat="1" ht="24" customHeight="1">
      <c r="A122" s="1489" t="s">
        <v>30</v>
      </c>
      <c r="B122" s="1490" t="s">
        <v>4047</v>
      </c>
      <c r="C122" s="1643" t="s">
        <v>4941</v>
      </c>
      <c r="D122" s="1643" t="s">
        <v>4942</v>
      </c>
      <c r="E122" s="1597">
        <v>46217</v>
      </c>
      <c r="F122" s="1494">
        <v>46217</v>
      </c>
      <c r="G122" s="1564">
        <f>VLOOKUP(F122,환율!A:B,2,0)</f>
        <v>1504.9</v>
      </c>
      <c r="H122" s="1565">
        <v>3619.96</v>
      </c>
      <c r="I122" s="1497">
        <f t="shared" si="19"/>
        <v>5447677</v>
      </c>
      <c r="J122" s="1498">
        <f t="shared" si="23"/>
        <v>5447677</v>
      </c>
      <c r="K122" s="1499"/>
      <c r="L122" s="1800"/>
      <c r="M122" s="718"/>
      <c r="N122" s="1461"/>
      <c r="O122" s="1461"/>
      <c r="P122" s="1461"/>
      <c r="Q122" s="1461"/>
      <c r="R122" s="1466"/>
      <c r="S122" s="34"/>
    </row>
    <row r="123" spans="1:19" s="97" customFormat="1" ht="24" customHeight="1">
      <c r="A123" s="1489" t="s">
        <v>30</v>
      </c>
      <c r="B123" s="1490" t="s">
        <v>4047</v>
      </c>
      <c r="C123" s="1643" t="s">
        <v>4943</v>
      </c>
      <c r="D123" s="1643" t="s">
        <v>4944</v>
      </c>
      <c r="E123" s="1597">
        <v>46226</v>
      </c>
      <c r="F123" s="1494">
        <v>46224</v>
      </c>
      <c r="G123" s="1564">
        <f>VLOOKUP(F123,환율!A:B,2,0)</f>
        <v>1482</v>
      </c>
      <c r="H123" s="1565">
        <v>766.65</v>
      </c>
      <c r="I123" s="1497">
        <f t="shared" si="19"/>
        <v>1136175</v>
      </c>
      <c r="J123" s="1498">
        <f t="shared" si="23"/>
        <v>1136175</v>
      </c>
      <c r="K123" s="1499"/>
      <c r="L123" s="1800"/>
      <c r="M123" s="718"/>
      <c r="N123" s="1461"/>
      <c r="O123" s="1461"/>
      <c r="P123" s="1461"/>
      <c r="Q123" s="1461"/>
      <c r="R123" s="1466"/>
      <c r="S123" s="34"/>
    </row>
    <row r="124" spans="1:19" s="97" customFormat="1" ht="24" customHeight="1">
      <c r="A124" s="1677" t="s">
        <v>30</v>
      </c>
      <c r="B124" s="1678" t="s">
        <v>4047</v>
      </c>
      <c r="C124" s="1735" t="s">
        <v>4945</v>
      </c>
      <c r="D124" s="1735" t="s">
        <v>4946</v>
      </c>
      <c r="E124" s="1619">
        <v>46221</v>
      </c>
      <c r="F124" s="1679">
        <v>46219</v>
      </c>
      <c r="G124" s="1680">
        <f>VLOOKUP(F124,환율!A:B,2,0)</f>
        <v>1488.8</v>
      </c>
      <c r="H124" s="1621">
        <v>2123.12</v>
      </c>
      <c r="I124" s="1681">
        <f t="shared" ref="I124:I127" si="25">ROUNDDOWN(G124*H124,0)</f>
        <v>3160901</v>
      </c>
      <c r="J124" s="1498">
        <f t="shared" si="23"/>
        <v>3160901</v>
      </c>
      <c r="K124" s="1622"/>
      <c r="L124" s="1800"/>
      <c r="M124" s="718"/>
      <c r="N124" s="1461"/>
      <c r="O124" s="1461"/>
      <c r="P124" s="1461"/>
      <c r="Q124" s="1461"/>
      <c r="R124" s="1466"/>
      <c r="S124" s="34"/>
    </row>
    <row r="125" spans="1:19" s="97" customFormat="1" ht="24" customHeight="1">
      <c r="A125" s="1751" t="s">
        <v>30</v>
      </c>
      <c r="B125" s="1752" t="s">
        <v>4047</v>
      </c>
      <c r="C125" s="1753" t="s">
        <v>4947</v>
      </c>
      <c r="D125" s="1753" t="s">
        <v>4765</v>
      </c>
      <c r="E125" s="1754"/>
      <c r="F125" s="1755">
        <v>46211</v>
      </c>
      <c r="G125" s="1756">
        <f>VLOOKUP(F125,환율!A:B,2,0)</f>
        <v>1526.6</v>
      </c>
      <c r="H125" s="1757">
        <v>328.22</v>
      </c>
      <c r="I125" s="1758">
        <f t="shared" si="25"/>
        <v>501060</v>
      </c>
      <c r="J125" s="1608">
        <f t="shared" si="23"/>
        <v>501060</v>
      </c>
      <c r="K125" s="1759"/>
      <c r="L125" s="1800"/>
      <c r="M125" s="718"/>
      <c r="N125" s="1461"/>
      <c r="O125" s="1461"/>
      <c r="P125" s="1461"/>
      <c r="Q125" s="1461"/>
      <c r="R125" s="1466"/>
      <c r="S125" s="34"/>
    </row>
    <row r="126" spans="1:19" s="97" customFormat="1" ht="24" customHeight="1">
      <c r="A126" s="1685" t="s">
        <v>30</v>
      </c>
      <c r="B126" s="1686" t="s">
        <v>4047</v>
      </c>
      <c r="C126" s="1687" t="s">
        <v>4948</v>
      </c>
      <c r="D126" s="1687" t="s">
        <v>4949</v>
      </c>
      <c r="E126" s="1624"/>
      <c r="F126" s="1688">
        <v>46235</v>
      </c>
      <c r="G126" s="1689">
        <f>VLOOKUP(F126,환율!A:B,2,0)</f>
        <v>1441.1</v>
      </c>
      <c r="H126" s="1626">
        <v>8626</v>
      </c>
      <c r="I126" s="1690">
        <f t="shared" ref="I126" si="26">ROUNDDOWN(G126*H126,0)</f>
        <v>12430928</v>
      </c>
      <c r="J126" s="1574"/>
      <c r="K126" s="1627">
        <f t="shared" ref="K126:K127" si="27">I126</f>
        <v>12430928</v>
      </c>
      <c r="L126" s="1800"/>
      <c r="M126" s="718"/>
      <c r="N126" s="1461"/>
      <c r="O126" s="1461"/>
      <c r="P126" s="1461"/>
      <c r="Q126" s="1461"/>
      <c r="R126" s="1466"/>
      <c r="S126" s="34"/>
    </row>
    <row r="127" spans="1:19" s="97" customFormat="1" ht="24" customHeight="1" thickBot="1">
      <c r="A127" s="1646" t="s">
        <v>30</v>
      </c>
      <c r="B127" s="1647" t="s">
        <v>4047</v>
      </c>
      <c r="C127" s="1692" t="s">
        <v>4950</v>
      </c>
      <c r="D127" s="1692" t="s">
        <v>4951</v>
      </c>
      <c r="E127" s="1650"/>
      <c r="F127" s="1649">
        <v>46235</v>
      </c>
      <c r="G127" s="1651">
        <f>VLOOKUP(F127,환율!A:B,2,0)</f>
        <v>1441.1</v>
      </c>
      <c r="H127" s="1652">
        <v>15936</v>
      </c>
      <c r="I127" s="1722">
        <f t="shared" si="25"/>
        <v>22965369</v>
      </c>
      <c r="J127" s="1654"/>
      <c r="K127" s="1720">
        <f t="shared" si="27"/>
        <v>22965369</v>
      </c>
      <c r="L127" s="1800"/>
      <c r="M127" s="718"/>
      <c r="N127" s="1461"/>
      <c r="O127" s="1461"/>
      <c r="P127" s="1461"/>
      <c r="Q127" s="1461"/>
      <c r="R127" s="1466"/>
      <c r="S127" s="34"/>
    </row>
    <row r="128" spans="1:19" s="97" customFormat="1" ht="24" customHeight="1">
      <c r="A128" s="1760" t="s">
        <v>15</v>
      </c>
      <c r="B128" s="1761" t="s">
        <v>4048</v>
      </c>
      <c r="C128" s="1762" t="s">
        <v>4760</v>
      </c>
      <c r="D128" s="1762" t="s">
        <v>4761</v>
      </c>
      <c r="E128" s="1763">
        <v>46204</v>
      </c>
      <c r="F128" s="1764">
        <v>46204</v>
      </c>
      <c r="G128" s="1765">
        <f>VLOOKUP(F128,환율!A:B,2,0)</f>
        <v>1548.4</v>
      </c>
      <c r="H128" s="1766">
        <v>54648.499999999993</v>
      </c>
      <c r="I128" s="1767">
        <f t="shared" si="19"/>
        <v>84617737</v>
      </c>
      <c r="J128" s="1585">
        <f t="shared" ref="J128:J130" si="28">I128</f>
        <v>84617737</v>
      </c>
      <c r="K128" s="1768"/>
      <c r="L128" s="1800"/>
      <c r="M128" s="1771">
        <f>SUM(K126:K127)</f>
        <v>35396297</v>
      </c>
      <c r="N128" s="1461"/>
      <c r="O128" s="1461"/>
      <c r="P128" s="1461"/>
      <c r="Q128" s="1461"/>
      <c r="R128" s="1466"/>
      <c r="S128" s="34"/>
    </row>
    <row r="129" spans="1:19" s="718" customFormat="1" ht="24" customHeight="1">
      <c r="A129" s="1489" t="s">
        <v>15</v>
      </c>
      <c r="B129" s="1490" t="s">
        <v>4048</v>
      </c>
      <c r="C129" s="1643" t="s">
        <v>4952</v>
      </c>
      <c r="D129" s="1643" t="s">
        <v>4953</v>
      </c>
      <c r="E129" s="1597">
        <v>46218</v>
      </c>
      <c r="F129" s="1494">
        <v>46218</v>
      </c>
      <c r="G129" s="1564">
        <f>VLOOKUP(F129,환율!A:B,2,0)</f>
        <v>1492.2</v>
      </c>
      <c r="H129" s="1565">
        <v>8056.04</v>
      </c>
      <c r="I129" s="1497">
        <f t="shared" si="19"/>
        <v>12021222</v>
      </c>
      <c r="J129" s="1498">
        <f t="shared" si="28"/>
        <v>12021222</v>
      </c>
      <c r="K129" s="1499"/>
      <c r="L129" s="1800"/>
      <c r="M129" s="718" t="s">
        <v>4802</v>
      </c>
      <c r="N129" s="1461"/>
      <c r="O129" s="1461"/>
      <c r="P129" s="1461"/>
      <c r="Q129" s="1461"/>
      <c r="R129" s="1466"/>
      <c r="S129" s="34"/>
    </row>
    <row r="130" spans="1:19" s="718" customFormat="1" ht="24" customHeight="1">
      <c r="A130" s="1489" t="s">
        <v>15</v>
      </c>
      <c r="B130" s="1490" t="s">
        <v>4048</v>
      </c>
      <c r="C130" s="1643" t="s">
        <v>4954</v>
      </c>
      <c r="D130" s="1643" t="s">
        <v>4955</v>
      </c>
      <c r="E130" s="1597">
        <v>46233</v>
      </c>
      <c r="F130" s="1494">
        <v>46233</v>
      </c>
      <c r="G130" s="1564">
        <f>VLOOKUP(F130,환율!A:B,2,0)</f>
        <v>1450.1</v>
      </c>
      <c r="H130" s="1565">
        <v>33009.979999999996</v>
      </c>
      <c r="I130" s="1497">
        <f t="shared" si="19"/>
        <v>47867771</v>
      </c>
      <c r="J130" s="1498">
        <f t="shared" si="28"/>
        <v>47867771</v>
      </c>
      <c r="K130" s="1499"/>
      <c r="L130" s="1800"/>
      <c r="N130" s="1461"/>
      <c r="O130" s="1461"/>
      <c r="P130" s="1461"/>
      <c r="Q130" s="1461"/>
      <c r="R130" s="1466"/>
      <c r="S130" s="1458"/>
    </row>
    <row r="131" spans="1:19" s="718" customFormat="1" ht="24" customHeight="1" thickBot="1">
      <c r="A131" s="1646" t="s">
        <v>15</v>
      </c>
      <c r="B131" s="1647" t="s">
        <v>4048</v>
      </c>
      <c r="C131" s="1692" t="s">
        <v>4956</v>
      </c>
      <c r="D131" s="1692" t="s">
        <v>4959</v>
      </c>
      <c r="E131" s="1702">
        <v>46236</v>
      </c>
      <c r="F131" s="1649">
        <v>46236</v>
      </c>
      <c r="G131" s="1651">
        <f>VLOOKUP(F131,환율!A:B,2,0)</f>
        <v>1441.1</v>
      </c>
      <c r="H131" s="1652">
        <v>44497.83</v>
      </c>
      <c r="I131" s="1653">
        <f t="shared" ref="I131" si="29">ROUNDDOWN(G131*H131,0)</f>
        <v>64125822</v>
      </c>
      <c r="J131" s="1654"/>
      <c r="K131" s="1655">
        <f>I131</f>
        <v>64125822</v>
      </c>
      <c r="L131" s="1800"/>
      <c r="N131" s="1461"/>
      <c r="O131" s="1461"/>
      <c r="P131" s="1461"/>
      <c r="Q131" s="1461"/>
      <c r="R131" s="1466"/>
      <c r="S131" s="1458"/>
    </row>
    <row r="132" spans="1:19" s="718" customFormat="1" ht="24" customHeight="1">
      <c r="A132" s="1703" t="s">
        <v>4049</v>
      </c>
      <c r="B132" s="1704" t="s">
        <v>4048</v>
      </c>
      <c r="C132" s="1705" t="s">
        <v>4957</v>
      </c>
      <c r="D132" s="1706" t="s">
        <v>4782</v>
      </c>
      <c r="E132" s="1707"/>
      <c r="F132" s="1521">
        <v>46213</v>
      </c>
      <c r="G132" s="1708">
        <f>VLOOKUP(F132,환율!A:B,2,0)</f>
        <v>1504.2</v>
      </c>
      <c r="H132" s="1709">
        <v>18242</v>
      </c>
      <c r="I132" s="1710">
        <v>21526400</v>
      </c>
      <c r="J132" s="1524">
        <f>I132</f>
        <v>21526400</v>
      </c>
      <c r="K132" s="1711"/>
      <c r="L132" s="1800"/>
      <c r="M132" s="1771">
        <f>SUM(K131)</f>
        <v>64125822</v>
      </c>
      <c r="N132" s="1461"/>
      <c r="O132" s="1461"/>
      <c r="P132" s="1461"/>
      <c r="Q132" s="1461"/>
      <c r="R132" s="1466"/>
      <c r="S132" s="1458"/>
    </row>
    <row r="133" spans="1:19" s="97" customFormat="1" ht="24" customHeight="1" thickBot="1">
      <c r="A133" s="1591" t="s">
        <v>4049</v>
      </c>
      <c r="B133" s="1592" t="s">
        <v>4048</v>
      </c>
      <c r="C133" s="1712" t="s">
        <v>4958</v>
      </c>
      <c r="D133" s="1713" t="s">
        <v>4782</v>
      </c>
      <c r="E133" s="1714"/>
      <c r="F133" s="1494">
        <v>46234</v>
      </c>
      <c r="G133" s="1594">
        <f>VLOOKUP(F133,환율!A:B,2,0)</f>
        <v>1441.1</v>
      </c>
      <c r="H133" s="1715">
        <v>18242</v>
      </c>
      <c r="I133" s="1716">
        <v>21526400</v>
      </c>
      <c r="J133" s="1528">
        <f>I133</f>
        <v>21526400</v>
      </c>
      <c r="K133" s="1505"/>
      <c r="L133" s="1856"/>
      <c r="M133" s="718"/>
      <c r="N133" s="1461"/>
      <c r="O133" s="1461"/>
      <c r="P133" s="1461"/>
      <c r="Q133" s="1461"/>
      <c r="R133" s="1466"/>
      <c r="S133" s="34"/>
    </row>
    <row r="134" spans="1:19" s="97" customFormat="1" ht="24" customHeight="1" thickBot="1">
      <c r="A134" s="2165" t="s">
        <v>4056</v>
      </c>
      <c r="B134" s="2164"/>
      <c r="C134" s="2164"/>
      <c r="D134" s="2164"/>
      <c r="E134" s="2164"/>
      <c r="F134" s="2164"/>
      <c r="G134" s="2164"/>
      <c r="H134" s="1153"/>
      <c r="I134" s="1154">
        <f>SUM(I30:I133)</f>
        <v>7529176636</v>
      </c>
      <c r="J134" s="948">
        <f>SUM(J30:J133)</f>
        <v>5426223318</v>
      </c>
      <c r="K134" s="949">
        <f>SUM(K30:K133)</f>
        <v>2102953318</v>
      </c>
      <c r="L134" s="1856"/>
      <c r="M134" s="718"/>
      <c r="N134" s="40"/>
      <c r="O134" s="40"/>
      <c r="P134" s="40"/>
      <c r="Q134" s="40"/>
      <c r="R134" s="34"/>
      <c r="S134" s="34"/>
    </row>
    <row r="135" spans="1:19" s="496" customFormat="1" ht="24" customHeight="1">
      <c r="A135" s="809"/>
      <c r="B135" s="809"/>
      <c r="C135" s="810"/>
      <c r="D135" s="810" t="s">
        <v>4715</v>
      </c>
      <c r="E135" s="811"/>
      <c r="F135" s="1172"/>
      <c r="G135" s="810"/>
      <c r="H135" s="2194" t="s">
        <v>4411</v>
      </c>
      <c r="I135" s="2194"/>
      <c r="J135" s="1163">
        <f>SUM(I37:I133)-K134</f>
        <v>4673751875</v>
      </c>
      <c r="K135" s="810" t="s">
        <v>4985</v>
      </c>
      <c r="L135" s="1802"/>
      <c r="N135" s="1460"/>
      <c r="O135" s="1719"/>
      <c r="P135" s="1719"/>
      <c r="Q135" s="1460"/>
      <c r="R135" s="1459"/>
      <c r="S135" s="1459"/>
    </row>
    <row r="136" spans="1:19" s="34" customFormat="1" ht="19.2">
      <c r="A136" s="809"/>
      <c r="B136" s="809"/>
      <c r="C136" s="810"/>
      <c r="D136" s="810"/>
      <c r="E136" s="811"/>
      <c r="F136" s="1172"/>
      <c r="G136" s="810"/>
      <c r="H136" s="1468"/>
      <c r="I136" s="1468"/>
      <c r="J136" s="1163"/>
      <c r="K136" s="810"/>
      <c r="L136" s="1172"/>
      <c r="M136" s="1727"/>
      <c r="N136" s="1460"/>
      <c r="O136" s="1460"/>
      <c r="P136" s="1460"/>
      <c r="Q136" s="1460"/>
      <c r="R136" s="1459"/>
    </row>
    <row r="137" spans="1:19" s="34" customFormat="1" ht="28.5" customHeight="1">
      <c r="A137" s="809"/>
      <c r="B137" s="809"/>
      <c r="C137" s="810"/>
      <c r="D137" s="810"/>
      <c r="E137" s="811"/>
      <c r="F137" s="1172"/>
      <c r="G137" s="810"/>
      <c r="H137" s="1119"/>
      <c r="I137" s="810"/>
      <c r="J137" s="810"/>
      <c r="K137" s="810"/>
      <c r="L137" s="1790"/>
      <c r="M137" s="1727"/>
      <c r="N137" s="40"/>
      <c r="O137" s="40"/>
      <c r="P137" s="40"/>
      <c r="Q137" s="40"/>
    </row>
  </sheetData>
  <autoFilter ref="A29:K135" xr:uid="{1CCF8D2F-36BE-46CD-94BA-38FEC2C856C0}"/>
  <mergeCells count="41">
    <mergeCell ref="N26:P26"/>
    <mergeCell ref="A28:A29"/>
    <mergeCell ref="B28:B29"/>
    <mergeCell ref="C28:C29"/>
    <mergeCell ref="D28:D29"/>
    <mergeCell ref="E28:E29"/>
    <mergeCell ref="F28:F29"/>
    <mergeCell ref="G28:G29"/>
    <mergeCell ref="H28:K28"/>
    <mergeCell ref="A134:D134"/>
    <mergeCell ref="E134:G134"/>
    <mergeCell ref="H135:I135"/>
    <mergeCell ref="B23:C23"/>
    <mergeCell ref="E23:G23"/>
    <mergeCell ref="A24:A26"/>
    <mergeCell ref="E24:G24"/>
    <mergeCell ref="H24:H26"/>
    <mergeCell ref="E25:G25"/>
    <mergeCell ref="E26:G26"/>
    <mergeCell ref="E18:G18"/>
    <mergeCell ref="E19:G19"/>
    <mergeCell ref="E20:G20"/>
    <mergeCell ref="E21:G21"/>
    <mergeCell ref="B22:C22"/>
    <mergeCell ref="E22:G22"/>
    <mergeCell ref="E17:G17"/>
    <mergeCell ref="A1:G4"/>
    <mergeCell ref="A5:B5"/>
    <mergeCell ref="A6:B6"/>
    <mergeCell ref="A7:B7"/>
    <mergeCell ref="A8:A23"/>
    <mergeCell ref="E8:G8"/>
    <mergeCell ref="E9:G9"/>
    <mergeCell ref="E10:G10"/>
    <mergeCell ref="B11:C11"/>
    <mergeCell ref="E11:G11"/>
    <mergeCell ref="E12:G12"/>
    <mergeCell ref="E13:G13"/>
    <mergeCell ref="E14:G14"/>
    <mergeCell ref="E15:G15"/>
    <mergeCell ref="E16:G16"/>
  </mergeCells>
  <phoneticPr fontId="2" type="noConversion"/>
  <conditionalFormatting sqref="A5:A7 A28:K28 C29:K33 L29:L135 A34:K37 C38:K112 A113:K113 C114:K127 A128:K133 H134:K134">
    <cfRule type="expression" dxfId="62" priority="9">
      <formula>#REF!="*01월*"</formula>
    </cfRule>
  </conditionalFormatting>
  <conditionalFormatting sqref="A29">
    <cfRule type="expression" dxfId="61" priority="5">
      <formula>#REF!="*01월*"</formula>
    </cfRule>
  </conditionalFormatting>
  <conditionalFormatting sqref="A134">
    <cfRule type="expression" dxfId="60" priority="8">
      <formula>#REF!="*01월*"</formula>
    </cfRule>
  </conditionalFormatting>
  <conditionalFormatting sqref="A30:B30 A85:B85 A89:B90">
    <cfRule type="expression" dxfId="59" priority="19">
      <formula>#REF!="*01월*"</formula>
    </cfRule>
  </conditionalFormatting>
  <conditionalFormatting sqref="B19:B22">
    <cfRule type="expression" dxfId="58" priority="6">
      <formula>#REF!="*01월*"</formula>
    </cfRule>
  </conditionalFormatting>
  <conditionalFormatting sqref="B10:C10 B11 B12:C12 B13:B16">
    <cfRule type="expression" dxfId="57" priority="13">
      <formula>#REF!="*01월*"</formula>
    </cfRule>
  </conditionalFormatting>
  <conditionalFormatting sqref="B17:C18">
    <cfRule type="expression" dxfId="56" priority="11">
      <formula>#REF!="*01월*"</formula>
    </cfRule>
  </conditionalFormatting>
  <conditionalFormatting sqref="B24:C26">
    <cfRule type="expression" dxfId="55" priority="7">
      <formula>#REF!="*01월*"</formula>
    </cfRule>
  </conditionalFormatting>
  <conditionalFormatting sqref="C15:C16">
    <cfRule type="expression" dxfId="54" priority="12">
      <formula>#REF!="*01월*"</formula>
    </cfRule>
  </conditionalFormatting>
  <conditionalFormatting sqref="C20:C21">
    <cfRule type="expression" dxfId="53" priority="10">
      <formula>#REF!="*01월*"</formula>
    </cfRule>
  </conditionalFormatting>
  <conditionalFormatting sqref="C123:C126">
    <cfRule type="expression" dxfId="52" priority="16">
      <formula>#REF!="*01월*"</formula>
    </cfRule>
  </conditionalFormatting>
  <conditionalFormatting sqref="D5:E5 G5">
    <cfRule type="expression" dxfId="51" priority="23">
      <formula>$F10="*01월*"</formula>
    </cfRule>
  </conditionalFormatting>
  <conditionalFormatting sqref="D6:E7 G6:G7 F41:F47">
    <cfRule type="expression" dxfId="50" priority="24">
      <formula>$F12="*01월*"</formula>
    </cfRule>
  </conditionalFormatting>
  <conditionalFormatting sqref="D8:E8 E12:E19 F40:F47">
    <cfRule type="expression" dxfId="49" priority="17">
      <formula>$F10="*01월*"</formula>
    </cfRule>
  </conditionalFormatting>
  <conditionalFormatting sqref="D34:E34">
    <cfRule type="expression" dxfId="48" priority="1">
      <formula>$F35="*01월*"</formula>
    </cfRule>
  </conditionalFormatting>
  <conditionalFormatting sqref="D36:E36">
    <cfRule type="expression" dxfId="47" priority="26">
      <formula>$F37="*01월*"</formula>
    </cfRule>
  </conditionalFormatting>
  <conditionalFormatting sqref="E9:E10 E20">
    <cfRule type="expression" dxfId="46" priority="25">
      <formula>$F12="*01월*"</formula>
    </cfRule>
  </conditionalFormatting>
  <conditionalFormatting sqref="E21 F123:F126">
    <cfRule type="expression" dxfId="45" priority="22">
      <formula>#REF!="*01월*"</formula>
    </cfRule>
  </conditionalFormatting>
  <conditionalFormatting sqref="F38:F39">
    <cfRule type="expression" dxfId="44" priority="4">
      <formula>#REF!="*01월*"</formula>
    </cfRule>
  </conditionalFormatting>
  <conditionalFormatting sqref="F41:F47">
    <cfRule type="expression" dxfId="43" priority="20">
      <formula>#REF!="*01월*"</formula>
    </cfRule>
  </conditionalFormatting>
  <conditionalFormatting sqref="F45:F47">
    <cfRule type="expression" dxfId="42" priority="18">
      <formula>$F48="*01월*"</formula>
    </cfRule>
  </conditionalFormatting>
  <conditionalFormatting sqref="H8:J8">
    <cfRule type="expression" dxfId="41" priority="15">
      <formula>$F10="*01월*"</formula>
    </cfRule>
  </conditionalFormatting>
  <pageMargins left="0.43307086614173229" right="0" top="0.59055118110236227" bottom="0.55000000000000004" header="0" footer="0"/>
  <pageSetup paperSize="9" scale="56" fitToHeight="0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529D3-C9CD-44D0-9C9F-9B9A72B3E322}">
  <sheetPr>
    <pageSetUpPr fitToPage="1"/>
  </sheetPr>
  <dimension ref="A1:T149"/>
  <sheetViews>
    <sheetView topLeftCell="A122" zoomScale="85" zoomScaleNormal="85" zoomScaleSheetLayoutView="100" workbookViewId="0">
      <selection activeCell="H101" sqref="H101"/>
    </sheetView>
  </sheetViews>
  <sheetFormatPr defaultRowHeight="17.399999999999999"/>
  <cols>
    <col min="1" max="1" width="13.59765625" style="809" customWidth="1"/>
    <col min="2" max="2" width="9.59765625" style="809" customWidth="1"/>
    <col min="3" max="3" width="24.09765625" style="810" customWidth="1"/>
    <col min="4" max="4" width="18.69921875" style="810" customWidth="1"/>
    <col min="5" max="5" width="9.19921875" style="811" customWidth="1"/>
    <col min="6" max="6" width="9.19921875" style="1172" customWidth="1"/>
    <col min="7" max="7" width="9.19921875" style="810" customWidth="1"/>
    <col min="8" max="8" width="16.8984375" style="1119" customWidth="1"/>
    <col min="9" max="10" width="16.8984375" style="810" customWidth="1"/>
    <col min="11" max="11" width="17.3984375" style="810" customWidth="1"/>
    <col min="12" max="12" width="17.3984375" style="1172" customWidth="1"/>
    <col min="13" max="13" width="16.3984375" style="1727" customWidth="1"/>
    <col min="14" max="16" width="14.19921875" style="40" customWidth="1"/>
    <col min="17" max="17" width="15.19921875" style="40" customWidth="1"/>
    <col min="18" max="18" width="14.19921875" style="34" customWidth="1"/>
    <col min="19" max="19" width="14.8984375" style="34" customWidth="1"/>
    <col min="20" max="20" width="14.8984375" customWidth="1"/>
  </cols>
  <sheetData>
    <row r="1" spans="1:19" ht="21.75" customHeight="1">
      <c r="A1" s="2163" t="s">
        <v>4996</v>
      </c>
      <c r="B1" s="2163"/>
      <c r="C1" s="2163"/>
      <c r="D1" s="2163"/>
      <c r="E1" s="2163"/>
      <c r="F1" s="2163"/>
      <c r="G1" s="2163"/>
      <c r="H1" s="810"/>
      <c r="K1"/>
      <c r="L1" s="1727"/>
    </row>
    <row r="2" spans="1:19" ht="21.75" customHeight="1">
      <c r="A2" s="2163"/>
      <c r="B2" s="2163"/>
      <c r="C2" s="2163"/>
      <c r="D2" s="2163"/>
      <c r="E2" s="2163"/>
      <c r="F2" s="2163"/>
      <c r="G2" s="2163"/>
      <c r="H2" s="810"/>
      <c r="K2"/>
      <c r="L2" s="1727"/>
    </row>
    <row r="3" spans="1:19" ht="19.5" customHeight="1">
      <c r="A3" s="2163"/>
      <c r="B3" s="2163"/>
      <c r="C3" s="2163"/>
      <c r="D3" s="2163"/>
      <c r="E3" s="2163"/>
      <c r="F3" s="2163"/>
      <c r="G3" s="2163"/>
      <c r="H3" s="1114"/>
      <c r="I3" s="1115"/>
      <c r="J3" s="812"/>
      <c r="K3" s="812"/>
      <c r="L3" s="1793"/>
    </row>
    <row r="4" spans="1:19" ht="19.5" customHeight="1">
      <c r="A4" s="2163"/>
      <c r="B4" s="2163"/>
      <c r="C4" s="2163"/>
      <c r="D4" s="2163"/>
      <c r="E4" s="2163"/>
      <c r="F4" s="2163"/>
      <c r="G4" s="2163"/>
      <c r="H4" s="1114"/>
      <c r="I4" s="1115"/>
      <c r="J4" s="812"/>
      <c r="K4" s="812"/>
      <c r="L4" s="1793"/>
    </row>
    <row r="5" spans="1:19" ht="19.5" customHeight="1">
      <c r="A5" s="2175" t="s">
        <v>3749</v>
      </c>
      <c r="B5" s="2175"/>
      <c r="C5" s="944"/>
      <c r="D5" s="944"/>
      <c r="E5" s="944"/>
      <c r="F5" s="1210"/>
      <c r="G5" s="944"/>
      <c r="H5" s="1114"/>
      <c r="I5" s="1115"/>
      <c r="J5" s="812"/>
      <c r="K5" s="812"/>
      <c r="L5" s="1793"/>
    </row>
    <row r="6" spans="1:19" ht="19.5" customHeight="1">
      <c r="A6" s="2176" t="s">
        <v>4226</v>
      </c>
      <c r="B6" s="2176"/>
      <c r="C6" s="944"/>
      <c r="D6" s="944"/>
      <c r="E6" s="1114"/>
      <c r="F6" s="1210"/>
      <c r="G6" s="944"/>
      <c r="H6" s="1114"/>
      <c r="I6" s="1116"/>
      <c r="J6" s="813"/>
      <c r="K6" s="813"/>
      <c r="L6" s="1794"/>
    </row>
    <row r="7" spans="1:19" ht="19.5" customHeight="1" thickBot="1">
      <c r="A7" s="2209" t="s">
        <v>3748</v>
      </c>
      <c r="B7" s="2209"/>
      <c r="C7" s="945"/>
      <c r="D7" s="1411" t="s">
        <v>4610</v>
      </c>
      <c r="E7" s="945"/>
      <c r="F7" s="1211"/>
      <c r="G7" s="945"/>
      <c r="H7" s="1117"/>
      <c r="I7" s="1116"/>
      <c r="J7" s="813"/>
      <c r="K7" s="813"/>
      <c r="L7" s="1794"/>
    </row>
    <row r="8" spans="1:19" s="126" customFormat="1" ht="25.5" customHeight="1">
      <c r="A8" s="2178" t="s">
        <v>4057</v>
      </c>
      <c r="B8" s="951" t="s">
        <v>4035</v>
      </c>
      <c r="C8" s="951" t="s">
        <v>236</v>
      </c>
      <c r="D8" s="952" t="s">
        <v>4053</v>
      </c>
      <c r="E8" s="2185" t="s">
        <v>4054</v>
      </c>
      <c r="F8" s="2186"/>
      <c r="G8" s="2187"/>
      <c r="H8" s="1155" t="s">
        <v>4051</v>
      </c>
      <c r="I8" s="1118" t="s">
        <v>4050</v>
      </c>
      <c r="J8" s="1258" t="s">
        <v>4055</v>
      </c>
      <c r="K8" s="953" t="s">
        <v>4058</v>
      </c>
      <c r="L8" s="1795"/>
      <c r="M8" s="1397"/>
      <c r="N8" s="40"/>
      <c r="O8" s="40"/>
      <c r="P8" s="40"/>
      <c r="Q8" s="40"/>
      <c r="R8" s="40"/>
      <c r="S8" s="40"/>
    </row>
    <row r="9" spans="1:19" s="126" customFormat="1" ht="25.5" customHeight="1">
      <c r="A9" s="2092"/>
      <c r="B9" s="954" t="s">
        <v>375</v>
      </c>
      <c r="C9" s="954" t="s">
        <v>4036</v>
      </c>
      <c r="D9" s="956">
        <f>SUM(J31)</f>
        <v>165360556</v>
      </c>
      <c r="E9" s="2133">
        <f>SUM(J32:J46)</f>
        <v>570842155</v>
      </c>
      <c r="F9" s="2134"/>
      <c r="G9" s="2135"/>
      <c r="H9" s="1156">
        <f>SUM(K31:K46)</f>
        <v>0</v>
      </c>
      <c r="I9" s="1428">
        <f ca="1">SUMIF($A$31:$A$145,C9,$I$31:$I$144)</f>
        <v>736202711</v>
      </c>
      <c r="J9" s="1235">
        <f>SUM(D9:G9)</f>
        <v>736202711</v>
      </c>
      <c r="K9" s="957"/>
      <c r="L9" s="1796"/>
      <c r="M9" s="1397"/>
      <c r="N9" s="40"/>
      <c r="O9" s="40"/>
      <c r="P9" s="40"/>
      <c r="Q9" s="40"/>
      <c r="R9" s="40"/>
      <c r="S9" s="40"/>
    </row>
    <row r="10" spans="1:19" s="19" customFormat="1" ht="25.5" customHeight="1">
      <c r="A10" s="2092"/>
      <c r="B10" s="964" t="s">
        <v>375</v>
      </c>
      <c r="C10" s="964" t="s">
        <v>4025</v>
      </c>
      <c r="D10" s="965">
        <v>0</v>
      </c>
      <c r="E10" s="2182">
        <f>SUM(J47:J48)</f>
        <v>124369886</v>
      </c>
      <c r="F10" s="2183"/>
      <c r="G10" s="2184"/>
      <c r="H10" s="1157">
        <v>0</v>
      </c>
      <c r="I10" s="1429">
        <f ca="1">SUMIF($A$31:$A$145,C10,$I$31:$I$144)</f>
        <v>124369886</v>
      </c>
      <c r="J10" s="1242">
        <f>SUM(D10:G10)</f>
        <v>124369886</v>
      </c>
      <c r="K10" s="966">
        <f>SUM(J9:J10)</f>
        <v>860572597</v>
      </c>
      <c r="L10" s="1797"/>
      <c r="M10" s="1728"/>
      <c r="N10" s="40"/>
      <c r="O10" s="40"/>
      <c r="P10" s="40"/>
      <c r="Q10" s="40"/>
      <c r="R10" s="40"/>
      <c r="S10" s="40"/>
    </row>
    <row r="11" spans="1:19" s="19" customFormat="1" ht="25.5" customHeight="1">
      <c r="A11" s="2092"/>
      <c r="B11" s="2210" t="s">
        <v>4244</v>
      </c>
      <c r="C11" s="2211"/>
      <c r="D11" s="1112">
        <f>SUM(D9:D10)</f>
        <v>165360556</v>
      </c>
      <c r="E11" s="2200">
        <f>SUM(E9:G10)</f>
        <v>695212041</v>
      </c>
      <c r="F11" s="2201"/>
      <c r="G11" s="2202"/>
      <c r="H11" s="1158">
        <f t="shared" ref="H11:K11" si="0">SUM(H9:H10)</f>
        <v>0</v>
      </c>
      <c r="I11" s="1112">
        <f t="shared" ca="1" si="0"/>
        <v>860572597</v>
      </c>
      <c r="J11" s="1184">
        <f t="shared" si="0"/>
        <v>860572597</v>
      </c>
      <c r="K11" s="1113">
        <f t="shared" si="0"/>
        <v>860572597</v>
      </c>
      <c r="L11" s="1797"/>
      <c r="M11" s="1728"/>
      <c r="N11" s="40"/>
      <c r="O11" s="40"/>
      <c r="P11" s="40"/>
      <c r="Q11" s="40"/>
      <c r="R11" s="40"/>
      <c r="S11" s="40"/>
    </row>
    <row r="12" spans="1:19" ht="25.5" customHeight="1">
      <c r="A12" s="2092"/>
      <c r="B12" s="970" t="s">
        <v>478</v>
      </c>
      <c r="C12" s="970" t="s">
        <v>4026</v>
      </c>
      <c r="D12" s="956">
        <f>SUM(J49)</f>
        <v>9694165</v>
      </c>
      <c r="E12" s="2133">
        <v>0</v>
      </c>
      <c r="F12" s="2134"/>
      <c r="G12" s="2135"/>
      <c r="H12" s="1159">
        <f>SUM(K49)</f>
        <v>0</v>
      </c>
      <c r="I12" s="971">
        <f t="shared" ref="I12:I21" ca="1" si="1">SUMIF($A$31:$A$145,C12,$I$31:$I$144)</f>
        <v>9694165</v>
      </c>
      <c r="J12" s="1234">
        <f t="shared" ref="J12:J21" si="2">SUM(D12:G12)</f>
        <v>9694165</v>
      </c>
      <c r="K12" s="972"/>
      <c r="L12" s="1796"/>
    </row>
    <row r="13" spans="1:19" s="24" customFormat="1" ht="25.5" customHeight="1">
      <c r="A13" s="2092"/>
      <c r="B13" s="959" t="s">
        <v>478</v>
      </c>
      <c r="C13" s="959" t="s">
        <v>660</v>
      </c>
      <c r="D13" s="956">
        <f>SUM(J50:J57)</f>
        <v>390361147</v>
      </c>
      <c r="E13" s="2133">
        <f>SUM(J58:J66)</f>
        <v>252118215</v>
      </c>
      <c r="F13" s="2134"/>
      <c r="G13" s="2135"/>
      <c r="H13" s="1156">
        <f>SUM(K67:K69)</f>
        <v>195911700</v>
      </c>
      <c r="I13" s="956">
        <f t="shared" ca="1" si="1"/>
        <v>838391062</v>
      </c>
      <c r="J13" s="1235">
        <f t="shared" si="2"/>
        <v>642479362</v>
      </c>
      <c r="K13" s="1233"/>
      <c r="L13" s="1789"/>
      <c r="M13" s="1729"/>
      <c r="N13" s="40"/>
      <c r="O13" s="40"/>
      <c r="P13" s="40"/>
      <c r="Q13" s="40"/>
      <c r="R13" s="55"/>
      <c r="S13" s="55"/>
    </row>
    <row r="14" spans="1:19" s="24" customFormat="1" ht="25.5" customHeight="1">
      <c r="A14" s="2092"/>
      <c r="B14" s="959" t="s">
        <v>478</v>
      </c>
      <c r="C14" s="959" t="s">
        <v>4042</v>
      </c>
      <c r="D14" s="956">
        <f>SUM(J70:J80)</f>
        <v>641825934</v>
      </c>
      <c r="E14" s="2133">
        <f>SUM(J81:J89)</f>
        <v>576060917</v>
      </c>
      <c r="F14" s="2134"/>
      <c r="G14" s="2135"/>
      <c r="H14" s="1156">
        <f>SUM(K90:K106)</f>
        <v>1204986923</v>
      </c>
      <c r="I14" s="956">
        <f t="shared" ca="1" si="1"/>
        <v>2424621240</v>
      </c>
      <c r="J14" s="1235">
        <f t="shared" si="2"/>
        <v>1217886851</v>
      </c>
      <c r="K14" s="957"/>
      <c r="L14" s="1796"/>
      <c r="M14" s="1729"/>
      <c r="N14" s="40"/>
      <c r="O14" s="40"/>
      <c r="P14" s="40"/>
      <c r="Q14" s="40"/>
      <c r="R14" s="55"/>
      <c r="S14" s="55"/>
    </row>
    <row r="15" spans="1:19" s="24" customFormat="1" ht="25.5" customHeight="1">
      <c r="A15" s="2092"/>
      <c r="B15" s="959" t="s">
        <v>478</v>
      </c>
      <c r="C15" s="959" t="s">
        <v>4041</v>
      </c>
      <c r="D15" s="956">
        <f>SUM(J107)</f>
        <v>71019497</v>
      </c>
      <c r="E15" s="2133">
        <f>SUM(J108:J111)</f>
        <v>334299080</v>
      </c>
      <c r="F15" s="2134"/>
      <c r="G15" s="2135"/>
      <c r="H15" s="1156">
        <f>SUM(K111)</f>
        <v>0</v>
      </c>
      <c r="I15" s="956">
        <f t="shared" ca="1" si="1"/>
        <v>405318577</v>
      </c>
      <c r="J15" s="1235">
        <f t="shared" si="2"/>
        <v>405318577</v>
      </c>
      <c r="K15" s="960"/>
      <c r="L15" s="1789"/>
      <c r="M15" s="1729" t="s">
        <v>5140</v>
      </c>
      <c r="N15" s="40"/>
      <c r="O15" s="40"/>
      <c r="P15" s="40"/>
      <c r="Q15" s="40"/>
      <c r="R15" s="55"/>
      <c r="S15" s="55"/>
    </row>
    <row r="16" spans="1:19" s="24" customFormat="1" ht="25.5" customHeight="1">
      <c r="A16" s="2092"/>
      <c r="B16" s="973" t="s">
        <v>478</v>
      </c>
      <c r="C16" s="973" t="s">
        <v>4045</v>
      </c>
      <c r="D16" s="974">
        <f>SUM(J112:J114)</f>
        <v>80779044</v>
      </c>
      <c r="E16" s="2160">
        <f>SUM(J115)</f>
        <v>78490116</v>
      </c>
      <c r="F16" s="2161"/>
      <c r="G16" s="2162"/>
      <c r="H16" s="1160">
        <f>SUM(K115:K115)</f>
        <v>0</v>
      </c>
      <c r="I16" s="974">
        <f t="shared" ca="1" si="1"/>
        <v>159269160</v>
      </c>
      <c r="J16" s="1236">
        <f t="shared" si="2"/>
        <v>159269160</v>
      </c>
      <c r="K16" s="975">
        <f>SUM(J12:J16)</f>
        <v>2434648115</v>
      </c>
      <c r="L16" s="1797"/>
      <c r="M16" s="1729"/>
      <c r="N16" s="40"/>
      <c r="O16" s="40"/>
      <c r="P16" s="40"/>
      <c r="Q16" s="40"/>
      <c r="R16" s="55"/>
      <c r="S16" s="55"/>
    </row>
    <row r="17" spans="1:20" s="24" customFormat="1" ht="25.5" customHeight="1">
      <c r="A17" s="2092"/>
      <c r="B17" s="946" t="s">
        <v>626</v>
      </c>
      <c r="C17" s="946" t="s">
        <v>4979</v>
      </c>
      <c r="D17" s="808">
        <f>SUM(J116:J118)</f>
        <v>715461565</v>
      </c>
      <c r="E17" s="2188">
        <f>SUM(J119:J127)</f>
        <v>1586246940</v>
      </c>
      <c r="F17" s="2189"/>
      <c r="G17" s="2190"/>
      <c r="H17" s="1161">
        <f>SUM(K128:K129)</f>
        <v>671436036</v>
      </c>
      <c r="I17" s="1430">
        <f ca="1">SUMIF($A$31:$A$145,C17,$I$31:$I$144)</f>
        <v>0</v>
      </c>
      <c r="J17" s="1237">
        <f t="shared" si="2"/>
        <v>2301708505</v>
      </c>
      <c r="K17" s="950">
        <f>J17</f>
        <v>2301708505</v>
      </c>
      <c r="L17" s="1797"/>
      <c r="M17" s="1729"/>
      <c r="N17" s="40"/>
      <c r="O17" s="40"/>
      <c r="P17" s="40"/>
      <c r="Q17" s="40"/>
      <c r="R17" s="55"/>
      <c r="S17" s="55"/>
    </row>
    <row r="18" spans="1:20" ht="25.5" customHeight="1">
      <c r="A18" s="2092"/>
      <c r="B18" s="967" t="s">
        <v>4048</v>
      </c>
      <c r="C18" s="1470" t="s">
        <v>47</v>
      </c>
      <c r="D18" s="1471">
        <v>0</v>
      </c>
      <c r="E18" s="2238">
        <f>SUM(J130:J131)</f>
        <v>121639903</v>
      </c>
      <c r="F18" s="2239"/>
      <c r="G18" s="2240"/>
      <c r="H18" s="1472">
        <f>SUM(K132)</f>
        <v>91738128</v>
      </c>
      <c r="I18" s="1473">
        <f t="shared" ca="1" si="1"/>
        <v>213378031</v>
      </c>
      <c r="J18" s="1474">
        <f t="shared" si="2"/>
        <v>121639903</v>
      </c>
      <c r="K18" s="969"/>
      <c r="L18" s="1789"/>
    </row>
    <row r="19" spans="1:20" ht="25.5" customHeight="1" thickBot="1">
      <c r="A19" s="2092"/>
      <c r="B19" s="959" t="s">
        <v>4048</v>
      </c>
      <c r="C19" s="959" t="s">
        <v>40</v>
      </c>
      <c r="D19" s="956">
        <f>SUM(J133:J134)</f>
        <v>34848564</v>
      </c>
      <c r="E19" s="2133">
        <f>SUM(J135:J138)</f>
        <v>75965514</v>
      </c>
      <c r="F19" s="2134"/>
      <c r="G19" s="2135"/>
      <c r="H19" s="1156">
        <f>SUM(K138:K138)</f>
        <v>0</v>
      </c>
      <c r="I19" s="1428">
        <f t="shared" ca="1" si="1"/>
        <v>110814078</v>
      </c>
      <c r="J19" s="1235">
        <f t="shared" si="2"/>
        <v>110814078</v>
      </c>
      <c r="K19" s="960"/>
      <c r="L19" s="1789"/>
    </row>
    <row r="20" spans="1:20" ht="25.5" customHeight="1">
      <c r="A20" s="2092"/>
      <c r="B20" s="973" t="s">
        <v>4048</v>
      </c>
      <c r="C20" s="1475" t="s">
        <v>15</v>
      </c>
      <c r="D20" s="956">
        <f>SUM(J139)</f>
        <v>62786438</v>
      </c>
      <c r="E20" s="2241">
        <f>SUM(J140:J140)</f>
        <v>96226273</v>
      </c>
      <c r="F20" s="2242"/>
      <c r="G20" s="2243"/>
      <c r="H20" s="1929">
        <f>SUM(K141:K142)</f>
        <v>72353606</v>
      </c>
      <c r="I20" s="1476">
        <f t="shared" ca="1" si="1"/>
        <v>231366317</v>
      </c>
      <c r="J20" s="1478">
        <f t="shared" si="2"/>
        <v>159012711</v>
      </c>
      <c r="K20" s="975">
        <f>SUM(J18:J21)</f>
        <v>456045892</v>
      </c>
      <c r="L20" s="1797"/>
      <c r="N20" s="1407" t="s">
        <v>4606</v>
      </c>
      <c r="O20" s="1408" t="s">
        <v>4605</v>
      </c>
      <c r="P20" s="1408" t="s">
        <v>4607</v>
      </c>
      <c r="Q20" s="1408" t="s">
        <v>4608</v>
      </c>
      <c r="R20" s="1409" t="s">
        <v>4052</v>
      </c>
      <c r="S20" s="1846" t="s">
        <v>4981</v>
      </c>
      <c r="T20" s="1409" t="s">
        <v>4225</v>
      </c>
    </row>
    <row r="21" spans="1:20" ht="25.5" customHeight="1">
      <c r="A21" s="2092"/>
      <c r="B21" s="967" t="s">
        <v>4048</v>
      </c>
      <c r="C21" s="1259" t="s">
        <v>4049</v>
      </c>
      <c r="D21" s="971">
        <v>0</v>
      </c>
      <c r="E21" s="2191">
        <f>SUM(J143:J144)</f>
        <v>64579200</v>
      </c>
      <c r="F21" s="2192"/>
      <c r="G21" s="2193"/>
      <c r="H21" s="1183"/>
      <c r="I21" s="968">
        <f t="shared" ca="1" si="1"/>
        <v>64579200</v>
      </c>
      <c r="J21" s="1238">
        <f t="shared" si="2"/>
        <v>64579200</v>
      </c>
      <c r="K21" s="1260" t="s">
        <v>4241</v>
      </c>
      <c r="L21" s="1798"/>
      <c r="N21" s="1854" t="s">
        <v>4603</v>
      </c>
      <c r="O21" s="45" t="s">
        <v>4242</v>
      </c>
      <c r="P21" s="1839">
        <f>SUM(H31:H48,)</f>
        <v>97866449</v>
      </c>
      <c r="Q21" s="1441">
        <f>SUM(J31:J48)</f>
        <v>860572597</v>
      </c>
      <c r="R21" s="1442"/>
      <c r="S21" s="1442"/>
      <c r="T21" s="1442"/>
    </row>
    <row r="22" spans="1:20" ht="25.5" customHeight="1" thickBot="1">
      <c r="A22" s="2092"/>
      <c r="B22" s="2210" t="s">
        <v>4245</v>
      </c>
      <c r="C22" s="2211"/>
      <c r="D22" s="1112">
        <f>SUM(D12:D21)</f>
        <v>2006776354</v>
      </c>
      <c r="E22" s="2200">
        <f>SUM(E12:G21)</f>
        <v>3185626158</v>
      </c>
      <c r="F22" s="2201">
        <f t="shared" ref="F22:G22" si="3">SUM(F12:F21)</f>
        <v>0</v>
      </c>
      <c r="G22" s="2202">
        <f t="shared" si="3"/>
        <v>0</v>
      </c>
      <c r="H22" s="1834">
        <f>SUM(H12:H21)</f>
        <v>2236426393</v>
      </c>
      <c r="I22" s="1112">
        <f ca="1">SUM(I12:I21)</f>
        <v>4457431830</v>
      </c>
      <c r="J22" s="1184">
        <f>SUM(J12:J21)</f>
        <v>5192402512</v>
      </c>
      <c r="K22" s="1937">
        <f>SUM(K12:K21)</f>
        <v>5192402512</v>
      </c>
      <c r="L22" s="1797"/>
      <c r="N22" s="1443"/>
      <c r="O22" s="1444" t="s">
        <v>4595</v>
      </c>
      <c r="P22" s="1446"/>
      <c r="Q22" s="1835"/>
      <c r="R22" s="1447">
        <f>SUM(Q21:Q22)</f>
        <v>860572597</v>
      </c>
      <c r="S22" s="1853">
        <f>K11</f>
        <v>860572597</v>
      </c>
      <c r="T22" s="1447">
        <f>R22-S22</f>
        <v>0</v>
      </c>
    </row>
    <row r="23" spans="1:20" ht="30" customHeight="1" thickBot="1">
      <c r="A23" s="2179"/>
      <c r="B23" s="2180" t="s">
        <v>4052</v>
      </c>
      <c r="C23" s="2181"/>
      <c r="D23" s="962">
        <f>SUM(D22,D11)</f>
        <v>2172136910</v>
      </c>
      <c r="E23" s="2172">
        <f t="shared" ref="E23:I23" si="4">SUM(E22,E11)</f>
        <v>3880838199</v>
      </c>
      <c r="F23" s="2173">
        <f t="shared" si="4"/>
        <v>0</v>
      </c>
      <c r="G23" s="2174">
        <f t="shared" si="4"/>
        <v>0</v>
      </c>
      <c r="H23" s="1162">
        <f t="shared" si="4"/>
        <v>2236426393</v>
      </c>
      <c r="I23" s="962">
        <f t="shared" ca="1" si="4"/>
        <v>5318004427</v>
      </c>
      <c r="J23" s="1843">
        <f>SUM(J22,J11)</f>
        <v>6052975109</v>
      </c>
      <c r="K23" s="976">
        <f>SUM(K22,K11)</f>
        <v>6052975109</v>
      </c>
      <c r="L23" s="1790"/>
      <c r="N23" s="1855" t="s">
        <v>4604</v>
      </c>
      <c r="O23" s="1450" t="s">
        <v>4242</v>
      </c>
      <c r="P23" s="1840">
        <f>SUM(H50:H65,H70:H94,H107:H110,H112:H114,H116:H122,H130:H131,H133:H137,H139:H140,)</f>
        <v>3432332.6288888888</v>
      </c>
      <c r="Q23" s="1451">
        <f>SUM(I50:I65,I70:I94,I107:I110,I112:I114,I116:I122,I130:I131,I133:I137,I139:I140,)</f>
        <v>4830397312</v>
      </c>
      <c r="R23" s="1452"/>
      <c r="S23" s="1452"/>
      <c r="T23" s="1452"/>
    </row>
    <row r="24" spans="1:20" ht="30" customHeight="1" thickBot="1">
      <c r="A24" s="2149" t="s">
        <v>4986</v>
      </c>
      <c r="B24" s="977" t="s">
        <v>375</v>
      </c>
      <c r="C24" s="977" t="s">
        <v>4036</v>
      </c>
      <c r="D24" s="978">
        <v>11</v>
      </c>
      <c r="E24" s="2228">
        <v>47409082</v>
      </c>
      <c r="F24" s="2229"/>
      <c r="G24" s="2230"/>
      <c r="H24" s="2231">
        <f>SUM(E24:G27)</f>
        <v>677133547</v>
      </c>
      <c r="I24" s="1104" t="s">
        <v>5137</v>
      </c>
      <c r="J24" s="1243" t="s">
        <v>4983</v>
      </c>
      <c r="K24" s="1244">
        <f>J21</f>
        <v>64579200</v>
      </c>
      <c r="L24" s="1844"/>
      <c r="N24" s="1439"/>
      <c r="O24" s="1453" t="s">
        <v>4595</v>
      </c>
      <c r="P24" s="1841" t="e">
        <f>SUM(H95,H123:H127,#REF!)</f>
        <v>#REF!</v>
      </c>
      <c r="Q24" s="1441" t="e">
        <f>SUM(I95,I123:I127,#REF!)</f>
        <v>#REF!</v>
      </c>
      <c r="R24" s="1442"/>
      <c r="S24" s="1442"/>
      <c r="T24" s="1442"/>
    </row>
    <row r="25" spans="1:20" ht="30" customHeight="1" thickBot="1">
      <c r="A25" s="2195"/>
      <c r="B25" s="959" t="s">
        <v>4046</v>
      </c>
      <c r="C25" s="1164" t="s">
        <v>698</v>
      </c>
      <c r="D25" s="1091">
        <v>1</v>
      </c>
      <c r="E25" s="2252">
        <v>14048528</v>
      </c>
      <c r="F25" s="2235"/>
      <c r="G25" s="2236"/>
      <c r="H25" s="2232"/>
      <c r="I25" s="1092" t="s">
        <v>4961</v>
      </c>
      <c r="J25" s="1849" t="s">
        <v>4242</v>
      </c>
      <c r="K25" s="1246">
        <f>SUM(J9:J10,J12:J20)</f>
        <v>5988395909</v>
      </c>
      <c r="L25" s="1844" t="s">
        <v>4982</v>
      </c>
      <c r="N25" s="1443"/>
      <c r="O25" s="1444" t="s">
        <v>4241</v>
      </c>
      <c r="P25" s="1842">
        <f>SUM(H143:H144)</f>
        <v>54726</v>
      </c>
      <c r="Q25" s="1446">
        <f>SUM(I143:I144)</f>
        <v>64579200</v>
      </c>
      <c r="R25" s="1447" t="e">
        <f>SUM(Q23:Q25)</f>
        <v>#REF!</v>
      </c>
      <c r="S25" s="1447"/>
      <c r="T25" s="1447"/>
    </row>
    <row r="26" spans="1:20" ht="30" customHeight="1" thickBot="1">
      <c r="A26" s="2195"/>
      <c r="B26" s="1470" t="s">
        <v>4048</v>
      </c>
      <c r="C26" s="1470" t="s">
        <v>4042</v>
      </c>
      <c r="D26" s="1860">
        <v>5</v>
      </c>
      <c r="E26" s="2245">
        <v>197816835</v>
      </c>
      <c r="F26" s="2246"/>
      <c r="G26" s="2247"/>
      <c r="H26" s="2232"/>
      <c r="I26" s="1935" t="s">
        <v>5138</v>
      </c>
      <c r="J26" s="2248" t="s">
        <v>4052</v>
      </c>
      <c r="K26" s="2250">
        <f>SUM(K24:K25)</f>
        <v>6052975109</v>
      </c>
      <c r="L26" s="1844"/>
      <c r="N26" s="1930"/>
      <c r="O26" s="1931"/>
      <c r="P26" s="1932"/>
      <c r="Q26" s="1933"/>
      <c r="R26" s="1934"/>
      <c r="S26" s="1934"/>
      <c r="T26" s="1934"/>
    </row>
    <row r="27" spans="1:20" ht="30" customHeight="1" thickBot="1">
      <c r="A27" s="2196"/>
      <c r="B27" s="979" t="s">
        <v>626</v>
      </c>
      <c r="C27" s="979" t="s">
        <v>29</v>
      </c>
      <c r="D27" s="1009">
        <v>5</v>
      </c>
      <c r="E27" s="2169">
        <v>417859102</v>
      </c>
      <c r="F27" s="2170"/>
      <c r="G27" s="2171"/>
      <c r="H27" s="2233"/>
      <c r="I27" s="1936" t="s">
        <v>5139</v>
      </c>
      <c r="J27" s="2249"/>
      <c r="K27" s="2251"/>
      <c r="L27" s="1869">
        <f>J23-K26</f>
        <v>0</v>
      </c>
      <c r="N27" s="2213" t="s">
        <v>4984</v>
      </c>
      <c r="O27" s="2214"/>
      <c r="P27" s="2215"/>
      <c r="Q27" s="1420" t="e">
        <f>SUM(Q21:Q25)</f>
        <v>#REF!</v>
      </c>
      <c r="R27" s="1410" t="e">
        <f>SUM(R21:R25)</f>
        <v>#REF!</v>
      </c>
      <c r="S27" s="1848">
        <f>J23</f>
        <v>6052975109</v>
      </c>
      <c r="T27" s="1410" t="e">
        <f>R27-S27</f>
        <v>#REF!</v>
      </c>
    </row>
    <row r="28" spans="1:20" ht="30" customHeight="1" thickBot="1">
      <c r="A28" s="980" t="s">
        <v>4060</v>
      </c>
      <c r="L28" s="1791"/>
      <c r="O28" s="1456"/>
      <c r="P28" s="1456"/>
      <c r="R28" s="1837"/>
    </row>
    <row r="29" spans="1:20">
      <c r="A29" s="2216" t="s">
        <v>0</v>
      </c>
      <c r="B29" s="2218" t="s">
        <v>4035</v>
      </c>
      <c r="C29" s="2218" t="s">
        <v>1</v>
      </c>
      <c r="D29" s="2220" t="s">
        <v>2</v>
      </c>
      <c r="E29" s="2222" t="s">
        <v>4103</v>
      </c>
      <c r="F29" s="2220" t="s">
        <v>3</v>
      </c>
      <c r="G29" s="2224" t="s">
        <v>4</v>
      </c>
      <c r="H29" s="2226" t="s">
        <v>2352</v>
      </c>
      <c r="I29" s="2226"/>
      <c r="J29" s="2226"/>
      <c r="K29" s="2227"/>
      <c r="N29" s="1456"/>
      <c r="O29" s="1456"/>
      <c r="P29" s="1456"/>
      <c r="R29" s="1837"/>
    </row>
    <row r="30" spans="1:20" ht="23.25" customHeight="1">
      <c r="A30" s="2217"/>
      <c r="B30" s="2219"/>
      <c r="C30" s="2219"/>
      <c r="D30" s="2221"/>
      <c r="E30" s="2223"/>
      <c r="F30" s="2221"/>
      <c r="G30" s="2225"/>
      <c r="H30" s="1479" t="s">
        <v>6</v>
      </c>
      <c r="I30" s="1480" t="s">
        <v>7</v>
      </c>
      <c r="J30" s="1481" t="s">
        <v>2479</v>
      </c>
      <c r="K30" s="1482" t="s">
        <v>2336</v>
      </c>
      <c r="L30" s="1799"/>
      <c r="M30" s="1859" t="s">
        <v>4990</v>
      </c>
    </row>
    <row r="31" spans="1:20" ht="23.25" customHeight="1">
      <c r="A31" s="1483" t="s">
        <v>4037</v>
      </c>
      <c r="B31" s="1484" t="s">
        <v>375</v>
      </c>
      <c r="C31" s="1730" t="s">
        <v>4997</v>
      </c>
      <c r="D31" s="1485" t="s">
        <v>5124</v>
      </c>
      <c r="E31" s="1486">
        <v>46237</v>
      </c>
      <c r="F31" s="1731">
        <v>46237</v>
      </c>
      <c r="G31" s="1777">
        <v>9.1066000000000003</v>
      </c>
      <c r="H31" s="1778">
        <v>18158320</v>
      </c>
      <c r="I31" s="1487">
        <f t="shared" ref="I31:I115" si="5">ROUNDDOWN(H31*G31,0)</f>
        <v>165360556</v>
      </c>
      <c r="J31" s="1488">
        <f>I31</f>
        <v>165360556</v>
      </c>
      <c r="K31" s="1553"/>
      <c r="L31" s="1859"/>
      <c r="M31" t="s">
        <v>4989</v>
      </c>
    </row>
    <row r="32" spans="1:20" s="97" customFormat="1" ht="24" customHeight="1">
      <c r="A32" s="1500" t="s">
        <v>4036</v>
      </c>
      <c r="B32" s="1501" t="s">
        <v>4038</v>
      </c>
      <c r="C32" s="1491" t="s">
        <v>5121</v>
      </c>
      <c r="D32" s="1492" t="s">
        <v>5125</v>
      </c>
      <c r="E32" s="1493">
        <v>46251</v>
      </c>
      <c r="F32" s="1492">
        <v>46251</v>
      </c>
      <c r="G32" s="1502">
        <v>8.8733000000000004</v>
      </c>
      <c r="H32" s="1503">
        <v>12590290</v>
      </c>
      <c r="I32" s="1497">
        <f t="shared" si="5"/>
        <v>111717420</v>
      </c>
      <c r="J32" s="1504">
        <f t="shared" ref="J32:J49" si="6">I32</f>
        <v>111717420</v>
      </c>
      <c r="K32" s="1505"/>
      <c r="L32" s="1792"/>
      <c r="M32" t="s">
        <v>4989</v>
      </c>
      <c r="N32" s="1726"/>
      <c r="O32" s="40"/>
      <c r="P32" s="40"/>
      <c r="Q32" s="40"/>
      <c r="R32" s="34"/>
      <c r="S32" s="34"/>
    </row>
    <row r="33" spans="1:19" s="97" customFormat="1" ht="24" customHeight="1">
      <c r="A33" s="1500" t="s">
        <v>4036</v>
      </c>
      <c r="B33" s="1501" t="s">
        <v>4038</v>
      </c>
      <c r="C33" s="1491" t="s">
        <v>5122</v>
      </c>
      <c r="D33" s="1492" t="s">
        <v>5126</v>
      </c>
      <c r="E33" s="1493">
        <v>46258</v>
      </c>
      <c r="F33" s="1492">
        <v>46258</v>
      </c>
      <c r="G33" s="1502">
        <v>8.7043999999999997</v>
      </c>
      <c r="H33" s="1503">
        <v>4947920</v>
      </c>
      <c r="I33" s="1497">
        <f t="shared" ref="I33:I44" si="7">ROUNDDOWN(H33*G33,0)</f>
        <v>43068674</v>
      </c>
      <c r="J33" s="1504">
        <f t="shared" ref="J33:J44" si="8">I33</f>
        <v>43068674</v>
      </c>
      <c r="K33" s="1505"/>
      <c r="L33" s="1792"/>
      <c r="M33" t="s">
        <v>4989</v>
      </c>
      <c r="N33" s="1726"/>
      <c r="O33" s="40"/>
      <c r="P33" s="40"/>
      <c r="Q33" s="40"/>
      <c r="R33" s="34"/>
      <c r="S33" s="34"/>
    </row>
    <row r="34" spans="1:19" s="97" customFormat="1" ht="24" customHeight="1">
      <c r="A34" s="1500" t="s">
        <v>4036</v>
      </c>
      <c r="B34" s="1501" t="s">
        <v>4038</v>
      </c>
      <c r="C34" s="1491" t="s">
        <v>5123</v>
      </c>
      <c r="D34" s="1492" t="s">
        <v>5127</v>
      </c>
      <c r="E34" s="1493">
        <v>46258</v>
      </c>
      <c r="F34" s="1492">
        <v>46258</v>
      </c>
      <c r="G34" s="1502">
        <v>8.7043999999999997</v>
      </c>
      <c r="H34" s="1503">
        <v>21945160</v>
      </c>
      <c r="I34" s="1497">
        <f t="shared" si="7"/>
        <v>191019450</v>
      </c>
      <c r="J34" s="1504">
        <f t="shared" si="8"/>
        <v>191019450</v>
      </c>
      <c r="K34" s="1505"/>
      <c r="L34" s="1792"/>
      <c r="M34" t="s">
        <v>4989</v>
      </c>
      <c r="N34" s="1726"/>
      <c r="O34" s="40"/>
      <c r="P34" s="40"/>
      <c r="Q34" s="40"/>
      <c r="R34" s="34"/>
      <c r="S34" s="34"/>
    </row>
    <row r="35" spans="1:19" s="97" customFormat="1" ht="24" customHeight="1">
      <c r="A35" s="1500" t="s">
        <v>4036</v>
      </c>
      <c r="B35" s="1501" t="s">
        <v>4038</v>
      </c>
      <c r="C35" s="1491" t="s">
        <v>5116</v>
      </c>
      <c r="D35" s="1492" t="s">
        <v>5128</v>
      </c>
      <c r="E35" s="1493">
        <v>46265</v>
      </c>
      <c r="F35" s="1492">
        <v>46265</v>
      </c>
      <c r="G35" s="1502">
        <v>8.5927000000000007</v>
      </c>
      <c r="H35" s="1503">
        <v>20671911</v>
      </c>
      <c r="I35" s="1497">
        <f t="shared" si="7"/>
        <v>177627529</v>
      </c>
      <c r="J35" s="1504">
        <f t="shared" si="8"/>
        <v>177627529</v>
      </c>
      <c r="K35" s="1505"/>
      <c r="L35" s="1792"/>
      <c r="M35" t="s">
        <v>4989</v>
      </c>
      <c r="N35" s="1726"/>
      <c r="O35" s="40"/>
      <c r="P35" s="40"/>
      <c r="Q35" s="40"/>
      <c r="R35" s="34"/>
      <c r="S35" s="34"/>
    </row>
    <row r="36" spans="1:19" s="97" customFormat="1" ht="24" customHeight="1">
      <c r="A36" s="1600" t="s">
        <v>4036</v>
      </c>
      <c r="B36" s="1601" t="s">
        <v>4038</v>
      </c>
      <c r="C36" s="1602" t="s">
        <v>5115</v>
      </c>
      <c r="D36" s="1895" t="s">
        <v>5120</v>
      </c>
      <c r="E36" s="1734"/>
      <c r="F36" s="1895">
        <v>46241</v>
      </c>
      <c r="G36" s="1926">
        <v>8.9550999999999998</v>
      </c>
      <c r="H36" s="1927">
        <v>840000</v>
      </c>
      <c r="I36" s="1607">
        <f t="shared" si="7"/>
        <v>7522284</v>
      </c>
      <c r="J36" s="1608">
        <f t="shared" si="8"/>
        <v>7522284</v>
      </c>
      <c r="K36" s="1928"/>
      <c r="L36" s="1792"/>
      <c r="M36" t="s">
        <v>4989</v>
      </c>
      <c r="N36" s="1726"/>
      <c r="O36" s="40"/>
      <c r="P36" s="40"/>
      <c r="Q36" s="40"/>
      <c r="R36" s="34"/>
      <c r="S36" s="34"/>
    </row>
    <row r="37" spans="1:19" s="97" customFormat="1" ht="24" customHeight="1">
      <c r="A37" s="1600" t="s">
        <v>4036</v>
      </c>
      <c r="B37" s="1601" t="s">
        <v>4038</v>
      </c>
      <c r="C37" s="1602" t="s">
        <v>5136</v>
      </c>
      <c r="D37" s="1895" t="s">
        <v>5119</v>
      </c>
      <c r="E37" s="1734"/>
      <c r="F37" s="1895">
        <v>46253</v>
      </c>
      <c r="G37" s="1926">
        <v>8.8430999999999997</v>
      </c>
      <c r="H37" s="1927">
        <v>187000</v>
      </c>
      <c r="I37" s="1607">
        <f t="shared" si="7"/>
        <v>1653659</v>
      </c>
      <c r="J37" s="1608">
        <f t="shared" si="8"/>
        <v>1653659</v>
      </c>
      <c r="K37" s="1928"/>
      <c r="L37" s="1792"/>
      <c r="M37" t="s">
        <v>4989</v>
      </c>
      <c r="N37" s="1726"/>
      <c r="O37" s="40"/>
      <c r="P37" s="40"/>
      <c r="Q37" s="40"/>
      <c r="R37" s="34"/>
      <c r="S37" s="34"/>
    </row>
    <row r="38" spans="1:19" s="97" customFormat="1" ht="24" customHeight="1">
      <c r="A38" s="1600" t="s">
        <v>4036</v>
      </c>
      <c r="B38" s="1601" t="s">
        <v>4038</v>
      </c>
      <c r="C38" s="1602" t="s">
        <v>5129</v>
      </c>
      <c r="D38" s="1895" t="s">
        <v>5119</v>
      </c>
      <c r="E38" s="1734"/>
      <c r="F38" s="1895">
        <v>46253</v>
      </c>
      <c r="G38" s="1926">
        <v>8.8430999999999997</v>
      </c>
      <c r="H38" s="1927">
        <v>621800</v>
      </c>
      <c r="I38" s="1607">
        <f t="shared" si="7"/>
        <v>5498639</v>
      </c>
      <c r="J38" s="1608">
        <f t="shared" si="8"/>
        <v>5498639</v>
      </c>
      <c r="K38" s="1928"/>
      <c r="L38" s="1792"/>
      <c r="M38" t="s">
        <v>4989</v>
      </c>
      <c r="N38" s="1726"/>
      <c r="O38" s="40"/>
      <c r="P38" s="40"/>
      <c r="Q38" s="40"/>
      <c r="R38" s="34"/>
      <c r="S38" s="34"/>
    </row>
    <row r="39" spans="1:19" s="97" customFormat="1" ht="24" customHeight="1">
      <c r="A39" s="1600" t="s">
        <v>4036</v>
      </c>
      <c r="B39" s="1601" t="s">
        <v>4038</v>
      </c>
      <c r="C39" s="1602" t="s">
        <v>5135</v>
      </c>
      <c r="D39" s="1895" t="s">
        <v>5119</v>
      </c>
      <c r="E39" s="1734"/>
      <c r="F39" s="1895">
        <v>46253</v>
      </c>
      <c r="G39" s="1926">
        <v>8.8430999999999997</v>
      </c>
      <c r="H39" s="1927">
        <v>621800</v>
      </c>
      <c r="I39" s="1607">
        <f t="shared" si="7"/>
        <v>5498639</v>
      </c>
      <c r="J39" s="1608">
        <f t="shared" si="8"/>
        <v>5498639</v>
      </c>
      <c r="K39" s="1928"/>
      <c r="L39" s="1792"/>
      <c r="M39" t="s">
        <v>4989</v>
      </c>
      <c r="N39" s="1726"/>
      <c r="O39" s="40"/>
      <c r="P39" s="40"/>
      <c r="Q39" s="40"/>
      <c r="R39" s="34"/>
      <c r="S39" s="34"/>
    </row>
    <row r="40" spans="1:19" s="97" customFormat="1" ht="24" customHeight="1">
      <c r="A40" s="1600" t="s">
        <v>4036</v>
      </c>
      <c r="B40" s="1601" t="s">
        <v>4038</v>
      </c>
      <c r="C40" s="1602" t="s">
        <v>5134</v>
      </c>
      <c r="D40" s="1895" t="s">
        <v>5119</v>
      </c>
      <c r="E40" s="1734"/>
      <c r="F40" s="1895">
        <v>46253</v>
      </c>
      <c r="G40" s="1926">
        <v>8.8430999999999997</v>
      </c>
      <c r="H40" s="1927">
        <v>553000</v>
      </c>
      <c r="I40" s="1607">
        <f t="shared" si="7"/>
        <v>4890234</v>
      </c>
      <c r="J40" s="1608">
        <f t="shared" si="8"/>
        <v>4890234</v>
      </c>
      <c r="K40" s="1928"/>
      <c r="L40" s="1792"/>
      <c r="M40" t="s">
        <v>4989</v>
      </c>
      <c r="N40" s="1726"/>
      <c r="O40" s="40"/>
      <c r="P40" s="40"/>
      <c r="Q40" s="40"/>
      <c r="R40" s="34"/>
      <c r="S40" s="34"/>
    </row>
    <row r="41" spans="1:19" s="97" customFormat="1" ht="24" customHeight="1">
      <c r="A41" s="1600" t="s">
        <v>4036</v>
      </c>
      <c r="B41" s="1601" t="s">
        <v>4038</v>
      </c>
      <c r="C41" s="1602" t="s">
        <v>5117</v>
      </c>
      <c r="D41" s="1895" t="s">
        <v>5119</v>
      </c>
      <c r="E41" s="1734"/>
      <c r="F41" s="1895">
        <v>46253</v>
      </c>
      <c r="G41" s="1926">
        <v>8.8430999999999997</v>
      </c>
      <c r="H41" s="1927">
        <v>250400</v>
      </c>
      <c r="I41" s="1607">
        <f t="shared" si="7"/>
        <v>2214312</v>
      </c>
      <c r="J41" s="1608">
        <f t="shared" si="8"/>
        <v>2214312</v>
      </c>
      <c r="K41" s="1928"/>
      <c r="L41" s="1792"/>
      <c r="M41" t="s">
        <v>4989</v>
      </c>
      <c r="N41" s="1726"/>
      <c r="O41" s="40"/>
      <c r="P41" s="40"/>
      <c r="Q41" s="40"/>
      <c r="R41" s="34"/>
      <c r="S41" s="34"/>
    </row>
    <row r="42" spans="1:19" s="97" customFormat="1" ht="24" customHeight="1">
      <c r="A42" s="1600" t="s">
        <v>4036</v>
      </c>
      <c r="B42" s="1601" t="s">
        <v>4038</v>
      </c>
      <c r="C42" s="1602" t="s">
        <v>5133</v>
      </c>
      <c r="D42" s="1895" t="s">
        <v>5119</v>
      </c>
      <c r="E42" s="1734"/>
      <c r="F42" s="1895">
        <v>46253</v>
      </c>
      <c r="G42" s="1926">
        <v>8.8430999999999997</v>
      </c>
      <c r="H42" s="1927">
        <v>600000</v>
      </c>
      <c r="I42" s="1607">
        <f t="shared" si="7"/>
        <v>5305860</v>
      </c>
      <c r="J42" s="1608">
        <f t="shared" si="8"/>
        <v>5305860</v>
      </c>
      <c r="K42" s="1928"/>
      <c r="L42" s="1792"/>
      <c r="M42" t="s">
        <v>4989</v>
      </c>
      <c r="N42" s="1726"/>
      <c r="O42" s="40"/>
      <c r="P42" s="40"/>
      <c r="Q42" s="40"/>
      <c r="R42" s="34"/>
      <c r="S42" s="34"/>
    </row>
    <row r="43" spans="1:19" s="97" customFormat="1" ht="24" customHeight="1">
      <c r="A43" s="1600" t="s">
        <v>4036</v>
      </c>
      <c r="B43" s="1601" t="s">
        <v>4038</v>
      </c>
      <c r="C43" s="1602" t="s">
        <v>5118</v>
      </c>
      <c r="D43" s="1895" t="s">
        <v>5119</v>
      </c>
      <c r="E43" s="1734"/>
      <c r="F43" s="1895">
        <v>46253</v>
      </c>
      <c r="G43" s="1926">
        <v>8.8430999999999997</v>
      </c>
      <c r="H43" s="1927">
        <v>597000</v>
      </c>
      <c r="I43" s="1607">
        <f t="shared" si="7"/>
        <v>5279330</v>
      </c>
      <c r="J43" s="1608">
        <f t="shared" si="8"/>
        <v>5279330</v>
      </c>
      <c r="K43" s="1928"/>
      <c r="L43" s="1792"/>
      <c r="M43" t="s">
        <v>4989</v>
      </c>
      <c r="N43" s="1726"/>
      <c r="O43" s="40"/>
      <c r="P43" s="40"/>
      <c r="Q43" s="40"/>
      <c r="R43" s="34"/>
      <c r="S43" s="34"/>
    </row>
    <row r="44" spans="1:19" s="97" customFormat="1" ht="24" customHeight="1">
      <c r="A44" s="1600" t="s">
        <v>4036</v>
      </c>
      <c r="B44" s="1601" t="s">
        <v>4038</v>
      </c>
      <c r="C44" s="1602" t="s">
        <v>5131</v>
      </c>
      <c r="D44" s="1895" t="s">
        <v>5119</v>
      </c>
      <c r="E44" s="1734"/>
      <c r="F44" s="1895">
        <v>46253</v>
      </c>
      <c r="G44" s="1926">
        <v>8.8430999999999997</v>
      </c>
      <c r="H44" s="1927">
        <v>390500</v>
      </c>
      <c r="I44" s="1607">
        <f t="shared" si="7"/>
        <v>3453230</v>
      </c>
      <c r="J44" s="1608">
        <f t="shared" si="8"/>
        <v>3453230</v>
      </c>
      <c r="K44" s="1928"/>
      <c r="L44" s="1792"/>
      <c r="M44" t="s">
        <v>4989</v>
      </c>
      <c r="N44" s="1726"/>
      <c r="O44" s="40"/>
      <c r="P44" s="40"/>
      <c r="Q44" s="40"/>
      <c r="R44" s="34"/>
      <c r="S44" s="34"/>
    </row>
    <row r="45" spans="1:19" s="97" customFormat="1" ht="24" customHeight="1">
      <c r="A45" s="1600" t="s">
        <v>4036</v>
      </c>
      <c r="B45" s="1601" t="s">
        <v>4038</v>
      </c>
      <c r="C45" s="1602" t="s">
        <v>5130</v>
      </c>
      <c r="D45" s="1895" t="s">
        <v>5119</v>
      </c>
      <c r="E45" s="1734"/>
      <c r="F45" s="1895">
        <v>46253</v>
      </c>
      <c r="G45" s="1926">
        <v>8.8430999999999997</v>
      </c>
      <c r="H45" s="1927">
        <v>208000</v>
      </c>
      <c r="I45" s="1607">
        <f t="shared" si="5"/>
        <v>1839364</v>
      </c>
      <c r="J45" s="1608">
        <f t="shared" si="6"/>
        <v>1839364</v>
      </c>
      <c r="K45" s="1928"/>
      <c r="L45" s="1803"/>
      <c r="M45" t="s">
        <v>4989</v>
      </c>
      <c r="N45" s="40"/>
      <c r="O45" s="40"/>
      <c r="P45" s="40"/>
      <c r="Q45" s="40"/>
      <c r="R45" s="34"/>
      <c r="S45" s="34"/>
    </row>
    <row r="46" spans="1:19" s="97" customFormat="1" ht="24" customHeight="1" thickBot="1">
      <c r="A46" s="1600" t="s">
        <v>4036</v>
      </c>
      <c r="B46" s="1601" t="s">
        <v>4038</v>
      </c>
      <c r="C46" s="1602" t="s">
        <v>5132</v>
      </c>
      <c r="D46" s="1895" t="s">
        <v>5119</v>
      </c>
      <c r="E46" s="1734"/>
      <c r="F46" s="1895">
        <v>46253</v>
      </c>
      <c r="G46" s="1926">
        <v>8.8430999999999997</v>
      </c>
      <c r="H46" s="1927">
        <v>481000</v>
      </c>
      <c r="I46" s="1607">
        <f t="shared" ref="I46" si="9">ROUNDDOWN(H46*G46,0)</f>
        <v>4253531</v>
      </c>
      <c r="J46" s="1608">
        <f t="shared" ref="J46" si="10">I46</f>
        <v>4253531</v>
      </c>
      <c r="K46" s="1928"/>
      <c r="L46" s="1803"/>
      <c r="M46" t="s">
        <v>4989</v>
      </c>
      <c r="N46" s="40"/>
      <c r="O46" s="40"/>
      <c r="P46" s="40"/>
      <c r="Q46" s="40"/>
      <c r="R46" s="34"/>
      <c r="S46" s="34"/>
    </row>
    <row r="47" spans="1:19" s="97" customFormat="1" ht="24" customHeight="1">
      <c r="A47" s="1517" t="s">
        <v>2787</v>
      </c>
      <c r="B47" s="1518" t="s">
        <v>375</v>
      </c>
      <c r="C47" s="1519" t="s">
        <v>3219</v>
      </c>
      <c r="D47" s="1519" t="s">
        <v>4999</v>
      </c>
      <c r="E47" s="1520">
        <v>46254</v>
      </c>
      <c r="F47" s="1521">
        <v>46253</v>
      </c>
      <c r="G47" s="1522">
        <v>8.8430999999999997</v>
      </c>
      <c r="H47" s="1523">
        <v>6727428</v>
      </c>
      <c r="I47" s="1524">
        <f t="shared" si="5"/>
        <v>59491318</v>
      </c>
      <c r="J47" s="1525">
        <f t="shared" si="6"/>
        <v>59491318</v>
      </c>
      <c r="K47" s="1526"/>
      <c r="L47" s="1803"/>
      <c r="M47" s="718" t="s">
        <v>5147</v>
      </c>
      <c r="N47" s="40"/>
      <c r="O47" s="40"/>
      <c r="P47" s="40"/>
      <c r="Q47" s="40"/>
      <c r="R47" s="34"/>
      <c r="S47" s="34"/>
    </row>
    <row r="48" spans="1:19" s="97" customFormat="1" ht="24" customHeight="1" thickBot="1">
      <c r="A48" s="1863" t="s">
        <v>2787</v>
      </c>
      <c r="B48" s="1864" t="s">
        <v>375</v>
      </c>
      <c r="C48" s="1618" t="s">
        <v>4998</v>
      </c>
      <c r="D48" s="1620" t="s">
        <v>5000</v>
      </c>
      <c r="E48" s="1736">
        <v>46259</v>
      </c>
      <c r="F48" s="1620">
        <v>46259</v>
      </c>
      <c r="G48" s="1865">
        <v>8.6795000000000009</v>
      </c>
      <c r="H48" s="1866">
        <v>7474920</v>
      </c>
      <c r="I48" s="1681">
        <f t="shared" si="5"/>
        <v>64878568</v>
      </c>
      <c r="J48" s="1867">
        <f t="shared" si="6"/>
        <v>64878568</v>
      </c>
      <c r="K48" s="1868"/>
      <c r="L48" s="1942"/>
      <c r="M48" s="718" t="s">
        <v>5147</v>
      </c>
      <c r="N48" s="40"/>
      <c r="O48" s="40"/>
      <c r="P48" s="40"/>
      <c r="Q48" s="40"/>
      <c r="R48" s="34"/>
      <c r="S48" s="34"/>
    </row>
    <row r="49" spans="1:19" s="97" customFormat="1" ht="24" customHeight="1" thickBot="1">
      <c r="A49" s="1870" t="s">
        <v>4026</v>
      </c>
      <c r="B49" s="1871" t="s">
        <v>478</v>
      </c>
      <c r="C49" s="1872" t="s">
        <v>4880</v>
      </c>
      <c r="D49" s="1873" t="s">
        <v>4881</v>
      </c>
      <c r="E49" s="1874">
        <v>46256</v>
      </c>
      <c r="F49" s="1873">
        <v>46256</v>
      </c>
      <c r="G49" s="1875">
        <f>VLOOKUP(F49,환율!A:B,2,0)</f>
        <v>1393</v>
      </c>
      <c r="H49" s="1876">
        <v>6959.1999999999989</v>
      </c>
      <c r="I49" s="1877">
        <f t="shared" si="5"/>
        <v>9694165</v>
      </c>
      <c r="J49" s="1878">
        <f t="shared" si="6"/>
        <v>9694165</v>
      </c>
      <c r="K49" s="1879"/>
      <c r="L49"/>
      <c r="M49">
        <v>8412909000</v>
      </c>
      <c r="N49" s="1467" t="s">
        <v>33</v>
      </c>
      <c r="O49" s="1467" t="s">
        <v>4621</v>
      </c>
      <c r="P49" s="1467" t="s">
        <v>4622</v>
      </c>
      <c r="Q49" s="1467" t="s">
        <v>2062</v>
      </c>
      <c r="R49" s="1467" t="s">
        <v>4973</v>
      </c>
      <c r="S49" s="34"/>
    </row>
    <row r="50" spans="1:19" ht="24" customHeight="1">
      <c r="A50" s="1540" t="s">
        <v>660</v>
      </c>
      <c r="B50" s="1541" t="s">
        <v>478</v>
      </c>
      <c r="C50" s="1542" t="s">
        <v>4805</v>
      </c>
      <c r="D50" s="1543" t="s">
        <v>4806</v>
      </c>
      <c r="E50" s="1544">
        <v>46236</v>
      </c>
      <c r="F50" s="1543">
        <v>46236</v>
      </c>
      <c r="G50" s="1545">
        <f>VLOOKUP(F50,환율!A:B,2,0)</f>
        <v>1441.1</v>
      </c>
      <c r="H50" s="1546">
        <v>34657.919999999998</v>
      </c>
      <c r="I50" s="1547">
        <f t="shared" si="5"/>
        <v>49945528</v>
      </c>
      <c r="J50" s="1548">
        <f>I50</f>
        <v>49945528</v>
      </c>
      <c r="K50" s="1549"/>
      <c r="L50" s="1792"/>
      <c r="M50" s="1941" t="s">
        <v>4992</v>
      </c>
      <c r="N50" s="1461"/>
      <c r="O50" s="1461"/>
      <c r="P50" s="1461"/>
      <c r="Q50" s="1461"/>
      <c r="R50" s="1462"/>
    </row>
    <row r="51" spans="1:19" ht="24" customHeight="1">
      <c r="A51" s="1880" t="s">
        <v>698</v>
      </c>
      <c r="B51" s="1881" t="s">
        <v>478</v>
      </c>
      <c r="C51" s="1882" t="s">
        <v>4807</v>
      </c>
      <c r="D51" s="1883" t="s">
        <v>4808</v>
      </c>
      <c r="E51" s="1884">
        <v>46236</v>
      </c>
      <c r="F51" s="1883">
        <v>46236</v>
      </c>
      <c r="G51" s="1582">
        <f>VLOOKUP(F51,환율!A:B,2,0)</f>
        <v>1441.1</v>
      </c>
      <c r="H51" s="1583">
        <v>47384.639999999999</v>
      </c>
      <c r="I51" s="1584">
        <f t="shared" si="5"/>
        <v>68286004</v>
      </c>
      <c r="J51" s="1585">
        <f>I51</f>
        <v>68286004</v>
      </c>
      <c r="K51" s="1586"/>
      <c r="L51" s="1792"/>
      <c r="M51">
        <v>8714109000</v>
      </c>
      <c r="N51" s="1461"/>
      <c r="O51" s="1461"/>
      <c r="P51" s="1461"/>
      <c r="Q51" s="1461"/>
      <c r="R51" s="1462"/>
    </row>
    <row r="52" spans="1:19" ht="24" customHeight="1">
      <c r="A52" s="1880" t="s">
        <v>698</v>
      </c>
      <c r="B52" s="1881" t="s">
        <v>478</v>
      </c>
      <c r="C52" s="1882" t="s">
        <v>4809</v>
      </c>
      <c r="D52" s="1883" t="s">
        <v>4810</v>
      </c>
      <c r="E52" s="1884">
        <v>46241</v>
      </c>
      <c r="F52" s="1883">
        <v>46241</v>
      </c>
      <c r="G52" s="1582">
        <f>VLOOKUP(F52,환율!A:B,2,0)</f>
        <v>1418.8</v>
      </c>
      <c r="H52" s="1583">
        <v>47960.639999999999</v>
      </c>
      <c r="I52" s="1584">
        <f t="shared" ref="I52:I58" si="11">ROUNDDOWN(H52*G52,0)</f>
        <v>68046556</v>
      </c>
      <c r="J52" s="1585">
        <f t="shared" ref="J52:J57" si="12">I52</f>
        <v>68046556</v>
      </c>
      <c r="K52" s="1586"/>
      <c r="L52" s="1792"/>
      <c r="M52">
        <v>8714109000</v>
      </c>
      <c r="N52" s="1461"/>
      <c r="O52" s="1461"/>
      <c r="P52" s="1461"/>
      <c r="Q52" s="1461"/>
      <c r="R52" s="1462"/>
    </row>
    <row r="53" spans="1:19" ht="24" customHeight="1">
      <c r="A53" s="1880" t="s">
        <v>698</v>
      </c>
      <c r="B53" s="1881" t="s">
        <v>4039</v>
      </c>
      <c r="C53" s="1882" t="s">
        <v>4811</v>
      </c>
      <c r="D53" s="1883" t="s">
        <v>4812</v>
      </c>
      <c r="E53" s="1884">
        <v>46240</v>
      </c>
      <c r="F53" s="1883">
        <v>46240</v>
      </c>
      <c r="G53" s="1582">
        <f>VLOOKUP(F53,환율!A:B,2,0)</f>
        <v>1424.8</v>
      </c>
      <c r="H53" s="1583">
        <v>64995.839999999997</v>
      </c>
      <c r="I53" s="1584">
        <f t="shared" si="11"/>
        <v>92606072</v>
      </c>
      <c r="J53" s="1585">
        <f t="shared" si="12"/>
        <v>92606072</v>
      </c>
      <c r="K53" s="1586"/>
      <c r="L53" s="1792"/>
      <c r="M53">
        <v>8714109000</v>
      </c>
      <c r="N53" s="1461"/>
      <c r="O53" s="1461"/>
      <c r="P53" s="1461"/>
      <c r="Q53" s="1461"/>
      <c r="R53" s="1462"/>
    </row>
    <row r="54" spans="1:19" ht="24" customHeight="1">
      <c r="A54" s="1880" t="s">
        <v>698</v>
      </c>
      <c r="B54" s="1881" t="s">
        <v>4039</v>
      </c>
      <c r="C54" s="1882" t="s">
        <v>4813</v>
      </c>
      <c r="D54" s="1883" t="s">
        <v>5141</v>
      </c>
      <c r="E54" s="1884">
        <v>46244</v>
      </c>
      <c r="F54" s="1883">
        <v>46243</v>
      </c>
      <c r="G54" s="1582">
        <f>VLOOKUP(F54,환율!A:B,2,0)</f>
        <v>1418.8</v>
      </c>
      <c r="H54" s="1583">
        <v>43662.96</v>
      </c>
      <c r="I54" s="1584">
        <f t="shared" si="11"/>
        <v>61949007</v>
      </c>
      <c r="J54" s="1585">
        <f t="shared" si="12"/>
        <v>61949007</v>
      </c>
      <c r="K54" s="1586"/>
      <c r="L54" s="1792"/>
      <c r="M54">
        <v>8714109000</v>
      </c>
      <c r="N54" s="1461"/>
      <c r="O54" s="1461"/>
      <c r="P54" s="1461"/>
      <c r="Q54" s="1461"/>
      <c r="R54" s="1462"/>
    </row>
    <row r="55" spans="1:19" ht="24" customHeight="1">
      <c r="A55" s="1880" t="s">
        <v>698</v>
      </c>
      <c r="B55" s="1881" t="s">
        <v>4039</v>
      </c>
      <c r="C55" s="1882" t="s">
        <v>4815</v>
      </c>
      <c r="D55" s="1883" t="s">
        <v>4816</v>
      </c>
      <c r="E55" s="1884">
        <v>46245</v>
      </c>
      <c r="F55" s="1883">
        <v>46245</v>
      </c>
      <c r="G55" s="1582">
        <f>VLOOKUP(F55,환율!A:B,2,0)</f>
        <v>1415.3</v>
      </c>
      <c r="H55" s="1583">
        <v>34752.959999999999</v>
      </c>
      <c r="I55" s="1584">
        <f t="shared" ref="I55:I57" si="13">ROUNDDOWN(H55*G55,0)</f>
        <v>49185864</v>
      </c>
      <c r="J55" s="1585">
        <f t="shared" si="12"/>
        <v>49185864</v>
      </c>
      <c r="K55" s="1586"/>
      <c r="L55" s="1792"/>
      <c r="M55">
        <v>8714109000</v>
      </c>
      <c r="N55" s="1461"/>
      <c r="O55" s="1461"/>
      <c r="P55" s="1461"/>
      <c r="Q55" s="1461"/>
      <c r="R55" s="1462"/>
    </row>
    <row r="56" spans="1:19" ht="24" customHeight="1">
      <c r="A56" s="1880" t="s">
        <v>698</v>
      </c>
      <c r="B56" s="1881" t="s">
        <v>4039</v>
      </c>
      <c r="C56" s="1882" t="s">
        <v>4817</v>
      </c>
      <c r="D56" s="1883" t="s">
        <v>4818</v>
      </c>
      <c r="E56" s="1884">
        <v>46236</v>
      </c>
      <c r="F56" s="1883">
        <v>46236</v>
      </c>
      <c r="G56" s="1582">
        <f>VLOOKUP(F56,환율!A:B,2,0)</f>
        <v>1441.1</v>
      </c>
      <c r="H56" s="1583">
        <v>118.7</v>
      </c>
      <c r="I56" s="1584">
        <f t="shared" si="13"/>
        <v>171058</v>
      </c>
      <c r="J56" s="1585">
        <f t="shared" si="12"/>
        <v>171058</v>
      </c>
      <c r="K56" s="1586"/>
      <c r="L56" s="1792"/>
      <c r="M56">
        <v>8714109000</v>
      </c>
      <c r="N56" s="1461"/>
      <c r="O56" s="1461"/>
      <c r="P56" s="1461"/>
      <c r="Q56" s="1461"/>
      <c r="R56" s="1462"/>
    </row>
    <row r="57" spans="1:19" ht="24" customHeight="1">
      <c r="A57" s="1880" t="s">
        <v>698</v>
      </c>
      <c r="B57" s="1881" t="s">
        <v>4039</v>
      </c>
      <c r="C57" s="1882" t="s">
        <v>4819</v>
      </c>
      <c r="D57" s="1883" t="s">
        <v>4820</v>
      </c>
      <c r="E57" s="1884">
        <v>46236</v>
      </c>
      <c r="F57" s="1883">
        <v>46236</v>
      </c>
      <c r="G57" s="1582">
        <f>VLOOKUP(F57,환율!A:B,2,0)</f>
        <v>1441.1</v>
      </c>
      <c r="H57" s="1583">
        <v>118.7</v>
      </c>
      <c r="I57" s="1584">
        <f t="shared" si="13"/>
        <v>171058</v>
      </c>
      <c r="J57" s="1585">
        <f t="shared" si="12"/>
        <v>171058</v>
      </c>
      <c r="K57" s="1586"/>
      <c r="L57" s="1792"/>
      <c r="M57">
        <v>8714109000</v>
      </c>
      <c r="N57" s="1461"/>
      <c r="O57" s="1461"/>
      <c r="P57" s="1461"/>
      <c r="Q57" s="1461"/>
      <c r="R57" s="1462"/>
    </row>
    <row r="58" spans="1:19" ht="24" customHeight="1">
      <c r="A58" s="1489" t="s">
        <v>698</v>
      </c>
      <c r="B58" s="1490" t="s">
        <v>4039</v>
      </c>
      <c r="C58" s="1563" t="s">
        <v>5001</v>
      </c>
      <c r="D58" s="1492" t="s">
        <v>5002</v>
      </c>
      <c r="E58" s="1493">
        <v>46254</v>
      </c>
      <c r="F58" s="1492">
        <v>46254</v>
      </c>
      <c r="G58" s="1564">
        <f>VLOOKUP(F58,환율!A:B,2,0)</f>
        <v>1402.5</v>
      </c>
      <c r="H58" s="1565">
        <v>54570.239999999998</v>
      </c>
      <c r="I58" s="1497">
        <f t="shared" si="11"/>
        <v>76534761</v>
      </c>
      <c r="J58" s="1498">
        <f t="shared" ref="J58:J66" si="14">I58</f>
        <v>76534761</v>
      </c>
      <c r="K58" s="1499"/>
      <c r="L58" s="1792"/>
      <c r="M58">
        <v>8714109000</v>
      </c>
      <c r="N58" s="1461"/>
      <c r="O58" s="1461"/>
      <c r="P58" s="1461"/>
      <c r="Q58" s="1461"/>
      <c r="R58" s="1462"/>
    </row>
    <row r="59" spans="1:19" ht="24" customHeight="1">
      <c r="A59" s="1489" t="s">
        <v>698</v>
      </c>
      <c r="B59" s="1490" t="s">
        <v>4039</v>
      </c>
      <c r="C59" s="1563" t="s">
        <v>5003</v>
      </c>
      <c r="D59" s="1492" t="s">
        <v>5004</v>
      </c>
      <c r="E59" s="1493">
        <v>46260</v>
      </c>
      <c r="F59" s="1492">
        <v>46260</v>
      </c>
      <c r="G59" s="1564">
        <f>VLOOKUP(F59,환율!A:B,2,0)</f>
        <v>1383.1</v>
      </c>
      <c r="H59" s="1565">
        <v>41303.520000000004</v>
      </c>
      <c r="I59" s="1497">
        <f t="shared" ref="I59:I66" si="15">ROUNDDOWN(H59*G59,0)</f>
        <v>57126898</v>
      </c>
      <c r="J59" s="1498">
        <f t="shared" si="14"/>
        <v>57126898</v>
      </c>
      <c r="K59" s="1499"/>
      <c r="L59" s="1792"/>
      <c r="M59">
        <v>8714109000</v>
      </c>
      <c r="N59" s="1461"/>
      <c r="O59" s="1461"/>
      <c r="P59" s="1461"/>
      <c r="Q59" s="1461"/>
      <c r="R59" s="1462"/>
    </row>
    <row r="60" spans="1:19" ht="24" customHeight="1">
      <c r="A60" s="1489" t="s">
        <v>698</v>
      </c>
      <c r="B60" s="1490" t="s">
        <v>4039</v>
      </c>
      <c r="C60" s="1563" t="s">
        <v>5005</v>
      </c>
      <c r="D60" s="1492" t="s">
        <v>5006</v>
      </c>
      <c r="E60" s="1493">
        <v>46260</v>
      </c>
      <c r="F60" s="1492">
        <v>46260</v>
      </c>
      <c r="G60" s="1564">
        <f>VLOOKUP(F60,환율!A:B,2,0)</f>
        <v>1383.1</v>
      </c>
      <c r="H60" s="1565">
        <v>10707.84</v>
      </c>
      <c r="I60" s="1497">
        <f t="shared" si="15"/>
        <v>14810013</v>
      </c>
      <c r="J60" s="1498">
        <f t="shared" si="14"/>
        <v>14810013</v>
      </c>
      <c r="K60" s="1499"/>
      <c r="L60" s="1792"/>
      <c r="M60">
        <v>8714109000</v>
      </c>
      <c r="N60" s="1461"/>
      <c r="O60" s="1461"/>
      <c r="P60" s="1461"/>
      <c r="Q60" s="1461"/>
      <c r="R60" s="1462"/>
    </row>
    <row r="61" spans="1:19" ht="24" customHeight="1">
      <c r="A61" s="1489" t="s">
        <v>698</v>
      </c>
      <c r="B61" s="1490" t="s">
        <v>4039</v>
      </c>
      <c r="C61" s="1563" t="s">
        <v>5007</v>
      </c>
      <c r="D61" s="1492" t="s">
        <v>5008</v>
      </c>
      <c r="E61" s="1493">
        <v>46250</v>
      </c>
      <c r="F61" s="1492">
        <v>46250</v>
      </c>
      <c r="G61" s="1564">
        <f>VLOOKUP(F61,환율!A:B,2,0)</f>
        <v>1414.9</v>
      </c>
      <c r="H61" s="1565">
        <v>54594.720000000001</v>
      </c>
      <c r="I61" s="1497">
        <f t="shared" si="15"/>
        <v>77246069</v>
      </c>
      <c r="J61" s="1498">
        <f t="shared" si="14"/>
        <v>77246069</v>
      </c>
      <c r="K61" s="1499"/>
      <c r="L61" s="1792"/>
      <c r="M61">
        <v>8714109000</v>
      </c>
      <c r="N61" s="1461"/>
      <c r="O61" s="1461"/>
      <c r="P61" s="1461"/>
      <c r="Q61" s="1461"/>
      <c r="R61" s="1462"/>
    </row>
    <row r="62" spans="1:19" ht="24" customHeight="1">
      <c r="A62" s="1489" t="s">
        <v>698</v>
      </c>
      <c r="B62" s="1490" t="s">
        <v>4039</v>
      </c>
      <c r="C62" s="1563" t="s">
        <v>5009</v>
      </c>
      <c r="D62" s="1492" t="s">
        <v>5010</v>
      </c>
      <c r="E62" s="1493">
        <v>46254</v>
      </c>
      <c r="F62" s="1492">
        <v>46254</v>
      </c>
      <c r="G62" s="1564">
        <f>VLOOKUP(F62,환율!A:B,2,0)</f>
        <v>1402.5</v>
      </c>
      <c r="H62" s="1565">
        <v>862.05</v>
      </c>
      <c r="I62" s="1497">
        <f t="shared" si="15"/>
        <v>1209025</v>
      </c>
      <c r="J62" s="1498">
        <f t="shared" si="14"/>
        <v>1209025</v>
      </c>
      <c r="K62" s="1499"/>
      <c r="L62" s="1792"/>
      <c r="M62">
        <v>8714109000</v>
      </c>
      <c r="N62" s="1461"/>
      <c r="O62" s="1461"/>
      <c r="P62" s="1461"/>
      <c r="Q62" s="1461"/>
      <c r="R62" s="1462"/>
    </row>
    <row r="63" spans="1:19" ht="24" customHeight="1">
      <c r="A63" s="1489" t="s">
        <v>698</v>
      </c>
      <c r="B63" s="1490" t="s">
        <v>4039</v>
      </c>
      <c r="C63" s="1563" t="s">
        <v>5011</v>
      </c>
      <c r="D63" s="1492" t="s">
        <v>5012</v>
      </c>
      <c r="E63" s="1493">
        <v>46254</v>
      </c>
      <c r="F63" s="1492">
        <v>46254</v>
      </c>
      <c r="G63" s="1564">
        <f>VLOOKUP(F63,환율!A:B,2,0)</f>
        <v>1402.5</v>
      </c>
      <c r="H63" s="1565">
        <v>1026.49</v>
      </c>
      <c r="I63" s="1497">
        <f t="shared" si="15"/>
        <v>1439652</v>
      </c>
      <c r="J63" s="1498">
        <f t="shared" si="14"/>
        <v>1439652</v>
      </c>
      <c r="K63" s="1499"/>
      <c r="L63" s="1792"/>
      <c r="M63">
        <v>8714109000</v>
      </c>
      <c r="N63" s="1461"/>
      <c r="O63" s="1461"/>
      <c r="P63" s="1461"/>
      <c r="Q63" s="1461"/>
      <c r="R63" s="1462"/>
    </row>
    <row r="64" spans="1:19" ht="24" customHeight="1">
      <c r="A64" s="1489" t="s">
        <v>698</v>
      </c>
      <c r="B64" s="1490" t="s">
        <v>4039</v>
      </c>
      <c r="C64" s="1563" t="s">
        <v>5013</v>
      </c>
      <c r="D64" s="1492" t="s">
        <v>5014</v>
      </c>
      <c r="E64" s="1493">
        <v>46254</v>
      </c>
      <c r="F64" s="1492">
        <v>46254</v>
      </c>
      <c r="G64" s="1564">
        <f>VLOOKUP(F64,환율!A:B,2,0)</f>
        <v>1402.5</v>
      </c>
      <c r="H64" s="1565">
        <v>3304.56</v>
      </c>
      <c r="I64" s="1497">
        <f t="shared" si="15"/>
        <v>4634645</v>
      </c>
      <c r="J64" s="1498">
        <f t="shared" si="14"/>
        <v>4634645</v>
      </c>
      <c r="K64" s="1499"/>
      <c r="L64" s="1792"/>
      <c r="M64">
        <v>8714109000</v>
      </c>
      <c r="N64" s="1461"/>
      <c r="O64" s="1461"/>
      <c r="P64" s="1461"/>
      <c r="Q64" s="1461"/>
      <c r="R64" s="1462"/>
    </row>
    <row r="65" spans="1:19" ht="24" customHeight="1">
      <c r="A65" s="1489" t="s">
        <v>660</v>
      </c>
      <c r="B65" s="1490" t="s">
        <v>478</v>
      </c>
      <c r="C65" s="1563" t="s">
        <v>5015</v>
      </c>
      <c r="D65" s="1492" t="s">
        <v>5142</v>
      </c>
      <c r="E65" s="1493">
        <v>46259</v>
      </c>
      <c r="F65" s="1492">
        <v>46258</v>
      </c>
      <c r="G65" s="1564">
        <f>VLOOKUP(F65,환율!A:B,2,0)</f>
        <v>1383.6</v>
      </c>
      <c r="H65" s="1565">
        <v>3663.36</v>
      </c>
      <c r="I65" s="1497">
        <f t="shared" si="15"/>
        <v>5068624</v>
      </c>
      <c r="J65" s="1498">
        <f t="shared" si="14"/>
        <v>5068624</v>
      </c>
      <c r="K65" s="1499"/>
      <c r="L65" s="1792"/>
      <c r="M65">
        <v>8714109000</v>
      </c>
      <c r="N65" s="1461"/>
      <c r="O65" s="1461"/>
      <c r="P65" s="1461"/>
      <c r="Q65" s="1461"/>
      <c r="R65" s="1462"/>
    </row>
    <row r="66" spans="1:19" ht="24" customHeight="1">
      <c r="A66" s="1890" t="s">
        <v>660</v>
      </c>
      <c r="B66" s="1891" t="s">
        <v>478</v>
      </c>
      <c r="C66" s="1892" t="s">
        <v>5029</v>
      </c>
      <c r="D66" s="1893" t="s">
        <v>4765</v>
      </c>
      <c r="E66" s="1894"/>
      <c r="F66" s="1895">
        <v>46240</v>
      </c>
      <c r="G66" s="1896">
        <f>VLOOKUP(F66,환율!A:B,2,0)</f>
        <v>1424.8</v>
      </c>
      <c r="H66" s="1897">
        <v>9860</v>
      </c>
      <c r="I66" s="1898">
        <f t="shared" si="15"/>
        <v>14048528</v>
      </c>
      <c r="J66" s="1899">
        <f t="shared" si="14"/>
        <v>14048528</v>
      </c>
      <c r="K66" s="1900"/>
      <c r="L66" s="1792"/>
      <c r="N66" s="1461"/>
      <c r="O66" s="1461"/>
      <c r="P66" s="1461"/>
      <c r="Q66" s="1461"/>
      <c r="R66" s="1462"/>
    </row>
    <row r="67" spans="1:19" s="120" customFormat="1" ht="24" customHeight="1">
      <c r="A67" s="1815" t="s">
        <v>660</v>
      </c>
      <c r="B67" s="1816" t="s">
        <v>478</v>
      </c>
      <c r="C67" s="1817" t="s">
        <v>5016</v>
      </c>
      <c r="D67" s="1818" t="s">
        <v>5017</v>
      </c>
      <c r="E67" s="1819">
        <v>46267</v>
      </c>
      <c r="F67" s="1827">
        <v>46267</v>
      </c>
      <c r="G67" s="1820">
        <f>VLOOKUP(F67,환율!A:B,2,0)</f>
        <v>1370.3</v>
      </c>
      <c r="H67" s="1821">
        <v>47561.04</v>
      </c>
      <c r="I67" s="1822">
        <f t="shared" si="5"/>
        <v>65172893</v>
      </c>
      <c r="J67" s="1822"/>
      <c r="K67" s="1823">
        <f t="shared" ref="K67:K69" si="16">I67</f>
        <v>65172893</v>
      </c>
      <c r="L67" s="1792"/>
      <c r="M67" s="1040"/>
      <c r="N67" s="1461"/>
      <c r="O67" s="1461"/>
      <c r="P67" s="1461"/>
      <c r="Q67" s="1461"/>
      <c r="R67" s="1463"/>
      <c r="S67" s="20"/>
    </row>
    <row r="68" spans="1:19" s="120" customFormat="1" ht="24" customHeight="1">
      <c r="A68" s="1824" t="s">
        <v>698</v>
      </c>
      <c r="B68" s="1825" t="s">
        <v>4039</v>
      </c>
      <c r="C68" s="1826" t="s">
        <v>5018</v>
      </c>
      <c r="D68" s="1827" t="s">
        <v>5019</v>
      </c>
      <c r="E68" s="1828">
        <v>46270</v>
      </c>
      <c r="F68" s="1827">
        <v>46266</v>
      </c>
      <c r="G68" s="1829">
        <f>VLOOKUP(F68,환율!A:B,2,0)</f>
        <v>1373.6</v>
      </c>
      <c r="H68" s="1830">
        <v>32788.800000000003</v>
      </c>
      <c r="I68" s="1831">
        <f t="shared" si="5"/>
        <v>45038695</v>
      </c>
      <c r="J68" s="1832"/>
      <c r="K68" s="1823">
        <f t="shared" si="16"/>
        <v>45038695</v>
      </c>
      <c r="L68" s="1792"/>
      <c r="M68" s="1040"/>
      <c r="N68" s="1461"/>
      <c r="O68" s="1461"/>
      <c r="P68" s="1461"/>
      <c r="Q68" s="1461"/>
      <c r="R68" s="1464"/>
      <c r="S68" s="20"/>
    </row>
    <row r="69" spans="1:19" s="120" customFormat="1" ht="24" customHeight="1" thickBot="1">
      <c r="A69" s="1824" t="s">
        <v>698</v>
      </c>
      <c r="B69" s="1825" t="s">
        <v>4039</v>
      </c>
      <c r="C69" s="1826" t="s">
        <v>5020</v>
      </c>
      <c r="D69" s="1827" t="s">
        <v>5021</v>
      </c>
      <c r="E69" s="1828">
        <v>46273</v>
      </c>
      <c r="F69" s="1827">
        <v>46266</v>
      </c>
      <c r="G69" s="1829">
        <f>VLOOKUP(F69,환율!A:B,2,0)</f>
        <v>1373.6</v>
      </c>
      <c r="H69" s="1830">
        <v>62390.879999999997</v>
      </c>
      <c r="I69" s="1831">
        <f t="shared" si="5"/>
        <v>85700112</v>
      </c>
      <c r="J69" s="1832"/>
      <c r="K69" s="1823">
        <f t="shared" si="16"/>
        <v>85700112</v>
      </c>
      <c r="L69" s="1792"/>
      <c r="M69" s="1040"/>
      <c r="N69" s="1461"/>
      <c r="O69" s="1461"/>
      <c r="P69" s="1461"/>
      <c r="Q69" s="1461"/>
      <c r="R69" s="1464"/>
      <c r="S69" s="20"/>
    </row>
    <row r="70" spans="1:19" s="1040" customFormat="1" ht="24" customHeight="1">
      <c r="A70" s="1540" t="s">
        <v>4042</v>
      </c>
      <c r="B70" s="1541" t="s">
        <v>478</v>
      </c>
      <c r="C70" s="1576" t="s">
        <v>4856</v>
      </c>
      <c r="D70" s="1577" t="s">
        <v>4857</v>
      </c>
      <c r="E70" s="1578">
        <v>46235</v>
      </c>
      <c r="F70" s="1577">
        <v>46235</v>
      </c>
      <c r="G70" s="1732">
        <f>VLOOKUP(F70,환율!A:B,2,0)</f>
        <v>1441.1</v>
      </c>
      <c r="H70" s="1546">
        <v>25002</v>
      </c>
      <c r="I70" s="1547">
        <f t="shared" si="5"/>
        <v>36030382</v>
      </c>
      <c r="J70" s="1548">
        <f>I70</f>
        <v>36030382</v>
      </c>
      <c r="K70" s="1549"/>
      <c r="L70" s="1792"/>
      <c r="M70" s="1769" t="s">
        <v>4994</v>
      </c>
      <c r="N70" s="1461"/>
      <c r="O70" s="1461"/>
      <c r="P70" s="1461"/>
      <c r="Q70" s="1461"/>
      <c r="R70" s="1463"/>
      <c r="S70" s="1457"/>
    </row>
    <row r="71" spans="1:19" s="97" customFormat="1" ht="24" customHeight="1">
      <c r="A71" s="1483" t="s">
        <v>4042</v>
      </c>
      <c r="B71" s="1484" t="s">
        <v>4039</v>
      </c>
      <c r="C71" s="1579" t="s">
        <v>4858</v>
      </c>
      <c r="D71" s="1580" t="s">
        <v>4859</v>
      </c>
      <c r="E71" s="1581">
        <v>46235</v>
      </c>
      <c r="F71" s="1580">
        <v>46235</v>
      </c>
      <c r="G71" s="1551">
        <f>VLOOKUP(F71,환율!A:B,2,0)</f>
        <v>1441.1</v>
      </c>
      <c r="H71" s="1583">
        <v>33171.599999999999</v>
      </c>
      <c r="I71" s="1584">
        <f t="shared" si="5"/>
        <v>47803592</v>
      </c>
      <c r="J71" s="1585">
        <f t="shared" ref="J71:J89" si="17">I71</f>
        <v>47803592</v>
      </c>
      <c r="K71" s="1586"/>
      <c r="L71" s="1792"/>
      <c r="M71">
        <v>8409912000</v>
      </c>
      <c r="N71" s="1461"/>
      <c r="O71" s="1461"/>
      <c r="P71" s="1461"/>
      <c r="Q71" s="1461"/>
      <c r="R71" s="1463"/>
      <c r="S71" s="34"/>
    </row>
    <row r="72" spans="1:19" s="97" customFormat="1" ht="24" customHeight="1">
      <c r="A72" s="1483" t="s">
        <v>4042</v>
      </c>
      <c r="B72" s="1484" t="s">
        <v>4039</v>
      </c>
      <c r="C72" s="1579" t="s">
        <v>4860</v>
      </c>
      <c r="D72" s="1580" t="s">
        <v>4861</v>
      </c>
      <c r="E72" s="1581">
        <v>46235</v>
      </c>
      <c r="F72" s="1580">
        <v>46235</v>
      </c>
      <c r="G72" s="1551">
        <f>VLOOKUP(F72,환율!A:B,2,0)</f>
        <v>1441.1</v>
      </c>
      <c r="H72" s="1583">
        <v>3206.36</v>
      </c>
      <c r="I72" s="1584">
        <f t="shared" si="5"/>
        <v>4620685</v>
      </c>
      <c r="J72" s="1585">
        <f t="shared" si="17"/>
        <v>4620685</v>
      </c>
      <c r="K72" s="1586"/>
      <c r="L72" s="1792"/>
      <c r="M72">
        <v>8409912000</v>
      </c>
      <c r="N72" s="1461"/>
      <c r="O72" s="1461"/>
      <c r="P72" s="1461"/>
      <c r="Q72" s="1461"/>
      <c r="R72" s="1463"/>
      <c r="S72" s="34"/>
    </row>
    <row r="73" spans="1:19" s="97" customFormat="1" ht="24" customHeight="1">
      <c r="A73" s="1483" t="s">
        <v>4042</v>
      </c>
      <c r="B73" s="1484" t="s">
        <v>4039</v>
      </c>
      <c r="C73" s="1579" t="s">
        <v>4862</v>
      </c>
      <c r="D73" s="1580" t="s">
        <v>4863</v>
      </c>
      <c r="E73" s="1581">
        <v>46238</v>
      </c>
      <c r="F73" s="1580">
        <v>46238</v>
      </c>
      <c r="G73" s="1551">
        <f>VLOOKUP(F73,환율!A:B,2,0)</f>
        <v>1429.9</v>
      </c>
      <c r="H73" s="1583">
        <v>7342.8</v>
      </c>
      <c r="I73" s="1584">
        <f t="shared" si="5"/>
        <v>10499469</v>
      </c>
      <c r="J73" s="1585">
        <f t="shared" si="17"/>
        <v>10499469</v>
      </c>
      <c r="K73" s="1586"/>
      <c r="L73" s="1792"/>
      <c r="M73">
        <v>8409912000</v>
      </c>
      <c r="N73" s="1461"/>
      <c r="O73" s="1461"/>
      <c r="P73" s="1461"/>
      <c r="Q73" s="1461"/>
      <c r="R73" s="1463"/>
      <c r="S73" s="34"/>
    </row>
    <row r="74" spans="1:19" s="97" customFormat="1" ht="24" customHeight="1">
      <c r="A74" s="1483" t="s">
        <v>4042</v>
      </c>
      <c r="B74" s="1484" t="s">
        <v>4039</v>
      </c>
      <c r="C74" s="1579" t="s">
        <v>4864</v>
      </c>
      <c r="D74" s="1580" t="s">
        <v>4865</v>
      </c>
      <c r="E74" s="1581">
        <v>46249</v>
      </c>
      <c r="F74" s="1580">
        <v>46249</v>
      </c>
      <c r="G74" s="1551">
        <f>VLOOKUP(F74,환율!A:B,2,0)</f>
        <v>1414.9</v>
      </c>
      <c r="H74" s="1583">
        <v>9456.15</v>
      </c>
      <c r="I74" s="1584">
        <f t="shared" si="5"/>
        <v>13379506</v>
      </c>
      <c r="J74" s="1585">
        <f t="shared" si="17"/>
        <v>13379506</v>
      </c>
      <c r="K74" s="1586"/>
      <c r="L74" s="1792"/>
      <c r="M74">
        <v>8409912000</v>
      </c>
      <c r="N74" s="1461"/>
      <c r="O74" s="1461"/>
      <c r="P74" s="1461"/>
      <c r="Q74" s="1461"/>
      <c r="R74" s="1463"/>
      <c r="S74" s="34"/>
    </row>
    <row r="75" spans="1:19" s="97" customFormat="1" ht="24" customHeight="1">
      <c r="A75" s="1483" t="s">
        <v>4042</v>
      </c>
      <c r="B75" s="1484" t="s">
        <v>4039</v>
      </c>
      <c r="C75" s="1579" t="s">
        <v>4866</v>
      </c>
      <c r="D75" s="1580" t="s">
        <v>4867</v>
      </c>
      <c r="E75" s="1581">
        <v>46245</v>
      </c>
      <c r="F75" s="1580">
        <v>46245</v>
      </c>
      <c r="G75" s="1551">
        <f>VLOOKUP(F75,환율!A:B,2,0)</f>
        <v>1415.3</v>
      </c>
      <c r="H75" s="1583">
        <v>163470.24</v>
      </c>
      <c r="I75" s="1584">
        <f t="shared" si="5"/>
        <v>231359430</v>
      </c>
      <c r="J75" s="1585">
        <f t="shared" si="17"/>
        <v>231359430</v>
      </c>
      <c r="K75" s="1586"/>
      <c r="L75" s="1792"/>
      <c r="M75">
        <v>8409912000</v>
      </c>
      <c r="N75" s="1461"/>
      <c r="O75" s="1461"/>
      <c r="P75" s="1461"/>
      <c r="Q75" s="1461"/>
      <c r="R75" s="1463"/>
      <c r="S75" s="34"/>
    </row>
    <row r="76" spans="1:19" s="97" customFormat="1" ht="24" customHeight="1">
      <c r="A76" s="1483" t="s">
        <v>4042</v>
      </c>
      <c r="B76" s="1484" t="s">
        <v>4039</v>
      </c>
      <c r="C76" s="1730" t="s">
        <v>4868</v>
      </c>
      <c r="D76" s="1731" t="s">
        <v>4869</v>
      </c>
      <c r="E76" s="1733">
        <v>46238</v>
      </c>
      <c r="F76" s="1731">
        <v>46238</v>
      </c>
      <c r="G76" s="1551">
        <f>VLOOKUP(F76,환율!A:B,2,0)</f>
        <v>1429.9</v>
      </c>
      <c r="H76" s="1552">
        <v>16828.68</v>
      </c>
      <c r="I76" s="1487">
        <f t="shared" si="5"/>
        <v>24063329</v>
      </c>
      <c r="J76" s="1488">
        <f t="shared" si="17"/>
        <v>24063329</v>
      </c>
      <c r="K76" s="1553"/>
      <c r="L76" s="1792"/>
      <c r="M76">
        <v>8409912000</v>
      </c>
      <c r="N76" s="1461"/>
      <c r="O76" s="1461"/>
      <c r="P76" s="1461"/>
      <c r="Q76" s="1461"/>
      <c r="R76" s="1463"/>
      <c r="S76" s="34"/>
    </row>
    <row r="77" spans="1:19" s="126" customFormat="1" ht="24" customHeight="1">
      <c r="A77" s="1483" t="s">
        <v>4042</v>
      </c>
      <c r="B77" s="1484" t="s">
        <v>4039</v>
      </c>
      <c r="C77" s="1730" t="s">
        <v>4870</v>
      </c>
      <c r="D77" s="1731" t="s">
        <v>4871</v>
      </c>
      <c r="E77" s="1733">
        <v>46238</v>
      </c>
      <c r="F77" s="1731">
        <v>46238</v>
      </c>
      <c r="G77" s="1551">
        <f>VLOOKUP(F77,환율!A:B,2,0)</f>
        <v>1429.9</v>
      </c>
      <c r="H77" s="1552">
        <v>67206.48</v>
      </c>
      <c r="I77" s="1487">
        <f t="shared" si="5"/>
        <v>96098545</v>
      </c>
      <c r="J77" s="1488">
        <f t="shared" si="17"/>
        <v>96098545</v>
      </c>
      <c r="K77" s="1553"/>
      <c r="L77" s="1792"/>
      <c r="M77">
        <v>8409912000</v>
      </c>
      <c r="N77" s="1461"/>
      <c r="O77" s="1461"/>
      <c r="P77" s="1461"/>
      <c r="Q77" s="1461"/>
      <c r="R77" s="1463"/>
      <c r="S77" s="40"/>
    </row>
    <row r="78" spans="1:19" s="126" customFormat="1" ht="24" customHeight="1">
      <c r="A78" s="1885" t="s">
        <v>4042</v>
      </c>
      <c r="B78" s="1886" t="s">
        <v>4039</v>
      </c>
      <c r="C78" s="1887" t="s">
        <v>4872</v>
      </c>
      <c r="D78" s="1731" t="s">
        <v>4873</v>
      </c>
      <c r="E78" s="1733">
        <v>46245</v>
      </c>
      <c r="F78" s="1731">
        <v>46245</v>
      </c>
      <c r="G78" s="1551">
        <f>VLOOKUP(F78,환율!A:B,2,0)</f>
        <v>1415.3</v>
      </c>
      <c r="H78" s="1552">
        <v>48801.3</v>
      </c>
      <c r="I78" s="1487">
        <f t="shared" si="5"/>
        <v>69068479</v>
      </c>
      <c r="J78" s="1487">
        <f t="shared" si="17"/>
        <v>69068479</v>
      </c>
      <c r="K78" s="1888"/>
      <c r="L78" s="1792"/>
      <c r="M78">
        <v>8409912000</v>
      </c>
      <c r="N78" s="1461"/>
      <c r="O78" s="1461"/>
      <c r="P78" s="1461"/>
      <c r="Q78" s="1461"/>
      <c r="R78" s="1463"/>
      <c r="S78" s="40"/>
    </row>
    <row r="79" spans="1:19" s="126" customFormat="1" ht="24" customHeight="1">
      <c r="A79" s="1483" t="s">
        <v>4042</v>
      </c>
      <c r="B79" s="1484" t="s">
        <v>4039</v>
      </c>
      <c r="C79" s="1730" t="s">
        <v>4876</v>
      </c>
      <c r="D79" s="1731" t="s">
        <v>4877</v>
      </c>
      <c r="E79" s="1733">
        <v>46249</v>
      </c>
      <c r="F79" s="1731">
        <v>46249</v>
      </c>
      <c r="G79" s="1551">
        <f>VLOOKUP(F79,환율!A:B,2,0)</f>
        <v>1414.9</v>
      </c>
      <c r="H79" s="1552">
        <v>21065.27</v>
      </c>
      <c r="I79" s="1487">
        <f t="shared" si="5"/>
        <v>29805250</v>
      </c>
      <c r="J79" s="1487">
        <f t="shared" si="17"/>
        <v>29805250</v>
      </c>
      <c r="K79" s="1553"/>
      <c r="L79" s="1862"/>
      <c r="M79">
        <v>8409912000</v>
      </c>
      <c r="N79" s="1461"/>
      <c r="O79" s="1461"/>
      <c r="P79" s="1461"/>
      <c r="Q79" s="1461"/>
      <c r="R79" s="1463"/>
      <c r="S79" s="40"/>
    </row>
    <row r="80" spans="1:19" s="126" customFormat="1" ht="24" customHeight="1">
      <c r="A80" s="1483" t="s">
        <v>4042</v>
      </c>
      <c r="B80" s="1484" t="s">
        <v>4039</v>
      </c>
      <c r="C80" s="1730" t="s">
        <v>4878</v>
      </c>
      <c r="D80" s="1731" t="s">
        <v>4879</v>
      </c>
      <c r="E80" s="1733">
        <v>46249</v>
      </c>
      <c r="F80" s="1731">
        <v>46249</v>
      </c>
      <c r="G80" s="1551">
        <f>VLOOKUP(F80,환율!A:B,2,0)</f>
        <v>1414.9</v>
      </c>
      <c r="H80" s="1552">
        <v>55903.08</v>
      </c>
      <c r="I80" s="1487">
        <f t="shared" si="5"/>
        <v>79097267</v>
      </c>
      <c r="J80" s="1488">
        <f t="shared" si="17"/>
        <v>79097267</v>
      </c>
      <c r="K80" s="1553"/>
      <c r="L80" s="1792"/>
      <c r="M80">
        <v>8409912000</v>
      </c>
      <c r="N80" s="1461"/>
      <c r="O80" s="1461"/>
      <c r="P80" s="1461"/>
      <c r="Q80" s="1461"/>
      <c r="R80" s="1463"/>
      <c r="S80" s="40"/>
    </row>
    <row r="81" spans="1:19" s="126" customFormat="1" ht="24" customHeight="1">
      <c r="A81" s="1489" t="s">
        <v>4042</v>
      </c>
      <c r="B81" s="1490" t="s">
        <v>4039</v>
      </c>
      <c r="C81" s="1596" t="s">
        <v>5022</v>
      </c>
      <c r="D81" s="1494" t="s">
        <v>5023</v>
      </c>
      <c r="E81" s="1493">
        <v>46250</v>
      </c>
      <c r="F81" s="1494">
        <v>46250</v>
      </c>
      <c r="G81" s="1564">
        <f>VLOOKUP(F81,환율!A:B,2,0)</f>
        <v>1414.9</v>
      </c>
      <c r="H81" s="1565">
        <v>72422</v>
      </c>
      <c r="I81" s="1497">
        <f t="shared" si="5"/>
        <v>102469887</v>
      </c>
      <c r="J81" s="1504">
        <f t="shared" si="17"/>
        <v>102469887</v>
      </c>
      <c r="K81" s="1499"/>
      <c r="L81" s="1792"/>
      <c r="M81">
        <v>8409912000</v>
      </c>
      <c r="N81" s="1461"/>
      <c r="O81" s="1461"/>
      <c r="P81" s="1461"/>
      <c r="Q81" s="1461"/>
      <c r="R81" s="1463"/>
      <c r="S81" s="40"/>
    </row>
    <row r="82" spans="1:19" s="126" customFormat="1" ht="24" customHeight="1">
      <c r="A82" s="1489" t="s">
        <v>4042</v>
      </c>
      <c r="B82" s="1490" t="s">
        <v>4039</v>
      </c>
      <c r="C82" s="1596" t="s">
        <v>5024</v>
      </c>
      <c r="D82" s="1596" t="s">
        <v>5025</v>
      </c>
      <c r="E82" s="1493">
        <v>46250</v>
      </c>
      <c r="F82" s="1494">
        <v>46250</v>
      </c>
      <c r="G82" s="1564">
        <f>VLOOKUP(F82,환율!A:B,2,0)</f>
        <v>1414.9</v>
      </c>
      <c r="H82" s="1565">
        <v>87826.2</v>
      </c>
      <c r="I82" s="1497">
        <f t="shared" si="5"/>
        <v>124265290</v>
      </c>
      <c r="J82" s="1504">
        <f t="shared" si="17"/>
        <v>124265290</v>
      </c>
      <c r="K82" s="1499"/>
      <c r="L82" s="1792"/>
      <c r="M82">
        <v>8409912000</v>
      </c>
      <c r="N82" s="1461"/>
      <c r="O82" s="1461"/>
      <c r="P82" s="1461"/>
      <c r="Q82" s="1461"/>
      <c r="R82" s="1463"/>
      <c r="S82" s="40"/>
    </row>
    <row r="83" spans="1:19" s="126" customFormat="1" ht="24" customHeight="1">
      <c r="A83" s="1489" t="s">
        <v>4042</v>
      </c>
      <c r="B83" s="1490" t="s">
        <v>4039</v>
      </c>
      <c r="C83" s="1596" t="s">
        <v>5026</v>
      </c>
      <c r="D83" s="1494" t="s">
        <v>5143</v>
      </c>
      <c r="E83" s="1597">
        <v>46262</v>
      </c>
      <c r="F83" s="1494">
        <v>46262</v>
      </c>
      <c r="G83" s="1564">
        <f>VLOOKUP(F83,환율!A:B,2,0)</f>
        <v>1380.3</v>
      </c>
      <c r="H83" s="1565">
        <v>109765.2</v>
      </c>
      <c r="I83" s="1497">
        <f t="shared" si="5"/>
        <v>151508905</v>
      </c>
      <c r="J83" s="1498">
        <f t="shared" si="17"/>
        <v>151508905</v>
      </c>
      <c r="K83" s="1499"/>
      <c r="L83" s="1792"/>
      <c r="M83">
        <v>8409912000</v>
      </c>
      <c r="N83" s="1461"/>
      <c r="O83" s="1461"/>
      <c r="P83" s="1461"/>
      <c r="Q83" s="1461"/>
      <c r="R83" s="1463"/>
      <c r="S83" s="40"/>
    </row>
    <row r="84" spans="1:19" s="126" customFormat="1" ht="24" customHeight="1">
      <c r="A84" s="1566" t="s">
        <v>4042</v>
      </c>
      <c r="B84" s="1567" t="s">
        <v>4039</v>
      </c>
      <c r="C84" s="1610" t="s">
        <v>5027</v>
      </c>
      <c r="D84" s="1611" t="s">
        <v>5028</v>
      </c>
      <c r="E84" s="1748">
        <v>46267</v>
      </c>
      <c r="F84" s="1611">
        <v>46265</v>
      </c>
      <c r="G84" s="1571">
        <f>VLOOKUP(F84,환율!A:B,2,0)</f>
        <v>1376.5</v>
      </c>
      <c r="H84" s="1572">
        <v>1269.5</v>
      </c>
      <c r="I84" s="1573">
        <f t="shared" si="5"/>
        <v>1747466</v>
      </c>
      <c r="J84" s="1574"/>
      <c r="K84" s="1904">
        <f t="shared" ref="K84" si="18">I84</f>
        <v>1747466</v>
      </c>
      <c r="L84" s="1792"/>
      <c r="M84">
        <v>8409912000</v>
      </c>
      <c r="N84" s="1461"/>
      <c r="O84" s="1461"/>
      <c r="P84" s="1461"/>
      <c r="Q84" s="1461"/>
      <c r="R84" s="1463"/>
      <c r="S84" s="40"/>
    </row>
    <row r="85" spans="1:19" s="126" customFormat="1" ht="24" customHeight="1">
      <c r="A85" s="1600" t="s">
        <v>4042</v>
      </c>
      <c r="B85" s="1601" t="s">
        <v>4039</v>
      </c>
      <c r="C85" s="1602" t="s">
        <v>5030</v>
      </c>
      <c r="D85" s="1603" t="s">
        <v>4765</v>
      </c>
      <c r="E85" s="1604"/>
      <c r="F85" s="1603">
        <v>46240</v>
      </c>
      <c r="G85" s="1684">
        <f>VLOOKUP(F85,환율!A:B,2,0)</f>
        <v>1424.8</v>
      </c>
      <c r="H85" s="1606">
        <v>40890</v>
      </c>
      <c r="I85" s="1607">
        <f t="shared" si="5"/>
        <v>58260072</v>
      </c>
      <c r="J85" s="1608">
        <f t="shared" si="17"/>
        <v>58260072</v>
      </c>
      <c r="K85" s="1609"/>
      <c r="L85" s="1792"/>
      <c r="M85">
        <v>8409912000</v>
      </c>
      <c r="N85" s="1461"/>
      <c r="O85" s="1461"/>
      <c r="P85" s="1461"/>
      <c r="Q85" s="1461"/>
      <c r="R85" s="1463"/>
      <c r="S85" s="40"/>
    </row>
    <row r="86" spans="1:19" s="126" customFormat="1" ht="24" customHeight="1">
      <c r="A86" s="1600" t="s">
        <v>4042</v>
      </c>
      <c r="B86" s="1601" t="s">
        <v>4039</v>
      </c>
      <c r="C86" s="1602" t="s">
        <v>5031</v>
      </c>
      <c r="D86" s="1889" t="s">
        <v>4765</v>
      </c>
      <c r="E86" s="1604"/>
      <c r="F86" s="1603">
        <v>46241</v>
      </c>
      <c r="G86" s="1684">
        <f>VLOOKUP(F86,환율!A:B,2,0)</f>
        <v>1418.8</v>
      </c>
      <c r="H86" s="1606">
        <v>4650</v>
      </c>
      <c r="I86" s="1607">
        <f t="shared" si="5"/>
        <v>6597420</v>
      </c>
      <c r="J86" s="1608">
        <f t="shared" si="17"/>
        <v>6597420</v>
      </c>
      <c r="K86" s="1609"/>
      <c r="L86" s="1792"/>
      <c r="M86">
        <v>8409912000</v>
      </c>
      <c r="N86" s="1461"/>
      <c r="O86" s="1461"/>
      <c r="P86" s="1461"/>
      <c r="Q86" s="1461"/>
      <c r="R86" s="1463"/>
      <c r="S86" s="40"/>
    </row>
    <row r="87" spans="1:19" s="126" customFormat="1" ht="24" customHeight="1">
      <c r="A87" s="1600" t="s">
        <v>4042</v>
      </c>
      <c r="B87" s="1601" t="s">
        <v>4039</v>
      </c>
      <c r="C87" s="1602" t="s">
        <v>5032</v>
      </c>
      <c r="D87" s="1603" t="s">
        <v>4765</v>
      </c>
      <c r="E87" s="1604"/>
      <c r="F87" s="1603">
        <v>46244</v>
      </c>
      <c r="G87" s="1684">
        <f>VLOOKUP(F87,환율!A:B,2,0)</f>
        <v>1420.1</v>
      </c>
      <c r="H87" s="1606">
        <v>57735</v>
      </c>
      <c r="I87" s="1607">
        <f t="shared" si="5"/>
        <v>81989473</v>
      </c>
      <c r="J87" s="1608">
        <f t="shared" si="17"/>
        <v>81989473</v>
      </c>
      <c r="K87" s="1609"/>
      <c r="L87" s="1792"/>
      <c r="M87">
        <v>8409912000</v>
      </c>
      <c r="N87" s="1461"/>
      <c r="O87" s="1461"/>
      <c r="P87" s="1461"/>
      <c r="Q87" s="1461"/>
      <c r="R87" s="1463"/>
      <c r="S87" s="40"/>
    </row>
    <row r="88" spans="1:19" s="126" customFormat="1" ht="24" customHeight="1">
      <c r="A88" s="1600" t="s">
        <v>4042</v>
      </c>
      <c r="B88" s="1601" t="s">
        <v>4039</v>
      </c>
      <c r="C88" s="1602" t="s">
        <v>5033</v>
      </c>
      <c r="D88" s="1603" t="s">
        <v>4765</v>
      </c>
      <c r="E88" s="1604"/>
      <c r="F88" s="1603">
        <v>46255</v>
      </c>
      <c r="G88" s="1684">
        <f>VLOOKUP(F88,환율!A:B,2,0)</f>
        <v>1393</v>
      </c>
      <c r="H88" s="1606">
        <v>33690</v>
      </c>
      <c r="I88" s="1607">
        <f t="shared" si="5"/>
        <v>46930170</v>
      </c>
      <c r="J88" s="1608">
        <f t="shared" si="17"/>
        <v>46930170</v>
      </c>
      <c r="K88" s="1609"/>
      <c r="L88" s="1792"/>
      <c r="M88">
        <v>8409912000</v>
      </c>
      <c r="N88" s="1461"/>
      <c r="O88" s="1461"/>
      <c r="P88" s="1461"/>
      <c r="Q88" s="1461"/>
      <c r="R88" s="1463"/>
      <c r="S88" s="40"/>
    </row>
    <row r="89" spans="1:19" s="126" customFormat="1" ht="24" customHeight="1">
      <c r="A89" s="1600" t="s">
        <v>4042</v>
      </c>
      <c r="B89" s="1601" t="s">
        <v>4039</v>
      </c>
      <c r="C89" s="1602" t="s">
        <v>5034</v>
      </c>
      <c r="D89" s="1603" t="s">
        <v>4765</v>
      </c>
      <c r="E89" s="1604"/>
      <c r="F89" s="1603">
        <v>46255</v>
      </c>
      <c r="G89" s="1684">
        <f>VLOOKUP(F89,환율!A:B,2,0)</f>
        <v>1393</v>
      </c>
      <c r="H89" s="1606">
        <v>2900</v>
      </c>
      <c r="I89" s="1607">
        <f t="shared" si="5"/>
        <v>4039700</v>
      </c>
      <c r="J89" s="1608">
        <f t="shared" si="17"/>
        <v>4039700</v>
      </c>
      <c r="K89" s="1609"/>
      <c r="L89" s="1792"/>
      <c r="M89">
        <v>8409912000</v>
      </c>
      <c r="N89" s="1461"/>
      <c r="O89" s="1461"/>
      <c r="P89" s="1461"/>
      <c r="Q89" s="1461"/>
      <c r="R89" s="1463"/>
      <c r="S89" s="40"/>
    </row>
    <row r="90" spans="1:19" s="126" customFormat="1" ht="24" customHeight="1">
      <c r="A90" s="1824" t="s">
        <v>4042</v>
      </c>
      <c r="B90" s="1825" t="s">
        <v>4039</v>
      </c>
      <c r="C90" s="1901" t="s">
        <v>5035</v>
      </c>
      <c r="D90" s="1902" t="s">
        <v>5052</v>
      </c>
      <c r="E90" s="1903">
        <v>46267</v>
      </c>
      <c r="F90" s="1902">
        <v>46266</v>
      </c>
      <c r="G90" s="1829">
        <f>VLOOKUP(F90,환율!A:B,2,0)</f>
        <v>1373.6</v>
      </c>
      <c r="H90" s="1830">
        <v>20779.32</v>
      </c>
      <c r="I90" s="1831">
        <f>ROUNDDOWN(G90*H90,0)</f>
        <v>28542473</v>
      </c>
      <c r="J90" s="1832"/>
      <c r="K90" s="1904">
        <f t="shared" ref="K90:K95" si="19">I90</f>
        <v>28542473</v>
      </c>
      <c r="L90" s="1792"/>
      <c r="M90">
        <v>8409912000</v>
      </c>
      <c r="N90" s="1461"/>
      <c r="O90" s="1461"/>
      <c r="P90" s="1461"/>
      <c r="Q90" s="1461"/>
      <c r="R90" s="1463"/>
      <c r="S90" s="40"/>
    </row>
    <row r="91" spans="1:19" s="126" customFormat="1" ht="24" customHeight="1">
      <c r="A91" s="1824" t="s">
        <v>4042</v>
      </c>
      <c r="B91" s="1825" t="s">
        <v>4039</v>
      </c>
      <c r="C91" s="1901" t="s">
        <v>5036</v>
      </c>
      <c r="D91" s="1902" t="s">
        <v>5053</v>
      </c>
      <c r="E91" s="1903"/>
      <c r="F91" s="1902">
        <v>46266</v>
      </c>
      <c r="G91" s="1829">
        <f>VLOOKUP(F91,환율!A:B,2,0)</f>
        <v>1373.6</v>
      </c>
      <c r="H91" s="1830">
        <v>33829.919999999998</v>
      </c>
      <c r="I91" s="1831">
        <f>ROUNDDOWN(G91*H91,0)</f>
        <v>46468778</v>
      </c>
      <c r="J91" s="1832"/>
      <c r="K91" s="1904">
        <f t="shared" si="19"/>
        <v>46468778</v>
      </c>
      <c r="L91" s="1792"/>
      <c r="M91">
        <v>8409912000</v>
      </c>
      <c r="N91" s="1461"/>
      <c r="O91" s="1461"/>
      <c r="P91" s="1461"/>
      <c r="Q91" s="1461"/>
      <c r="R91" s="1463"/>
      <c r="S91" s="40"/>
    </row>
    <row r="92" spans="1:19" s="126" customFormat="1" ht="24" customHeight="1">
      <c r="A92" s="1824" t="s">
        <v>4042</v>
      </c>
      <c r="B92" s="1825" t="s">
        <v>4039</v>
      </c>
      <c r="C92" s="1901" t="s">
        <v>5037</v>
      </c>
      <c r="D92" s="1902" t="s">
        <v>5054</v>
      </c>
      <c r="E92" s="1828">
        <v>46266</v>
      </c>
      <c r="F92" s="1902">
        <v>46266</v>
      </c>
      <c r="G92" s="1829">
        <f>VLOOKUP(F92,환율!A:B,2,0)</f>
        <v>1373.6</v>
      </c>
      <c r="H92" s="1830">
        <v>62017.4</v>
      </c>
      <c r="I92" s="1831">
        <f t="shared" ref="I92:I106" si="20">ROUNDDOWN(G92*H92,0)</f>
        <v>85187100</v>
      </c>
      <c r="J92" s="1832"/>
      <c r="K92" s="1904">
        <f t="shared" si="19"/>
        <v>85187100</v>
      </c>
      <c r="L92" s="1792"/>
      <c r="M92">
        <v>8409912000</v>
      </c>
      <c r="N92" s="1461"/>
      <c r="O92" s="1461"/>
      <c r="P92" s="1461"/>
      <c r="Q92" s="1461"/>
      <c r="R92" s="1463"/>
      <c r="S92" s="40"/>
    </row>
    <row r="93" spans="1:19" s="126" customFormat="1" ht="24" customHeight="1">
      <c r="A93" s="1824" t="s">
        <v>4042</v>
      </c>
      <c r="B93" s="1825" t="s">
        <v>4039</v>
      </c>
      <c r="C93" s="1901" t="s">
        <v>5038</v>
      </c>
      <c r="D93" s="1902" t="s">
        <v>5055</v>
      </c>
      <c r="E93" s="1828">
        <v>46266</v>
      </c>
      <c r="F93" s="1902">
        <v>46266</v>
      </c>
      <c r="G93" s="1829">
        <f>VLOOKUP(F93,환율!A:B,2,0)</f>
        <v>1373.6</v>
      </c>
      <c r="H93" s="1830">
        <v>102197.75999999999</v>
      </c>
      <c r="I93" s="1831">
        <f t="shared" si="20"/>
        <v>140378843</v>
      </c>
      <c r="J93" s="1832"/>
      <c r="K93" s="1904">
        <f t="shared" si="19"/>
        <v>140378843</v>
      </c>
      <c r="L93" s="1792"/>
      <c r="M93">
        <v>8409912000</v>
      </c>
      <c r="N93" s="1461"/>
      <c r="O93" s="1461"/>
      <c r="P93" s="1461"/>
      <c r="Q93" s="1461"/>
      <c r="R93" s="1465"/>
      <c r="S93" s="40"/>
    </row>
    <row r="94" spans="1:19" s="126" customFormat="1" ht="24" customHeight="1">
      <c r="A94" s="1824" t="s">
        <v>4042</v>
      </c>
      <c r="B94" s="1825" t="s">
        <v>4039</v>
      </c>
      <c r="C94" s="1901" t="s">
        <v>5039</v>
      </c>
      <c r="D94" s="1902" t="s">
        <v>5056</v>
      </c>
      <c r="E94" s="1828"/>
      <c r="F94" s="1902">
        <v>46266</v>
      </c>
      <c r="G94" s="1829">
        <v>1441.1</v>
      </c>
      <c r="H94" s="1830">
        <v>6048</v>
      </c>
      <c r="I94" s="1831">
        <v>21244465</v>
      </c>
      <c r="J94" s="1832"/>
      <c r="K94" s="1904">
        <f t="shared" si="19"/>
        <v>21244465</v>
      </c>
      <c r="L94" s="1792"/>
      <c r="M94">
        <v>8409912000</v>
      </c>
      <c r="N94" s="1461"/>
      <c r="O94" s="1461"/>
      <c r="P94" s="1461"/>
      <c r="Q94" s="1461"/>
      <c r="R94" s="1465"/>
      <c r="S94" s="40"/>
    </row>
    <row r="95" spans="1:19" s="126" customFormat="1" ht="24" customHeight="1">
      <c r="A95" s="1824" t="s">
        <v>4042</v>
      </c>
      <c r="B95" s="1825" t="s">
        <v>4039</v>
      </c>
      <c r="C95" s="1901" t="s">
        <v>5040</v>
      </c>
      <c r="D95" s="1902" t="s">
        <v>5057</v>
      </c>
      <c r="E95" s="1828"/>
      <c r="F95" s="1902">
        <v>46266</v>
      </c>
      <c r="G95" s="1829">
        <f>VLOOKUP(F95,환율!A:B,2,0)</f>
        <v>1373.6</v>
      </c>
      <c r="H95" s="1830">
        <v>6267.8</v>
      </c>
      <c r="I95" s="1831">
        <f t="shared" si="20"/>
        <v>8609450</v>
      </c>
      <c r="J95" s="1832"/>
      <c r="K95" s="1904">
        <f t="shared" si="19"/>
        <v>8609450</v>
      </c>
      <c r="L95" s="1792"/>
      <c r="M95">
        <v>8409912000</v>
      </c>
      <c r="N95" s="1461"/>
      <c r="O95" s="1461"/>
      <c r="P95" s="1461"/>
      <c r="Q95" s="1461"/>
      <c r="R95" s="1466"/>
      <c r="S95" s="40"/>
    </row>
    <row r="96" spans="1:19" s="126" customFormat="1" ht="24" customHeight="1">
      <c r="A96" s="1824" t="s">
        <v>4042</v>
      </c>
      <c r="B96" s="1825" t="s">
        <v>4039</v>
      </c>
      <c r="C96" s="1901" t="s">
        <v>5041</v>
      </c>
      <c r="D96" s="1902" t="s">
        <v>5058</v>
      </c>
      <c r="E96" s="1828">
        <v>46267</v>
      </c>
      <c r="F96" s="1902">
        <v>46266</v>
      </c>
      <c r="G96" s="1829">
        <f>VLOOKUP(F96,환율!A:B,2,0)</f>
        <v>1373.6</v>
      </c>
      <c r="H96" s="1830">
        <v>61116.6</v>
      </c>
      <c r="I96" s="1831">
        <f t="shared" si="20"/>
        <v>83949761</v>
      </c>
      <c r="J96" s="1832"/>
      <c r="K96" s="1904">
        <f t="shared" ref="K96:K106" si="21">I96</f>
        <v>83949761</v>
      </c>
      <c r="L96" s="1792"/>
      <c r="M96">
        <v>8409912000</v>
      </c>
      <c r="N96" s="1461"/>
      <c r="O96" s="1461"/>
      <c r="P96" s="1461"/>
      <c r="Q96" s="1461"/>
      <c r="R96" s="1466"/>
      <c r="S96" s="40"/>
    </row>
    <row r="97" spans="1:19" s="126" customFormat="1" ht="24" customHeight="1">
      <c r="A97" s="1824" t="s">
        <v>4042</v>
      </c>
      <c r="B97" s="1825" t="s">
        <v>4039</v>
      </c>
      <c r="C97" s="1901" t="s">
        <v>5042</v>
      </c>
      <c r="D97" s="1902" t="s">
        <v>5059</v>
      </c>
      <c r="E97" s="1828"/>
      <c r="F97" s="1902">
        <v>46266</v>
      </c>
      <c r="G97" s="1829">
        <f>VLOOKUP(F97,환율!A:B,2,0)</f>
        <v>1373.6</v>
      </c>
      <c r="H97" s="1830">
        <v>60142.080000000002</v>
      </c>
      <c r="I97" s="1831">
        <f t="shared" si="20"/>
        <v>82611161</v>
      </c>
      <c r="J97" s="1832"/>
      <c r="K97" s="1904">
        <f t="shared" si="21"/>
        <v>82611161</v>
      </c>
      <c r="L97" s="1792"/>
      <c r="M97">
        <v>8409912000</v>
      </c>
      <c r="N97" s="1461"/>
      <c r="O97" s="1461"/>
      <c r="P97" s="1461"/>
      <c r="Q97" s="1461"/>
      <c r="R97" s="1466"/>
      <c r="S97" s="40"/>
    </row>
    <row r="98" spans="1:19" s="126" customFormat="1" ht="24" customHeight="1">
      <c r="A98" s="1824" t="s">
        <v>4042</v>
      </c>
      <c r="B98" s="1825" t="s">
        <v>4039</v>
      </c>
      <c r="C98" s="1901" t="s">
        <v>5043</v>
      </c>
      <c r="D98" s="1902" t="s">
        <v>5060</v>
      </c>
      <c r="E98" s="1828"/>
      <c r="F98" s="1902">
        <v>46266</v>
      </c>
      <c r="G98" s="1829">
        <f>VLOOKUP(F98,환율!A:B,2,0)</f>
        <v>1373.6</v>
      </c>
      <c r="H98" s="1830">
        <v>102197.75999999999</v>
      </c>
      <c r="I98" s="1831">
        <f t="shared" si="20"/>
        <v>140378843</v>
      </c>
      <c r="J98" s="1832"/>
      <c r="K98" s="1904">
        <f t="shared" si="21"/>
        <v>140378843</v>
      </c>
      <c r="L98" s="1792"/>
      <c r="M98">
        <v>8409912000</v>
      </c>
      <c r="N98" s="1461"/>
      <c r="O98" s="1461"/>
      <c r="P98" s="1461"/>
      <c r="Q98" s="1461"/>
      <c r="R98" s="1466"/>
      <c r="S98" s="40"/>
    </row>
    <row r="99" spans="1:19" s="126" customFormat="1" ht="24" customHeight="1">
      <c r="A99" s="1824" t="s">
        <v>4042</v>
      </c>
      <c r="B99" s="1825" t="s">
        <v>4039</v>
      </c>
      <c r="C99" s="1901" t="s">
        <v>5044</v>
      </c>
      <c r="D99" s="1902" t="s">
        <v>5061</v>
      </c>
      <c r="E99" s="1828"/>
      <c r="F99" s="1902">
        <v>46266</v>
      </c>
      <c r="G99" s="1829">
        <f>VLOOKUP(F99,환율!A:B,2,0)</f>
        <v>1373.6</v>
      </c>
      <c r="H99" s="1830">
        <v>103247.84</v>
      </c>
      <c r="I99" s="1831">
        <f t="shared" si="20"/>
        <v>141821233</v>
      </c>
      <c r="J99" s="1832"/>
      <c r="K99" s="1904">
        <f t="shared" si="21"/>
        <v>141821233</v>
      </c>
      <c r="L99" s="1792"/>
      <c r="M99">
        <v>8409912000</v>
      </c>
      <c r="N99" s="1461"/>
      <c r="O99" s="1461"/>
      <c r="P99" s="1461"/>
      <c r="Q99" s="1461"/>
      <c r="R99" s="1466"/>
      <c r="S99" s="40"/>
    </row>
    <row r="100" spans="1:19" s="126" customFormat="1" ht="24" customHeight="1">
      <c r="A100" s="1824" t="s">
        <v>4042</v>
      </c>
      <c r="B100" s="1825" t="s">
        <v>4039</v>
      </c>
      <c r="C100" s="1901" t="s">
        <v>5045</v>
      </c>
      <c r="D100" s="1902" t="s">
        <v>5062</v>
      </c>
      <c r="E100" s="1828"/>
      <c r="F100" s="1902">
        <v>46266</v>
      </c>
      <c r="G100" s="1829">
        <f>VLOOKUP(F100,환율!A:B,2,0)</f>
        <v>1373.6</v>
      </c>
      <c r="H100" s="1830">
        <v>9275.84</v>
      </c>
      <c r="I100" s="1831">
        <f t="shared" si="20"/>
        <v>12741293</v>
      </c>
      <c r="J100" s="1832"/>
      <c r="K100" s="1904">
        <f t="shared" si="21"/>
        <v>12741293</v>
      </c>
      <c r="L100" s="1792"/>
      <c r="M100">
        <v>8409912000</v>
      </c>
      <c r="N100" s="1461"/>
      <c r="O100" s="1461"/>
      <c r="P100" s="1461"/>
      <c r="Q100" s="1461"/>
      <c r="R100" s="1466"/>
      <c r="S100" s="40"/>
    </row>
    <row r="101" spans="1:19" s="126" customFormat="1" ht="24" customHeight="1">
      <c r="A101" s="1824" t="s">
        <v>4042</v>
      </c>
      <c r="B101" s="1825" t="s">
        <v>4039</v>
      </c>
      <c r="C101" s="1901" t="s">
        <v>5046</v>
      </c>
      <c r="D101" s="1902" t="s">
        <v>5063</v>
      </c>
      <c r="E101" s="1828"/>
      <c r="F101" s="1902">
        <v>46266</v>
      </c>
      <c r="G101" s="1829">
        <f>VLOOKUP(F101,환율!A:B,2,0)</f>
        <v>1373.6</v>
      </c>
      <c r="H101" s="1830">
        <v>55428.82</v>
      </c>
      <c r="I101" s="1831">
        <f t="shared" si="20"/>
        <v>76137027</v>
      </c>
      <c r="J101" s="1832"/>
      <c r="K101" s="1904">
        <f t="shared" si="21"/>
        <v>76137027</v>
      </c>
      <c r="L101" s="1792"/>
      <c r="M101">
        <v>8409912000</v>
      </c>
      <c r="N101" s="1461"/>
      <c r="O101" s="1461"/>
      <c r="P101" s="1461"/>
      <c r="Q101" s="1461"/>
      <c r="R101" s="1466"/>
      <c r="S101" s="40"/>
    </row>
    <row r="102" spans="1:19" s="126" customFormat="1" ht="24" customHeight="1">
      <c r="A102" s="1824" t="s">
        <v>4042</v>
      </c>
      <c r="B102" s="1825" t="s">
        <v>4039</v>
      </c>
      <c r="C102" s="1901" t="s">
        <v>5047</v>
      </c>
      <c r="D102" s="1902" t="s">
        <v>5064</v>
      </c>
      <c r="E102" s="1828"/>
      <c r="F102" s="1902">
        <v>46266</v>
      </c>
      <c r="G102" s="1829">
        <f>VLOOKUP(F102,환율!A:B,2,0)</f>
        <v>1373.6</v>
      </c>
      <c r="H102" s="1830">
        <v>31631.599999999999</v>
      </c>
      <c r="I102" s="1831">
        <f t="shared" si="20"/>
        <v>43449165</v>
      </c>
      <c r="J102" s="1832"/>
      <c r="K102" s="1904">
        <f t="shared" si="21"/>
        <v>43449165</v>
      </c>
      <c r="L102" s="1792"/>
      <c r="M102">
        <v>8409912000</v>
      </c>
      <c r="N102" s="1461"/>
      <c r="O102" s="1461"/>
      <c r="P102" s="1461"/>
      <c r="Q102" s="1461"/>
      <c r="R102" s="1466"/>
      <c r="S102" s="40"/>
    </row>
    <row r="103" spans="1:19" s="126" customFormat="1" ht="24" customHeight="1">
      <c r="A103" s="1824" t="s">
        <v>4042</v>
      </c>
      <c r="B103" s="1825" t="s">
        <v>4039</v>
      </c>
      <c r="C103" s="1901" t="s">
        <v>5048</v>
      </c>
      <c r="D103" s="1902" t="s">
        <v>5065</v>
      </c>
      <c r="E103" s="1828"/>
      <c r="F103" s="1902">
        <v>46266</v>
      </c>
      <c r="G103" s="1829">
        <f>VLOOKUP(F103,환율!A:B,2,0)</f>
        <v>1373.6</v>
      </c>
      <c r="H103" s="1830">
        <v>102197.75999999999</v>
      </c>
      <c r="I103" s="1831">
        <f t="shared" si="20"/>
        <v>140378843</v>
      </c>
      <c r="J103" s="1832"/>
      <c r="K103" s="1904">
        <f t="shared" si="21"/>
        <v>140378843</v>
      </c>
      <c r="L103" s="1792"/>
      <c r="M103">
        <v>8409912000</v>
      </c>
      <c r="N103" s="1461"/>
      <c r="O103" s="1461"/>
      <c r="P103" s="1461"/>
      <c r="Q103" s="1461"/>
      <c r="R103" s="1466"/>
      <c r="S103" s="40"/>
    </row>
    <row r="104" spans="1:19" s="126" customFormat="1" ht="24" customHeight="1">
      <c r="A104" s="1824" t="s">
        <v>4042</v>
      </c>
      <c r="B104" s="1825" t="s">
        <v>4039</v>
      </c>
      <c r="C104" s="1901" t="s">
        <v>5049</v>
      </c>
      <c r="D104" s="1902" t="s">
        <v>5066</v>
      </c>
      <c r="E104" s="1828">
        <v>46273</v>
      </c>
      <c r="F104" s="1902">
        <v>46266</v>
      </c>
      <c r="G104" s="1829">
        <f>VLOOKUP(F104,환율!A:B,2,0)</f>
        <v>1373.6</v>
      </c>
      <c r="H104" s="1830">
        <v>60142.080000000002</v>
      </c>
      <c r="I104" s="1831">
        <f t="shared" si="20"/>
        <v>82611161</v>
      </c>
      <c r="J104" s="1832"/>
      <c r="K104" s="1904">
        <f t="shared" si="21"/>
        <v>82611161</v>
      </c>
      <c r="L104" s="1792"/>
      <c r="M104">
        <v>8409912000</v>
      </c>
      <c r="N104" s="1461"/>
      <c r="O104" s="1461"/>
      <c r="P104" s="1461"/>
      <c r="Q104" s="1461"/>
      <c r="R104" s="1466"/>
      <c r="S104" s="40"/>
    </row>
    <row r="105" spans="1:19" s="126" customFormat="1" ht="24" customHeight="1">
      <c r="A105" s="1824" t="s">
        <v>4042</v>
      </c>
      <c r="B105" s="1825" t="s">
        <v>4039</v>
      </c>
      <c r="C105" s="1901" t="s">
        <v>5050</v>
      </c>
      <c r="D105" s="1902" t="s">
        <v>5067</v>
      </c>
      <c r="E105" s="1828"/>
      <c r="F105" s="1902">
        <v>46266</v>
      </c>
      <c r="G105" s="1829">
        <f>VLOOKUP(F105,환율!A:B,2,0)</f>
        <v>1373.6</v>
      </c>
      <c r="H105" s="1830">
        <v>3412.2</v>
      </c>
      <c r="I105" s="1831">
        <f t="shared" si="20"/>
        <v>4686997</v>
      </c>
      <c r="J105" s="1832"/>
      <c r="K105" s="1904">
        <f t="shared" si="21"/>
        <v>4686997</v>
      </c>
      <c r="L105" s="1792"/>
      <c r="M105">
        <v>8409912000</v>
      </c>
      <c r="N105" s="1461"/>
      <c r="O105" s="1461"/>
      <c r="P105" s="1461"/>
      <c r="Q105" s="1461"/>
      <c r="R105" s="1466"/>
      <c r="S105" s="40"/>
    </row>
    <row r="106" spans="1:19" s="126" customFormat="1" ht="24" customHeight="1" thickBot="1">
      <c r="A106" s="1824" t="s">
        <v>4042</v>
      </c>
      <c r="B106" s="1825" t="s">
        <v>4039</v>
      </c>
      <c r="C106" s="1901" t="s">
        <v>5051</v>
      </c>
      <c r="D106" s="1902" t="s">
        <v>5028</v>
      </c>
      <c r="E106" s="1828">
        <v>46273</v>
      </c>
      <c r="F106" s="1902">
        <v>46266</v>
      </c>
      <c r="G106" s="1829">
        <f>VLOOKUP(F106,환율!A:B,2,0)</f>
        <v>1373.6</v>
      </c>
      <c r="H106" s="1830">
        <v>47896.28</v>
      </c>
      <c r="I106" s="1831">
        <f t="shared" si="20"/>
        <v>65790330</v>
      </c>
      <c r="J106" s="1832"/>
      <c r="K106" s="1904">
        <f t="shared" si="21"/>
        <v>65790330</v>
      </c>
      <c r="L106" s="1792"/>
      <c r="M106">
        <v>8409912000</v>
      </c>
      <c r="N106" s="1461"/>
      <c r="O106" s="1461"/>
      <c r="P106" s="1461"/>
      <c r="Q106" s="1461"/>
      <c r="R106" s="1466"/>
      <c r="S106" s="40"/>
    </row>
    <row r="107" spans="1:19" s="126" customFormat="1" ht="24" customHeight="1">
      <c r="A107" s="1613" t="s">
        <v>4040</v>
      </c>
      <c r="B107" s="1614" t="s">
        <v>4039</v>
      </c>
      <c r="C107" s="1615" t="s">
        <v>4886</v>
      </c>
      <c r="D107" s="1615" t="s">
        <v>4887</v>
      </c>
      <c r="E107" s="1578">
        <v>46237</v>
      </c>
      <c r="F107" s="1577">
        <v>46237</v>
      </c>
      <c r="G107" s="1616">
        <f>VLOOKUP(F107,환율!A:B,2,0)</f>
        <v>1433.6</v>
      </c>
      <c r="H107" s="1546">
        <v>49539.27</v>
      </c>
      <c r="I107" s="1547">
        <f t="shared" si="5"/>
        <v>71019497</v>
      </c>
      <c r="J107" s="1547">
        <f>I107</f>
        <v>71019497</v>
      </c>
      <c r="K107" s="1617"/>
      <c r="L107" s="1792"/>
      <c r="M107">
        <v>8409912000</v>
      </c>
      <c r="N107" s="1461"/>
      <c r="O107" s="1461"/>
      <c r="P107" s="1461"/>
      <c r="Q107" s="1461"/>
      <c r="R107" s="1466"/>
      <c r="S107" s="40"/>
    </row>
    <row r="108" spans="1:19" s="97" customFormat="1" ht="24" customHeight="1">
      <c r="A108" s="1489" t="s">
        <v>4040</v>
      </c>
      <c r="B108" s="1490" t="s">
        <v>478</v>
      </c>
      <c r="C108" s="1618" t="s">
        <v>5068</v>
      </c>
      <c r="D108" s="1618" t="s">
        <v>5069</v>
      </c>
      <c r="E108" s="1619">
        <v>46248</v>
      </c>
      <c r="F108" s="1620">
        <v>46248</v>
      </c>
      <c r="G108" s="1564">
        <f>VLOOKUP(F108,환율!A:B,2,0)</f>
        <v>1414.9</v>
      </c>
      <c r="H108" s="1621">
        <v>104545.80000000002</v>
      </c>
      <c r="I108" s="1497">
        <f t="shared" si="5"/>
        <v>147921852</v>
      </c>
      <c r="J108" s="1498">
        <f t="shared" ref="J108:J111" si="22">I108</f>
        <v>147921852</v>
      </c>
      <c r="K108" s="1622"/>
      <c r="L108" s="1862"/>
      <c r="M108">
        <v>8409912000</v>
      </c>
      <c r="N108" s="1461"/>
      <c r="O108" s="1461"/>
      <c r="P108" s="1461"/>
      <c r="Q108" s="1461"/>
      <c r="R108" s="1466"/>
      <c r="S108" s="34"/>
    </row>
    <row r="109" spans="1:19" s="97" customFormat="1" ht="24" customHeight="1">
      <c r="A109" s="1489" t="s">
        <v>4040</v>
      </c>
      <c r="B109" s="1490" t="s">
        <v>478</v>
      </c>
      <c r="C109" s="1618" t="s">
        <v>5070</v>
      </c>
      <c r="D109" s="1618" t="s">
        <v>5071</v>
      </c>
      <c r="E109" s="1619">
        <v>46250</v>
      </c>
      <c r="F109" s="1620">
        <v>46249</v>
      </c>
      <c r="G109" s="1564">
        <f>VLOOKUP(F109,환율!A:B,2,0)</f>
        <v>1414.9</v>
      </c>
      <c r="H109" s="1621">
        <v>4583.5199999999995</v>
      </c>
      <c r="I109" s="1497">
        <f t="shared" si="5"/>
        <v>6485222</v>
      </c>
      <c r="J109" s="1498">
        <f t="shared" si="22"/>
        <v>6485222</v>
      </c>
      <c r="K109" s="1622"/>
      <c r="L109" s="1862"/>
      <c r="M109">
        <v>8409912000</v>
      </c>
      <c r="N109" s="1461"/>
      <c r="O109" s="1461"/>
      <c r="P109" s="1461"/>
      <c r="Q109" s="1461"/>
      <c r="R109" s="1466"/>
      <c r="S109" s="34"/>
    </row>
    <row r="110" spans="1:19" s="718" customFormat="1" ht="24" customHeight="1">
      <c r="A110" s="1489" t="s">
        <v>4040</v>
      </c>
      <c r="B110" s="1490" t="s">
        <v>478</v>
      </c>
      <c r="C110" s="1618" t="s">
        <v>5072</v>
      </c>
      <c r="D110" s="1618" t="s">
        <v>5073</v>
      </c>
      <c r="E110" s="1619">
        <v>46261</v>
      </c>
      <c r="F110" s="1620">
        <v>46261</v>
      </c>
      <c r="G110" s="1564">
        <f>VLOOKUP(F110,환율!A:B,2,0)</f>
        <v>1384.6</v>
      </c>
      <c r="H110" s="1621">
        <v>76396.320000000007</v>
      </c>
      <c r="I110" s="1497">
        <f t="shared" si="5"/>
        <v>105778344</v>
      </c>
      <c r="J110" s="1498">
        <f t="shared" si="22"/>
        <v>105778344</v>
      </c>
      <c r="K110" s="1622"/>
      <c r="L110" s="1792"/>
      <c r="M110">
        <v>8409912000</v>
      </c>
      <c r="N110" s="1461"/>
      <c r="O110" s="1461"/>
      <c r="P110" s="1461"/>
      <c r="Q110" s="1461"/>
      <c r="R110" s="1466"/>
      <c r="S110" s="1458"/>
    </row>
    <row r="111" spans="1:19" s="718" customFormat="1" ht="24" customHeight="1" thickBot="1">
      <c r="A111" s="1489" t="s">
        <v>4040</v>
      </c>
      <c r="B111" s="1490" t="s">
        <v>478</v>
      </c>
      <c r="C111" s="1618" t="s">
        <v>5074</v>
      </c>
      <c r="D111" s="1618" t="s">
        <v>5075</v>
      </c>
      <c r="E111" s="1619">
        <v>46263</v>
      </c>
      <c r="F111" s="1620">
        <v>46263</v>
      </c>
      <c r="G111" s="1564">
        <f>VLOOKUP(F111,환율!A:B,2,0)</f>
        <v>1380.3</v>
      </c>
      <c r="H111" s="1621">
        <v>53693.88</v>
      </c>
      <c r="I111" s="1497">
        <f t="shared" si="5"/>
        <v>74113662</v>
      </c>
      <c r="J111" s="1498">
        <f t="shared" si="22"/>
        <v>74113662</v>
      </c>
      <c r="K111" s="1622"/>
      <c r="L111" s="1792"/>
      <c r="M111">
        <v>8409912000</v>
      </c>
      <c r="N111" s="1461"/>
      <c r="O111" s="1461"/>
      <c r="P111" s="1461"/>
      <c r="Q111" s="1461"/>
      <c r="R111" s="1466"/>
      <c r="S111" s="1458"/>
    </row>
    <row r="112" spans="1:19" s="718" customFormat="1" ht="24" customHeight="1">
      <c r="A112" s="1628" t="s">
        <v>4045</v>
      </c>
      <c r="B112" s="1629" t="s">
        <v>478</v>
      </c>
      <c r="C112" s="1630" t="s">
        <v>4896</v>
      </c>
      <c r="D112" s="1630" t="s">
        <v>4897</v>
      </c>
      <c r="E112" s="1631">
        <v>46241</v>
      </c>
      <c r="F112" s="1632">
        <v>46240</v>
      </c>
      <c r="G112" s="1633">
        <v>1350</v>
      </c>
      <c r="H112" s="1634">
        <v>38600.463703703703</v>
      </c>
      <c r="I112" s="1635">
        <f>ROUNDDOWN(H112*G112,0)</f>
        <v>52110626</v>
      </c>
      <c r="J112" s="1636">
        <f t="shared" ref="J112:J115" si="23">I112</f>
        <v>52110626</v>
      </c>
      <c r="K112" s="1637"/>
      <c r="L112" s="1792"/>
      <c r="M112" s="718">
        <v>8409998030</v>
      </c>
      <c r="N112" s="1461"/>
      <c r="O112" s="1461"/>
      <c r="P112" s="1461"/>
      <c r="Q112" s="1461"/>
      <c r="R112" s="1466"/>
      <c r="S112" s="1458"/>
    </row>
    <row r="113" spans="1:19" s="97" customFormat="1" ht="24" customHeight="1">
      <c r="A113" s="1483" t="s">
        <v>4044</v>
      </c>
      <c r="B113" s="1484" t="s">
        <v>478</v>
      </c>
      <c r="C113" s="1638" t="s">
        <v>4898</v>
      </c>
      <c r="D113" s="1638" t="s">
        <v>4899</v>
      </c>
      <c r="E113" s="1639">
        <v>46235</v>
      </c>
      <c r="F113" s="1640">
        <v>46235</v>
      </c>
      <c r="G113" s="1641">
        <v>1350</v>
      </c>
      <c r="H113" s="1642">
        <v>18745.373333333333</v>
      </c>
      <c r="I113" s="1914">
        <f t="shared" si="5"/>
        <v>25306254</v>
      </c>
      <c r="J113" s="1915">
        <f t="shared" si="23"/>
        <v>25306254</v>
      </c>
      <c r="K113" s="1916"/>
      <c r="L113" s="1792"/>
      <c r="M113" s="718">
        <v>8409998030</v>
      </c>
      <c r="N113" s="1461"/>
      <c r="O113" s="1461"/>
      <c r="P113" s="1461"/>
      <c r="Q113" s="1461"/>
      <c r="R113" s="1466"/>
      <c r="S113" s="34"/>
    </row>
    <row r="114" spans="1:19" s="97" customFormat="1" ht="24" customHeight="1">
      <c r="A114" s="1483" t="s">
        <v>4044</v>
      </c>
      <c r="B114" s="1484" t="s">
        <v>4039</v>
      </c>
      <c r="C114" s="1750" t="s">
        <v>4900</v>
      </c>
      <c r="D114" s="1750" t="s">
        <v>4901</v>
      </c>
      <c r="E114" s="1486">
        <v>46235</v>
      </c>
      <c r="F114" s="1485">
        <v>46235</v>
      </c>
      <c r="G114" s="1551">
        <v>1350</v>
      </c>
      <c r="H114" s="1917">
        <v>2490.4918518518521</v>
      </c>
      <c r="I114" s="1918">
        <f t="shared" si="5"/>
        <v>3362164</v>
      </c>
      <c r="J114" s="1919">
        <f t="shared" si="23"/>
        <v>3362164</v>
      </c>
      <c r="K114" s="1920"/>
      <c r="L114" s="1792"/>
      <c r="M114" s="718">
        <v>8409998030</v>
      </c>
      <c r="N114" s="1461"/>
      <c r="O114" s="1461"/>
      <c r="P114" s="1461"/>
      <c r="Q114" s="1461"/>
      <c r="R114" s="1466"/>
      <c r="S114" s="34"/>
    </row>
    <row r="115" spans="1:19" s="97" customFormat="1" ht="24" customHeight="1" thickBot="1">
      <c r="A115" s="1905" t="s">
        <v>4044</v>
      </c>
      <c r="B115" s="1906" t="s">
        <v>4039</v>
      </c>
      <c r="C115" s="1907" t="s">
        <v>5076</v>
      </c>
      <c r="D115" s="1783" t="s">
        <v>5077</v>
      </c>
      <c r="E115" s="1908">
        <v>46263</v>
      </c>
      <c r="F115" s="1783">
        <v>46263</v>
      </c>
      <c r="G115" s="1909">
        <v>1350</v>
      </c>
      <c r="H115" s="1910">
        <v>58140.826666666668</v>
      </c>
      <c r="I115" s="1912">
        <f t="shared" si="5"/>
        <v>78490116</v>
      </c>
      <c r="J115" s="1913">
        <f t="shared" si="23"/>
        <v>78490116</v>
      </c>
      <c r="K115" s="1911"/>
      <c r="L115" s="1792"/>
      <c r="M115" s="718">
        <v>8409998030</v>
      </c>
      <c r="N115" s="1461"/>
      <c r="O115" s="1461"/>
      <c r="P115" s="1461"/>
      <c r="Q115" s="1461"/>
      <c r="R115" s="1466"/>
      <c r="S115" s="34"/>
    </row>
    <row r="116" spans="1:19" s="97" customFormat="1" ht="24" customHeight="1">
      <c r="A116" s="1880" t="s">
        <v>664</v>
      </c>
      <c r="B116" s="1881" t="s">
        <v>4046</v>
      </c>
      <c r="C116" s="1938" t="s">
        <v>4916</v>
      </c>
      <c r="D116" s="1883" t="s">
        <v>4917</v>
      </c>
      <c r="E116" s="1884">
        <v>46246</v>
      </c>
      <c r="F116" s="1883">
        <v>46246</v>
      </c>
      <c r="G116" s="1582">
        <f>VLOOKUP(F116,환율!A:B,2,0)</f>
        <v>1415</v>
      </c>
      <c r="H116" s="1583">
        <v>400488.46</v>
      </c>
      <c r="I116" s="1585">
        <f t="shared" ref="I116:I141" si="24">ROUNDDOWN(H116*G116,0)</f>
        <v>566691170</v>
      </c>
      <c r="J116" s="1585">
        <f t="shared" ref="J116:J127" si="25">I116</f>
        <v>566691170</v>
      </c>
      <c r="K116" s="1586"/>
      <c r="L116" s="1792"/>
      <c r="M116" s="1771" t="s">
        <v>4992</v>
      </c>
      <c r="N116" s="1461"/>
      <c r="O116" s="1461"/>
      <c r="P116" s="1461"/>
      <c r="Q116" s="1461"/>
      <c r="R116" s="1466"/>
      <c r="S116" s="34"/>
    </row>
    <row r="117" spans="1:19" s="120" customFormat="1" ht="24" customHeight="1">
      <c r="A117" s="1483" t="s">
        <v>29</v>
      </c>
      <c r="B117" s="1881" t="s">
        <v>4046</v>
      </c>
      <c r="C117" s="1882" t="s">
        <v>4918</v>
      </c>
      <c r="D117" s="1882" t="s">
        <v>4919</v>
      </c>
      <c r="E117" s="1486">
        <v>46235</v>
      </c>
      <c r="F117" s="1883">
        <v>46235</v>
      </c>
      <c r="G117" s="1582">
        <f>VLOOKUP(F117,환율!A:B,2,0)</f>
        <v>1441.1</v>
      </c>
      <c r="H117" s="1583">
        <v>15808</v>
      </c>
      <c r="I117" s="1585">
        <f t="shared" si="24"/>
        <v>22780908</v>
      </c>
      <c r="J117" s="1585">
        <f t="shared" si="25"/>
        <v>22780908</v>
      </c>
      <c r="K117" s="1586"/>
      <c r="L117" s="1792"/>
      <c r="M117" s="1040">
        <v>8708400000</v>
      </c>
      <c r="N117" s="1461"/>
      <c r="O117" s="1461"/>
      <c r="P117" s="1461"/>
      <c r="Q117" s="1461"/>
      <c r="R117" s="1466"/>
      <c r="S117" s="20"/>
    </row>
    <row r="118" spans="1:19" s="120" customFormat="1" ht="24" customHeight="1">
      <c r="A118" s="1885" t="s">
        <v>29</v>
      </c>
      <c r="B118" s="1886" t="s">
        <v>4046</v>
      </c>
      <c r="C118" s="1750" t="s">
        <v>4920</v>
      </c>
      <c r="D118" s="1750" t="s">
        <v>4921</v>
      </c>
      <c r="E118" s="1486">
        <v>46249</v>
      </c>
      <c r="F118" s="1731">
        <v>46249</v>
      </c>
      <c r="G118" s="1939">
        <f>VLOOKUP(F118,환율!A:B,2,0)</f>
        <v>1414.9</v>
      </c>
      <c r="H118" s="1552">
        <v>89044.799999999988</v>
      </c>
      <c r="I118" s="1487">
        <f t="shared" si="24"/>
        <v>125989487</v>
      </c>
      <c r="J118" s="1487">
        <f t="shared" si="25"/>
        <v>125989487</v>
      </c>
      <c r="K118" s="1940"/>
      <c r="L118" s="1792"/>
      <c r="M118" s="1040">
        <v>8708400000</v>
      </c>
      <c r="N118" s="1461"/>
      <c r="O118" s="1461"/>
      <c r="P118" s="1461"/>
      <c r="Q118" s="1461"/>
      <c r="R118" s="1466"/>
      <c r="S118" s="20"/>
    </row>
    <row r="119" spans="1:19" s="120" customFormat="1" ht="24" customHeight="1">
      <c r="A119" s="1657" t="s">
        <v>29</v>
      </c>
      <c r="B119" s="1658" t="s">
        <v>4046</v>
      </c>
      <c r="C119" s="1643" t="s">
        <v>5078</v>
      </c>
      <c r="D119" s="1643" t="s">
        <v>5079</v>
      </c>
      <c r="E119" s="1493">
        <v>46251</v>
      </c>
      <c r="F119" s="1494">
        <v>46251</v>
      </c>
      <c r="G119" s="1598">
        <f>VLOOKUP(F119,환율!A:B,2,0)</f>
        <v>1414.9</v>
      </c>
      <c r="H119" s="1565">
        <v>46135.48</v>
      </c>
      <c r="I119" s="1497">
        <f t="shared" si="24"/>
        <v>65277090</v>
      </c>
      <c r="J119" s="1497">
        <f t="shared" si="25"/>
        <v>65277090</v>
      </c>
      <c r="K119" s="1660"/>
      <c r="L119" s="1861"/>
      <c r="M119" s="1040">
        <v>8708400000</v>
      </c>
      <c r="N119" s="1461"/>
      <c r="O119" s="1461"/>
      <c r="P119" s="1461"/>
      <c r="Q119" s="1461"/>
      <c r="R119" s="1466"/>
      <c r="S119" s="20"/>
    </row>
    <row r="120" spans="1:19" s="1040" customFormat="1" ht="24" customHeight="1">
      <c r="A120" s="1657" t="s">
        <v>664</v>
      </c>
      <c r="B120" s="1658" t="s">
        <v>4046</v>
      </c>
      <c r="C120" s="1643" t="s">
        <v>5080</v>
      </c>
      <c r="D120" s="1643" t="s">
        <v>5081</v>
      </c>
      <c r="E120" s="1493">
        <v>46256</v>
      </c>
      <c r="F120" s="1494">
        <v>46256</v>
      </c>
      <c r="G120" s="1598">
        <f>VLOOKUP(F120,환율!A:B,2,0)</f>
        <v>1393</v>
      </c>
      <c r="H120" s="1565">
        <v>367994.88</v>
      </c>
      <c r="I120" s="1497">
        <f t="shared" si="24"/>
        <v>512616867</v>
      </c>
      <c r="J120" s="1497">
        <f t="shared" si="25"/>
        <v>512616867</v>
      </c>
      <c r="K120" s="1660"/>
      <c r="L120" s="1862"/>
      <c r="M120" s="1040">
        <v>8708400000</v>
      </c>
      <c r="N120" s="1461"/>
      <c r="O120" s="1461"/>
      <c r="P120" s="1461"/>
      <c r="Q120" s="1461"/>
      <c r="R120" s="1466"/>
      <c r="S120" s="1457"/>
    </row>
    <row r="121" spans="1:19" s="1040" customFormat="1" ht="24" customHeight="1">
      <c r="A121" s="1657" t="s">
        <v>664</v>
      </c>
      <c r="B121" s="1658" t="s">
        <v>4046</v>
      </c>
      <c r="C121" s="1643" t="s">
        <v>5082</v>
      </c>
      <c r="D121" s="1643" t="s">
        <v>5083</v>
      </c>
      <c r="E121" s="1493">
        <v>46262</v>
      </c>
      <c r="F121" s="1494">
        <v>46262</v>
      </c>
      <c r="G121" s="1598">
        <f>VLOOKUP(F121,환율!A:B,2,0)</f>
        <v>1380.3</v>
      </c>
      <c r="H121" s="1565">
        <v>418505.6</v>
      </c>
      <c r="I121" s="1497">
        <f t="shared" si="24"/>
        <v>577663279</v>
      </c>
      <c r="J121" s="1497">
        <f t="shared" si="25"/>
        <v>577663279</v>
      </c>
      <c r="K121" s="1660"/>
      <c r="L121" s="1862"/>
      <c r="M121" s="1040">
        <v>8708400000</v>
      </c>
      <c r="N121" s="1461"/>
      <c r="O121" s="1461"/>
      <c r="P121" s="1461"/>
      <c r="Q121" s="1461"/>
      <c r="R121" s="1466"/>
      <c r="S121" s="1457"/>
    </row>
    <row r="122" spans="1:19" s="1040" customFormat="1" ht="24" customHeight="1">
      <c r="A122" s="1657" t="s">
        <v>664</v>
      </c>
      <c r="B122" s="1658" t="s">
        <v>4046</v>
      </c>
      <c r="C122" s="1643" t="s">
        <v>5146</v>
      </c>
      <c r="D122" s="1643" t="s">
        <v>5084</v>
      </c>
      <c r="E122" s="1493">
        <v>46255</v>
      </c>
      <c r="F122" s="1494">
        <v>46254</v>
      </c>
      <c r="G122" s="1598">
        <f>VLOOKUP(F122,환율!A:B,2,0)</f>
        <v>1402.5</v>
      </c>
      <c r="H122" s="1565">
        <v>9148.3799999999992</v>
      </c>
      <c r="I122" s="1497">
        <f t="shared" si="24"/>
        <v>12830602</v>
      </c>
      <c r="J122" s="1497">
        <f t="shared" si="25"/>
        <v>12830602</v>
      </c>
      <c r="K122" s="1660"/>
      <c r="L122" s="1862"/>
      <c r="M122" s="1040">
        <v>8708400000</v>
      </c>
      <c r="N122" s="1461"/>
      <c r="O122" s="1461"/>
      <c r="P122" s="1461"/>
      <c r="Q122" s="1461"/>
      <c r="R122" s="1466"/>
      <c r="S122" s="1457"/>
    </row>
    <row r="123" spans="1:19" s="1040" customFormat="1" ht="24" customHeight="1">
      <c r="A123" s="1662" t="s">
        <v>664</v>
      </c>
      <c r="B123" s="1663" t="s">
        <v>4046</v>
      </c>
      <c r="C123" s="1664" t="s">
        <v>5085</v>
      </c>
      <c r="D123" s="1664" t="s">
        <v>4596</v>
      </c>
      <c r="E123" s="1734"/>
      <c r="F123" s="1603">
        <v>46246</v>
      </c>
      <c r="G123" s="1605">
        <f>VLOOKUP(F123,환율!A:B,2,0)</f>
        <v>1415</v>
      </c>
      <c r="H123" s="1606">
        <v>94434.32</v>
      </c>
      <c r="I123" s="1607">
        <f t="shared" si="24"/>
        <v>133624562</v>
      </c>
      <c r="J123" s="1607">
        <f t="shared" si="25"/>
        <v>133624562</v>
      </c>
      <c r="K123" s="1665"/>
      <c r="L123" s="1862"/>
      <c r="M123" s="1040">
        <v>8708400000</v>
      </c>
      <c r="N123" s="1461"/>
      <c r="O123" s="1461"/>
      <c r="P123" s="1461"/>
      <c r="Q123" s="1461"/>
      <c r="R123" s="1466"/>
      <c r="S123" s="1457"/>
    </row>
    <row r="124" spans="1:19" s="1040" customFormat="1" ht="24" customHeight="1">
      <c r="A124" s="1662" t="s">
        <v>29</v>
      </c>
      <c r="B124" s="1663" t="s">
        <v>4046</v>
      </c>
      <c r="C124" s="1664" t="s">
        <v>5086</v>
      </c>
      <c r="D124" s="1664" t="s">
        <v>4596</v>
      </c>
      <c r="E124" s="1604"/>
      <c r="F124" s="1603">
        <v>46235</v>
      </c>
      <c r="G124" s="1605">
        <f>VLOOKUP(F124,환율!A:B,2,0)</f>
        <v>1441.1</v>
      </c>
      <c r="H124" s="1606">
        <v>3783.5</v>
      </c>
      <c r="I124" s="1607">
        <f t="shared" si="24"/>
        <v>5452401</v>
      </c>
      <c r="J124" s="1607">
        <f t="shared" si="25"/>
        <v>5452401</v>
      </c>
      <c r="K124" s="1665"/>
      <c r="L124" s="1862"/>
      <c r="M124" s="1040">
        <v>8708400000</v>
      </c>
      <c r="N124" s="1461"/>
      <c r="O124" s="1461"/>
      <c r="P124" s="1461"/>
      <c r="Q124" s="1461"/>
      <c r="R124" s="1466"/>
      <c r="S124" s="1457"/>
    </row>
    <row r="125" spans="1:19" s="718" customFormat="1" ht="24" customHeight="1">
      <c r="A125" s="1662" t="s">
        <v>29</v>
      </c>
      <c r="B125" s="1663" t="s">
        <v>4046</v>
      </c>
      <c r="C125" s="1664" t="s">
        <v>5087</v>
      </c>
      <c r="D125" s="1664" t="s">
        <v>4596</v>
      </c>
      <c r="E125" s="1734"/>
      <c r="F125" s="1603">
        <v>46251</v>
      </c>
      <c r="G125" s="1605">
        <f>VLOOKUP(F125,환율!A:B,2,0)</f>
        <v>1414.9</v>
      </c>
      <c r="H125" s="1606">
        <v>10979.83</v>
      </c>
      <c r="I125" s="1607">
        <f t="shared" si="24"/>
        <v>15535361</v>
      </c>
      <c r="J125" s="1607">
        <f t="shared" si="25"/>
        <v>15535361</v>
      </c>
      <c r="K125" s="1665"/>
      <c r="L125" s="1862"/>
      <c r="M125" s="1040">
        <v>8708400000</v>
      </c>
      <c r="N125" s="1461"/>
      <c r="O125" s="1461"/>
      <c r="P125" s="1461"/>
      <c r="Q125" s="1461"/>
      <c r="R125" s="1466"/>
      <c r="S125" s="1458"/>
    </row>
    <row r="126" spans="1:19" s="718" customFormat="1" ht="24" customHeight="1">
      <c r="A126" s="1662" t="s">
        <v>29</v>
      </c>
      <c r="B126" s="1663" t="s">
        <v>4046</v>
      </c>
      <c r="C126" s="1664" t="s">
        <v>5088</v>
      </c>
      <c r="D126" s="1664" t="s">
        <v>4596</v>
      </c>
      <c r="E126" s="1604"/>
      <c r="F126" s="1603">
        <v>46256</v>
      </c>
      <c r="G126" s="1605">
        <f>VLOOKUP(F126,환율!A:B,2,0)</f>
        <v>1393</v>
      </c>
      <c r="H126" s="1606">
        <v>91185.15</v>
      </c>
      <c r="I126" s="1607">
        <f t="shared" si="24"/>
        <v>127020913</v>
      </c>
      <c r="J126" s="1607">
        <f t="shared" si="25"/>
        <v>127020913</v>
      </c>
      <c r="K126" s="1665"/>
      <c r="L126" s="1862"/>
      <c r="M126" s="1040">
        <v>8708400000</v>
      </c>
      <c r="N126" s="1461"/>
      <c r="O126" s="1461"/>
      <c r="P126" s="1461"/>
      <c r="Q126" s="1461"/>
      <c r="R126" s="1466"/>
      <c r="S126" s="1458"/>
    </row>
    <row r="127" spans="1:19" s="718" customFormat="1" ht="24" customHeight="1">
      <c r="A127" s="1662" t="s">
        <v>29</v>
      </c>
      <c r="B127" s="1663" t="s">
        <v>626</v>
      </c>
      <c r="C127" s="1664" t="s">
        <v>5089</v>
      </c>
      <c r="D127" s="1664" t="s">
        <v>4596</v>
      </c>
      <c r="E127" s="1604"/>
      <c r="F127" s="1603">
        <v>46262</v>
      </c>
      <c r="G127" s="1605">
        <f>VLOOKUP(F127,환율!A:B,2,0)</f>
        <v>1380.3</v>
      </c>
      <c r="H127" s="1606">
        <v>98692.94</v>
      </c>
      <c r="I127" s="1607">
        <f t="shared" si="24"/>
        <v>136225865</v>
      </c>
      <c r="J127" s="1607">
        <f t="shared" si="25"/>
        <v>136225865</v>
      </c>
      <c r="K127" s="1661"/>
      <c r="L127" s="1862"/>
      <c r="M127" s="1040">
        <v>8708400000</v>
      </c>
      <c r="N127" s="1461"/>
      <c r="O127" s="1461"/>
      <c r="P127" s="1461"/>
      <c r="Q127" s="1461"/>
      <c r="R127" s="1466"/>
      <c r="S127" s="1458"/>
    </row>
    <row r="128" spans="1:19" s="718" customFormat="1" ht="24" customHeight="1">
      <c r="A128" s="1746" t="s">
        <v>29</v>
      </c>
      <c r="B128" s="1747" t="s">
        <v>626</v>
      </c>
      <c r="C128" s="1737" t="s">
        <v>5090</v>
      </c>
      <c r="D128" s="1737" t="s">
        <v>5091</v>
      </c>
      <c r="E128" s="1748"/>
      <c r="F128" s="1611">
        <v>46266</v>
      </c>
      <c r="G128" s="1612">
        <f>VLOOKUP(F128,환율!A:B,2,0)</f>
        <v>1373.6</v>
      </c>
      <c r="H128" s="1572">
        <v>390865.54</v>
      </c>
      <c r="I128" s="1573">
        <f t="shared" si="24"/>
        <v>536892905</v>
      </c>
      <c r="J128" s="1573"/>
      <c r="K128" s="1749">
        <f>I128</f>
        <v>536892905</v>
      </c>
      <c r="L128" s="1862"/>
      <c r="M128" s="1040">
        <v>8708400000</v>
      </c>
      <c r="N128" s="1461"/>
      <c r="O128" s="1461"/>
      <c r="P128" s="1461"/>
      <c r="Q128" s="1461"/>
      <c r="R128" s="1466"/>
      <c r="S128" s="1458"/>
    </row>
    <row r="129" spans="1:19" s="718" customFormat="1" ht="24" customHeight="1" thickBot="1">
      <c r="A129" s="1566" t="s">
        <v>664</v>
      </c>
      <c r="B129" s="1567" t="s">
        <v>626</v>
      </c>
      <c r="C129" s="1610" t="s">
        <v>5092</v>
      </c>
      <c r="D129" s="1611" t="s">
        <v>5093</v>
      </c>
      <c r="E129" s="1570"/>
      <c r="F129" s="1611">
        <v>46266</v>
      </c>
      <c r="G129" s="1612">
        <f>VLOOKUP(F129,환율!A:B,2,0)</f>
        <v>1373.6</v>
      </c>
      <c r="H129" s="1572">
        <v>97949.28</v>
      </c>
      <c r="I129" s="1573">
        <f t="shared" si="24"/>
        <v>134543131</v>
      </c>
      <c r="J129" s="1573"/>
      <c r="K129" s="1749">
        <f t="shared" ref="K129" si="26">I129</f>
        <v>134543131</v>
      </c>
      <c r="L129" s="1862"/>
      <c r="M129" s="1040">
        <v>8708400000</v>
      </c>
      <c r="N129" s="1461"/>
      <c r="O129" s="1461"/>
      <c r="P129" s="1721"/>
      <c r="Q129" s="1461"/>
      <c r="R129" s="1466"/>
      <c r="S129" s="1458"/>
    </row>
    <row r="130" spans="1:19" s="718" customFormat="1" ht="24" customHeight="1">
      <c r="A130" s="1666" t="s">
        <v>47</v>
      </c>
      <c r="B130" s="1667" t="s">
        <v>4047</v>
      </c>
      <c r="C130" s="1668" t="s">
        <v>4935</v>
      </c>
      <c r="D130" s="1669" t="s">
        <v>4936</v>
      </c>
      <c r="E130" s="1670">
        <v>46243</v>
      </c>
      <c r="F130" s="1671">
        <v>46243</v>
      </c>
      <c r="G130" s="1672">
        <f>VLOOKUP(F130,환율!A:B,2,0)</f>
        <v>1418.8</v>
      </c>
      <c r="H130" s="1673">
        <v>47209.919999999998</v>
      </c>
      <c r="I130" s="1674">
        <f t="shared" si="24"/>
        <v>66981434</v>
      </c>
      <c r="J130" s="1675">
        <f>I130</f>
        <v>66981434</v>
      </c>
      <c r="K130" s="1676" t="s">
        <v>720</v>
      </c>
      <c r="L130" s="1862"/>
      <c r="M130" s="1771">
        <f>SUM(K128:K129)</f>
        <v>671436036</v>
      </c>
      <c r="N130" s="1461"/>
      <c r="O130" s="1461"/>
      <c r="P130" s="1461"/>
      <c r="Q130" s="1461"/>
      <c r="R130" s="1466"/>
      <c r="S130" s="1458"/>
    </row>
    <row r="131" spans="1:19" s="97" customFormat="1" ht="24" customHeight="1">
      <c r="A131" s="1489" t="s">
        <v>28</v>
      </c>
      <c r="B131" s="1490" t="s">
        <v>4047</v>
      </c>
      <c r="C131" s="1596" t="s">
        <v>5094</v>
      </c>
      <c r="D131" s="1494" t="s">
        <v>5095</v>
      </c>
      <c r="E131" s="1597">
        <v>46261</v>
      </c>
      <c r="F131" s="1492">
        <v>46261</v>
      </c>
      <c r="G131" s="1564">
        <f>VLOOKUP(F131,환율!A:B,2,0)</f>
        <v>1384.6</v>
      </c>
      <c r="H131" s="1565">
        <v>39476</v>
      </c>
      <c r="I131" s="1497">
        <f t="shared" si="24"/>
        <v>54658469</v>
      </c>
      <c r="J131" s="1498">
        <f>I131</f>
        <v>54658469</v>
      </c>
      <c r="K131" s="1499"/>
      <c r="L131" s="1943"/>
      <c r="M131" s="718">
        <v>8486902090</v>
      </c>
      <c r="N131" s="1461"/>
      <c r="O131" s="1461"/>
      <c r="P131" s="1461"/>
      <c r="Q131" s="1461"/>
      <c r="R131" s="1466"/>
      <c r="S131" s="34"/>
    </row>
    <row r="132" spans="1:19" s="97" customFormat="1" ht="24" customHeight="1" thickBot="1">
      <c r="A132" s="1685" t="s">
        <v>28</v>
      </c>
      <c r="B132" s="1686" t="s">
        <v>4047</v>
      </c>
      <c r="C132" s="1623" t="s">
        <v>5096</v>
      </c>
      <c r="D132" s="1688" t="s">
        <v>5097</v>
      </c>
      <c r="E132" s="1624"/>
      <c r="F132" s="1625">
        <v>46266</v>
      </c>
      <c r="G132" s="1689">
        <f>VLOOKUP(F132,환율!A:B,2,0)</f>
        <v>1373.6</v>
      </c>
      <c r="H132" s="1626">
        <v>66786.64</v>
      </c>
      <c r="I132" s="1690">
        <f t="shared" si="24"/>
        <v>91738128</v>
      </c>
      <c r="J132" s="1691"/>
      <c r="K132" s="1627">
        <f t="shared" ref="K132" si="27">I132</f>
        <v>91738128</v>
      </c>
      <c r="L132" s="1792"/>
      <c r="M132" s="718"/>
      <c r="N132" s="1461"/>
      <c r="O132" s="1461"/>
      <c r="P132" s="1461"/>
      <c r="Q132" s="1461"/>
      <c r="R132" s="1466"/>
      <c r="S132" s="34"/>
    </row>
    <row r="133" spans="1:19" s="97" customFormat="1" ht="24" customHeight="1">
      <c r="A133" s="1613" t="s">
        <v>40</v>
      </c>
      <c r="B133" s="1614" t="s">
        <v>4048</v>
      </c>
      <c r="C133" s="1683" t="s">
        <v>4948</v>
      </c>
      <c r="D133" s="1683" t="s">
        <v>4949</v>
      </c>
      <c r="E133" s="1578">
        <v>46242</v>
      </c>
      <c r="F133" s="1577">
        <v>46241</v>
      </c>
      <c r="G133" s="1616">
        <f>VLOOKUP(F133,환율!A:B,2,0)</f>
        <v>1418.8</v>
      </c>
      <c r="H133" s="1546">
        <v>8626</v>
      </c>
      <c r="I133" s="1547">
        <f t="shared" si="24"/>
        <v>12238568</v>
      </c>
      <c r="J133" s="1547">
        <f t="shared" ref="J133:J138" si="28">I133</f>
        <v>12238568</v>
      </c>
      <c r="K133" s="1617"/>
      <c r="L133" s="1792"/>
      <c r="M133" s="718" t="s">
        <v>5147</v>
      </c>
      <c r="N133" s="1461"/>
      <c r="O133" s="1461"/>
      <c r="P133" s="1461"/>
      <c r="Q133" s="1461"/>
      <c r="R133" s="1466"/>
      <c r="S133" s="34"/>
    </row>
    <row r="134" spans="1:19" s="97" customFormat="1" ht="24" customHeight="1">
      <c r="A134" s="1483" t="s">
        <v>30</v>
      </c>
      <c r="B134" s="1484" t="s">
        <v>4047</v>
      </c>
      <c r="C134" s="1750" t="s">
        <v>4950</v>
      </c>
      <c r="D134" s="1750" t="s">
        <v>4951</v>
      </c>
      <c r="E134" s="1733">
        <v>46242</v>
      </c>
      <c r="F134" s="1731">
        <v>46241</v>
      </c>
      <c r="G134" s="1551">
        <f>VLOOKUP(F134,환율!A:B,2,0)</f>
        <v>1418.8</v>
      </c>
      <c r="H134" s="1552">
        <v>15936</v>
      </c>
      <c r="I134" s="1487">
        <f t="shared" si="24"/>
        <v>22609996</v>
      </c>
      <c r="J134" s="1488">
        <f t="shared" si="28"/>
        <v>22609996</v>
      </c>
      <c r="K134" s="1553"/>
      <c r="L134" s="1862"/>
      <c r="M134" s="718" t="s">
        <v>5147</v>
      </c>
      <c r="N134" s="1461"/>
      <c r="O134" s="1461"/>
      <c r="P134" s="1461"/>
      <c r="Q134" s="1461"/>
      <c r="R134" s="1466"/>
      <c r="S134" s="34"/>
    </row>
    <row r="135" spans="1:19" s="97" customFormat="1" ht="24" customHeight="1">
      <c r="A135" s="1489" t="s">
        <v>30</v>
      </c>
      <c r="B135" s="1490" t="s">
        <v>4047</v>
      </c>
      <c r="C135" s="1643" t="s">
        <v>5098</v>
      </c>
      <c r="D135" s="1643" t="s">
        <v>5102</v>
      </c>
      <c r="E135" s="1597">
        <v>46252</v>
      </c>
      <c r="F135" s="1494">
        <v>46252</v>
      </c>
      <c r="G135" s="1564">
        <f>VLOOKUP(F135,환율!A:B,2,0)</f>
        <v>1415.2</v>
      </c>
      <c r="H135" s="1565">
        <v>3519.4</v>
      </c>
      <c r="I135" s="1497">
        <f t="shared" si="24"/>
        <v>4980654</v>
      </c>
      <c r="J135" s="1498">
        <f t="shared" si="28"/>
        <v>4980654</v>
      </c>
      <c r="K135" s="1499"/>
      <c r="L135" s="1792"/>
      <c r="M135" s="718" t="s">
        <v>5147</v>
      </c>
      <c r="N135" s="1461"/>
      <c r="O135" s="1461"/>
      <c r="P135" s="1461"/>
      <c r="Q135" s="1461"/>
      <c r="R135" s="1466"/>
      <c r="S135" s="34"/>
    </row>
    <row r="136" spans="1:19" s="97" customFormat="1" ht="24" customHeight="1">
      <c r="A136" s="1489" t="s">
        <v>30</v>
      </c>
      <c r="B136" s="1490" t="s">
        <v>4047</v>
      </c>
      <c r="C136" s="1643" t="s">
        <v>5099</v>
      </c>
      <c r="D136" s="1643" t="s">
        <v>5103</v>
      </c>
      <c r="E136" s="1597">
        <v>46255</v>
      </c>
      <c r="F136" s="1494">
        <v>46255</v>
      </c>
      <c r="G136" s="1564">
        <f>VLOOKUP(F136,환율!A:B,2,0)</f>
        <v>1393</v>
      </c>
      <c r="H136" s="1565">
        <v>15936</v>
      </c>
      <c r="I136" s="1497">
        <f t="shared" si="24"/>
        <v>22198848</v>
      </c>
      <c r="J136" s="1498">
        <f t="shared" si="28"/>
        <v>22198848</v>
      </c>
      <c r="K136" s="1499"/>
      <c r="L136" s="1792"/>
      <c r="M136" s="718" t="s">
        <v>5147</v>
      </c>
      <c r="N136" s="1461"/>
      <c r="O136" s="1461"/>
      <c r="P136" s="1461"/>
      <c r="Q136" s="1461"/>
      <c r="R136" s="1466"/>
      <c r="S136" s="34"/>
    </row>
    <row r="137" spans="1:19" s="97" customFormat="1" ht="24" customHeight="1">
      <c r="A137" s="1489" t="s">
        <v>30</v>
      </c>
      <c r="B137" s="1490" t="s">
        <v>4047</v>
      </c>
      <c r="C137" s="1643" t="s">
        <v>5100</v>
      </c>
      <c r="D137" s="1643" t="s">
        <v>5104</v>
      </c>
      <c r="E137" s="1597">
        <v>46263</v>
      </c>
      <c r="F137" s="1494">
        <v>46263</v>
      </c>
      <c r="G137" s="1564">
        <f>VLOOKUP(F137,환율!A:B,2,0)</f>
        <v>1380.3</v>
      </c>
      <c r="H137" s="1565">
        <v>15936.000000000002</v>
      </c>
      <c r="I137" s="1497">
        <f t="shared" si="24"/>
        <v>21996460</v>
      </c>
      <c r="J137" s="1498">
        <f t="shared" si="28"/>
        <v>21996460</v>
      </c>
      <c r="K137" s="1499"/>
      <c r="L137" s="1792"/>
      <c r="M137" s="718" t="s">
        <v>5147</v>
      </c>
      <c r="N137" s="1461"/>
      <c r="O137" s="1461"/>
      <c r="P137" s="1461"/>
      <c r="Q137" s="1461"/>
      <c r="R137" s="1466"/>
      <c r="S137" s="34"/>
    </row>
    <row r="138" spans="1:19" s="97" customFormat="1" ht="24" customHeight="1" thickBot="1">
      <c r="A138" s="1905" t="s">
        <v>30</v>
      </c>
      <c r="B138" s="1906" t="s">
        <v>4047</v>
      </c>
      <c r="C138" s="1921" t="s">
        <v>5101</v>
      </c>
      <c r="D138" s="1921" t="s">
        <v>5105</v>
      </c>
      <c r="E138" s="1908">
        <v>46263</v>
      </c>
      <c r="F138" s="1783">
        <v>46263</v>
      </c>
      <c r="G138" s="1909">
        <f>VLOOKUP(F138,환율!A:B,2,0)</f>
        <v>1380.3</v>
      </c>
      <c r="H138" s="1910">
        <v>19408.5</v>
      </c>
      <c r="I138" s="1922">
        <f t="shared" ref="I138" si="29">ROUNDDOWN(G138*H138,0)</f>
        <v>26789552</v>
      </c>
      <c r="J138" s="1924">
        <f t="shared" si="28"/>
        <v>26789552</v>
      </c>
      <c r="K138" s="1923"/>
      <c r="L138" s="1792"/>
      <c r="M138" s="718" t="s">
        <v>5147</v>
      </c>
      <c r="N138" s="1461"/>
      <c r="O138" s="1461"/>
      <c r="P138" s="1461"/>
      <c r="Q138" s="1461"/>
      <c r="R138" s="1466"/>
      <c r="S138" s="34"/>
    </row>
    <row r="139" spans="1:19" s="97" customFormat="1" ht="24" customHeight="1">
      <c r="A139" s="1760" t="s">
        <v>15</v>
      </c>
      <c r="B139" s="1761" t="s">
        <v>4048</v>
      </c>
      <c r="C139" s="1762" t="s">
        <v>4956</v>
      </c>
      <c r="D139" s="1762" t="s">
        <v>4959</v>
      </c>
      <c r="E139" s="1763">
        <v>46236</v>
      </c>
      <c r="F139" s="1764">
        <v>46253</v>
      </c>
      <c r="G139" s="1765">
        <f>VLOOKUP(F139,환율!A:B,2,0)</f>
        <v>1411</v>
      </c>
      <c r="H139" s="1766">
        <v>44497.83</v>
      </c>
      <c r="I139" s="1767">
        <f>ROUNDDOWN(H139*G139,0)</f>
        <v>62786438</v>
      </c>
      <c r="J139" s="1585">
        <f t="shared" ref="J139:J140" si="30">I139</f>
        <v>62786438</v>
      </c>
      <c r="K139" s="1768"/>
      <c r="L139" s="1792"/>
      <c r="M139" s="1771">
        <f>SUM(K138:K138)</f>
        <v>0</v>
      </c>
      <c r="N139" s="1461"/>
      <c r="O139" s="1461"/>
      <c r="P139" s="1461"/>
      <c r="Q139" s="1461"/>
      <c r="R139" s="1466"/>
      <c r="S139" s="34"/>
    </row>
    <row r="140" spans="1:19" s="718" customFormat="1" ht="24" customHeight="1">
      <c r="A140" s="1489" t="s">
        <v>15</v>
      </c>
      <c r="B140" s="1490" t="s">
        <v>4048</v>
      </c>
      <c r="C140" s="1643" t="s">
        <v>5106</v>
      </c>
      <c r="D140" s="1643" t="s">
        <v>5107</v>
      </c>
      <c r="E140" s="1597">
        <v>46250</v>
      </c>
      <c r="F140" s="1494">
        <v>46250</v>
      </c>
      <c r="G140" s="1564">
        <f>VLOOKUP(F140,환율!A:B,2,0)</f>
        <v>1414.9</v>
      </c>
      <c r="H140" s="1565">
        <v>68009.240000000005</v>
      </c>
      <c r="I140" s="1497">
        <f t="shared" si="24"/>
        <v>96226273</v>
      </c>
      <c r="J140" s="1498">
        <f t="shared" si="30"/>
        <v>96226273</v>
      </c>
      <c r="K140" s="1499"/>
      <c r="L140" s="1792"/>
      <c r="M140" s="718">
        <v>8486902090</v>
      </c>
      <c r="N140" s="1461"/>
      <c r="O140" s="1461"/>
      <c r="P140" s="1461"/>
      <c r="Q140" s="1461"/>
      <c r="R140" s="1466"/>
      <c r="S140" s="34"/>
    </row>
    <row r="141" spans="1:19" s="718" customFormat="1" ht="24" customHeight="1">
      <c r="A141" s="1566" t="s">
        <v>15</v>
      </c>
      <c r="B141" s="1567" t="s">
        <v>4048</v>
      </c>
      <c r="C141" s="1687" t="s">
        <v>5108</v>
      </c>
      <c r="D141" s="1687" t="s">
        <v>5109</v>
      </c>
      <c r="E141" s="1925">
        <v>46267</v>
      </c>
      <c r="F141" s="1611">
        <v>46267</v>
      </c>
      <c r="G141" s="1571">
        <f>VLOOKUP(F141,환율!A:B,2,0)</f>
        <v>1370.3</v>
      </c>
      <c r="H141" s="1572">
        <v>24143.39</v>
      </c>
      <c r="I141" s="1573">
        <f t="shared" si="24"/>
        <v>33083687</v>
      </c>
      <c r="J141" s="1574"/>
      <c r="K141" s="1627">
        <f>I141</f>
        <v>33083687</v>
      </c>
      <c r="L141" s="1792"/>
      <c r="M141" s="1944" t="s">
        <v>5148</v>
      </c>
      <c r="N141" s="1461"/>
      <c r="O141" s="1461"/>
      <c r="P141" s="1461"/>
      <c r="Q141" s="1461"/>
      <c r="R141" s="1466"/>
      <c r="S141" s="34"/>
    </row>
    <row r="142" spans="1:19" s="718" customFormat="1" ht="24" customHeight="1" thickBot="1">
      <c r="A142" s="1646" t="s">
        <v>15</v>
      </c>
      <c r="B142" s="1647" t="s">
        <v>4048</v>
      </c>
      <c r="C142" s="1692" t="s">
        <v>5110</v>
      </c>
      <c r="D142" s="1692" t="s">
        <v>5111</v>
      </c>
      <c r="E142" s="1702"/>
      <c r="F142" s="1649">
        <v>46266</v>
      </c>
      <c r="G142" s="1651">
        <f>VLOOKUP(F142,환율!A:B,2,0)</f>
        <v>1373.6</v>
      </c>
      <c r="H142" s="1652">
        <v>28589.05</v>
      </c>
      <c r="I142" s="1653">
        <f t="shared" ref="I142" si="31">ROUNDDOWN(G142*H142,0)</f>
        <v>39269919</v>
      </c>
      <c r="J142" s="1654"/>
      <c r="K142" s="1655">
        <f>I142</f>
        <v>39269919</v>
      </c>
      <c r="L142" s="1792"/>
      <c r="N142" s="1461"/>
      <c r="O142" s="1461"/>
      <c r="P142" s="1461"/>
      <c r="Q142" s="1461"/>
      <c r="R142" s="1466"/>
      <c r="S142" s="1458"/>
    </row>
    <row r="143" spans="1:19" s="718" customFormat="1" ht="24" customHeight="1">
      <c r="A143" s="1703" t="s">
        <v>4049</v>
      </c>
      <c r="B143" s="1704" t="s">
        <v>4048</v>
      </c>
      <c r="C143" s="1705" t="s">
        <v>5112</v>
      </c>
      <c r="D143" s="1706" t="s">
        <v>5113</v>
      </c>
      <c r="E143" s="1707"/>
      <c r="F143" s="1521">
        <v>46253</v>
      </c>
      <c r="G143" s="1708">
        <f>VLOOKUP(F143,환율!A:B,2,0)</f>
        <v>1411</v>
      </c>
      <c r="H143" s="1709">
        <v>36484</v>
      </c>
      <c r="I143" s="1710">
        <v>43052800</v>
      </c>
      <c r="J143" s="1524">
        <f>I143</f>
        <v>43052800</v>
      </c>
      <c r="K143" s="1711"/>
      <c r="L143" s="1792"/>
      <c r="M143" s="718" t="s">
        <v>5147</v>
      </c>
      <c r="N143" s="1461"/>
      <c r="O143" s="1461"/>
      <c r="P143" s="1461"/>
      <c r="Q143" s="1461"/>
      <c r="R143" s="1466"/>
      <c r="S143" s="1458"/>
    </row>
    <row r="144" spans="1:19" s="97" customFormat="1" ht="24" customHeight="1" thickBot="1">
      <c r="A144" s="1591" t="s">
        <v>4049</v>
      </c>
      <c r="B144" s="1592" t="s">
        <v>4048</v>
      </c>
      <c r="C144" s="1712" t="s">
        <v>5114</v>
      </c>
      <c r="D144" s="1713" t="s">
        <v>5113</v>
      </c>
      <c r="E144" s="1714"/>
      <c r="F144" s="1494">
        <v>46261</v>
      </c>
      <c r="G144" s="1594">
        <f>VLOOKUP(F144,환율!A:B,2,0)</f>
        <v>1384.6</v>
      </c>
      <c r="H144" s="1715">
        <v>18242</v>
      </c>
      <c r="I144" s="1716">
        <v>21526400</v>
      </c>
      <c r="J144" s="1528">
        <f>I144</f>
        <v>21526400</v>
      </c>
      <c r="K144" s="1505"/>
      <c r="L144" s="1803"/>
      <c r="M144" s="718" t="s">
        <v>5147</v>
      </c>
      <c r="N144" s="1461"/>
      <c r="O144" s="1461"/>
      <c r="P144" s="1461"/>
      <c r="Q144" s="1461"/>
      <c r="R144" s="1466"/>
      <c r="S144" s="34"/>
    </row>
    <row r="145" spans="1:19" s="97" customFormat="1" ht="24" customHeight="1" thickBot="1">
      <c r="A145" s="2165" t="s">
        <v>4056</v>
      </c>
      <c r="B145" s="2164"/>
      <c r="C145" s="2164"/>
      <c r="D145" s="2164"/>
      <c r="E145" s="2164"/>
      <c r="F145" s="2164"/>
      <c r="G145" s="2164"/>
      <c r="H145" s="1153"/>
      <c r="I145" s="1154">
        <f>SUM(I31:I144)</f>
        <v>8291148968</v>
      </c>
      <c r="J145" s="948">
        <f>SUM(J31:J144)</f>
        <v>6052975109</v>
      </c>
      <c r="K145" s="949">
        <f>SUM(K31:K144)</f>
        <v>2238173859</v>
      </c>
      <c r="L145" s="1856"/>
      <c r="M145" s="718"/>
      <c r="N145" s="40"/>
      <c r="O145" s="40"/>
      <c r="P145" s="40"/>
      <c r="Q145" s="40"/>
      <c r="R145" s="34"/>
      <c r="S145" s="34"/>
    </row>
    <row r="146" spans="1:19" s="496" customFormat="1" ht="24" customHeight="1">
      <c r="A146" s="809"/>
      <c r="B146" s="809"/>
      <c r="C146" s="810"/>
      <c r="D146" s="810" t="s">
        <v>4715</v>
      </c>
      <c r="E146" s="811"/>
      <c r="F146" s="1172"/>
      <c r="G146" s="810"/>
      <c r="H146" s="2194" t="s">
        <v>4411</v>
      </c>
      <c r="I146" s="2194"/>
      <c r="J146" s="1163">
        <f>SUM(I49:I144)-K145</f>
        <v>5192402512</v>
      </c>
      <c r="K146" s="810" t="s">
        <v>4985</v>
      </c>
      <c r="L146" s="1802"/>
      <c r="N146" s="1460"/>
      <c r="O146" s="1719"/>
      <c r="P146" s="1719"/>
      <c r="Q146" s="1460"/>
      <c r="R146" s="1459"/>
      <c r="S146" s="1459"/>
    </row>
    <row r="147" spans="1:19" s="34" customFormat="1" ht="19.2">
      <c r="A147" s="809"/>
      <c r="B147" s="809"/>
      <c r="C147" s="810"/>
      <c r="D147" s="810"/>
      <c r="E147" s="811"/>
      <c r="F147" s="1172"/>
      <c r="G147" s="810"/>
      <c r="H147" s="1468"/>
      <c r="I147" s="1468"/>
      <c r="J147" s="1163"/>
      <c r="K147" s="810"/>
      <c r="L147" s="1172"/>
      <c r="M147" s="1727"/>
      <c r="N147" s="1460"/>
      <c r="O147" s="1460"/>
      <c r="P147" s="1460"/>
      <c r="Q147" s="1460"/>
      <c r="R147" s="1459"/>
    </row>
    <row r="148" spans="1:19" s="34" customFormat="1" ht="28.5" customHeight="1">
      <c r="A148" s="809"/>
      <c r="B148" s="809"/>
      <c r="C148" s="810"/>
      <c r="D148" s="810"/>
      <c r="E148" s="811"/>
      <c r="F148" s="1172"/>
      <c r="G148" s="810"/>
      <c r="H148" s="1119"/>
      <c r="I148" s="810"/>
      <c r="J148" s="810"/>
      <c r="K148" s="810"/>
      <c r="L148" s="1790"/>
      <c r="M148" s="1727"/>
      <c r="N148" s="40"/>
      <c r="O148" s="40"/>
      <c r="P148" s="40"/>
      <c r="Q148" s="40"/>
    </row>
    <row r="149" spans="1:19">
      <c r="I149" s="1018"/>
    </row>
  </sheetData>
  <autoFilter ref="A30:K146" xr:uid="{1CCF8D2F-36BE-46CD-94BA-38FEC2C856C0}"/>
  <mergeCells count="44">
    <mergeCell ref="E17:G17"/>
    <mergeCell ref="A1:G4"/>
    <mergeCell ref="A5:B5"/>
    <mergeCell ref="A6:B6"/>
    <mergeCell ref="A7:B7"/>
    <mergeCell ref="A8:A23"/>
    <mergeCell ref="E8:G8"/>
    <mergeCell ref="E9:G9"/>
    <mergeCell ref="E10:G10"/>
    <mergeCell ref="B11:C11"/>
    <mergeCell ref="E11:G11"/>
    <mergeCell ref="E12:G12"/>
    <mergeCell ref="E13:G13"/>
    <mergeCell ref="E14:G14"/>
    <mergeCell ref="E15:G15"/>
    <mergeCell ref="E16:G16"/>
    <mergeCell ref="E18:G18"/>
    <mergeCell ref="E19:G19"/>
    <mergeCell ref="E20:G20"/>
    <mergeCell ref="E21:G21"/>
    <mergeCell ref="B22:C22"/>
    <mergeCell ref="E22:G22"/>
    <mergeCell ref="B23:C23"/>
    <mergeCell ref="E23:G23"/>
    <mergeCell ref="A24:A27"/>
    <mergeCell ref="E24:G24"/>
    <mergeCell ref="H24:H27"/>
    <mergeCell ref="E25:G25"/>
    <mergeCell ref="E27:G27"/>
    <mergeCell ref="N27:P27"/>
    <mergeCell ref="A29:A30"/>
    <mergeCell ref="B29:B30"/>
    <mergeCell ref="C29:C30"/>
    <mergeCell ref="D29:D30"/>
    <mergeCell ref="E29:E30"/>
    <mergeCell ref="F29:F30"/>
    <mergeCell ref="G29:G30"/>
    <mergeCell ref="H29:K29"/>
    <mergeCell ref="K26:K27"/>
    <mergeCell ref="A145:D145"/>
    <mergeCell ref="E145:G145"/>
    <mergeCell ref="H146:I146"/>
    <mergeCell ref="E26:G26"/>
    <mergeCell ref="J26:J27"/>
  </mergeCells>
  <phoneticPr fontId="2" type="noConversion"/>
  <conditionalFormatting sqref="A5:A7 A29:K29 C30:K46 L30:L48 A47:K49 C50:K129 L50:L146 A130:K130 C131:K138 A139:K144 H145:K145">
    <cfRule type="expression" dxfId="40" priority="8">
      <formula>#REF!="*01월*"</formula>
    </cfRule>
  </conditionalFormatting>
  <conditionalFormatting sqref="A30">
    <cfRule type="expression" dxfId="39" priority="4">
      <formula>#REF!="*01월*"</formula>
    </cfRule>
  </conditionalFormatting>
  <conditionalFormatting sqref="A145">
    <cfRule type="expression" dxfId="38" priority="7">
      <formula>#REF!="*01월*"</formula>
    </cfRule>
  </conditionalFormatting>
  <conditionalFormatting sqref="A31:B31 A107:B107 A112:B113">
    <cfRule type="expression" dxfId="37" priority="17">
      <formula>#REF!="*01월*"</formula>
    </cfRule>
  </conditionalFormatting>
  <conditionalFormatting sqref="B19:B22">
    <cfRule type="expression" dxfId="36" priority="5">
      <formula>#REF!="*01월*"</formula>
    </cfRule>
  </conditionalFormatting>
  <conditionalFormatting sqref="B10:C10 B11 B12:C12 B13:B16">
    <cfRule type="expression" dxfId="35" priority="12">
      <formula>#REF!="*01월*"</formula>
    </cfRule>
  </conditionalFormatting>
  <conditionalFormatting sqref="B17:C18">
    <cfRule type="expression" dxfId="34" priority="10">
      <formula>#REF!="*01월*"</formula>
    </cfRule>
  </conditionalFormatting>
  <conditionalFormatting sqref="B24:C27">
    <cfRule type="expression" dxfId="33" priority="6">
      <formula>#REF!="*01월*"</formula>
    </cfRule>
  </conditionalFormatting>
  <conditionalFormatting sqref="C15:C16">
    <cfRule type="expression" dxfId="32" priority="11">
      <formula>#REF!="*01월*"</formula>
    </cfRule>
  </conditionalFormatting>
  <conditionalFormatting sqref="C20:C21">
    <cfRule type="expression" dxfId="31" priority="9">
      <formula>#REF!="*01월*"</formula>
    </cfRule>
  </conditionalFormatting>
  <conditionalFormatting sqref="D5:E5 G5">
    <cfRule type="expression" dxfId="30" priority="20">
      <formula>$F10="*01월*"</formula>
    </cfRule>
  </conditionalFormatting>
  <conditionalFormatting sqref="D6:E7 G6:G7">
    <cfRule type="expression" dxfId="29" priority="21">
      <formula>$F12="*01월*"</formula>
    </cfRule>
  </conditionalFormatting>
  <conditionalFormatting sqref="D8:E8 E12:E19 F67:F69">
    <cfRule type="expression" dxfId="28" priority="15">
      <formula>$F10="*01월*"</formula>
    </cfRule>
  </conditionalFormatting>
  <conditionalFormatting sqref="D47:E47 F69">
    <cfRule type="expression" dxfId="27" priority="2">
      <formula>$F48="*01월*"</formula>
    </cfRule>
  </conditionalFormatting>
  <conditionalFormatting sqref="E9:E10 E20">
    <cfRule type="expression" dxfId="26" priority="22">
      <formula>$F12="*01월*"</formula>
    </cfRule>
  </conditionalFormatting>
  <conditionalFormatting sqref="E21">
    <cfRule type="expression" dxfId="25" priority="19">
      <formula>#REF!="*01월*"</formula>
    </cfRule>
  </conditionalFormatting>
  <conditionalFormatting sqref="F68:F69">
    <cfRule type="expression" dxfId="24" priority="18">
      <formula>#REF!="*01월*"</formula>
    </cfRule>
  </conditionalFormatting>
  <conditionalFormatting sqref="H8:J8">
    <cfRule type="expression" dxfId="23" priority="13">
      <formula>$F10="*01월*"</formula>
    </cfRule>
  </conditionalFormatting>
  <conditionalFormatting sqref="M30">
    <cfRule type="expression" dxfId="22" priority="1">
      <formula>#REF!="*01월*"</formula>
    </cfRule>
  </conditionalFormatting>
  <pageMargins left="0.43307086614173229" right="0" top="0.59055118110236227" bottom="0.55118110236220474" header="0" footer="0"/>
  <pageSetup paperSize="9" scale="55" fitToHeight="0" orientation="portrait" r:id="rId1"/>
  <rowBreaks count="1" manualBreakCount="1">
    <brk id="56" max="10" man="1"/>
  </rowBreaks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733A7-C337-466B-AEAC-8341C4B7B4FB}">
  <sheetPr>
    <pageSetUpPr fitToPage="1"/>
  </sheetPr>
  <dimension ref="A1:T137"/>
  <sheetViews>
    <sheetView tabSelected="1" topLeftCell="A25" zoomScale="85" zoomScaleNormal="85" zoomScaleSheetLayoutView="100" workbookViewId="0">
      <selection activeCell="C39" sqref="C39"/>
    </sheetView>
  </sheetViews>
  <sheetFormatPr defaultRowHeight="17.399999999999999"/>
  <cols>
    <col min="1" max="1" width="13.59765625" style="809" customWidth="1"/>
    <col min="2" max="2" width="9.59765625" style="809" customWidth="1"/>
    <col min="3" max="3" width="24.09765625" style="810" customWidth="1"/>
    <col min="4" max="4" width="18.69921875" style="810" customWidth="1"/>
    <col min="5" max="5" width="9.19921875" style="811" customWidth="1"/>
    <col min="6" max="6" width="9.19921875" style="1172" customWidth="1"/>
    <col min="7" max="7" width="9.19921875" style="810" customWidth="1"/>
    <col min="8" max="8" width="16.8984375" style="1119" customWidth="1"/>
    <col min="9" max="10" width="16.8984375" style="810" customWidth="1"/>
    <col min="11" max="11" width="17.3984375" style="810" customWidth="1"/>
    <col min="12" max="12" width="17.3984375" style="1172" customWidth="1"/>
    <col min="13" max="13" width="16.3984375" style="1727" customWidth="1"/>
    <col min="14" max="16" width="14.19921875" style="40" customWidth="1"/>
    <col min="17" max="17" width="15.19921875" style="40" customWidth="1"/>
    <col min="18" max="18" width="14.19921875" style="34" customWidth="1"/>
    <col min="19" max="19" width="14.8984375" style="34" customWidth="1"/>
    <col min="20" max="20" width="14.8984375" customWidth="1"/>
  </cols>
  <sheetData>
    <row r="1" spans="1:19" ht="21.75" customHeight="1">
      <c r="A1" s="2163" t="s">
        <v>5293</v>
      </c>
      <c r="B1" s="2163"/>
      <c r="C1" s="2163"/>
      <c r="D1" s="2163"/>
      <c r="E1" s="2163"/>
      <c r="F1" s="2163"/>
      <c r="G1" s="2163"/>
      <c r="H1" s="810"/>
      <c r="K1"/>
      <c r="L1" s="1727"/>
    </row>
    <row r="2" spans="1:19" ht="21.75" customHeight="1">
      <c r="A2" s="2163"/>
      <c r="B2" s="2163"/>
      <c r="C2" s="2163"/>
      <c r="D2" s="2163"/>
      <c r="E2" s="2163"/>
      <c r="F2" s="2163"/>
      <c r="G2" s="2163"/>
      <c r="H2" s="810"/>
      <c r="K2"/>
      <c r="L2" s="1727"/>
    </row>
    <row r="3" spans="1:19" ht="19.5" customHeight="1">
      <c r="A3" s="2163"/>
      <c r="B3" s="2163"/>
      <c r="C3" s="2163"/>
      <c r="D3" s="2163"/>
      <c r="E3" s="2163"/>
      <c r="F3" s="2163"/>
      <c r="G3" s="2163"/>
      <c r="H3" s="1114"/>
      <c r="I3" s="1115"/>
      <c r="J3" s="812"/>
      <c r="K3" s="812"/>
      <c r="L3" s="1793"/>
    </row>
    <row r="4" spans="1:19" ht="19.5" customHeight="1">
      <c r="A4" s="2163"/>
      <c r="B4" s="2163"/>
      <c r="C4" s="2163"/>
      <c r="D4" s="2163"/>
      <c r="E4" s="2163"/>
      <c r="F4" s="2163"/>
      <c r="G4" s="2163"/>
      <c r="H4" s="1114"/>
      <c r="I4" s="1115"/>
      <c r="J4" s="812"/>
      <c r="K4" s="812"/>
      <c r="L4" s="1793"/>
    </row>
    <row r="5" spans="1:19" ht="19.5" customHeight="1">
      <c r="A5" s="2175" t="s">
        <v>3749</v>
      </c>
      <c r="B5" s="2175"/>
      <c r="C5" s="944"/>
      <c r="D5" s="944"/>
      <c r="E5" s="944"/>
      <c r="F5" s="1210"/>
      <c r="G5" s="944"/>
      <c r="H5" s="1114"/>
      <c r="I5" s="1115"/>
      <c r="J5" s="812"/>
      <c r="K5" s="812"/>
      <c r="L5" s="1793"/>
    </row>
    <row r="6" spans="1:19" ht="19.5" customHeight="1">
      <c r="A6" s="2176" t="s">
        <v>4226</v>
      </c>
      <c r="B6" s="2176"/>
      <c r="C6" s="944"/>
      <c r="D6" s="944"/>
      <c r="E6" s="1114"/>
      <c r="F6" s="1210"/>
      <c r="G6" s="944"/>
      <c r="H6" s="1114"/>
      <c r="I6" s="1116"/>
      <c r="J6" s="813"/>
      <c r="K6" s="813"/>
      <c r="L6" s="1794"/>
    </row>
    <row r="7" spans="1:19" ht="19.5" customHeight="1" thickBot="1">
      <c r="A7" s="2209" t="s">
        <v>3748</v>
      </c>
      <c r="B7" s="2209"/>
      <c r="C7" s="945"/>
      <c r="D7" s="1411" t="s">
        <v>4610</v>
      </c>
      <c r="E7" s="945"/>
      <c r="F7" s="1211"/>
      <c r="G7" s="945"/>
      <c r="H7" s="1117"/>
      <c r="I7" s="1116"/>
      <c r="J7" s="813"/>
      <c r="K7" s="813"/>
      <c r="L7" s="1794"/>
    </row>
    <row r="8" spans="1:19" s="126" customFormat="1" ht="25.5" customHeight="1">
      <c r="A8" s="2178" t="s">
        <v>4057</v>
      </c>
      <c r="B8" s="951" t="s">
        <v>4035</v>
      </c>
      <c r="C8" s="951" t="s">
        <v>236</v>
      </c>
      <c r="D8" s="952" t="s">
        <v>4053</v>
      </c>
      <c r="E8" s="2185" t="s">
        <v>4054</v>
      </c>
      <c r="F8" s="2186"/>
      <c r="G8" s="2187"/>
      <c r="H8" s="1155" t="s">
        <v>4051</v>
      </c>
      <c r="I8" s="1118" t="s">
        <v>4050</v>
      </c>
      <c r="J8" s="1258" t="s">
        <v>4055</v>
      </c>
      <c r="K8" s="953" t="s">
        <v>4058</v>
      </c>
      <c r="L8" s="1795"/>
      <c r="M8" s="1397"/>
      <c r="N8" s="40"/>
      <c r="O8" s="40"/>
      <c r="P8" s="40"/>
      <c r="Q8" s="40"/>
      <c r="R8" s="40"/>
      <c r="S8" s="40"/>
    </row>
    <row r="9" spans="1:19" s="126" customFormat="1" ht="25.5" customHeight="1">
      <c r="A9" s="2092"/>
      <c r="B9" s="954" t="s">
        <v>375</v>
      </c>
      <c r="C9" s="954" t="s">
        <v>4036</v>
      </c>
      <c r="D9" s="956">
        <f>SUM(J31)</f>
        <v>94571286</v>
      </c>
      <c r="E9" s="2133">
        <f>SUM(J32:J35)</f>
        <v>467148880</v>
      </c>
      <c r="F9" s="2134"/>
      <c r="G9" s="2135"/>
      <c r="H9" s="1156">
        <f>SUM(K31:K35)</f>
        <v>0</v>
      </c>
      <c r="I9" s="1428">
        <f ca="1">SUMIF($A$31:$A$133,C9,$I$31:$I$132)</f>
        <v>561720166</v>
      </c>
      <c r="J9" s="1235">
        <f>SUM(D9:G9)</f>
        <v>561720166</v>
      </c>
      <c r="K9" s="957"/>
      <c r="L9" s="1796"/>
      <c r="M9" s="1397"/>
      <c r="N9" s="40"/>
      <c r="O9" s="40"/>
      <c r="P9" s="40"/>
      <c r="Q9" s="40"/>
      <c r="R9" s="40"/>
      <c r="S9" s="40"/>
    </row>
    <row r="10" spans="1:19" s="19" customFormat="1" ht="25.5" customHeight="1">
      <c r="A10" s="2092"/>
      <c r="B10" s="964" t="s">
        <v>375</v>
      </c>
      <c r="C10" s="964" t="s">
        <v>4025</v>
      </c>
      <c r="D10" s="956">
        <v>0</v>
      </c>
      <c r="E10" s="2182">
        <f>SUM(J36:J38)</f>
        <v>129745923</v>
      </c>
      <c r="F10" s="2183"/>
      <c r="G10" s="2184"/>
      <c r="H10" s="1157">
        <v>0</v>
      </c>
      <c r="I10" s="1429">
        <f ca="1">SUMIF($A$31:$A$133,C10,$I$31:$I$132)</f>
        <v>174910286</v>
      </c>
      <c r="J10" s="1242">
        <f>SUM(D10:G10)</f>
        <v>129745923</v>
      </c>
      <c r="K10" s="966">
        <f>SUM(J9:J10)</f>
        <v>691466089</v>
      </c>
      <c r="L10" s="1797"/>
      <c r="M10" s="1728"/>
      <c r="N10" s="40"/>
      <c r="O10" s="40"/>
      <c r="P10" s="40"/>
      <c r="Q10" s="40"/>
      <c r="R10" s="40"/>
      <c r="S10" s="40"/>
    </row>
    <row r="11" spans="1:19" s="19" customFormat="1" ht="25.5" customHeight="1">
      <c r="A11" s="2092"/>
      <c r="B11" s="2210" t="s">
        <v>4244</v>
      </c>
      <c r="C11" s="2211"/>
      <c r="D11" s="1112">
        <f>SUM(D9:D10)</f>
        <v>94571286</v>
      </c>
      <c r="E11" s="2200">
        <f>SUM(E9:G10)</f>
        <v>596894803</v>
      </c>
      <c r="F11" s="2201"/>
      <c r="G11" s="2202"/>
      <c r="H11" s="1158">
        <f t="shared" ref="H11:K11" si="0">SUM(H9:H10)</f>
        <v>0</v>
      </c>
      <c r="I11" s="1112">
        <f t="shared" ca="1" si="0"/>
        <v>736630452</v>
      </c>
      <c r="J11" s="1184">
        <f t="shared" si="0"/>
        <v>691466089</v>
      </c>
      <c r="K11" s="1113">
        <f t="shared" si="0"/>
        <v>691466089</v>
      </c>
      <c r="L11" s="1797"/>
      <c r="M11" s="1728"/>
      <c r="N11" s="40"/>
      <c r="O11" s="40"/>
      <c r="P11" s="40"/>
      <c r="Q11" s="40"/>
      <c r="R11" s="40"/>
      <c r="S11" s="40"/>
    </row>
    <row r="12" spans="1:19" ht="25.5" customHeight="1">
      <c r="A12" s="2092"/>
      <c r="B12" s="970" t="s">
        <v>478</v>
      </c>
      <c r="C12" s="970" t="s">
        <v>4026</v>
      </c>
      <c r="D12" s="956">
        <v>0</v>
      </c>
      <c r="E12" s="2133">
        <f>SUM(J39)</f>
        <v>780595</v>
      </c>
      <c r="F12" s="2134"/>
      <c r="G12" s="2135"/>
      <c r="H12" s="1159">
        <f>SUM(K39)</f>
        <v>0</v>
      </c>
      <c r="I12" s="971">
        <f t="shared" ref="I12:I21" ca="1" si="1">SUMIF($A$31:$A$133,C12,$I$31:$I$132)</f>
        <v>780595</v>
      </c>
      <c r="J12" s="1234">
        <f>SUM(D12:G12)</f>
        <v>780595</v>
      </c>
      <c r="K12" s="972"/>
      <c r="L12" s="1796"/>
    </row>
    <row r="13" spans="1:19" s="24" customFormat="1" ht="25.5" customHeight="1">
      <c r="A13" s="2092"/>
      <c r="B13" s="959" t="s">
        <v>478</v>
      </c>
      <c r="C13" s="959" t="s">
        <v>660</v>
      </c>
      <c r="D13" s="956">
        <f>SUM(J40:J42)</f>
        <v>194301386</v>
      </c>
      <c r="E13" s="2133">
        <f>SUM(J43:J44)</f>
        <v>124638283</v>
      </c>
      <c r="F13" s="2134"/>
      <c r="G13" s="2135"/>
      <c r="H13" s="1156">
        <f>SUM(K45:K49)</f>
        <v>207448425</v>
      </c>
      <c r="I13" s="956">
        <f t="shared" ca="1" si="1"/>
        <v>526388094</v>
      </c>
      <c r="J13" s="1235">
        <f t="shared" ref="J13:J21" si="2">SUM(D13:G13)</f>
        <v>318939669</v>
      </c>
      <c r="K13" s="1233"/>
      <c r="L13" s="1789"/>
      <c r="M13" s="1729"/>
      <c r="N13" s="40"/>
      <c r="O13" s="40"/>
      <c r="P13" s="40"/>
      <c r="Q13" s="40"/>
      <c r="R13" s="55"/>
      <c r="S13" s="55"/>
    </row>
    <row r="14" spans="1:19" s="24" customFormat="1" ht="25.5" customHeight="1">
      <c r="A14" s="2092"/>
      <c r="B14" s="959" t="s">
        <v>478</v>
      </c>
      <c r="C14" s="959" t="s">
        <v>4042</v>
      </c>
      <c r="D14" s="956">
        <f>SUM(J50:J67)</f>
        <v>1180538559</v>
      </c>
      <c r="E14" s="2133">
        <f>SUM(J68:J75)</f>
        <v>460753178</v>
      </c>
      <c r="F14" s="2134"/>
      <c r="G14" s="2135"/>
      <c r="H14" s="1156">
        <f>SUM(K77:K87)</f>
        <v>862432941</v>
      </c>
      <c r="I14" s="956">
        <f t="shared" ca="1" si="1"/>
        <v>2503724678</v>
      </c>
      <c r="J14" s="1235">
        <f t="shared" si="2"/>
        <v>1641291737</v>
      </c>
      <c r="K14" s="957"/>
      <c r="L14" s="1796"/>
      <c r="M14" s="1729"/>
      <c r="N14" s="40"/>
      <c r="O14" s="40"/>
      <c r="P14" s="40"/>
      <c r="Q14" s="40"/>
      <c r="R14" s="55"/>
      <c r="S14" s="55"/>
    </row>
    <row r="15" spans="1:19" s="24" customFormat="1" ht="25.5" customHeight="1">
      <c r="A15" s="2092"/>
      <c r="B15" s="959" t="s">
        <v>478</v>
      </c>
      <c r="C15" s="959" t="s">
        <v>4041</v>
      </c>
      <c r="D15" s="956">
        <v>0</v>
      </c>
      <c r="E15" s="2133">
        <f>SUM(J88:J90)</f>
        <v>338748148</v>
      </c>
      <c r="F15" s="2134"/>
      <c r="G15" s="2135"/>
      <c r="H15" s="1156">
        <f>SUM(K90)</f>
        <v>0</v>
      </c>
      <c r="I15" s="956">
        <f t="shared" ca="1" si="1"/>
        <v>338748148</v>
      </c>
      <c r="J15" s="1235">
        <f t="shared" si="2"/>
        <v>338748148</v>
      </c>
      <c r="K15" s="960"/>
      <c r="L15" s="1789"/>
      <c r="M15" s="1729" t="s">
        <v>5140</v>
      </c>
      <c r="N15" s="40"/>
      <c r="O15" s="40"/>
      <c r="P15" s="40"/>
      <c r="Q15" s="40"/>
      <c r="R15" s="55"/>
      <c r="S15" s="55"/>
    </row>
    <row r="16" spans="1:19" s="24" customFormat="1" ht="25.5" customHeight="1">
      <c r="A16" s="2092"/>
      <c r="B16" s="973" t="s">
        <v>478</v>
      </c>
      <c r="C16" s="973" t="s">
        <v>4045</v>
      </c>
      <c r="D16" s="974">
        <v>0</v>
      </c>
      <c r="E16" s="2160">
        <f>SUM(J91)</f>
        <v>23407864</v>
      </c>
      <c r="F16" s="2161"/>
      <c r="G16" s="2162"/>
      <c r="H16" s="1160">
        <f>SUM(K92:K94)</f>
        <v>219032949</v>
      </c>
      <c r="I16" s="974">
        <f t="shared" ca="1" si="1"/>
        <v>242440813</v>
      </c>
      <c r="J16" s="1236">
        <f t="shared" si="2"/>
        <v>23407864</v>
      </c>
      <c r="K16" s="975">
        <f>SUM(J12:J16)</f>
        <v>2323168013</v>
      </c>
      <c r="L16" s="1797"/>
      <c r="M16" s="1729"/>
      <c r="N16" s="40"/>
      <c r="O16" s="40"/>
      <c r="P16" s="40"/>
      <c r="Q16" s="40"/>
      <c r="R16" s="55"/>
      <c r="S16" s="55"/>
    </row>
    <row r="17" spans="1:20" s="24" customFormat="1" ht="25.5" customHeight="1">
      <c r="A17" s="2092"/>
      <c r="B17" s="946" t="s">
        <v>626</v>
      </c>
      <c r="C17" s="946" t="s">
        <v>4979</v>
      </c>
      <c r="D17" s="808">
        <f>SUM(J95)</f>
        <v>523056265</v>
      </c>
      <c r="E17" s="2188">
        <f>SUM(J96:J109)</f>
        <v>1550406081</v>
      </c>
      <c r="F17" s="2189"/>
      <c r="G17" s="2190"/>
      <c r="H17" s="1161">
        <f>SUM(K110:K111)</f>
        <v>735566594</v>
      </c>
      <c r="I17" s="1430">
        <f t="shared" ca="1" si="1"/>
        <v>0</v>
      </c>
      <c r="J17" s="1237">
        <f t="shared" si="2"/>
        <v>2073462346</v>
      </c>
      <c r="K17" s="950">
        <f>J17</f>
        <v>2073462346</v>
      </c>
      <c r="L17" s="1797"/>
      <c r="M17" s="1729"/>
      <c r="N17" s="40"/>
      <c r="O17" s="40"/>
      <c r="P17" s="40"/>
      <c r="Q17" s="40"/>
      <c r="R17" s="55"/>
      <c r="S17" s="55"/>
    </row>
    <row r="18" spans="1:20" ht="25.5" customHeight="1">
      <c r="A18" s="2092"/>
      <c r="B18" s="967" t="s">
        <v>4048</v>
      </c>
      <c r="C18" s="1470" t="s">
        <v>47</v>
      </c>
      <c r="D18" s="808">
        <f>SUM(J112)</f>
        <v>89667742</v>
      </c>
      <c r="E18" s="2238">
        <f>SUM(J113:J114)</f>
        <v>92704484</v>
      </c>
      <c r="F18" s="2239"/>
      <c r="G18" s="2240"/>
      <c r="H18" s="1472">
        <f>SUM(K115)</f>
        <v>36697063</v>
      </c>
      <c r="I18" s="1473">
        <f t="shared" ca="1" si="1"/>
        <v>219069289</v>
      </c>
      <c r="J18" s="1474">
        <f t="shared" si="2"/>
        <v>182372226</v>
      </c>
      <c r="K18" s="969"/>
      <c r="L18" s="1789"/>
    </row>
    <row r="19" spans="1:20" ht="25.5" customHeight="1" thickBot="1">
      <c r="A19" s="2092"/>
      <c r="B19" s="959" t="s">
        <v>4048</v>
      </c>
      <c r="C19" s="959" t="s">
        <v>40</v>
      </c>
      <c r="D19" s="956">
        <v>0</v>
      </c>
      <c r="E19" s="2133">
        <f>SUM(J116:J122)</f>
        <v>31217214</v>
      </c>
      <c r="F19" s="2134"/>
      <c r="G19" s="2135"/>
      <c r="H19" s="1156">
        <f>SUM(K123:K124)</f>
        <v>67043431</v>
      </c>
      <c r="I19" s="1428">
        <f t="shared" ca="1" si="1"/>
        <v>98260645</v>
      </c>
      <c r="J19" s="1235">
        <f t="shared" si="2"/>
        <v>31217214</v>
      </c>
      <c r="K19" s="960"/>
      <c r="L19" s="1789"/>
    </row>
    <row r="20" spans="1:20" ht="25.5" customHeight="1">
      <c r="A20" s="2092"/>
      <c r="B20" s="973" t="s">
        <v>4048</v>
      </c>
      <c r="C20" s="1475" t="s">
        <v>15</v>
      </c>
      <c r="D20" s="956">
        <f>SUM(J125:J126)</f>
        <v>71341553</v>
      </c>
      <c r="E20" s="2241">
        <f>SUM(J127:J129)</f>
        <v>70023808</v>
      </c>
      <c r="F20" s="2242"/>
      <c r="G20" s="2243"/>
      <c r="H20" s="1929">
        <f>SUM(K130)</f>
        <v>70752356</v>
      </c>
      <c r="I20" s="1476">
        <f t="shared" ca="1" si="1"/>
        <v>212117717</v>
      </c>
      <c r="J20" s="1478">
        <f t="shared" si="2"/>
        <v>141365361</v>
      </c>
      <c r="K20" s="975">
        <f>SUM(J18:J21)</f>
        <v>398007601</v>
      </c>
      <c r="L20" s="1797"/>
      <c r="N20" s="1407" t="s">
        <v>4606</v>
      </c>
      <c r="O20" s="1408" t="s">
        <v>4605</v>
      </c>
      <c r="P20" s="1408" t="s">
        <v>4607</v>
      </c>
      <c r="Q20" s="1408" t="s">
        <v>4608</v>
      </c>
      <c r="R20" s="1409" t="s">
        <v>4052</v>
      </c>
      <c r="S20" s="1846" t="s">
        <v>4981</v>
      </c>
      <c r="T20" s="1409" t="s">
        <v>4225</v>
      </c>
    </row>
    <row r="21" spans="1:20" ht="25.5" customHeight="1">
      <c r="A21" s="2092"/>
      <c r="B21" s="967" t="s">
        <v>4048</v>
      </c>
      <c r="C21" s="1259" t="s">
        <v>4049</v>
      </c>
      <c r="D21" s="971">
        <v>0</v>
      </c>
      <c r="E21" s="2191">
        <f>SUM(J131:J132)</f>
        <v>43052800</v>
      </c>
      <c r="F21" s="2192"/>
      <c r="G21" s="2193"/>
      <c r="H21" s="1183"/>
      <c r="I21" s="968">
        <f t="shared" ca="1" si="1"/>
        <v>43052800</v>
      </c>
      <c r="J21" s="1238">
        <f t="shared" si="2"/>
        <v>43052800</v>
      </c>
      <c r="K21" s="1260" t="s">
        <v>4241</v>
      </c>
      <c r="L21" s="1798"/>
      <c r="N21" s="1854" t="s">
        <v>4603</v>
      </c>
      <c r="O21" s="45" t="s">
        <v>4242</v>
      </c>
      <c r="P21" s="1839">
        <f>SUM(H31:H38,)</f>
        <v>84642962</v>
      </c>
      <c r="Q21" s="1441">
        <f>SUM(J31:J38)</f>
        <v>691466089</v>
      </c>
      <c r="R21" s="1442"/>
      <c r="S21" s="1442"/>
      <c r="T21" s="1442"/>
    </row>
    <row r="22" spans="1:20" ht="25.5" customHeight="1" thickBot="1">
      <c r="A22" s="2092"/>
      <c r="B22" s="2210" t="s">
        <v>4245</v>
      </c>
      <c r="C22" s="2211"/>
      <c r="D22" s="1112">
        <f>SUM(D12:D21)</f>
        <v>2058905505</v>
      </c>
      <c r="E22" s="2200">
        <f>SUM(E12:G21)</f>
        <v>2735732455</v>
      </c>
      <c r="F22" s="2201">
        <f t="shared" ref="F22:K22" si="3">SUM(F12:F21)</f>
        <v>0</v>
      </c>
      <c r="G22" s="2202">
        <f t="shared" si="3"/>
        <v>0</v>
      </c>
      <c r="H22" s="1158">
        <f t="shared" si="3"/>
        <v>2198973759</v>
      </c>
      <c r="I22" s="1112">
        <f t="shared" ca="1" si="3"/>
        <v>4184582779</v>
      </c>
      <c r="J22" s="1184">
        <f t="shared" si="3"/>
        <v>4794637960</v>
      </c>
      <c r="K22" s="1937">
        <f t="shared" si="3"/>
        <v>4794637960</v>
      </c>
      <c r="L22" s="1797"/>
      <c r="N22" s="1443"/>
      <c r="O22" s="1444" t="s">
        <v>4595</v>
      </c>
      <c r="P22" s="1446"/>
      <c r="Q22" s="1835"/>
      <c r="R22" s="1447">
        <f>SUM(Q21:Q22)</f>
        <v>691466089</v>
      </c>
      <c r="S22" s="1853">
        <f>K11</f>
        <v>691466089</v>
      </c>
      <c r="T22" s="1447">
        <f>R22-S22</f>
        <v>0</v>
      </c>
    </row>
    <row r="23" spans="1:20" ht="30" customHeight="1" thickBot="1">
      <c r="A23" s="2179"/>
      <c r="B23" s="2180" t="s">
        <v>4052</v>
      </c>
      <c r="C23" s="2181"/>
      <c r="D23" s="962">
        <f>SUM(D22,D11)</f>
        <v>2153476791</v>
      </c>
      <c r="E23" s="2172">
        <f t="shared" ref="E23:I23" si="4">SUM(E22,E11)</f>
        <v>3332627258</v>
      </c>
      <c r="F23" s="2173">
        <f t="shared" si="4"/>
        <v>0</v>
      </c>
      <c r="G23" s="2174">
        <f t="shared" si="4"/>
        <v>0</v>
      </c>
      <c r="H23" s="1162">
        <f t="shared" si="4"/>
        <v>2198973759</v>
      </c>
      <c r="I23" s="962">
        <f t="shared" ca="1" si="4"/>
        <v>4921213231</v>
      </c>
      <c r="J23" s="1843">
        <f>SUM(J22,J11)</f>
        <v>5486104049</v>
      </c>
      <c r="K23" s="976">
        <f>SUM(K22,K11)</f>
        <v>5486104049</v>
      </c>
      <c r="L23" s="1790"/>
      <c r="N23" s="1855" t="s">
        <v>4604</v>
      </c>
      <c r="O23" s="1450" t="s">
        <v>4242</v>
      </c>
      <c r="P23" s="1840" t="e">
        <f>SUM(H40:H45,H50:H74,H88:H89,#REF!,H95:H104,H112:H113,H116:H123,H125:H126,)</f>
        <v>#REF!</v>
      </c>
      <c r="Q23" s="1451" t="e">
        <f>SUM(I40:I45,I50:I74,I88:I89,#REF!,I95:I104,I112:I113,I116:I123,I125:I126,)</f>
        <v>#REF!</v>
      </c>
      <c r="R23" s="1452"/>
      <c r="S23" s="1452"/>
      <c r="T23" s="1452"/>
    </row>
    <row r="24" spans="1:20" ht="30" customHeight="1" thickBot="1">
      <c r="A24" s="2149" t="s">
        <v>4986</v>
      </c>
      <c r="B24" s="977" t="s">
        <v>375</v>
      </c>
      <c r="C24" s="977" t="s">
        <v>4036</v>
      </c>
      <c r="D24" s="978">
        <v>0</v>
      </c>
      <c r="E24" s="2228">
        <v>0</v>
      </c>
      <c r="F24" s="2229"/>
      <c r="G24" s="2230"/>
      <c r="H24" s="2231">
        <f>SUM(E24:G27)</f>
        <v>394253000</v>
      </c>
      <c r="I24" s="1104" t="s">
        <v>5286</v>
      </c>
      <c r="J24" s="1243" t="s">
        <v>4983</v>
      </c>
      <c r="K24" s="1244">
        <f>J21</f>
        <v>43052800</v>
      </c>
      <c r="L24" s="1844"/>
      <c r="N24" s="1439"/>
      <c r="O24" s="1453" t="s">
        <v>4595</v>
      </c>
      <c r="P24" s="1841" t="e">
        <f>SUM(H75,H105:H109,#REF!)</f>
        <v>#REF!</v>
      </c>
      <c r="Q24" s="1441" t="e">
        <f>SUM(I75,I105:I109,#REF!)</f>
        <v>#REF!</v>
      </c>
      <c r="R24" s="1442"/>
      <c r="S24" s="1442"/>
      <c r="T24" s="1442"/>
    </row>
    <row r="25" spans="1:20" ht="30" customHeight="1" thickBot="1">
      <c r="A25" s="2195"/>
      <c r="B25" s="959" t="s">
        <v>4046</v>
      </c>
      <c r="C25" s="1164" t="s">
        <v>698</v>
      </c>
      <c r="D25" s="1091">
        <v>0</v>
      </c>
      <c r="E25" s="2252">
        <v>0</v>
      </c>
      <c r="F25" s="2235"/>
      <c r="G25" s="2236"/>
      <c r="H25" s="2232"/>
      <c r="I25" s="1092" t="s">
        <v>5287</v>
      </c>
      <c r="J25" s="1849" t="s">
        <v>4242</v>
      </c>
      <c r="K25" s="1246">
        <f>SUM(J9:J10,J12:J20)</f>
        <v>5443051249</v>
      </c>
      <c r="L25" s="1844" t="s">
        <v>4982</v>
      </c>
      <c r="N25" s="1443"/>
      <c r="O25" s="1444" t="s">
        <v>4241</v>
      </c>
      <c r="P25" s="1842">
        <f>SUM(H131:H132)</f>
        <v>36484</v>
      </c>
      <c r="Q25" s="1446">
        <f>SUM(I131:I132)</f>
        <v>43052800</v>
      </c>
      <c r="R25" s="1447" t="e">
        <f>SUM(Q23:Q25)</f>
        <v>#REF!</v>
      </c>
      <c r="S25" s="1447"/>
      <c r="T25" s="1447"/>
    </row>
    <row r="26" spans="1:20" ht="30" customHeight="1" thickBot="1">
      <c r="A26" s="2195"/>
      <c r="B26" s="1470" t="s">
        <v>4048</v>
      </c>
      <c r="C26" s="1470" t="s">
        <v>4042</v>
      </c>
      <c r="D26" s="1860">
        <v>0</v>
      </c>
      <c r="E26" s="2245">
        <v>0</v>
      </c>
      <c r="F26" s="2246"/>
      <c r="G26" s="2247"/>
      <c r="H26" s="2232"/>
      <c r="I26" s="1935" t="s">
        <v>5288</v>
      </c>
      <c r="J26" s="2248" t="s">
        <v>4052</v>
      </c>
      <c r="K26" s="2250">
        <f>SUM(K24:K25)</f>
        <v>5486104049</v>
      </c>
      <c r="L26" s="1844"/>
      <c r="N26" s="1930"/>
      <c r="O26" s="1931"/>
      <c r="P26" s="1932"/>
      <c r="Q26" s="1933"/>
      <c r="R26" s="1934"/>
      <c r="S26" s="1934"/>
      <c r="T26" s="1934"/>
    </row>
    <row r="27" spans="1:20" ht="30" customHeight="1" thickBot="1">
      <c r="A27" s="2196"/>
      <c r="B27" s="979" t="s">
        <v>626</v>
      </c>
      <c r="C27" s="979" t="s">
        <v>29</v>
      </c>
      <c r="D27" s="1009">
        <v>8</v>
      </c>
      <c r="E27" s="2169">
        <v>394253000</v>
      </c>
      <c r="F27" s="2170"/>
      <c r="G27" s="2171"/>
      <c r="H27" s="2233"/>
      <c r="I27" s="1936" t="s">
        <v>4988</v>
      </c>
      <c r="J27" s="2249"/>
      <c r="K27" s="2251"/>
      <c r="L27" s="1869">
        <f>J23-K26</f>
        <v>0</v>
      </c>
      <c r="N27" s="2213" t="s">
        <v>4984</v>
      </c>
      <c r="O27" s="2214"/>
      <c r="P27" s="2215"/>
      <c r="Q27" s="1420" t="e">
        <f>SUM(Q21:Q25)</f>
        <v>#REF!</v>
      </c>
      <c r="R27" s="1410" t="e">
        <f>SUM(R21:R25)</f>
        <v>#REF!</v>
      </c>
      <c r="S27" s="1848">
        <f>J23</f>
        <v>5486104049</v>
      </c>
      <c r="T27" s="1410" t="e">
        <f>R27-S27</f>
        <v>#REF!</v>
      </c>
    </row>
    <row r="28" spans="1:20" ht="30" customHeight="1" thickBot="1">
      <c r="A28" s="980" t="s">
        <v>4060</v>
      </c>
      <c r="L28" s="1791"/>
      <c r="O28" s="1456"/>
      <c r="P28" s="1456"/>
      <c r="R28" s="1837"/>
    </row>
    <row r="29" spans="1:20">
      <c r="A29" s="2216" t="s">
        <v>0</v>
      </c>
      <c r="B29" s="2218" t="s">
        <v>4035</v>
      </c>
      <c r="C29" s="2218" t="s">
        <v>1</v>
      </c>
      <c r="D29" s="2220" t="s">
        <v>2</v>
      </c>
      <c r="E29" s="2222" t="s">
        <v>4103</v>
      </c>
      <c r="F29" s="2220" t="s">
        <v>3</v>
      </c>
      <c r="G29" s="2224" t="s">
        <v>4</v>
      </c>
      <c r="H29" s="2226" t="s">
        <v>2352</v>
      </c>
      <c r="I29" s="2226"/>
      <c r="J29" s="2226"/>
      <c r="K29" s="2227"/>
      <c r="N29" s="1456"/>
      <c r="O29" s="1456"/>
      <c r="P29" s="1456"/>
      <c r="R29" s="1837"/>
    </row>
    <row r="30" spans="1:20" ht="23.25" customHeight="1">
      <c r="A30" s="2217"/>
      <c r="B30" s="2219"/>
      <c r="C30" s="2219"/>
      <c r="D30" s="2221"/>
      <c r="E30" s="2223"/>
      <c r="F30" s="2221"/>
      <c r="G30" s="2225"/>
      <c r="H30" s="1479" t="s">
        <v>6</v>
      </c>
      <c r="I30" s="1480" t="s">
        <v>7</v>
      </c>
      <c r="J30" s="1481" t="s">
        <v>2479</v>
      </c>
      <c r="K30" s="1482" t="s">
        <v>2336</v>
      </c>
      <c r="L30" s="1799"/>
      <c r="M30" s="1859" t="s">
        <v>4990</v>
      </c>
    </row>
    <row r="31" spans="1:20" ht="23.25" customHeight="1">
      <c r="A31" s="1483" t="s">
        <v>4037</v>
      </c>
      <c r="B31" s="1484" t="s">
        <v>375</v>
      </c>
      <c r="C31" s="1730" t="s">
        <v>5166</v>
      </c>
      <c r="D31" s="1485" t="s">
        <v>5171</v>
      </c>
      <c r="E31" s="1486">
        <v>46270</v>
      </c>
      <c r="F31" s="1731">
        <v>46269</v>
      </c>
      <c r="G31" s="1777">
        <v>8.7119999999999997</v>
      </c>
      <c r="H31" s="1778">
        <v>10855290</v>
      </c>
      <c r="I31" s="1487">
        <f t="shared" ref="I31:I94" si="5">ROUNDDOWN(H31*G31,0)</f>
        <v>94571286</v>
      </c>
      <c r="J31" s="1488">
        <f>I31</f>
        <v>94571286</v>
      </c>
      <c r="K31" s="1553"/>
      <c r="L31" s="1991"/>
      <c r="M31" t="s">
        <v>4989</v>
      </c>
      <c r="N31" s="40" t="s">
        <v>5292</v>
      </c>
    </row>
    <row r="32" spans="1:20" s="97" customFormat="1" ht="24" customHeight="1">
      <c r="A32" s="1500" t="s">
        <v>4036</v>
      </c>
      <c r="B32" s="1501" t="s">
        <v>4038</v>
      </c>
      <c r="C32" s="1491" t="s">
        <v>5167</v>
      </c>
      <c r="D32" s="1492" t="s">
        <v>5172</v>
      </c>
      <c r="E32" s="1493">
        <v>46272</v>
      </c>
      <c r="F32" s="1492">
        <v>46272</v>
      </c>
      <c r="G32" s="1502">
        <v>8.6766000000000005</v>
      </c>
      <c r="H32" s="1503">
        <v>12227374</v>
      </c>
      <c r="I32" s="1497">
        <f t="shared" si="5"/>
        <v>106092033</v>
      </c>
      <c r="J32" s="1504">
        <f t="shared" ref="J32:J39" si="6">I32</f>
        <v>106092033</v>
      </c>
      <c r="K32" s="1505"/>
      <c r="L32" s="1800"/>
      <c r="M32" t="s">
        <v>4989</v>
      </c>
      <c r="N32" s="1726"/>
      <c r="O32" s="40"/>
      <c r="P32" s="40"/>
      <c r="Q32" s="40"/>
      <c r="R32" s="34"/>
      <c r="S32" s="34"/>
    </row>
    <row r="33" spans="1:19" s="97" customFormat="1" ht="24" customHeight="1">
      <c r="A33" s="1500" t="s">
        <v>4036</v>
      </c>
      <c r="B33" s="1501" t="s">
        <v>4038</v>
      </c>
      <c r="C33" s="1491" t="s">
        <v>5168</v>
      </c>
      <c r="D33" s="1492" t="s">
        <v>5173</v>
      </c>
      <c r="E33" s="1493">
        <v>46279</v>
      </c>
      <c r="F33" s="1492">
        <v>46279</v>
      </c>
      <c r="G33" s="1502">
        <v>8.7624999999999993</v>
      </c>
      <c r="H33" s="1503">
        <v>19165174</v>
      </c>
      <c r="I33" s="1497">
        <f t="shared" si="5"/>
        <v>167934837</v>
      </c>
      <c r="J33" s="1504">
        <f t="shared" si="6"/>
        <v>167934837</v>
      </c>
      <c r="K33" s="1505"/>
      <c r="L33" s="1800"/>
      <c r="M33" t="s">
        <v>4989</v>
      </c>
      <c r="N33" s="1726"/>
      <c r="O33" s="40"/>
      <c r="P33" s="40"/>
      <c r="Q33" s="40"/>
      <c r="R33" s="34"/>
      <c r="S33" s="34"/>
    </row>
    <row r="34" spans="1:19" s="97" customFormat="1" ht="24" customHeight="1">
      <c r="A34" s="1500" t="s">
        <v>4036</v>
      </c>
      <c r="B34" s="1501" t="s">
        <v>4038</v>
      </c>
      <c r="C34" s="1491" t="s">
        <v>5169</v>
      </c>
      <c r="D34" s="1492" t="s">
        <v>5174</v>
      </c>
      <c r="E34" s="1493">
        <v>46285</v>
      </c>
      <c r="F34" s="1492">
        <v>46285</v>
      </c>
      <c r="G34" s="1502">
        <v>8.8529</v>
      </c>
      <c r="H34" s="1503">
        <v>9339380</v>
      </c>
      <c r="I34" s="1497">
        <f t="shared" si="5"/>
        <v>82680597</v>
      </c>
      <c r="J34" s="1504">
        <f t="shared" si="6"/>
        <v>82680597</v>
      </c>
      <c r="K34" s="1505"/>
      <c r="L34" s="1800"/>
      <c r="M34" t="s">
        <v>4989</v>
      </c>
      <c r="N34" s="1726"/>
      <c r="O34" s="40"/>
      <c r="P34" s="40"/>
      <c r="Q34" s="40"/>
      <c r="R34" s="34"/>
      <c r="S34" s="34"/>
    </row>
    <row r="35" spans="1:19" s="97" customFormat="1" ht="24" customHeight="1" thickBot="1">
      <c r="A35" s="1500" t="s">
        <v>4036</v>
      </c>
      <c r="B35" s="1501" t="s">
        <v>4038</v>
      </c>
      <c r="C35" s="1491" t="s">
        <v>5170</v>
      </c>
      <c r="D35" s="1492" t="s">
        <v>5175</v>
      </c>
      <c r="E35" s="1493">
        <v>46293</v>
      </c>
      <c r="F35" s="1492">
        <v>46293</v>
      </c>
      <c r="G35" s="1502">
        <v>8.5790000000000006</v>
      </c>
      <c r="H35" s="1503">
        <v>12873460</v>
      </c>
      <c r="I35" s="1497">
        <f t="shared" si="5"/>
        <v>110441413</v>
      </c>
      <c r="J35" s="1504">
        <f t="shared" si="6"/>
        <v>110441413</v>
      </c>
      <c r="K35" s="1505"/>
      <c r="L35" s="1800"/>
      <c r="M35" t="s">
        <v>4989</v>
      </c>
      <c r="N35" s="1726"/>
      <c r="O35" s="40"/>
      <c r="P35" s="40"/>
      <c r="Q35" s="40"/>
      <c r="R35" s="34"/>
      <c r="S35" s="34"/>
    </row>
    <row r="36" spans="1:19" s="97" customFormat="1" ht="24" customHeight="1">
      <c r="A36" s="1517" t="s">
        <v>2787</v>
      </c>
      <c r="B36" s="1518" t="s">
        <v>375</v>
      </c>
      <c r="C36" s="1519" t="s">
        <v>5294</v>
      </c>
      <c r="D36" s="1519" t="s">
        <v>5163</v>
      </c>
      <c r="E36" s="1520">
        <v>46280</v>
      </c>
      <c r="F36" s="1521">
        <v>46280</v>
      </c>
      <c r="G36" s="1522">
        <v>8.7207000000000008</v>
      </c>
      <c r="H36" s="1523">
        <v>7474920</v>
      </c>
      <c r="I36" s="1524">
        <f t="shared" si="5"/>
        <v>65186534</v>
      </c>
      <c r="J36" s="1525">
        <f t="shared" si="6"/>
        <v>65186534</v>
      </c>
      <c r="K36" s="1526"/>
      <c r="L36" s="1856"/>
      <c r="M36" s="718" t="s">
        <v>5147</v>
      </c>
      <c r="N36" s="40"/>
      <c r="O36" s="40"/>
      <c r="P36" s="40"/>
      <c r="Q36" s="40"/>
      <c r="R36" s="34"/>
      <c r="S36" s="34"/>
    </row>
    <row r="37" spans="1:19" s="97" customFormat="1" ht="24" customHeight="1">
      <c r="A37" s="1500" t="s">
        <v>2787</v>
      </c>
      <c r="B37" s="1501" t="s">
        <v>375</v>
      </c>
      <c r="C37" s="1947" t="s">
        <v>5295</v>
      </c>
      <c r="D37" s="1947" t="s">
        <v>5164</v>
      </c>
      <c r="E37" s="1527">
        <v>46288</v>
      </c>
      <c r="F37" s="1494">
        <v>46288</v>
      </c>
      <c r="G37" s="1502">
        <v>8.6367999999999991</v>
      </c>
      <c r="H37" s="1949">
        <v>7474920</v>
      </c>
      <c r="I37" s="1528">
        <f t="shared" si="5"/>
        <v>64559389</v>
      </c>
      <c r="J37" s="1504">
        <f t="shared" si="6"/>
        <v>64559389</v>
      </c>
      <c r="K37" s="1948"/>
      <c r="L37" s="1856"/>
      <c r="M37" s="718"/>
      <c r="N37" s="40"/>
      <c r="O37" s="40"/>
      <c r="P37" s="40"/>
      <c r="Q37" s="40"/>
      <c r="R37" s="34"/>
      <c r="S37" s="34"/>
    </row>
    <row r="38" spans="1:19" s="97" customFormat="1" ht="24" customHeight="1" thickBot="1">
      <c r="A38" s="1685" t="s">
        <v>2787</v>
      </c>
      <c r="B38" s="1686" t="s">
        <v>375</v>
      </c>
      <c r="C38" s="1623" t="s">
        <v>5296</v>
      </c>
      <c r="D38" s="1625" t="s">
        <v>5165</v>
      </c>
      <c r="E38" s="1925">
        <v>46296</v>
      </c>
      <c r="F38" s="1625">
        <v>46295</v>
      </c>
      <c r="G38" s="1992">
        <v>8.6316000000000006</v>
      </c>
      <c r="H38" s="1993">
        <v>5232444</v>
      </c>
      <c r="I38" s="1690">
        <f t="shared" si="5"/>
        <v>45164363</v>
      </c>
      <c r="J38" s="1691"/>
      <c r="K38" s="1691">
        <f>I38</f>
        <v>45164363</v>
      </c>
      <c r="L38" s="1857"/>
      <c r="M38" s="718" t="s">
        <v>5147</v>
      </c>
      <c r="N38" s="40"/>
      <c r="O38" s="40"/>
      <c r="P38" s="40"/>
      <c r="Q38" s="40"/>
      <c r="R38" s="34"/>
      <c r="S38" s="34"/>
    </row>
    <row r="39" spans="1:19" s="97" customFormat="1" ht="24" customHeight="1" thickBot="1">
      <c r="A39" s="1870" t="s">
        <v>4026</v>
      </c>
      <c r="B39" s="1871" t="s">
        <v>478</v>
      </c>
      <c r="C39" s="1872" t="s">
        <v>5176</v>
      </c>
      <c r="D39" s="1873" t="s">
        <v>5177</v>
      </c>
      <c r="E39" s="1874">
        <v>46274</v>
      </c>
      <c r="F39" s="1873">
        <v>46272</v>
      </c>
      <c r="G39" s="1875">
        <f>VLOOKUP(F39,환율!A:B,2,0)</f>
        <v>1355.2</v>
      </c>
      <c r="H39" s="1876">
        <v>576</v>
      </c>
      <c r="I39" s="1877">
        <f t="shared" si="5"/>
        <v>780595</v>
      </c>
      <c r="J39" s="1878">
        <f t="shared" si="6"/>
        <v>780595</v>
      </c>
      <c r="K39" s="1879"/>
      <c r="L39" s="1727"/>
      <c r="M39">
        <v>8412909000</v>
      </c>
      <c r="N39" s="1467" t="s">
        <v>33</v>
      </c>
      <c r="O39" s="1467" t="s">
        <v>4621</v>
      </c>
      <c r="P39" s="1467" t="s">
        <v>4622</v>
      </c>
      <c r="Q39" s="1467" t="s">
        <v>2062</v>
      </c>
      <c r="R39" s="1467" t="s">
        <v>4973</v>
      </c>
      <c r="S39" s="34"/>
    </row>
    <row r="40" spans="1:19" ht="24" customHeight="1">
      <c r="A40" s="1540" t="s">
        <v>660</v>
      </c>
      <c r="B40" s="1541" t="s">
        <v>478</v>
      </c>
      <c r="C40" s="1542" t="s">
        <v>5016</v>
      </c>
      <c r="D40" s="1543" t="s">
        <v>5289</v>
      </c>
      <c r="E40" s="1544">
        <v>46267</v>
      </c>
      <c r="F40" s="1543">
        <v>46267</v>
      </c>
      <c r="G40" s="1582">
        <f>VLOOKUP(F40,환율!A:B,2,0)</f>
        <v>1370.3</v>
      </c>
      <c r="H40" s="1546">
        <v>47561.04</v>
      </c>
      <c r="I40" s="1584">
        <f t="shared" si="5"/>
        <v>65172893</v>
      </c>
      <c r="J40" s="1548">
        <f>I40</f>
        <v>65172893</v>
      </c>
      <c r="K40" s="1549"/>
      <c r="L40" s="1800"/>
      <c r="M40" s="1941" t="s">
        <v>4992</v>
      </c>
      <c r="N40" s="1461"/>
      <c r="O40" s="1461"/>
      <c r="P40" s="1461"/>
      <c r="Q40" s="1461"/>
      <c r="R40" s="1462"/>
    </row>
    <row r="41" spans="1:19" ht="24" customHeight="1">
      <c r="A41" s="1880" t="s">
        <v>698</v>
      </c>
      <c r="B41" s="1881" t="s">
        <v>478</v>
      </c>
      <c r="C41" s="1882" t="s">
        <v>5018</v>
      </c>
      <c r="D41" s="1883" t="s">
        <v>5019</v>
      </c>
      <c r="E41" s="1884">
        <v>46270</v>
      </c>
      <c r="F41" s="1883">
        <v>46270</v>
      </c>
      <c r="G41" s="1582">
        <f>VLOOKUP(F41,환율!A:B,2,0)</f>
        <v>1359.5</v>
      </c>
      <c r="H41" s="1583">
        <v>32788.800000000003</v>
      </c>
      <c r="I41" s="1584">
        <f t="shared" si="5"/>
        <v>44576373</v>
      </c>
      <c r="J41" s="1585">
        <f>I41</f>
        <v>44576373</v>
      </c>
      <c r="K41" s="1586"/>
      <c r="L41" s="1800"/>
      <c r="M41">
        <v>8714109000</v>
      </c>
      <c r="N41" s="1461"/>
      <c r="O41" s="1461"/>
      <c r="P41" s="1461"/>
      <c r="Q41" s="1461"/>
      <c r="R41" s="1462"/>
    </row>
    <row r="42" spans="1:19" ht="24" customHeight="1">
      <c r="A42" s="1880" t="s">
        <v>698</v>
      </c>
      <c r="B42" s="1881" t="s">
        <v>478</v>
      </c>
      <c r="C42" s="1882" t="s">
        <v>5020</v>
      </c>
      <c r="D42" s="1883" t="s">
        <v>5021</v>
      </c>
      <c r="E42" s="1884">
        <v>46273</v>
      </c>
      <c r="F42" s="1883">
        <v>46272</v>
      </c>
      <c r="G42" s="1582">
        <f>VLOOKUP(F42,환율!A:B,2,0)</f>
        <v>1355.2</v>
      </c>
      <c r="H42" s="1583">
        <v>62390.879999999997</v>
      </c>
      <c r="I42" s="1584">
        <f t="shared" si="5"/>
        <v>84552120</v>
      </c>
      <c r="J42" s="1585">
        <f t="shared" ref="J42:J44" si="7">I42</f>
        <v>84552120</v>
      </c>
      <c r="K42" s="1586"/>
      <c r="L42" s="1800"/>
      <c r="M42">
        <v>8714109000</v>
      </c>
      <c r="N42" s="1461"/>
      <c r="O42" s="1461"/>
      <c r="P42" s="1461"/>
      <c r="Q42" s="1461"/>
      <c r="R42" s="1462"/>
    </row>
    <row r="43" spans="1:19" ht="24" customHeight="1">
      <c r="A43" s="1554" t="s">
        <v>698</v>
      </c>
      <c r="B43" s="1555" t="s">
        <v>4039</v>
      </c>
      <c r="C43" s="1556" t="s">
        <v>5149</v>
      </c>
      <c r="D43" s="1557" t="s">
        <v>5150</v>
      </c>
      <c r="E43" s="1558">
        <v>46293</v>
      </c>
      <c r="F43" s="1558">
        <v>46293</v>
      </c>
      <c r="G43" s="1559">
        <f>VLOOKUP(F43,환율!A:B,2,0)</f>
        <v>1352</v>
      </c>
      <c r="H43" s="1644">
        <v>38786.400000000001</v>
      </c>
      <c r="I43" s="1645">
        <f t="shared" si="5"/>
        <v>52439212</v>
      </c>
      <c r="J43" s="1561">
        <f t="shared" si="7"/>
        <v>52439212</v>
      </c>
      <c r="K43" s="1562"/>
      <c r="L43" s="1800"/>
      <c r="M43">
        <v>8714109000</v>
      </c>
      <c r="N43" s="1461"/>
      <c r="O43" s="1461"/>
      <c r="P43" s="1461"/>
      <c r="Q43" s="1461"/>
      <c r="R43" s="1462"/>
    </row>
    <row r="44" spans="1:19" ht="24" customHeight="1">
      <c r="A44" s="1554" t="s">
        <v>698</v>
      </c>
      <c r="B44" s="1555" t="s">
        <v>4039</v>
      </c>
      <c r="C44" s="1556" t="s">
        <v>5151</v>
      </c>
      <c r="D44" s="1557" t="s">
        <v>5152</v>
      </c>
      <c r="E44" s="1558">
        <v>46293</v>
      </c>
      <c r="F44" s="1558">
        <v>46293</v>
      </c>
      <c r="G44" s="1559">
        <f>VLOOKUP(F44,환율!A:B,2,0)</f>
        <v>1352</v>
      </c>
      <c r="H44" s="1644">
        <v>53401.68</v>
      </c>
      <c r="I44" s="1645">
        <f t="shared" si="5"/>
        <v>72199071</v>
      </c>
      <c r="J44" s="1561">
        <f t="shared" si="7"/>
        <v>72199071</v>
      </c>
      <c r="K44" s="1562"/>
      <c r="L44" s="1800"/>
      <c r="M44">
        <v>8714109000</v>
      </c>
      <c r="N44" s="1461"/>
      <c r="O44" s="1461"/>
      <c r="P44" s="1461"/>
      <c r="Q44" s="1461"/>
      <c r="R44" s="1462"/>
    </row>
    <row r="45" spans="1:19" ht="24" customHeight="1">
      <c r="A45" s="1824" t="s">
        <v>660</v>
      </c>
      <c r="B45" s="1825" t="s">
        <v>478</v>
      </c>
      <c r="C45" s="1826" t="s">
        <v>5162</v>
      </c>
      <c r="D45" s="1827" t="s">
        <v>5157</v>
      </c>
      <c r="E45" s="1828"/>
      <c r="F45" s="1827">
        <v>46296</v>
      </c>
      <c r="G45" s="1829">
        <f>VLOOKUP(F45,환율!A:B,2,0)</f>
        <v>1355.7</v>
      </c>
      <c r="H45" s="1830">
        <v>43675.199999999997</v>
      </c>
      <c r="I45" s="1831">
        <f t="shared" si="5"/>
        <v>59210468</v>
      </c>
      <c r="J45" s="1832"/>
      <c r="K45" s="1823">
        <f t="shared" ref="K45:K49" si="8">I45</f>
        <v>59210468</v>
      </c>
      <c r="L45" s="1800"/>
      <c r="M45">
        <v>8714109000</v>
      </c>
      <c r="N45" s="1461"/>
      <c r="O45" s="1461"/>
      <c r="P45" s="1461"/>
      <c r="Q45" s="1461"/>
      <c r="R45" s="1462"/>
    </row>
    <row r="46" spans="1:19" ht="24" customHeight="1">
      <c r="A46" s="1815" t="s">
        <v>660</v>
      </c>
      <c r="B46" s="1816" t="s">
        <v>478</v>
      </c>
      <c r="C46" s="1817" t="s">
        <v>5153</v>
      </c>
      <c r="D46" s="1818" t="s">
        <v>5158</v>
      </c>
      <c r="E46" s="1819"/>
      <c r="F46" s="1827">
        <v>46296</v>
      </c>
      <c r="G46" s="1820">
        <f>VLOOKUP(F46,환율!A:B,2,0)</f>
        <v>1355.7</v>
      </c>
      <c r="H46" s="1945">
        <v>19041.39</v>
      </c>
      <c r="I46" s="1946">
        <f t="shared" si="5"/>
        <v>25814412</v>
      </c>
      <c r="J46" s="1822"/>
      <c r="K46" s="1823">
        <f t="shared" si="8"/>
        <v>25814412</v>
      </c>
      <c r="L46" s="1800"/>
      <c r="M46">
        <v>8714109000</v>
      </c>
      <c r="N46" s="1461"/>
      <c r="O46" s="1461"/>
      <c r="P46" s="1461"/>
      <c r="Q46" s="1461"/>
      <c r="R46" s="1462"/>
    </row>
    <row r="47" spans="1:19" s="120" customFormat="1" ht="24" customHeight="1">
      <c r="A47" s="1815" t="s">
        <v>660</v>
      </c>
      <c r="B47" s="1816" t="s">
        <v>478</v>
      </c>
      <c r="C47" s="1817" t="s">
        <v>5154</v>
      </c>
      <c r="D47" s="1818" t="s">
        <v>5159</v>
      </c>
      <c r="E47" s="1819"/>
      <c r="F47" s="1827">
        <v>46296</v>
      </c>
      <c r="G47" s="1820">
        <f>VLOOKUP(F47,환율!A:B,2,0)</f>
        <v>1355.7</v>
      </c>
      <c r="H47" s="1821">
        <v>34799.040000000001</v>
      </c>
      <c r="I47" s="1822">
        <f t="shared" si="5"/>
        <v>47177058</v>
      </c>
      <c r="J47" s="1822"/>
      <c r="K47" s="1823">
        <f t="shared" si="8"/>
        <v>47177058</v>
      </c>
      <c r="L47" s="1800"/>
      <c r="M47">
        <v>8714109000</v>
      </c>
      <c r="N47" s="1461"/>
      <c r="O47" s="1461"/>
      <c r="P47" s="1461"/>
      <c r="Q47" s="1461"/>
      <c r="R47" s="1463"/>
      <c r="S47" s="20"/>
    </row>
    <row r="48" spans="1:19" s="120" customFormat="1" ht="24" customHeight="1">
      <c r="A48" s="1824" t="s">
        <v>698</v>
      </c>
      <c r="B48" s="1825" t="s">
        <v>4039</v>
      </c>
      <c r="C48" s="1826" t="s">
        <v>5155</v>
      </c>
      <c r="D48" s="1827" t="s">
        <v>5160</v>
      </c>
      <c r="E48" s="1828"/>
      <c r="F48" s="1827">
        <v>46296</v>
      </c>
      <c r="G48" s="1829">
        <f>VLOOKUP(F48,환율!A:B,2,0)</f>
        <v>1355.7</v>
      </c>
      <c r="H48" s="1830">
        <v>55229.04</v>
      </c>
      <c r="I48" s="1831">
        <f t="shared" si="5"/>
        <v>74874009</v>
      </c>
      <c r="J48" s="1832"/>
      <c r="K48" s="1823">
        <f t="shared" si="8"/>
        <v>74874009</v>
      </c>
      <c r="L48" s="1800"/>
      <c r="M48">
        <v>8714109000</v>
      </c>
      <c r="N48" s="1461"/>
      <c r="O48" s="1461"/>
      <c r="P48" s="1461"/>
      <c r="Q48" s="1461"/>
      <c r="R48" s="1464"/>
      <c r="S48" s="20"/>
    </row>
    <row r="49" spans="1:19" s="120" customFormat="1" ht="24" customHeight="1" thickBot="1">
      <c r="A49" s="1824" t="s">
        <v>698</v>
      </c>
      <c r="B49" s="1825" t="s">
        <v>4039</v>
      </c>
      <c r="C49" s="1826" t="s">
        <v>5156</v>
      </c>
      <c r="D49" s="1827" t="s">
        <v>5161</v>
      </c>
      <c r="E49" s="1828"/>
      <c r="F49" s="1827">
        <v>46296</v>
      </c>
      <c r="G49" s="1829">
        <f>VLOOKUP(F49,환율!A:B,2,0)</f>
        <v>1355.7</v>
      </c>
      <c r="H49" s="1830">
        <v>274.75</v>
      </c>
      <c r="I49" s="1831">
        <f t="shared" si="5"/>
        <v>372478</v>
      </c>
      <c r="J49" s="1832"/>
      <c r="K49" s="1823">
        <f t="shared" si="8"/>
        <v>372478</v>
      </c>
      <c r="L49" s="1800"/>
      <c r="M49">
        <v>8714109000</v>
      </c>
      <c r="N49" s="1461"/>
      <c r="O49" s="1461"/>
      <c r="P49" s="1461"/>
      <c r="Q49" s="1461"/>
      <c r="R49" s="1464"/>
      <c r="S49" s="20"/>
    </row>
    <row r="50" spans="1:19" s="1040" customFormat="1" ht="24" customHeight="1">
      <c r="A50" s="1540" t="s">
        <v>4042</v>
      </c>
      <c r="B50" s="1541" t="s">
        <v>4039</v>
      </c>
      <c r="C50" s="1576" t="s">
        <v>5035</v>
      </c>
      <c r="D50" s="1577" t="s">
        <v>5052</v>
      </c>
      <c r="E50" s="1578">
        <v>46267</v>
      </c>
      <c r="F50" s="1577">
        <v>46267</v>
      </c>
      <c r="G50" s="1732">
        <f>VLOOKUP(F50,환율!A:B,2,0)</f>
        <v>1370.3</v>
      </c>
      <c r="H50" s="1546">
        <v>20779.32</v>
      </c>
      <c r="I50" s="1547">
        <f t="shared" si="5"/>
        <v>28473902</v>
      </c>
      <c r="J50" s="1548">
        <f>I50</f>
        <v>28473902</v>
      </c>
      <c r="K50" s="1549"/>
      <c r="L50" s="1800"/>
      <c r="M50" s="1769" t="s">
        <v>4994</v>
      </c>
      <c r="N50" s="1461"/>
      <c r="O50" s="1461"/>
      <c r="P50" s="1461"/>
      <c r="Q50" s="1461"/>
      <c r="R50" s="1463"/>
      <c r="S50" s="1457"/>
    </row>
    <row r="51" spans="1:19" s="97" customFormat="1" ht="24" customHeight="1">
      <c r="A51" s="1483" t="s">
        <v>4042</v>
      </c>
      <c r="B51" s="1484" t="s">
        <v>4039</v>
      </c>
      <c r="C51" s="1579" t="s">
        <v>5036</v>
      </c>
      <c r="D51" s="1580" t="s">
        <v>5053</v>
      </c>
      <c r="E51" s="1581">
        <v>46276</v>
      </c>
      <c r="F51" s="1580">
        <v>46276</v>
      </c>
      <c r="G51" s="1551">
        <f>VLOOKUP(F51,환율!A:B,2,0)</f>
        <v>1338.2</v>
      </c>
      <c r="H51" s="1583">
        <v>33829.919999999998</v>
      </c>
      <c r="I51" s="1584">
        <f t="shared" si="5"/>
        <v>45271198</v>
      </c>
      <c r="J51" s="1585">
        <f t="shared" ref="J51:J76" si="9">I51</f>
        <v>45271198</v>
      </c>
      <c r="K51" s="1586"/>
      <c r="L51" s="1800"/>
      <c r="M51">
        <v>8409912000</v>
      </c>
      <c r="N51" s="1461"/>
      <c r="O51" s="1461"/>
      <c r="P51" s="1461"/>
      <c r="Q51" s="1461"/>
      <c r="R51" s="1463"/>
      <c r="S51" s="34"/>
    </row>
    <row r="52" spans="1:19" s="97" customFormat="1" ht="24" customHeight="1">
      <c r="A52" s="1483" t="s">
        <v>4042</v>
      </c>
      <c r="B52" s="1484" t="s">
        <v>4039</v>
      </c>
      <c r="C52" s="1579" t="s">
        <v>5037</v>
      </c>
      <c r="D52" s="1580" t="s">
        <v>5054</v>
      </c>
      <c r="E52" s="1581">
        <v>46266</v>
      </c>
      <c r="F52" s="1580">
        <v>46266</v>
      </c>
      <c r="G52" s="1551">
        <f>VLOOKUP(F52,환율!A:B,2,0)</f>
        <v>1373.6</v>
      </c>
      <c r="H52" s="1583">
        <v>62017.4</v>
      </c>
      <c r="I52" s="1584">
        <f t="shared" si="5"/>
        <v>85187100</v>
      </c>
      <c r="J52" s="1585">
        <f t="shared" si="9"/>
        <v>85187100</v>
      </c>
      <c r="K52" s="1586"/>
      <c r="L52" s="1800"/>
      <c r="M52">
        <v>8409912000</v>
      </c>
      <c r="N52" s="1461"/>
      <c r="O52" s="1461"/>
      <c r="P52" s="1461"/>
      <c r="Q52" s="1461"/>
      <c r="R52" s="1463"/>
      <c r="S52" s="34"/>
    </row>
    <row r="53" spans="1:19" s="97" customFormat="1" ht="24" customHeight="1">
      <c r="A53" s="1483" t="s">
        <v>4042</v>
      </c>
      <c r="B53" s="1484" t="s">
        <v>4039</v>
      </c>
      <c r="C53" s="1579" t="s">
        <v>5038</v>
      </c>
      <c r="D53" s="1580" t="s">
        <v>5055</v>
      </c>
      <c r="E53" s="1581">
        <v>46266</v>
      </c>
      <c r="F53" s="1580">
        <v>46266</v>
      </c>
      <c r="G53" s="1551">
        <f>VLOOKUP(F53,환율!A:B,2,0)</f>
        <v>1373.6</v>
      </c>
      <c r="H53" s="1583">
        <v>102197.75999999999</v>
      </c>
      <c r="I53" s="1584">
        <f t="shared" si="5"/>
        <v>140378843</v>
      </c>
      <c r="J53" s="1585">
        <f t="shared" si="9"/>
        <v>140378843</v>
      </c>
      <c r="K53" s="1586"/>
      <c r="L53" s="1800"/>
      <c r="M53">
        <v>8409912000</v>
      </c>
      <c r="N53" s="1461"/>
      <c r="O53" s="1461"/>
      <c r="P53" s="1461"/>
      <c r="Q53" s="1461"/>
      <c r="R53" s="1463"/>
      <c r="S53" s="34"/>
    </row>
    <row r="54" spans="1:19" s="97" customFormat="1" ht="24" customHeight="1">
      <c r="A54" s="1483" t="s">
        <v>4042</v>
      </c>
      <c r="B54" s="1484" t="s">
        <v>4039</v>
      </c>
      <c r="C54" s="1579" t="s">
        <v>5039</v>
      </c>
      <c r="D54" s="1580" t="s">
        <v>5056</v>
      </c>
      <c r="E54" s="1581">
        <v>46276</v>
      </c>
      <c r="F54" s="1580">
        <v>46276</v>
      </c>
      <c r="G54" s="1551">
        <f>VLOOKUP(F54,환율!A:B,2,0)</f>
        <v>1338.2</v>
      </c>
      <c r="H54" s="1583">
        <v>6048</v>
      </c>
      <c r="I54" s="1584">
        <f t="shared" si="5"/>
        <v>8093433</v>
      </c>
      <c r="J54" s="1585">
        <f t="shared" si="9"/>
        <v>8093433</v>
      </c>
      <c r="K54" s="1586"/>
      <c r="L54" s="1800"/>
      <c r="M54">
        <v>8409912000</v>
      </c>
      <c r="N54" s="1461"/>
      <c r="O54" s="1461"/>
      <c r="P54" s="1461"/>
      <c r="Q54" s="1461"/>
      <c r="R54" s="1463"/>
      <c r="S54" s="34"/>
    </row>
    <row r="55" spans="1:19" s="97" customFormat="1" ht="24" customHeight="1">
      <c r="A55" s="1483" t="s">
        <v>4042</v>
      </c>
      <c r="B55" s="1484" t="s">
        <v>4039</v>
      </c>
      <c r="C55" s="1579" t="s">
        <v>5040</v>
      </c>
      <c r="D55" s="1580" t="s">
        <v>5057</v>
      </c>
      <c r="E55" s="1581">
        <v>46295</v>
      </c>
      <c r="F55" s="1580">
        <v>46295</v>
      </c>
      <c r="G55" s="1551">
        <f>VLOOKUP(F55,환율!A:B,2,0)</f>
        <v>1358.4</v>
      </c>
      <c r="H55" s="1583">
        <v>6267.8</v>
      </c>
      <c r="I55" s="1584">
        <f t="shared" si="5"/>
        <v>8514179</v>
      </c>
      <c r="J55" s="1585">
        <f t="shared" si="9"/>
        <v>8514179</v>
      </c>
      <c r="K55" s="1586"/>
      <c r="L55" s="1800"/>
      <c r="M55">
        <v>8409912000</v>
      </c>
      <c r="N55" s="1461"/>
      <c r="O55" s="1461"/>
      <c r="P55" s="1461"/>
      <c r="Q55" s="1461"/>
      <c r="R55" s="1463"/>
      <c r="S55" s="34"/>
    </row>
    <row r="56" spans="1:19" s="97" customFormat="1" ht="24" customHeight="1">
      <c r="A56" s="1483" t="s">
        <v>4042</v>
      </c>
      <c r="B56" s="1484" t="s">
        <v>4039</v>
      </c>
      <c r="C56" s="1730" t="s">
        <v>5041</v>
      </c>
      <c r="D56" s="1731" t="s">
        <v>5058</v>
      </c>
      <c r="E56" s="1733">
        <v>46267</v>
      </c>
      <c r="F56" s="1731">
        <v>46267</v>
      </c>
      <c r="G56" s="1551">
        <f>VLOOKUP(F56,환율!A:B,2,0)</f>
        <v>1370.3</v>
      </c>
      <c r="H56" s="1552">
        <v>61116.6</v>
      </c>
      <c r="I56" s="1487">
        <f t="shared" si="5"/>
        <v>83748076</v>
      </c>
      <c r="J56" s="1488">
        <f t="shared" si="9"/>
        <v>83748076</v>
      </c>
      <c r="K56" s="1553"/>
      <c r="L56" s="1800"/>
      <c r="M56">
        <v>8409912000</v>
      </c>
      <c r="N56" s="1461"/>
      <c r="O56" s="1461"/>
      <c r="P56" s="1461"/>
      <c r="Q56" s="1461"/>
      <c r="R56" s="1463"/>
      <c r="S56" s="34"/>
    </row>
    <row r="57" spans="1:19" s="126" customFormat="1" ht="24" customHeight="1">
      <c r="A57" s="1483" t="s">
        <v>4042</v>
      </c>
      <c r="B57" s="1484" t="s">
        <v>4039</v>
      </c>
      <c r="C57" s="1730" t="s">
        <v>5042</v>
      </c>
      <c r="D57" s="1731" t="s">
        <v>5059</v>
      </c>
      <c r="E57" s="1733">
        <v>46276</v>
      </c>
      <c r="F57" s="1731">
        <v>46276</v>
      </c>
      <c r="G57" s="1551">
        <f>VLOOKUP(F57,환율!A:B,2,0)</f>
        <v>1338.2</v>
      </c>
      <c r="H57" s="1552">
        <v>60142.080000000002</v>
      </c>
      <c r="I57" s="1487">
        <f t="shared" si="5"/>
        <v>80482131</v>
      </c>
      <c r="J57" s="1488">
        <f t="shared" si="9"/>
        <v>80482131</v>
      </c>
      <c r="K57" s="1553"/>
      <c r="L57" s="1800"/>
      <c r="M57">
        <v>8409912000</v>
      </c>
      <c r="N57" s="1461"/>
      <c r="O57" s="1461"/>
      <c r="P57" s="1461"/>
      <c r="Q57" s="1461"/>
      <c r="R57" s="1463"/>
      <c r="S57" s="40"/>
    </row>
    <row r="58" spans="1:19" s="126" customFormat="1" ht="24" customHeight="1">
      <c r="A58" s="1885" t="s">
        <v>4042</v>
      </c>
      <c r="B58" s="1886" t="s">
        <v>4039</v>
      </c>
      <c r="C58" s="1887" t="s">
        <v>5043</v>
      </c>
      <c r="D58" s="1731" t="s">
        <v>5060</v>
      </c>
      <c r="E58" s="1733">
        <v>46291</v>
      </c>
      <c r="F58" s="1731">
        <v>46291</v>
      </c>
      <c r="G58" s="1551">
        <f>VLOOKUP(F58,환율!A:B,2,0)</f>
        <v>1360</v>
      </c>
      <c r="H58" s="1552">
        <v>102197.75999999999</v>
      </c>
      <c r="I58" s="1487">
        <f t="shared" si="5"/>
        <v>138988953</v>
      </c>
      <c r="J58" s="1487">
        <f t="shared" si="9"/>
        <v>138988953</v>
      </c>
      <c r="K58" s="1888"/>
      <c r="L58" s="1800"/>
      <c r="M58">
        <v>8409912000</v>
      </c>
      <c r="N58" s="1461"/>
      <c r="O58" s="1461"/>
      <c r="P58" s="1461"/>
      <c r="Q58" s="1461"/>
      <c r="R58" s="1463"/>
      <c r="S58" s="40"/>
    </row>
    <row r="59" spans="1:19" s="126" customFormat="1" ht="24" customHeight="1">
      <c r="A59" s="1483" t="s">
        <v>4042</v>
      </c>
      <c r="B59" s="1484" t="s">
        <v>4039</v>
      </c>
      <c r="C59" s="1730" t="s">
        <v>5044</v>
      </c>
      <c r="D59" s="1731" t="s">
        <v>5061</v>
      </c>
      <c r="E59" s="1733">
        <v>46276</v>
      </c>
      <c r="F59" s="1731">
        <v>46276</v>
      </c>
      <c r="G59" s="1551">
        <f>VLOOKUP(F59,환율!A:B,2,0)</f>
        <v>1338.2</v>
      </c>
      <c r="H59" s="1552">
        <v>103247.84</v>
      </c>
      <c r="I59" s="1487">
        <f t="shared" si="5"/>
        <v>138166259</v>
      </c>
      <c r="J59" s="1487">
        <f t="shared" si="9"/>
        <v>138166259</v>
      </c>
      <c r="K59" s="1553"/>
      <c r="L59" s="1801"/>
      <c r="M59">
        <v>8409912000</v>
      </c>
      <c r="N59" s="1461"/>
      <c r="O59" s="1461"/>
      <c r="P59" s="1461"/>
      <c r="Q59" s="1461"/>
      <c r="R59" s="1463"/>
      <c r="S59" s="40"/>
    </row>
    <row r="60" spans="1:19" s="126" customFormat="1" ht="24" customHeight="1">
      <c r="A60" s="1483" t="s">
        <v>4042</v>
      </c>
      <c r="B60" s="1484" t="s">
        <v>4039</v>
      </c>
      <c r="C60" s="1730" t="s">
        <v>5045</v>
      </c>
      <c r="D60" s="1731" t="s">
        <v>5062</v>
      </c>
      <c r="E60" s="1733">
        <v>46276</v>
      </c>
      <c r="F60" s="1731">
        <v>46276</v>
      </c>
      <c r="G60" s="1551">
        <f>VLOOKUP(F60,환율!A:B,2,0)</f>
        <v>1338.2</v>
      </c>
      <c r="H60" s="1552">
        <v>9275.84</v>
      </c>
      <c r="I60" s="1487">
        <f t="shared" si="5"/>
        <v>12412929</v>
      </c>
      <c r="J60" s="1488">
        <f t="shared" si="9"/>
        <v>12412929</v>
      </c>
      <c r="K60" s="1553"/>
      <c r="L60" s="1800"/>
      <c r="M60">
        <v>8409912000</v>
      </c>
      <c r="N60" s="1461"/>
      <c r="O60" s="1461"/>
      <c r="P60" s="1461"/>
      <c r="Q60" s="1461"/>
      <c r="R60" s="1463"/>
      <c r="S60" s="40"/>
    </row>
    <row r="61" spans="1:19" s="126" customFormat="1" ht="24" customHeight="1">
      <c r="A61" s="1483" t="s">
        <v>4042</v>
      </c>
      <c r="B61" s="1484" t="s">
        <v>4039</v>
      </c>
      <c r="C61" s="1730" t="s">
        <v>5046</v>
      </c>
      <c r="D61" s="1731" t="s">
        <v>5063</v>
      </c>
      <c r="E61" s="1486">
        <v>46288</v>
      </c>
      <c r="F61" s="1731">
        <v>46288</v>
      </c>
      <c r="G61" s="1551">
        <f>VLOOKUP(F61,환율!A:B,2,0)</f>
        <v>1360</v>
      </c>
      <c r="H61" s="1552">
        <v>55428.82</v>
      </c>
      <c r="I61" s="1487">
        <f t="shared" si="5"/>
        <v>75383195</v>
      </c>
      <c r="J61" s="1488">
        <f t="shared" si="9"/>
        <v>75383195</v>
      </c>
      <c r="K61" s="1553"/>
      <c r="L61" s="1800"/>
      <c r="M61">
        <v>8409912000</v>
      </c>
      <c r="N61" s="1461"/>
      <c r="O61" s="1461"/>
      <c r="P61" s="1461"/>
      <c r="Q61" s="1461"/>
      <c r="R61" s="1463"/>
      <c r="S61" s="40"/>
    </row>
    <row r="62" spans="1:19" s="126" customFormat="1" ht="24" customHeight="1">
      <c r="A62" s="1483" t="s">
        <v>4042</v>
      </c>
      <c r="B62" s="1484" t="s">
        <v>4039</v>
      </c>
      <c r="C62" s="1730" t="s">
        <v>5047</v>
      </c>
      <c r="D62" s="1730" t="s">
        <v>5064</v>
      </c>
      <c r="E62" s="1486">
        <v>46285</v>
      </c>
      <c r="F62" s="1731">
        <v>46285</v>
      </c>
      <c r="G62" s="1551">
        <f>VLOOKUP(F62,환율!A:B,2,0)</f>
        <v>1380.3</v>
      </c>
      <c r="H62" s="1552">
        <v>31631.599999999999</v>
      </c>
      <c r="I62" s="1487">
        <f t="shared" si="5"/>
        <v>43661097</v>
      </c>
      <c r="J62" s="1488">
        <f t="shared" si="9"/>
        <v>43661097</v>
      </c>
      <c r="K62" s="1553"/>
      <c r="L62" s="1800"/>
      <c r="M62">
        <v>8409912000</v>
      </c>
      <c r="N62" s="1461"/>
      <c r="O62" s="1461"/>
      <c r="P62" s="1461"/>
      <c r="Q62" s="1461"/>
      <c r="R62" s="1463"/>
      <c r="S62" s="40"/>
    </row>
    <row r="63" spans="1:19" s="126" customFormat="1" ht="24" customHeight="1">
      <c r="A63" s="1483" t="s">
        <v>4042</v>
      </c>
      <c r="B63" s="1484" t="s">
        <v>4039</v>
      </c>
      <c r="C63" s="1730" t="s">
        <v>5048</v>
      </c>
      <c r="D63" s="1731" t="s">
        <v>5065</v>
      </c>
      <c r="E63" s="1733">
        <v>46291</v>
      </c>
      <c r="F63" s="1731">
        <v>46291</v>
      </c>
      <c r="G63" s="1551">
        <f>VLOOKUP(F63,환율!A:B,2,0)</f>
        <v>1360</v>
      </c>
      <c r="H63" s="1552">
        <v>102197.75999999999</v>
      </c>
      <c r="I63" s="1487">
        <f t="shared" si="5"/>
        <v>138988953</v>
      </c>
      <c r="J63" s="1488">
        <f t="shared" si="9"/>
        <v>138988953</v>
      </c>
      <c r="K63" s="1553"/>
      <c r="L63" s="1800"/>
      <c r="M63">
        <v>8409912000</v>
      </c>
      <c r="N63" s="1461"/>
      <c r="O63" s="1461"/>
      <c r="P63" s="1461"/>
      <c r="Q63" s="1461"/>
      <c r="R63" s="1463"/>
      <c r="S63" s="40"/>
    </row>
    <row r="64" spans="1:19" s="126" customFormat="1" ht="24" customHeight="1">
      <c r="A64" s="1483" t="s">
        <v>4042</v>
      </c>
      <c r="B64" s="1484" t="s">
        <v>4039</v>
      </c>
      <c r="C64" s="1730" t="s">
        <v>5049</v>
      </c>
      <c r="D64" s="1731" t="s">
        <v>5066</v>
      </c>
      <c r="E64" s="1733">
        <v>46273</v>
      </c>
      <c r="F64" s="1731">
        <v>46272</v>
      </c>
      <c r="G64" s="1551">
        <f>VLOOKUP(F64,환율!A:B,2,0)</f>
        <v>1355.2</v>
      </c>
      <c r="H64" s="1552">
        <v>60142.080000000002</v>
      </c>
      <c r="I64" s="1487">
        <f t="shared" si="5"/>
        <v>81504546</v>
      </c>
      <c r="J64" s="1488">
        <f t="shared" si="9"/>
        <v>81504546</v>
      </c>
      <c r="K64" s="1553"/>
      <c r="L64" s="1800"/>
      <c r="M64">
        <v>8409912000</v>
      </c>
      <c r="N64" s="1461"/>
      <c r="O64" s="1461"/>
      <c r="P64" s="1461"/>
      <c r="Q64" s="1461"/>
      <c r="R64" s="1463"/>
      <c r="S64" s="40"/>
    </row>
    <row r="65" spans="1:19" s="126" customFormat="1" ht="24" customHeight="1">
      <c r="A65" s="1483" t="s">
        <v>4042</v>
      </c>
      <c r="B65" s="1484" t="s">
        <v>4039</v>
      </c>
      <c r="C65" s="1730" t="s">
        <v>5050</v>
      </c>
      <c r="D65" s="1731" t="s">
        <v>5067</v>
      </c>
      <c r="E65" s="1733">
        <v>46295</v>
      </c>
      <c r="F65" s="1731">
        <v>46295</v>
      </c>
      <c r="G65" s="1551">
        <f>VLOOKUP(F65,환율!A:B,2,0)</f>
        <v>1358.4</v>
      </c>
      <c r="H65" s="1552">
        <v>3412.2</v>
      </c>
      <c r="I65" s="1487">
        <f t="shared" si="5"/>
        <v>4635132</v>
      </c>
      <c r="J65" s="1488">
        <f t="shared" si="9"/>
        <v>4635132</v>
      </c>
      <c r="K65" s="1553"/>
      <c r="L65" s="1800"/>
      <c r="M65">
        <v>8409912000</v>
      </c>
      <c r="N65" s="1461"/>
      <c r="O65" s="1461"/>
      <c r="P65" s="1461"/>
      <c r="Q65" s="1461"/>
      <c r="R65" s="1463"/>
      <c r="S65" s="40"/>
    </row>
    <row r="66" spans="1:19" s="126" customFormat="1" ht="24" customHeight="1">
      <c r="A66" s="1483" t="s">
        <v>4042</v>
      </c>
      <c r="B66" s="1484" t="s">
        <v>4039</v>
      </c>
      <c r="C66" s="1730" t="s">
        <v>5051</v>
      </c>
      <c r="D66" s="1950" t="s">
        <v>5028</v>
      </c>
      <c r="E66" s="1733">
        <v>46273</v>
      </c>
      <c r="F66" s="1731">
        <v>46272</v>
      </c>
      <c r="G66" s="1551">
        <f>VLOOKUP(F66,환율!A:B,2,0)</f>
        <v>1355.2</v>
      </c>
      <c r="H66" s="1552">
        <v>47896.28</v>
      </c>
      <c r="I66" s="1487">
        <f t="shared" si="5"/>
        <v>64909038</v>
      </c>
      <c r="J66" s="1488">
        <f t="shared" si="9"/>
        <v>64909038</v>
      </c>
      <c r="K66" s="1553"/>
      <c r="L66" s="1800"/>
      <c r="M66">
        <v>8409912000</v>
      </c>
      <c r="N66" s="1461"/>
      <c r="O66" s="1461"/>
      <c r="P66" s="1461"/>
      <c r="Q66" s="1461"/>
      <c r="R66" s="1463"/>
      <c r="S66" s="40"/>
    </row>
    <row r="67" spans="1:19" s="126" customFormat="1" ht="24" customHeight="1">
      <c r="A67" s="1483" t="s">
        <v>4042</v>
      </c>
      <c r="B67" s="1484" t="s">
        <v>4039</v>
      </c>
      <c r="C67" s="1730" t="s">
        <v>5027</v>
      </c>
      <c r="D67" s="1731" t="s">
        <v>5290</v>
      </c>
      <c r="E67" s="1733">
        <v>46267</v>
      </c>
      <c r="F67" s="1731">
        <v>46267</v>
      </c>
      <c r="G67" s="1551">
        <f>VLOOKUP(F67,환율!A:B,2,0)</f>
        <v>1370.3</v>
      </c>
      <c r="H67" s="1552">
        <v>1269.5</v>
      </c>
      <c r="I67" s="1487">
        <f t="shared" si="5"/>
        <v>1739595</v>
      </c>
      <c r="J67" s="1488">
        <f t="shared" si="9"/>
        <v>1739595</v>
      </c>
      <c r="K67" s="1553"/>
      <c r="L67" s="1800"/>
      <c r="M67">
        <v>8409912000</v>
      </c>
      <c r="N67" s="1461"/>
      <c r="O67" s="1461"/>
      <c r="P67" s="1461"/>
      <c r="Q67" s="1461"/>
      <c r="R67" s="1463"/>
      <c r="S67" s="40"/>
    </row>
    <row r="68" spans="1:19" s="126" customFormat="1" ht="24" customHeight="1">
      <c r="A68" s="1489" t="s">
        <v>4042</v>
      </c>
      <c r="B68" s="1490" t="s">
        <v>4039</v>
      </c>
      <c r="C68" s="1596" t="s">
        <v>5178</v>
      </c>
      <c r="D68" s="1494" t="s">
        <v>5179</v>
      </c>
      <c r="E68" s="1597">
        <v>46291</v>
      </c>
      <c r="F68" s="1494">
        <v>46291</v>
      </c>
      <c r="G68" s="1564">
        <f>VLOOKUP(F68,환율!A:B,2,0)</f>
        <v>1360</v>
      </c>
      <c r="H68" s="1565">
        <v>1855.26</v>
      </c>
      <c r="I68" s="1497">
        <f t="shared" si="5"/>
        <v>2523153</v>
      </c>
      <c r="J68" s="1498">
        <f t="shared" si="9"/>
        <v>2523153</v>
      </c>
      <c r="K68" s="1499"/>
      <c r="L68" s="1800"/>
      <c r="M68">
        <v>8409912000</v>
      </c>
      <c r="N68" s="1461"/>
      <c r="O68" s="1461"/>
      <c r="P68" s="1461"/>
      <c r="Q68" s="1461"/>
      <c r="R68" s="1463"/>
      <c r="S68" s="40"/>
    </row>
    <row r="69" spans="1:19" s="126" customFormat="1" ht="24" customHeight="1">
      <c r="A69" s="1489" t="s">
        <v>4042</v>
      </c>
      <c r="B69" s="1490" t="s">
        <v>4039</v>
      </c>
      <c r="C69" s="1596" t="s">
        <v>5180</v>
      </c>
      <c r="D69" s="1494" t="s">
        <v>5181</v>
      </c>
      <c r="E69" s="1597">
        <v>46291</v>
      </c>
      <c r="F69" s="1494">
        <v>46287</v>
      </c>
      <c r="G69" s="1564">
        <f>VLOOKUP(F69,환율!A:B,2,0)</f>
        <v>1384.3</v>
      </c>
      <c r="H69" s="1565">
        <v>60142.080000000002</v>
      </c>
      <c r="I69" s="1497">
        <f t="shared" si="5"/>
        <v>83254681</v>
      </c>
      <c r="J69" s="1498">
        <f t="shared" si="9"/>
        <v>83254681</v>
      </c>
      <c r="K69" s="1499"/>
      <c r="L69" s="1800"/>
      <c r="M69">
        <v>8409912000</v>
      </c>
      <c r="N69" s="1461"/>
      <c r="O69" s="1461"/>
      <c r="P69" s="1461"/>
      <c r="Q69" s="1461"/>
      <c r="R69" s="1463"/>
      <c r="S69" s="40"/>
    </row>
    <row r="70" spans="1:19" s="126" customFormat="1" ht="24" customHeight="1">
      <c r="A70" s="1489" t="s">
        <v>4042</v>
      </c>
      <c r="B70" s="1490" t="s">
        <v>4039</v>
      </c>
      <c r="C70" s="1596" t="s">
        <v>5182</v>
      </c>
      <c r="D70" s="1494" t="s">
        <v>5183</v>
      </c>
      <c r="E70" s="1597">
        <v>46291</v>
      </c>
      <c r="F70" s="1494">
        <v>46291</v>
      </c>
      <c r="G70" s="1564">
        <f>VLOOKUP(F70,환율!A:B,2,0)</f>
        <v>1360</v>
      </c>
      <c r="H70" s="1565">
        <v>86229.36</v>
      </c>
      <c r="I70" s="1497">
        <f>ROUNDDOWN(G70*H70,0)</f>
        <v>117271929</v>
      </c>
      <c r="J70" s="1498">
        <f t="shared" si="9"/>
        <v>117271929</v>
      </c>
      <c r="K70" s="1499"/>
      <c r="L70" s="1800"/>
      <c r="M70">
        <v>8409912000</v>
      </c>
      <c r="N70" s="1461"/>
      <c r="O70" s="1461"/>
      <c r="P70" s="1461"/>
      <c r="Q70" s="1461"/>
      <c r="R70" s="1463"/>
      <c r="S70" s="40"/>
    </row>
    <row r="71" spans="1:19" s="126" customFormat="1" ht="24" customHeight="1">
      <c r="A71" s="1489" t="s">
        <v>4042</v>
      </c>
      <c r="B71" s="1490" t="s">
        <v>4039</v>
      </c>
      <c r="C71" s="1596" t="s">
        <v>5184</v>
      </c>
      <c r="D71" s="1494" t="s">
        <v>5185</v>
      </c>
      <c r="E71" s="1597">
        <v>46291</v>
      </c>
      <c r="F71" s="1494">
        <v>46291</v>
      </c>
      <c r="G71" s="1564">
        <f>VLOOKUP(F71,환율!A:B,2,0)</f>
        <v>1360</v>
      </c>
      <c r="H71" s="1565">
        <v>30006.9</v>
      </c>
      <c r="I71" s="1497">
        <f>ROUNDDOWN(G71*H71,0)</f>
        <v>40809384</v>
      </c>
      <c r="J71" s="1498">
        <f t="shared" si="9"/>
        <v>40809384</v>
      </c>
      <c r="K71" s="1499"/>
      <c r="L71" s="1800"/>
      <c r="M71">
        <v>8409912000</v>
      </c>
      <c r="N71" s="1461"/>
      <c r="O71" s="1461"/>
      <c r="P71" s="1461"/>
      <c r="Q71" s="1461"/>
      <c r="R71" s="1463"/>
      <c r="S71" s="40"/>
    </row>
    <row r="72" spans="1:19" s="126" customFormat="1" ht="24" customHeight="1">
      <c r="A72" s="1489" t="s">
        <v>4042</v>
      </c>
      <c r="B72" s="1490" t="s">
        <v>4039</v>
      </c>
      <c r="C72" s="1596" t="s">
        <v>5186</v>
      </c>
      <c r="D72" s="1494" t="s">
        <v>5187</v>
      </c>
      <c r="E72" s="1597">
        <v>46291</v>
      </c>
      <c r="F72" s="1494">
        <v>46291</v>
      </c>
      <c r="G72" s="1564">
        <f>VLOOKUP(F72,환율!A:B,2,0)</f>
        <v>1360</v>
      </c>
      <c r="H72" s="1565">
        <v>86229.36</v>
      </c>
      <c r="I72" s="1497">
        <f t="shared" ref="I72:I87" si="10">ROUNDDOWN(G72*H72,0)</f>
        <v>117271929</v>
      </c>
      <c r="J72" s="1498">
        <f t="shared" si="9"/>
        <v>117271929</v>
      </c>
      <c r="K72" s="1499"/>
      <c r="L72" s="1800"/>
      <c r="M72">
        <v>8409912000</v>
      </c>
      <c r="N72" s="1461"/>
      <c r="O72" s="1461"/>
      <c r="P72" s="1461"/>
      <c r="Q72" s="1461"/>
      <c r="R72" s="1463"/>
      <c r="S72" s="40"/>
    </row>
    <row r="73" spans="1:19" s="126" customFormat="1" ht="24" customHeight="1">
      <c r="A73" s="1489" t="s">
        <v>4042</v>
      </c>
      <c r="B73" s="1490" t="s">
        <v>4039</v>
      </c>
      <c r="C73" s="1596" t="s">
        <v>5188</v>
      </c>
      <c r="D73" s="1494" t="s">
        <v>5189</v>
      </c>
      <c r="E73" s="1493">
        <v>46295</v>
      </c>
      <c r="F73" s="1494">
        <v>46295</v>
      </c>
      <c r="G73" s="1564">
        <f>VLOOKUP(F73,환율!A:B,2,0)</f>
        <v>1358.4</v>
      </c>
      <c r="H73" s="1565">
        <v>53653.1</v>
      </c>
      <c r="I73" s="1497">
        <f t="shared" si="10"/>
        <v>72882371</v>
      </c>
      <c r="J73" s="1498">
        <f t="shared" si="9"/>
        <v>72882371</v>
      </c>
      <c r="K73" s="1499"/>
      <c r="L73" s="1800"/>
      <c r="M73">
        <v>8409912000</v>
      </c>
      <c r="N73" s="1461"/>
      <c r="O73" s="1461"/>
      <c r="P73" s="1461"/>
      <c r="Q73" s="1461"/>
      <c r="R73" s="1465"/>
      <c r="S73" s="40"/>
    </row>
    <row r="74" spans="1:19" s="126" customFormat="1" ht="24" customHeight="1">
      <c r="A74" s="1489" t="s">
        <v>4042</v>
      </c>
      <c r="B74" s="1490" t="s">
        <v>4039</v>
      </c>
      <c r="C74" s="1596" t="s">
        <v>5190</v>
      </c>
      <c r="D74" s="1494" t="s">
        <v>5191</v>
      </c>
      <c r="E74" s="1493">
        <v>46293</v>
      </c>
      <c r="F74" s="1494">
        <v>46293</v>
      </c>
      <c r="G74" s="1564">
        <f>VLOOKUP(F74,환율!A:B,2,0)</f>
        <v>1352</v>
      </c>
      <c r="H74" s="1565">
        <v>12956.58</v>
      </c>
      <c r="I74" s="1497">
        <f t="shared" si="10"/>
        <v>17517296</v>
      </c>
      <c r="J74" s="1498">
        <f t="shared" si="9"/>
        <v>17517296</v>
      </c>
      <c r="K74" s="1499"/>
      <c r="L74" s="1800"/>
      <c r="M74">
        <v>8409912000</v>
      </c>
      <c r="N74" s="1461"/>
      <c r="O74" s="1461"/>
      <c r="P74" s="1461"/>
      <c r="Q74" s="1461"/>
      <c r="R74" s="1465"/>
      <c r="S74" s="40"/>
    </row>
    <row r="75" spans="1:19" s="126" customFormat="1" ht="24" customHeight="1">
      <c r="A75" s="1489" t="s">
        <v>4042</v>
      </c>
      <c r="B75" s="1490" t="s">
        <v>4039</v>
      </c>
      <c r="C75" s="1596" t="s">
        <v>5192</v>
      </c>
      <c r="D75" s="1494" t="s">
        <v>5193</v>
      </c>
      <c r="E75" s="1493">
        <v>46280</v>
      </c>
      <c r="F75" s="1494">
        <v>46280</v>
      </c>
      <c r="G75" s="1564">
        <f>VLOOKUP(F75,환율!A:B,2,0)</f>
        <v>1345.3</v>
      </c>
      <c r="H75" s="1565">
        <v>6855.3</v>
      </c>
      <c r="I75" s="1497">
        <f t="shared" si="10"/>
        <v>9222435</v>
      </c>
      <c r="J75" s="1498">
        <f t="shared" si="9"/>
        <v>9222435</v>
      </c>
      <c r="K75" s="1499"/>
      <c r="L75" s="1800"/>
      <c r="M75">
        <v>8409912000</v>
      </c>
      <c r="N75" s="1461"/>
      <c r="O75" s="1461"/>
      <c r="P75" s="1461"/>
      <c r="Q75" s="1461"/>
      <c r="R75" s="1466"/>
      <c r="S75" s="40"/>
    </row>
    <row r="76" spans="1:19" s="126" customFormat="1" ht="24" customHeight="1">
      <c r="A76" s="1600" t="s">
        <v>4042</v>
      </c>
      <c r="B76" s="1601" t="s">
        <v>4039</v>
      </c>
      <c r="C76" s="1602" t="s">
        <v>5216</v>
      </c>
      <c r="D76" s="1603" t="s">
        <v>4765</v>
      </c>
      <c r="E76" s="1734"/>
      <c r="F76" s="1603">
        <v>46276</v>
      </c>
      <c r="G76" s="1684">
        <v>1338.2</v>
      </c>
      <c r="H76" s="1606">
        <v>0</v>
      </c>
      <c r="I76" s="1607">
        <v>0</v>
      </c>
      <c r="J76" s="1608">
        <f t="shared" si="9"/>
        <v>0</v>
      </c>
      <c r="K76" s="1609"/>
      <c r="L76" s="1800"/>
      <c r="M76"/>
      <c r="N76" s="1461"/>
      <c r="O76" s="1461"/>
      <c r="P76" s="1461"/>
      <c r="Q76" s="1461"/>
      <c r="R76" s="1466"/>
      <c r="S76" s="40"/>
    </row>
    <row r="77" spans="1:19" s="126" customFormat="1" ht="24" customHeight="1">
      <c r="A77" s="1824" t="s">
        <v>4042</v>
      </c>
      <c r="B77" s="1825" t="s">
        <v>4039</v>
      </c>
      <c r="C77" s="1901" t="s">
        <v>5194</v>
      </c>
      <c r="D77" s="1902" t="s">
        <v>5195</v>
      </c>
      <c r="E77" s="1828"/>
      <c r="F77" s="1902">
        <v>46296</v>
      </c>
      <c r="G77" s="1829">
        <f>VLOOKUP(F77,환율!A:B,2,0)</f>
        <v>1355.7</v>
      </c>
      <c r="H77" s="1830">
        <v>35148.480000000003</v>
      </c>
      <c r="I77" s="1831">
        <f t="shared" si="10"/>
        <v>47650794</v>
      </c>
      <c r="J77" s="1832"/>
      <c r="K77" s="1904">
        <f t="shared" ref="K77:K87" si="11">I77</f>
        <v>47650794</v>
      </c>
      <c r="L77" s="1800"/>
      <c r="M77">
        <v>8409912000</v>
      </c>
      <c r="N77" s="1461"/>
      <c r="O77" s="1461"/>
      <c r="P77" s="1461"/>
      <c r="Q77" s="1461"/>
      <c r="R77" s="1466"/>
      <c r="S77" s="40"/>
    </row>
    <row r="78" spans="1:19" s="126" customFormat="1" ht="24" customHeight="1">
      <c r="A78" s="1824" t="s">
        <v>4042</v>
      </c>
      <c r="B78" s="1825" t="s">
        <v>4039</v>
      </c>
      <c r="C78" s="1901" t="s">
        <v>5196</v>
      </c>
      <c r="D78" s="1902" t="s">
        <v>5197</v>
      </c>
      <c r="E78" s="1828"/>
      <c r="F78" s="1902">
        <v>46296</v>
      </c>
      <c r="G78" s="1829">
        <f>VLOOKUP(F78,환율!A:B,2,0)</f>
        <v>1355.7</v>
      </c>
      <c r="H78" s="1830">
        <v>92794.34</v>
      </c>
      <c r="I78" s="1831">
        <f t="shared" si="10"/>
        <v>125801286</v>
      </c>
      <c r="J78" s="1832"/>
      <c r="K78" s="1904">
        <f t="shared" si="11"/>
        <v>125801286</v>
      </c>
      <c r="L78" s="1800"/>
      <c r="M78">
        <v>8409912000</v>
      </c>
      <c r="N78" s="1461"/>
      <c r="O78" s="1461"/>
      <c r="P78" s="1461"/>
      <c r="Q78" s="1461"/>
      <c r="R78" s="1466"/>
      <c r="S78" s="40"/>
    </row>
    <row r="79" spans="1:19" s="126" customFormat="1" ht="24" customHeight="1">
      <c r="A79" s="1824" t="s">
        <v>4042</v>
      </c>
      <c r="B79" s="1825" t="s">
        <v>4039</v>
      </c>
      <c r="C79" s="1901" t="s">
        <v>5198</v>
      </c>
      <c r="D79" s="1902" t="s">
        <v>5199</v>
      </c>
      <c r="E79" s="1828"/>
      <c r="F79" s="1902">
        <v>46296</v>
      </c>
      <c r="G79" s="1829">
        <f>VLOOKUP(F79,환율!A:B,2,0)</f>
        <v>1355.7</v>
      </c>
      <c r="H79" s="1830">
        <v>60142.080000000002</v>
      </c>
      <c r="I79" s="1831">
        <f t="shared" si="10"/>
        <v>81534617</v>
      </c>
      <c r="J79" s="1832"/>
      <c r="K79" s="1904">
        <f t="shared" si="11"/>
        <v>81534617</v>
      </c>
      <c r="L79" s="1800"/>
      <c r="M79">
        <v>8409912000</v>
      </c>
      <c r="N79" s="1461"/>
      <c r="O79" s="1461"/>
      <c r="P79" s="1461"/>
      <c r="Q79" s="1461"/>
      <c r="R79" s="1466"/>
      <c r="S79" s="40"/>
    </row>
    <row r="80" spans="1:19" s="126" customFormat="1" ht="24" customHeight="1">
      <c r="A80" s="1824" t="s">
        <v>4042</v>
      </c>
      <c r="B80" s="1825" t="s">
        <v>4039</v>
      </c>
      <c r="C80" s="1901" t="s">
        <v>5200</v>
      </c>
      <c r="D80" s="1902" t="s">
        <v>5201</v>
      </c>
      <c r="E80" s="1828"/>
      <c r="F80" s="1902">
        <v>46296</v>
      </c>
      <c r="G80" s="1829">
        <f>VLOOKUP(F80,환율!A:B,2,0)</f>
        <v>1355.7</v>
      </c>
      <c r="H80" s="1830">
        <v>6636.72</v>
      </c>
      <c r="I80" s="1831">
        <f t="shared" si="10"/>
        <v>8997401</v>
      </c>
      <c r="J80" s="1832"/>
      <c r="K80" s="1904">
        <f t="shared" si="11"/>
        <v>8997401</v>
      </c>
      <c r="L80" s="1800"/>
      <c r="M80">
        <v>8409912000</v>
      </c>
      <c r="N80" s="1461"/>
      <c r="O80" s="1461"/>
      <c r="P80" s="1461"/>
      <c r="Q80" s="1461"/>
      <c r="R80" s="1466"/>
      <c r="S80" s="40"/>
    </row>
    <row r="81" spans="1:19" s="126" customFormat="1" ht="24" customHeight="1">
      <c r="A81" s="1824" t="s">
        <v>4042</v>
      </c>
      <c r="B81" s="1825" t="s">
        <v>4039</v>
      </c>
      <c r="C81" s="1901" t="s">
        <v>5202</v>
      </c>
      <c r="D81" s="1902" t="s">
        <v>5203</v>
      </c>
      <c r="E81" s="1828"/>
      <c r="F81" s="1902">
        <v>46296</v>
      </c>
      <c r="G81" s="1829">
        <f>VLOOKUP(F81,환율!A:B,2,0)</f>
        <v>1355.7</v>
      </c>
      <c r="H81" s="1830">
        <v>70099.56</v>
      </c>
      <c r="I81" s="1831">
        <f t="shared" si="10"/>
        <v>95033973</v>
      </c>
      <c r="J81" s="1832"/>
      <c r="K81" s="1904">
        <f t="shared" si="11"/>
        <v>95033973</v>
      </c>
      <c r="L81" s="1800"/>
      <c r="M81">
        <v>8409912000</v>
      </c>
      <c r="N81" s="1461"/>
      <c r="O81" s="1461"/>
      <c r="P81" s="1461"/>
      <c r="Q81" s="1461"/>
      <c r="R81" s="1466"/>
      <c r="S81" s="40"/>
    </row>
    <row r="82" spans="1:19" s="126" customFormat="1" ht="24" customHeight="1">
      <c r="A82" s="1824" t="s">
        <v>4042</v>
      </c>
      <c r="B82" s="1825" t="s">
        <v>4039</v>
      </c>
      <c r="C82" s="1901" t="s">
        <v>5204</v>
      </c>
      <c r="D82" s="1902" t="s">
        <v>5205</v>
      </c>
      <c r="E82" s="1828"/>
      <c r="F82" s="1902">
        <v>46296</v>
      </c>
      <c r="G82" s="1829">
        <f>VLOOKUP(F82,환율!A:B,2,0)</f>
        <v>1355.7</v>
      </c>
      <c r="H82" s="1830">
        <v>60142.080000000002</v>
      </c>
      <c r="I82" s="1831">
        <f t="shared" si="10"/>
        <v>81534617</v>
      </c>
      <c r="J82" s="1832"/>
      <c r="K82" s="1904">
        <f t="shared" si="11"/>
        <v>81534617</v>
      </c>
      <c r="L82" s="1800"/>
      <c r="M82">
        <v>8409912000</v>
      </c>
      <c r="N82" s="1461"/>
      <c r="O82" s="1461"/>
      <c r="P82" s="1461"/>
      <c r="Q82" s="1461"/>
      <c r="R82" s="1466"/>
      <c r="S82" s="40"/>
    </row>
    <row r="83" spans="1:19" s="126" customFormat="1" ht="24" customHeight="1">
      <c r="A83" s="1824" t="s">
        <v>4042</v>
      </c>
      <c r="B83" s="1825" t="s">
        <v>4039</v>
      </c>
      <c r="C83" s="1901" t="s">
        <v>5206</v>
      </c>
      <c r="D83" s="1902" t="s">
        <v>5207</v>
      </c>
      <c r="E83" s="1828"/>
      <c r="F83" s="1902">
        <v>46296</v>
      </c>
      <c r="G83" s="1829">
        <f>VLOOKUP(F83,환율!A:B,2,0)</f>
        <v>1355.7</v>
      </c>
      <c r="H83" s="1830">
        <v>100448.32000000001</v>
      </c>
      <c r="I83" s="1831">
        <f t="shared" si="10"/>
        <v>136177787</v>
      </c>
      <c r="J83" s="1832"/>
      <c r="K83" s="1904">
        <f t="shared" si="11"/>
        <v>136177787</v>
      </c>
      <c r="L83" s="1800"/>
      <c r="M83">
        <v>8409912000</v>
      </c>
      <c r="N83" s="1461"/>
      <c r="O83" s="1461"/>
      <c r="P83" s="1461"/>
      <c r="Q83" s="1461"/>
      <c r="R83" s="1466"/>
      <c r="S83" s="40"/>
    </row>
    <row r="84" spans="1:19" s="126" customFormat="1" ht="24" customHeight="1">
      <c r="A84" s="1824" t="s">
        <v>4042</v>
      </c>
      <c r="B84" s="1825" t="s">
        <v>4039</v>
      </c>
      <c r="C84" s="1901" t="s">
        <v>5208</v>
      </c>
      <c r="D84" s="1902" t="s">
        <v>5209</v>
      </c>
      <c r="E84" s="1828"/>
      <c r="F84" s="1902">
        <v>46296</v>
      </c>
      <c r="G84" s="1829">
        <f>VLOOKUP(F84,환율!A:B,2,0)</f>
        <v>1355.7</v>
      </c>
      <c r="H84" s="1830">
        <v>5281.92</v>
      </c>
      <c r="I84" s="1831">
        <f t="shared" si="10"/>
        <v>7160698</v>
      </c>
      <c r="J84" s="1832"/>
      <c r="K84" s="1904">
        <f t="shared" si="11"/>
        <v>7160698</v>
      </c>
      <c r="L84" s="1800"/>
      <c r="M84">
        <v>8409912000</v>
      </c>
      <c r="N84" s="1461"/>
      <c r="O84" s="1461"/>
      <c r="P84" s="1461"/>
      <c r="Q84" s="1461"/>
      <c r="R84" s="1466"/>
      <c r="S84" s="40"/>
    </row>
    <row r="85" spans="1:19" s="126" customFormat="1" ht="24" customHeight="1">
      <c r="A85" s="1824" t="s">
        <v>4042</v>
      </c>
      <c r="B85" s="1825" t="s">
        <v>4039</v>
      </c>
      <c r="C85" s="1901" t="s">
        <v>5210</v>
      </c>
      <c r="D85" s="1902" t="s">
        <v>5211</v>
      </c>
      <c r="E85" s="1828"/>
      <c r="F85" s="1902">
        <v>46296</v>
      </c>
      <c r="G85" s="1829">
        <f>VLOOKUP(F85,환율!A:B,2,0)</f>
        <v>1355.7</v>
      </c>
      <c r="H85" s="1830">
        <v>94218.78</v>
      </c>
      <c r="I85" s="1831">
        <f t="shared" si="10"/>
        <v>127732400</v>
      </c>
      <c r="J85" s="1832"/>
      <c r="K85" s="1904">
        <f t="shared" si="11"/>
        <v>127732400</v>
      </c>
      <c r="L85" s="1800"/>
      <c r="M85">
        <v>8409912000</v>
      </c>
      <c r="N85" s="1461"/>
      <c r="O85" s="1461"/>
      <c r="P85" s="1461"/>
      <c r="Q85" s="1461"/>
      <c r="R85" s="1466"/>
      <c r="S85" s="40"/>
    </row>
    <row r="86" spans="1:19" s="126" customFormat="1" ht="24" customHeight="1">
      <c r="A86" s="1824" t="s">
        <v>4042</v>
      </c>
      <c r="B86" s="1825" t="s">
        <v>4039</v>
      </c>
      <c r="C86" s="1901" t="s">
        <v>5212</v>
      </c>
      <c r="D86" s="1902" t="s">
        <v>5213</v>
      </c>
      <c r="E86" s="1828"/>
      <c r="F86" s="1902">
        <v>46296</v>
      </c>
      <c r="G86" s="1829">
        <f>VLOOKUP(F86,환율!A:B,2,0)</f>
        <v>1355.7</v>
      </c>
      <c r="H86" s="1830">
        <v>60142.080000000002</v>
      </c>
      <c r="I86" s="1831">
        <f t="shared" si="10"/>
        <v>81534617</v>
      </c>
      <c r="J86" s="1832"/>
      <c r="K86" s="1904">
        <f t="shared" si="11"/>
        <v>81534617</v>
      </c>
      <c r="L86" s="1800"/>
      <c r="M86">
        <v>8409912000</v>
      </c>
      <c r="N86" s="1461"/>
      <c r="O86" s="1461"/>
      <c r="P86" s="1461"/>
      <c r="Q86" s="1461"/>
      <c r="R86" s="1466"/>
      <c r="S86" s="40"/>
    </row>
    <row r="87" spans="1:19" s="126" customFormat="1" ht="24" customHeight="1" thickBot="1">
      <c r="A87" s="1824" t="s">
        <v>4042</v>
      </c>
      <c r="B87" s="1825" t="s">
        <v>4039</v>
      </c>
      <c r="C87" s="1901" t="s">
        <v>5214</v>
      </c>
      <c r="D87" s="1902" t="s">
        <v>5215</v>
      </c>
      <c r="E87" s="1828"/>
      <c r="F87" s="1902">
        <v>46296</v>
      </c>
      <c r="G87" s="1829">
        <f>VLOOKUP(F87,환율!A:B,2,0)</f>
        <v>1355.7</v>
      </c>
      <c r="H87" s="1830">
        <v>51098.879999999997</v>
      </c>
      <c r="I87" s="1831">
        <f t="shared" si="10"/>
        <v>69274751</v>
      </c>
      <c r="J87" s="1832"/>
      <c r="K87" s="1904">
        <f t="shared" si="11"/>
        <v>69274751</v>
      </c>
      <c r="L87" s="1800"/>
      <c r="M87">
        <v>8409912000</v>
      </c>
      <c r="N87" s="1461"/>
      <c r="O87" s="1461"/>
      <c r="P87" s="1461"/>
      <c r="Q87" s="1461"/>
      <c r="R87" s="1466"/>
      <c r="S87" s="40"/>
    </row>
    <row r="88" spans="1:19" s="126" customFormat="1" ht="24" customHeight="1">
      <c r="A88" s="1951" t="s">
        <v>4040</v>
      </c>
      <c r="B88" s="1952" t="s">
        <v>4039</v>
      </c>
      <c r="C88" s="1953" t="s">
        <v>5217</v>
      </c>
      <c r="D88" s="1953" t="s">
        <v>5291</v>
      </c>
      <c r="E88" s="1670">
        <v>46274</v>
      </c>
      <c r="F88" s="1669">
        <v>46274</v>
      </c>
      <c r="G88" s="1954">
        <f>VLOOKUP(F88,환율!A:B,2,0)</f>
        <v>1341.1</v>
      </c>
      <c r="H88" s="1673">
        <v>85777.44</v>
      </c>
      <c r="I88" s="1674">
        <f t="shared" si="5"/>
        <v>115036124</v>
      </c>
      <c r="J88" s="1674">
        <f>I88</f>
        <v>115036124</v>
      </c>
      <c r="K88" s="1955"/>
      <c r="L88" s="1800"/>
      <c r="M88">
        <v>8409912000</v>
      </c>
      <c r="N88" s="1461"/>
      <c r="O88" s="1461"/>
      <c r="P88" s="1461"/>
      <c r="Q88" s="1461"/>
      <c r="R88" s="1466"/>
      <c r="S88" s="40"/>
    </row>
    <row r="89" spans="1:19" s="97" customFormat="1" ht="24" customHeight="1">
      <c r="A89" s="1489" t="s">
        <v>4040</v>
      </c>
      <c r="B89" s="1490" t="s">
        <v>478</v>
      </c>
      <c r="C89" s="1618" t="s">
        <v>5218</v>
      </c>
      <c r="D89" s="1618" t="s">
        <v>5220</v>
      </c>
      <c r="E89" s="1619">
        <v>46280</v>
      </c>
      <c r="F89" s="1620">
        <v>46280</v>
      </c>
      <c r="G89" s="1564">
        <f>VLOOKUP(F89,환율!A:B,2,0)</f>
        <v>1345.3</v>
      </c>
      <c r="H89" s="1621">
        <v>63542.879999999997</v>
      </c>
      <c r="I89" s="1497">
        <f t="shared" si="5"/>
        <v>85484236</v>
      </c>
      <c r="J89" s="1498">
        <f t="shared" ref="J89:J109" si="12">I89</f>
        <v>85484236</v>
      </c>
      <c r="K89" s="1622"/>
      <c r="L89" s="1801"/>
      <c r="M89">
        <v>8409912000</v>
      </c>
      <c r="N89" s="1461"/>
      <c r="O89" s="1461"/>
      <c r="P89" s="1461"/>
      <c r="Q89" s="1461"/>
      <c r="R89" s="1466"/>
      <c r="S89" s="34"/>
    </row>
    <row r="90" spans="1:19" s="718" customFormat="1" ht="24" customHeight="1" thickBot="1">
      <c r="A90" s="1677" t="s">
        <v>4040</v>
      </c>
      <c r="B90" s="1678" t="s">
        <v>478</v>
      </c>
      <c r="C90" s="1618" t="s">
        <v>5219</v>
      </c>
      <c r="D90" s="1618" t="s">
        <v>5221</v>
      </c>
      <c r="E90" s="1619">
        <v>46293</v>
      </c>
      <c r="F90" s="1620">
        <v>46292</v>
      </c>
      <c r="G90" s="1680">
        <f>VLOOKUP(F90,환율!A:B,2,0)</f>
        <v>1360</v>
      </c>
      <c r="H90" s="1621">
        <v>101638.08000000002</v>
      </c>
      <c r="I90" s="1681">
        <f t="shared" si="5"/>
        <v>138227788</v>
      </c>
      <c r="J90" s="1682">
        <f t="shared" si="12"/>
        <v>138227788</v>
      </c>
      <c r="K90" s="1622"/>
      <c r="L90" s="1800"/>
      <c r="M90">
        <v>8409912000</v>
      </c>
      <c r="N90" s="1461"/>
      <c r="O90" s="1461"/>
      <c r="P90" s="1461"/>
      <c r="Q90" s="1461"/>
      <c r="R90" s="1466"/>
      <c r="S90" s="1458"/>
    </row>
    <row r="91" spans="1:19" s="97" customFormat="1" ht="24" customHeight="1">
      <c r="A91" s="1964" t="s">
        <v>4044</v>
      </c>
      <c r="B91" s="1965" t="s">
        <v>4039</v>
      </c>
      <c r="C91" s="1966" t="s">
        <v>5222</v>
      </c>
      <c r="D91" s="1521" t="s">
        <v>5223</v>
      </c>
      <c r="E91" s="1967">
        <v>46276</v>
      </c>
      <c r="F91" s="1521">
        <v>46276</v>
      </c>
      <c r="G91" s="1968">
        <v>1350</v>
      </c>
      <c r="H91" s="1969">
        <v>17339.158518518518</v>
      </c>
      <c r="I91" s="1970">
        <f t="shared" si="5"/>
        <v>23407864</v>
      </c>
      <c r="J91" s="1971">
        <f>I91</f>
        <v>23407864</v>
      </c>
      <c r="K91" s="1972"/>
      <c r="L91" s="1800"/>
      <c r="M91" s="718">
        <v>8409998030</v>
      </c>
      <c r="N91" s="1461"/>
      <c r="O91" s="1461"/>
      <c r="P91" s="1461"/>
      <c r="Q91" s="1461"/>
      <c r="R91" s="1466"/>
      <c r="S91" s="34"/>
    </row>
    <row r="92" spans="1:19" s="97" customFormat="1" ht="24" customHeight="1">
      <c r="A92" s="1566" t="s">
        <v>4044</v>
      </c>
      <c r="B92" s="1567" t="s">
        <v>4039</v>
      </c>
      <c r="C92" s="1973" t="s">
        <v>5280</v>
      </c>
      <c r="D92" s="1974" t="s">
        <v>5281</v>
      </c>
      <c r="E92" s="879"/>
      <c r="F92" s="1975">
        <v>46296</v>
      </c>
      <c r="G92" s="1571">
        <v>1350</v>
      </c>
      <c r="H92" s="1572">
        <v>96692.260740740734</v>
      </c>
      <c r="I92" s="1573">
        <f t="shared" si="5"/>
        <v>130534552</v>
      </c>
      <c r="J92" s="1574"/>
      <c r="K92" s="1976">
        <f>I92</f>
        <v>130534552</v>
      </c>
      <c r="L92" s="1800"/>
      <c r="M92" s="718"/>
      <c r="N92" s="1461"/>
      <c r="O92" s="1461"/>
      <c r="P92" s="1461"/>
      <c r="Q92" s="1461"/>
      <c r="R92" s="1466"/>
      <c r="S92" s="34"/>
    </row>
    <row r="93" spans="1:19" s="97" customFormat="1" ht="24" customHeight="1">
      <c r="A93" s="1959" t="s">
        <v>4044</v>
      </c>
      <c r="B93" s="1960" t="s">
        <v>4039</v>
      </c>
      <c r="C93" s="1977" t="s">
        <v>5282</v>
      </c>
      <c r="D93" s="1974" t="s">
        <v>5283</v>
      </c>
      <c r="E93" s="879"/>
      <c r="F93" s="1975">
        <v>46296</v>
      </c>
      <c r="G93" s="1571">
        <v>1350</v>
      </c>
      <c r="H93" s="1572">
        <v>10500.984444444444</v>
      </c>
      <c r="I93" s="1573">
        <f t="shared" si="5"/>
        <v>14176329</v>
      </c>
      <c r="J93" s="1574"/>
      <c r="K93" s="1976">
        <f>I93</f>
        <v>14176329</v>
      </c>
      <c r="L93" s="1800"/>
      <c r="M93" s="718"/>
      <c r="N93" s="1461"/>
      <c r="O93" s="1461"/>
      <c r="P93" s="1461"/>
      <c r="Q93" s="1461"/>
      <c r="R93" s="1466"/>
      <c r="S93" s="34"/>
    </row>
    <row r="94" spans="1:19" s="97" customFormat="1" ht="24" customHeight="1" thickBot="1">
      <c r="A94" s="1978" t="s">
        <v>4044</v>
      </c>
      <c r="B94" s="1979" t="s">
        <v>4039</v>
      </c>
      <c r="C94" s="1980" t="s">
        <v>5284</v>
      </c>
      <c r="D94" s="1981" t="s">
        <v>5285</v>
      </c>
      <c r="E94" s="1982"/>
      <c r="F94" s="1983">
        <v>46296</v>
      </c>
      <c r="G94" s="1984">
        <v>1350</v>
      </c>
      <c r="H94" s="1985">
        <v>55053.383703703701</v>
      </c>
      <c r="I94" s="1986">
        <f t="shared" si="5"/>
        <v>74322068</v>
      </c>
      <c r="J94" s="1987"/>
      <c r="K94" s="1988">
        <f>I94</f>
        <v>74322068</v>
      </c>
      <c r="L94" s="1800"/>
      <c r="M94" s="718"/>
      <c r="N94" s="1461"/>
      <c r="O94" s="1461"/>
      <c r="P94" s="1461"/>
      <c r="Q94" s="1461"/>
      <c r="R94" s="1466"/>
      <c r="S94" s="34"/>
    </row>
    <row r="95" spans="1:19" s="97" customFormat="1" ht="24" customHeight="1">
      <c r="A95" s="1880" t="s">
        <v>664</v>
      </c>
      <c r="B95" s="1881" t="s">
        <v>4046</v>
      </c>
      <c r="C95" s="1938" t="s">
        <v>5090</v>
      </c>
      <c r="D95" s="1883" t="s">
        <v>5091</v>
      </c>
      <c r="E95" s="1884">
        <v>46278</v>
      </c>
      <c r="F95" s="1883">
        <v>46278</v>
      </c>
      <c r="G95" s="1582">
        <f>VLOOKUP(F95,환율!A:B,2,0)</f>
        <v>1338.2</v>
      </c>
      <c r="H95" s="1583">
        <v>390865.54</v>
      </c>
      <c r="I95" s="1585">
        <f t="shared" ref="I95:I129" si="13">ROUNDDOWN(H95*G95,0)</f>
        <v>523056265</v>
      </c>
      <c r="J95" s="1585">
        <f t="shared" si="12"/>
        <v>523056265</v>
      </c>
      <c r="K95" s="1586"/>
      <c r="L95" s="1800"/>
      <c r="M95" s="1771" t="s">
        <v>4992</v>
      </c>
      <c r="N95" s="1461"/>
      <c r="O95" s="1461"/>
      <c r="P95" s="1461"/>
      <c r="Q95" s="1461"/>
      <c r="R95" s="1466"/>
      <c r="S95" s="34"/>
    </row>
    <row r="96" spans="1:19" s="120" customFormat="1" ht="24" customHeight="1">
      <c r="A96" s="1489" t="s">
        <v>29</v>
      </c>
      <c r="B96" s="1555" t="s">
        <v>4046</v>
      </c>
      <c r="C96" s="1556" t="s">
        <v>5235</v>
      </c>
      <c r="D96" s="1556" t="s">
        <v>5236</v>
      </c>
      <c r="E96" s="1493">
        <v>46272</v>
      </c>
      <c r="F96" s="1557">
        <v>46272</v>
      </c>
      <c r="G96" s="1559">
        <f>VLOOKUP(F96,환율!A:B,2,0)</f>
        <v>1355.2</v>
      </c>
      <c r="H96" s="1644">
        <v>11856.000000000002</v>
      </c>
      <c r="I96" s="1561">
        <f t="shared" si="13"/>
        <v>16067251</v>
      </c>
      <c r="J96" s="1561">
        <f t="shared" si="12"/>
        <v>16067251</v>
      </c>
      <c r="K96" s="1562"/>
      <c r="L96" s="1800"/>
      <c r="M96" s="1040">
        <v>8708400000</v>
      </c>
      <c r="N96" s="1461"/>
      <c r="O96" s="1461"/>
      <c r="P96" s="1461"/>
      <c r="Q96" s="1461"/>
      <c r="R96" s="1466"/>
      <c r="S96" s="20"/>
    </row>
    <row r="97" spans="1:19" s="120" customFormat="1" ht="24" customHeight="1">
      <c r="A97" s="1657" t="s">
        <v>29</v>
      </c>
      <c r="B97" s="1658" t="s">
        <v>4046</v>
      </c>
      <c r="C97" s="1643" t="s">
        <v>5237</v>
      </c>
      <c r="D97" s="1643" t="s">
        <v>5238</v>
      </c>
      <c r="E97" s="1493">
        <v>46279</v>
      </c>
      <c r="F97" s="1494">
        <v>46279</v>
      </c>
      <c r="G97" s="1598">
        <f>VLOOKUP(F97,환율!A:B,2,0)</f>
        <v>1346.4</v>
      </c>
      <c r="H97" s="1565">
        <v>21647.919999999998</v>
      </c>
      <c r="I97" s="1497">
        <f t="shared" si="13"/>
        <v>29146759</v>
      </c>
      <c r="J97" s="1497">
        <f t="shared" si="12"/>
        <v>29146759</v>
      </c>
      <c r="K97" s="1659"/>
      <c r="L97" s="1800"/>
      <c r="M97" s="1040">
        <v>8708400000</v>
      </c>
      <c r="N97" s="1461"/>
      <c r="O97" s="1461"/>
      <c r="P97" s="1461"/>
      <c r="Q97" s="1461"/>
      <c r="R97" s="1466"/>
      <c r="S97" s="20"/>
    </row>
    <row r="98" spans="1:19" s="120" customFormat="1" ht="24" customHeight="1">
      <c r="A98" s="1657" t="s">
        <v>29</v>
      </c>
      <c r="B98" s="1658" t="s">
        <v>4046</v>
      </c>
      <c r="C98" s="1643" t="s">
        <v>5239</v>
      </c>
      <c r="D98" s="1643" t="s">
        <v>5240</v>
      </c>
      <c r="E98" s="1493">
        <v>46283</v>
      </c>
      <c r="F98" s="1494">
        <v>46283</v>
      </c>
      <c r="G98" s="1598">
        <f>VLOOKUP(F98,환율!A:B,2,0)</f>
        <v>1380.3</v>
      </c>
      <c r="H98" s="1565">
        <v>406770.31999999995</v>
      </c>
      <c r="I98" s="1497">
        <f t="shared" si="13"/>
        <v>561465072</v>
      </c>
      <c r="J98" s="1497">
        <f t="shared" si="12"/>
        <v>561465072</v>
      </c>
      <c r="K98" s="1659"/>
      <c r="L98" s="1800"/>
      <c r="M98" s="1040"/>
      <c r="N98" s="1461"/>
      <c r="O98" s="1461"/>
      <c r="P98" s="1461"/>
      <c r="Q98" s="1461"/>
      <c r="R98" s="1466"/>
      <c r="S98" s="20"/>
    </row>
    <row r="99" spans="1:19" s="120" customFormat="1" ht="24" customHeight="1">
      <c r="A99" s="1657" t="s">
        <v>29</v>
      </c>
      <c r="B99" s="1658" t="s">
        <v>4046</v>
      </c>
      <c r="C99" s="1643" t="s">
        <v>5241</v>
      </c>
      <c r="D99" s="1643" t="s">
        <v>5242</v>
      </c>
      <c r="E99" s="1493">
        <v>46292</v>
      </c>
      <c r="F99" s="1494">
        <v>46291</v>
      </c>
      <c r="G99" s="1598">
        <f>VLOOKUP(F99,환율!A:B,2,0)</f>
        <v>1360</v>
      </c>
      <c r="H99" s="1565">
        <v>5465.44</v>
      </c>
      <c r="I99" s="1497">
        <f t="shared" si="13"/>
        <v>7432998</v>
      </c>
      <c r="J99" s="1497">
        <f t="shared" si="12"/>
        <v>7432998</v>
      </c>
      <c r="K99" s="1659"/>
      <c r="L99" s="1800"/>
      <c r="M99" s="1040"/>
      <c r="N99" s="1461"/>
      <c r="O99" s="1461"/>
      <c r="P99" s="1461"/>
      <c r="Q99" s="1461"/>
      <c r="R99" s="1466"/>
      <c r="S99" s="20"/>
    </row>
    <row r="100" spans="1:19" s="120" customFormat="1" ht="24" customHeight="1">
      <c r="A100" s="1657" t="s">
        <v>29</v>
      </c>
      <c r="B100" s="1658" t="s">
        <v>4046</v>
      </c>
      <c r="C100" s="1643" t="s">
        <v>5243</v>
      </c>
      <c r="D100" s="1643" t="s">
        <v>5244</v>
      </c>
      <c r="E100" s="1493">
        <v>46294</v>
      </c>
      <c r="F100" s="1494">
        <v>46294</v>
      </c>
      <c r="G100" s="1598">
        <f>VLOOKUP(F100,환율!A:B,2,0)</f>
        <v>1360</v>
      </c>
      <c r="H100" s="1565">
        <v>374847.56</v>
      </c>
      <c r="I100" s="1497">
        <f t="shared" si="13"/>
        <v>509792681</v>
      </c>
      <c r="J100" s="1497">
        <f t="shared" si="12"/>
        <v>509792681</v>
      </c>
      <c r="K100" s="1659"/>
      <c r="L100" s="1800"/>
      <c r="M100" s="1040"/>
      <c r="N100" s="1461"/>
      <c r="O100" s="1461"/>
      <c r="P100" s="1461"/>
      <c r="Q100" s="1461"/>
      <c r="R100" s="1466"/>
      <c r="S100" s="20"/>
    </row>
    <row r="101" spans="1:19" s="120" customFormat="1" ht="24" customHeight="1">
      <c r="A101" s="1657" t="s">
        <v>29</v>
      </c>
      <c r="B101" s="1658" t="s">
        <v>4046</v>
      </c>
      <c r="C101" s="1643" t="s">
        <v>5245</v>
      </c>
      <c r="D101" s="1643" t="s">
        <v>5246</v>
      </c>
      <c r="E101" s="1493">
        <v>46289</v>
      </c>
      <c r="F101" s="1494">
        <v>46289</v>
      </c>
      <c r="G101" s="1598">
        <f>VLOOKUP(F101,환율!A:B,2,0)</f>
        <v>1360</v>
      </c>
      <c r="H101" s="1565">
        <v>23712.000000000004</v>
      </c>
      <c r="I101" s="1497">
        <f t="shared" si="13"/>
        <v>32248320</v>
      </c>
      <c r="J101" s="1497">
        <f t="shared" si="12"/>
        <v>32248320</v>
      </c>
      <c r="K101" s="1659"/>
      <c r="L101" s="1800"/>
      <c r="M101" s="1040"/>
      <c r="N101" s="1461"/>
      <c r="O101" s="1461"/>
      <c r="P101" s="1461"/>
      <c r="Q101" s="1461"/>
      <c r="R101" s="1466"/>
      <c r="S101" s="20"/>
    </row>
    <row r="102" spans="1:19" s="1040" customFormat="1" ht="24" customHeight="1">
      <c r="A102" s="1662" t="s">
        <v>664</v>
      </c>
      <c r="B102" s="1663" t="s">
        <v>4046</v>
      </c>
      <c r="C102" s="1956" t="s">
        <v>5231</v>
      </c>
      <c r="D102" s="1664" t="s">
        <v>5232</v>
      </c>
      <c r="E102" s="1734"/>
      <c r="F102" s="1603">
        <v>46256</v>
      </c>
      <c r="G102" s="1605">
        <f>VLOOKUP(F102,환율!A:B,2,0)</f>
        <v>1393</v>
      </c>
      <c r="H102" s="1606">
        <v>-4223.1099999999997</v>
      </c>
      <c r="I102" s="1607">
        <v>-5882792</v>
      </c>
      <c r="J102" s="1607">
        <f t="shared" si="12"/>
        <v>-5882792</v>
      </c>
      <c r="K102" s="1665"/>
      <c r="L102" s="1801"/>
      <c r="M102" s="1040">
        <v>8708400000</v>
      </c>
      <c r="N102" s="1461"/>
      <c r="O102" s="1461"/>
      <c r="P102" s="1461"/>
      <c r="Q102" s="1461"/>
      <c r="R102" s="1466"/>
      <c r="S102" s="1457"/>
    </row>
    <row r="103" spans="1:19" s="1040" customFormat="1" ht="24" customHeight="1">
      <c r="A103" s="1662" t="s">
        <v>664</v>
      </c>
      <c r="B103" s="1663" t="s">
        <v>4046</v>
      </c>
      <c r="C103" s="1664" t="s">
        <v>5224</v>
      </c>
      <c r="D103" s="1664" t="s">
        <v>5232</v>
      </c>
      <c r="E103" s="1734"/>
      <c r="F103" s="1603">
        <v>46268</v>
      </c>
      <c r="G103" s="1605">
        <f>VLOOKUP(F103,환율!A:B,2,0)</f>
        <v>1369.4</v>
      </c>
      <c r="H103" s="1606">
        <v>92492.41</v>
      </c>
      <c r="I103" s="1607">
        <f t="shared" si="13"/>
        <v>126659106</v>
      </c>
      <c r="J103" s="1607">
        <f t="shared" si="12"/>
        <v>126659106</v>
      </c>
      <c r="K103" s="1665"/>
      <c r="L103" s="1801"/>
      <c r="M103" s="1040">
        <v>8708400000</v>
      </c>
      <c r="N103" s="1461"/>
      <c r="O103" s="1461"/>
      <c r="P103" s="1461"/>
      <c r="Q103" s="1461"/>
      <c r="R103" s="1466"/>
      <c r="S103" s="1457"/>
    </row>
    <row r="104" spans="1:19" s="1040" customFormat="1" ht="24" customHeight="1">
      <c r="A104" s="1662" t="s">
        <v>664</v>
      </c>
      <c r="B104" s="1663" t="s">
        <v>4046</v>
      </c>
      <c r="C104" s="1664" t="s">
        <v>5225</v>
      </c>
      <c r="D104" s="1664" t="s">
        <v>5232</v>
      </c>
      <c r="E104" s="1734"/>
      <c r="F104" s="1603">
        <v>46272</v>
      </c>
      <c r="G104" s="1605">
        <f>VLOOKUP(F104,환율!A:B,2,0)</f>
        <v>1355.2</v>
      </c>
      <c r="H104" s="1606">
        <v>2837.63</v>
      </c>
      <c r="I104" s="1607">
        <f t="shared" si="13"/>
        <v>3845556</v>
      </c>
      <c r="J104" s="1607">
        <f t="shared" si="12"/>
        <v>3845556</v>
      </c>
      <c r="K104" s="1665"/>
      <c r="L104" s="1801"/>
      <c r="M104" s="1040">
        <v>8708400000</v>
      </c>
      <c r="N104" s="1461"/>
      <c r="O104" s="1461"/>
      <c r="P104" s="1461"/>
      <c r="Q104" s="1461"/>
      <c r="R104" s="1466"/>
      <c r="S104" s="1457"/>
    </row>
    <row r="105" spans="1:19" s="1040" customFormat="1" ht="24" customHeight="1">
      <c r="A105" s="1662" t="s">
        <v>664</v>
      </c>
      <c r="B105" s="1663" t="s">
        <v>4046</v>
      </c>
      <c r="C105" s="1664" t="s">
        <v>5226</v>
      </c>
      <c r="D105" s="1664" t="s">
        <v>5232</v>
      </c>
      <c r="E105" s="1734"/>
      <c r="F105" s="1603">
        <v>46279</v>
      </c>
      <c r="G105" s="1605">
        <f>VLOOKUP(F105,환율!A:B,2,0)</f>
        <v>1346.4</v>
      </c>
      <c r="H105" s="1606">
        <v>5125.4399999999996</v>
      </c>
      <c r="I105" s="1607">
        <f t="shared" si="13"/>
        <v>6900892</v>
      </c>
      <c r="J105" s="1607">
        <f t="shared" si="12"/>
        <v>6900892</v>
      </c>
      <c r="K105" s="1665"/>
      <c r="L105" s="1801"/>
      <c r="M105" s="1040">
        <v>8708400000</v>
      </c>
      <c r="N105" s="1461"/>
      <c r="O105" s="1461"/>
      <c r="P105" s="1461"/>
      <c r="Q105" s="1461"/>
      <c r="R105" s="1466"/>
      <c r="S105" s="1457"/>
    </row>
    <row r="106" spans="1:19" s="1040" customFormat="1" ht="24" customHeight="1">
      <c r="A106" s="1662" t="s">
        <v>29</v>
      </c>
      <c r="B106" s="1663" t="s">
        <v>4046</v>
      </c>
      <c r="C106" s="1664" t="s">
        <v>5227</v>
      </c>
      <c r="D106" s="1664" t="s">
        <v>5232</v>
      </c>
      <c r="E106" s="1604"/>
      <c r="F106" s="1603">
        <v>46283</v>
      </c>
      <c r="G106" s="1605">
        <f>VLOOKUP(F106,환율!A:B,2,0)</f>
        <v>1380.3</v>
      </c>
      <c r="H106" s="1606">
        <v>96202.87999999999</v>
      </c>
      <c r="I106" s="1607">
        <f t="shared" si="13"/>
        <v>132788835</v>
      </c>
      <c r="J106" s="1607">
        <f t="shared" si="12"/>
        <v>132788835</v>
      </c>
      <c r="K106" s="1665"/>
      <c r="L106" s="1801"/>
      <c r="M106" s="1040">
        <v>8708400000</v>
      </c>
      <c r="N106" s="1461"/>
      <c r="O106" s="1461"/>
      <c r="P106" s="1461"/>
      <c r="Q106" s="1461"/>
      <c r="R106" s="1466"/>
      <c r="S106" s="1457"/>
    </row>
    <row r="107" spans="1:19" s="718" customFormat="1" ht="24" customHeight="1">
      <c r="A107" s="1662" t="s">
        <v>29</v>
      </c>
      <c r="B107" s="1663" t="s">
        <v>4046</v>
      </c>
      <c r="C107" s="1664" t="s">
        <v>5228</v>
      </c>
      <c r="D107" s="1664" t="s">
        <v>4596</v>
      </c>
      <c r="E107" s="1734"/>
      <c r="F107" s="1603">
        <v>46292</v>
      </c>
      <c r="G107" s="1605">
        <f>VLOOKUP(F107,환율!A:B,2,0)</f>
        <v>1360</v>
      </c>
      <c r="H107" s="1606">
        <v>1316.67</v>
      </c>
      <c r="I107" s="1607">
        <f t="shared" si="13"/>
        <v>1790671</v>
      </c>
      <c r="J107" s="1607">
        <f t="shared" si="12"/>
        <v>1790671</v>
      </c>
      <c r="K107" s="1665"/>
      <c r="L107" s="1801"/>
      <c r="M107" s="1040">
        <v>8708400000</v>
      </c>
      <c r="N107" s="1461"/>
      <c r="O107" s="1461"/>
      <c r="P107" s="1461"/>
      <c r="Q107" s="1461"/>
      <c r="R107" s="1466"/>
      <c r="S107" s="1458"/>
    </row>
    <row r="108" spans="1:19" s="718" customFormat="1" ht="24" customHeight="1">
      <c r="A108" s="1662" t="s">
        <v>29</v>
      </c>
      <c r="B108" s="1663" t="s">
        <v>4046</v>
      </c>
      <c r="C108" s="1664" t="s">
        <v>5229</v>
      </c>
      <c r="D108" s="1664" t="s">
        <v>4596</v>
      </c>
      <c r="E108" s="1604"/>
      <c r="F108" s="1603">
        <v>46294</v>
      </c>
      <c r="G108" s="1605">
        <f>VLOOKUP(F108,환율!A:B,2,0)</f>
        <v>1360</v>
      </c>
      <c r="H108" s="1606">
        <v>88553.23</v>
      </c>
      <c r="I108" s="1607">
        <f t="shared" si="13"/>
        <v>120432392</v>
      </c>
      <c r="J108" s="1607">
        <f t="shared" si="12"/>
        <v>120432392</v>
      </c>
      <c r="K108" s="1665"/>
      <c r="L108" s="1801"/>
      <c r="M108" s="1040">
        <v>8708400000</v>
      </c>
      <c r="N108" s="1461"/>
      <c r="O108" s="1461"/>
      <c r="P108" s="1461"/>
      <c r="Q108" s="1461"/>
      <c r="R108" s="1466"/>
      <c r="S108" s="1458"/>
    </row>
    <row r="109" spans="1:19" s="718" customFormat="1" ht="24" customHeight="1">
      <c r="A109" s="1662" t="s">
        <v>29</v>
      </c>
      <c r="B109" s="1663" t="s">
        <v>626</v>
      </c>
      <c r="C109" s="1664" t="s">
        <v>5230</v>
      </c>
      <c r="D109" s="1664" t="s">
        <v>4596</v>
      </c>
      <c r="E109" s="1604"/>
      <c r="F109" s="1603">
        <v>46289</v>
      </c>
      <c r="G109" s="1605">
        <f>VLOOKUP(F109,환율!A:B,2,0)</f>
        <v>1360</v>
      </c>
      <c r="H109" s="1606">
        <v>5675.25</v>
      </c>
      <c r="I109" s="1607">
        <f t="shared" si="13"/>
        <v>7718340</v>
      </c>
      <c r="J109" s="1607">
        <f t="shared" si="12"/>
        <v>7718340</v>
      </c>
      <c r="K109" s="1661"/>
      <c r="L109" s="1801"/>
      <c r="M109" s="1040">
        <v>8708400000</v>
      </c>
      <c r="N109" s="1461"/>
      <c r="O109" s="1461"/>
      <c r="P109" s="1461"/>
      <c r="Q109" s="1461"/>
      <c r="R109" s="1466"/>
      <c r="S109" s="1458"/>
    </row>
    <row r="110" spans="1:19" s="718" customFormat="1" ht="24" customHeight="1">
      <c r="A110" s="1746" t="s">
        <v>29</v>
      </c>
      <c r="B110" s="1747" t="s">
        <v>626</v>
      </c>
      <c r="C110" s="1737" t="s">
        <v>5092</v>
      </c>
      <c r="D110" s="1737" t="s">
        <v>5093</v>
      </c>
      <c r="E110" s="1748"/>
      <c r="F110" s="1611">
        <v>46296</v>
      </c>
      <c r="G110" s="1612">
        <f>VLOOKUP(F110,환율!A:B,2,0)</f>
        <v>1355.7</v>
      </c>
      <c r="H110" s="1572">
        <v>97949.28</v>
      </c>
      <c r="I110" s="1573">
        <f t="shared" si="13"/>
        <v>132789838</v>
      </c>
      <c r="J110" s="1573"/>
      <c r="K110" s="1749">
        <f>I110</f>
        <v>132789838</v>
      </c>
      <c r="L110" s="1801"/>
      <c r="M110" s="1040">
        <v>8708400000</v>
      </c>
      <c r="N110" s="1461"/>
      <c r="O110" s="1461"/>
      <c r="P110" s="1461"/>
      <c r="Q110" s="1461"/>
      <c r="R110" s="1466"/>
      <c r="S110" s="1458"/>
    </row>
    <row r="111" spans="1:19" s="718" customFormat="1" ht="24" customHeight="1" thickBot="1">
      <c r="A111" s="1566" t="s">
        <v>664</v>
      </c>
      <c r="B111" s="1567" t="s">
        <v>626</v>
      </c>
      <c r="C111" s="1610" t="s">
        <v>5233</v>
      </c>
      <c r="D111" s="1611" t="s">
        <v>5234</v>
      </c>
      <c r="E111" s="1570"/>
      <c r="F111" s="1611">
        <v>46296</v>
      </c>
      <c r="G111" s="1612">
        <f>VLOOKUP(F111,환율!A:B,2,0)</f>
        <v>1355.7</v>
      </c>
      <c r="H111" s="1626">
        <v>444623.99999999994</v>
      </c>
      <c r="I111" s="1573">
        <f t="shared" si="13"/>
        <v>602776756</v>
      </c>
      <c r="J111" s="1573"/>
      <c r="K111" s="1749">
        <f t="shared" ref="K111" si="14">I111</f>
        <v>602776756</v>
      </c>
      <c r="L111" s="1801"/>
      <c r="M111" s="1040">
        <v>8708400000</v>
      </c>
      <c r="N111" s="1461"/>
      <c r="O111" s="1461"/>
      <c r="P111" s="1721"/>
      <c r="Q111" s="1461"/>
      <c r="R111" s="1466"/>
      <c r="S111" s="1458"/>
    </row>
    <row r="112" spans="1:19" s="718" customFormat="1" ht="24" customHeight="1">
      <c r="A112" s="1540" t="s">
        <v>47</v>
      </c>
      <c r="B112" s="1541" t="s">
        <v>4047</v>
      </c>
      <c r="C112" s="1576" t="s">
        <v>5096</v>
      </c>
      <c r="D112" s="1577" t="s">
        <v>5097</v>
      </c>
      <c r="E112" s="1578">
        <v>46273</v>
      </c>
      <c r="F112" s="1543">
        <v>46273</v>
      </c>
      <c r="G112" s="1545">
        <f>VLOOKUP(F112,환율!A:B,2,0)</f>
        <v>1342.6</v>
      </c>
      <c r="H112" s="1989">
        <v>66786.64</v>
      </c>
      <c r="I112" s="1547">
        <f t="shared" si="13"/>
        <v>89667742</v>
      </c>
      <c r="J112" s="1548">
        <f>I112</f>
        <v>89667742</v>
      </c>
      <c r="K112" s="1990" t="s">
        <v>720</v>
      </c>
      <c r="L112" s="1801"/>
      <c r="M112" s="1771">
        <f>SUM(K110:K111)</f>
        <v>735566594</v>
      </c>
      <c r="N112" s="1461"/>
      <c r="O112" s="1461"/>
      <c r="P112" s="1461"/>
      <c r="Q112" s="1461"/>
      <c r="R112" s="1466"/>
      <c r="S112" s="1458"/>
    </row>
    <row r="113" spans="1:19" s="97" customFormat="1" ht="24" customHeight="1">
      <c r="A113" s="1489" t="s">
        <v>28</v>
      </c>
      <c r="B113" s="1490" t="s">
        <v>4047</v>
      </c>
      <c r="C113" s="1596" t="s">
        <v>5247</v>
      </c>
      <c r="D113" s="1494" t="s">
        <v>5248</v>
      </c>
      <c r="E113" s="1597">
        <v>46284</v>
      </c>
      <c r="F113" s="1492">
        <v>46284</v>
      </c>
      <c r="G113" s="1564">
        <f>VLOOKUP(F113,환율!A:B,2,0)</f>
        <v>1380.3</v>
      </c>
      <c r="H113" s="1963">
        <v>25498.120000000003</v>
      </c>
      <c r="I113" s="1497">
        <f t="shared" si="13"/>
        <v>35195055</v>
      </c>
      <c r="J113" s="1498">
        <f>I113</f>
        <v>35195055</v>
      </c>
      <c r="K113" s="1499"/>
      <c r="L113" s="1858"/>
      <c r="M113" s="718">
        <v>8486902090</v>
      </c>
      <c r="N113" s="1461"/>
      <c r="O113" s="1461"/>
      <c r="P113" s="1461"/>
      <c r="Q113" s="1461"/>
      <c r="R113" s="1466"/>
      <c r="S113" s="34"/>
    </row>
    <row r="114" spans="1:19" s="97" customFormat="1" ht="24" customHeight="1">
      <c r="A114" s="1677" t="s">
        <v>28</v>
      </c>
      <c r="B114" s="1678" t="s">
        <v>4047</v>
      </c>
      <c r="C114" s="1618" t="s">
        <v>5249</v>
      </c>
      <c r="D114" s="1679" t="s">
        <v>5250</v>
      </c>
      <c r="E114" s="1619">
        <v>46293</v>
      </c>
      <c r="F114" s="1620">
        <v>46293</v>
      </c>
      <c r="G114" s="1680">
        <f>VLOOKUP(F114,환율!A:B,2,0)</f>
        <v>1352</v>
      </c>
      <c r="H114" s="1963">
        <v>42536.56</v>
      </c>
      <c r="I114" s="1681">
        <f t="shared" si="13"/>
        <v>57509429</v>
      </c>
      <c r="J114" s="1498">
        <f>I114</f>
        <v>57509429</v>
      </c>
      <c r="K114" s="1622"/>
      <c r="L114" s="1800"/>
      <c r="M114" s="718"/>
      <c r="N114" s="1461"/>
      <c r="O114" s="1461"/>
      <c r="P114" s="1461"/>
      <c r="Q114" s="1461"/>
      <c r="R114" s="1466"/>
      <c r="S114" s="34"/>
    </row>
    <row r="115" spans="1:19" s="97" customFormat="1" ht="24" customHeight="1" thickBot="1">
      <c r="A115" s="1685" t="s">
        <v>28</v>
      </c>
      <c r="B115" s="1686" t="s">
        <v>4047</v>
      </c>
      <c r="C115" s="1623" t="s">
        <v>5251</v>
      </c>
      <c r="D115" s="1688" t="s">
        <v>5252</v>
      </c>
      <c r="E115" s="1624"/>
      <c r="F115" s="1625">
        <v>46296</v>
      </c>
      <c r="G115" s="1689">
        <f>VLOOKUP(F115,환율!A:B,2,0)</f>
        <v>1355.7</v>
      </c>
      <c r="H115" s="1626">
        <v>27068.720000000001</v>
      </c>
      <c r="I115" s="1690">
        <f t="shared" ref="I115" si="15">ROUNDDOWN(H115*G115,0)</f>
        <v>36697063</v>
      </c>
      <c r="J115" s="1574"/>
      <c r="K115" s="1574">
        <f>I115</f>
        <v>36697063</v>
      </c>
      <c r="L115" s="1800"/>
      <c r="M115" s="718"/>
      <c r="N115" s="1461"/>
      <c r="O115" s="1461"/>
      <c r="P115" s="1461"/>
      <c r="Q115" s="1461"/>
      <c r="R115" s="1466"/>
      <c r="S115" s="34"/>
    </row>
    <row r="116" spans="1:19" s="97" customFormat="1" ht="24" customHeight="1">
      <c r="A116" s="1951" t="s">
        <v>40</v>
      </c>
      <c r="B116" s="1952" t="s">
        <v>4048</v>
      </c>
      <c r="C116" s="1958" t="s">
        <v>5260</v>
      </c>
      <c r="D116" s="1958" t="s">
        <v>5261</v>
      </c>
      <c r="E116" s="1670">
        <v>46275</v>
      </c>
      <c r="F116" s="1669">
        <v>46275</v>
      </c>
      <c r="G116" s="1954">
        <f>VLOOKUP(F116,환율!A:B,2,0)</f>
        <v>1337.9</v>
      </c>
      <c r="H116" s="1673">
        <v>12939</v>
      </c>
      <c r="I116" s="1674">
        <f t="shared" si="13"/>
        <v>17311088</v>
      </c>
      <c r="J116" s="1674">
        <f t="shared" ref="J116:J129" si="16">I116</f>
        <v>17311088</v>
      </c>
      <c r="K116" s="1955"/>
      <c r="L116" s="1800"/>
      <c r="M116" s="718" t="s">
        <v>5147</v>
      </c>
      <c r="N116" s="1461"/>
      <c r="O116" s="1461"/>
      <c r="P116" s="1461"/>
      <c r="Q116" s="1461"/>
      <c r="R116" s="1466"/>
      <c r="S116" s="34"/>
    </row>
    <row r="117" spans="1:19" s="97" customFormat="1" ht="24" customHeight="1">
      <c r="A117" s="1489" t="s">
        <v>30</v>
      </c>
      <c r="B117" s="1490" t="s">
        <v>4047</v>
      </c>
      <c r="C117" s="1643" t="s">
        <v>5262</v>
      </c>
      <c r="D117" s="1643" t="s">
        <v>5263</v>
      </c>
      <c r="E117" s="1597">
        <v>46269</v>
      </c>
      <c r="F117" s="1494">
        <v>46268</v>
      </c>
      <c r="G117" s="1564">
        <f>VLOOKUP(F117,환율!A:B,2,0)</f>
        <v>1369.4</v>
      </c>
      <c r="H117" s="1565">
        <v>927.64</v>
      </c>
      <c r="I117" s="1497">
        <f t="shared" si="13"/>
        <v>1270310</v>
      </c>
      <c r="J117" s="1498">
        <f t="shared" si="16"/>
        <v>1270310</v>
      </c>
      <c r="K117" s="1499"/>
      <c r="L117" s="1801"/>
      <c r="M117" s="718" t="s">
        <v>5147</v>
      </c>
      <c r="N117" s="1461"/>
      <c r="O117" s="1461"/>
      <c r="P117" s="1461"/>
      <c r="Q117" s="1461"/>
      <c r="R117" s="1466"/>
      <c r="S117" s="34"/>
    </row>
    <row r="118" spans="1:19" s="97" customFormat="1" ht="24" customHeight="1">
      <c r="A118" s="1489" t="s">
        <v>30</v>
      </c>
      <c r="B118" s="1490" t="s">
        <v>4047</v>
      </c>
      <c r="C118" s="1643" t="s">
        <v>5264</v>
      </c>
      <c r="D118" s="1643" t="s">
        <v>5265</v>
      </c>
      <c r="E118" s="1597">
        <v>46269</v>
      </c>
      <c r="F118" s="1494">
        <v>46268</v>
      </c>
      <c r="G118" s="1564">
        <f>VLOOKUP(F118,환율!A:B,2,0)</f>
        <v>1369.4</v>
      </c>
      <c r="H118" s="1565">
        <v>2301.42</v>
      </c>
      <c r="I118" s="1497">
        <f t="shared" ref="I118:I120" si="17">ROUNDDOWN(H118*G118,0)</f>
        <v>3151564</v>
      </c>
      <c r="J118" s="1498">
        <f t="shared" ref="J118:J120" si="18">I118</f>
        <v>3151564</v>
      </c>
      <c r="K118" s="1499"/>
      <c r="L118" s="1801"/>
      <c r="M118" s="718"/>
      <c r="N118" s="1461"/>
      <c r="O118" s="1461"/>
      <c r="P118" s="1461"/>
      <c r="Q118" s="1461"/>
      <c r="R118" s="1466"/>
      <c r="S118" s="34"/>
    </row>
    <row r="119" spans="1:19" s="97" customFormat="1" ht="24" customHeight="1">
      <c r="A119" s="1489" t="s">
        <v>30</v>
      </c>
      <c r="B119" s="1490" t="s">
        <v>4047</v>
      </c>
      <c r="C119" s="1643" t="s">
        <v>5266</v>
      </c>
      <c r="D119" s="1643" t="s">
        <v>5267</v>
      </c>
      <c r="E119" s="1597">
        <v>46282</v>
      </c>
      <c r="F119" s="1494">
        <v>46281</v>
      </c>
      <c r="G119" s="1564">
        <f>VLOOKUP(F119,환율!A:B,2,0)</f>
        <v>1353.3</v>
      </c>
      <c r="H119" s="1565">
        <v>488.88</v>
      </c>
      <c r="I119" s="1497">
        <f t="shared" si="17"/>
        <v>661601</v>
      </c>
      <c r="J119" s="1498">
        <f t="shared" si="18"/>
        <v>661601</v>
      </c>
      <c r="K119" s="1499"/>
      <c r="L119" s="1801"/>
      <c r="M119" s="718"/>
      <c r="N119" s="1461"/>
      <c r="O119" s="1461"/>
      <c r="P119" s="1461"/>
      <c r="Q119" s="1461"/>
      <c r="R119" s="1466"/>
      <c r="S119" s="34"/>
    </row>
    <row r="120" spans="1:19" s="97" customFormat="1" ht="24" customHeight="1">
      <c r="A120" s="1489" t="s">
        <v>30</v>
      </c>
      <c r="B120" s="1490" t="s">
        <v>4047</v>
      </c>
      <c r="C120" s="1643" t="s">
        <v>5268</v>
      </c>
      <c r="D120" s="1643" t="s">
        <v>5269</v>
      </c>
      <c r="E120" s="1597">
        <v>46280</v>
      </c>
      <c r="F120" s="1494">
        <v>46280</v>
      </c>
      <c r="G120" s="1564">
        <f>VLOOKUP(F120,환율!A:B,2,0)</f>
        <v>1345.3</v>
      </c>
      <c r="H120" s="1565">
        <v>3573.68</v>
      </c>
      <c r="I120" s="1497">
        <f t="shared" si="17"/>
        <v>4807671</v>
      </c>
      <c r="J120" s="1498">
        <f t="shared" si="18"/>
        <v>4807671</v>
      </c>
      <c r="K120" s="1499"/>
      <c r="L120" s="1801"/>
      <c r="M120" s="718"/>
      <c r="N120" s="1461"/>
      <c r="O120" s="1461"/>
      <c r="P120" s="1461"/>
      <c r="Q120" s="1461"/>
      <c r="R120" s="1466"/>
      <c r="S120" s="34"/>
    </row>
    <row r="121" spans="1:19" s="97" customFormat="1" ht="24" customHeight="1">
      <c r="A121" s="1489" t="s">
        <v>30</v>
      </c>
      <c r="B121" s="1490" t="s">
        <v>4047</v>
      </c>
      <c r="C121" s="1643" t="s">
        <v>5270</v>
      </c>
      <c r="D121" s="1643" t="s">
        <v>5271</v>
      </c>
      <c r="E121" s="1597">
        <v>46275</v>
      </c>
      <c r="F121" s="1494">
        <v>46274</v>
      </c>
      <c r="G121" s="1564">
        <f>VLOOKUP(F121,환율!A:B,2,0)</f>
        <v>1341.1</v>
      </c>
      <c r="H121" s="1565">
        <v>1872.18</v>
      </c>
      <c r="I121" s="1497">
        <f t="shared" si="13"/>
        <v>2510780</v>
      </c>
      <c r="J121" s="1498">
        <f t="shared" si="16"/>
        <v>2510780</v>
      </c>
      <c r="K121" s="1499"/>
      <c r="L121" s="1800"/>
      <c r="M121" s="718" t="s">
        <v>5147</v>
      </c>
      <c r="N121" s="1461"/>
      <c r="O121" s="1461"/>
      <c r="P121" s="1461"/>
      <c r="Q121" s="1461"/>
      <c r="R121" s="1466"/>
      <c r="S121" s="34"/>
    </row>
    <row r="122" spans="1:19" s="97" customFormat="1" ht="24" customHeight="1">
      <c r="A122" s="1489" t="s">
        <v>30</v>
      </c>
      <c r="B122" s="1490" t="s">
        <v>4047</v>
      </c>
      <c r="C122" s="1643" t="s">
        <v>5272</v>
      </c>
      <c r="D122" s="1643" t="s">
        <v>5273</v>
      </c>
      <c r="E122" s="1597">
        <v>46276</v>
      </c>
      <c r="F122" s="1494">
        <v>46275</v>
      </c>
      <c r="G122" s="1564">
        <f>VLOOKUP(F122,환율!A:B,2,0)</f>
        <v>1337.9</v>
      </c>
      <c r="H122" s="1565">
        <v>1124.3</v>
      </c>
      <c r="I122" s="1497">
        <f t="shared" si="13"/>
        <v>1504200</v>
      </c>
      <c r="J122" s="1498">
        <f t="shared" si="16"/>
        <v>1504200</v>
      </c>
      <c r="K122" s="1499"/>
      <c r="L122" s="1800"/>
      <c r="M122" s="718" t="s">
        <v>5147</v>
      </c>
      <c r="N122" s="1461"/>
      <c r="O122" s="1461"/>
      <c r="P122" s="1461"/>
      <c r="Q122" s="1461"/>
      <c r="R122" s="1466"/>
      <c r="S122" s="34"/>
    </row>
    <row r="123" spans="1:19" s="97" customFormat="1" ht="24" customHeight="1">
      <c r="A123" s="1566" t="s">
        <v>30</v>
      </c>
      <c r="B123" s="1567" t="s">
        <v>4047</v>
      </c>
      <c r="C123" s="1737" t="s">
        <v>5274</v>
      </c>
      <c r="D123" s="1737" t="s">
        <v>5275</v>
      </c>
      <c r="E123" s="1748"/>
      <c r="F123" s="1611">
        <v>46296</v>
      </c>
      <c r="G123" s="1571">
        <f>VLOOKUP(F123,환율!A:B,2,0)</f>
        <v>1355.7</v>
      </c>
      <c r="H123" s="1572">
        <v>21565</v>
      </c>
      <c r="I123" s="1573">
        <f t="shared" si="13"/>
        <v>29235670</v>
      </c>
      <c r="J123" s="1574"/>
      <c r="K123" s="1574">
        <f>I123</f>
        <v>29235670</v>
      </c>
      <c r="L123" s="1800"/>
      <c r="M123" s="718" t="s">
        <v>5147</v>
      </c>
      <c r="N123" s="1461"/>
      <c r="O123" s="1461"/>
      <c r="P123" s="1461"/>
      <c r="Q123" s="1461"/>
      <c r="R123" s="1466"/>
      <c r="S123" s="34"/>
    </row>
    <row r="124" spans="1:19" s="97" customFormat="1" ht="24" customHeight="1" thickBot="1">
      <c r="A124" s="1646" t="s">
        <v>30</v>
      </c>
      <c r="B124" s="1647" t="s">
        <v>4047</v>
      </c>
      <c r="C124" s="1692" t="s">
        <v>5276</v>
      </c>
      <c r="D124" s="1692" t="s">
        <v>5277</v>
      </c>
      <c r="E124" s="1650"/>
      <c r="F124" s="1649">
        <v>46296</v>
      </c>
      <c r="G124" s="1651">
        <f>VLOOKUP(F124,환율!A:B,2,0)</f>
        <v>1355.7</v>
      </c>
      <c r="H124" s="1652">
        <v>27888.000000000004</v>
      </c>
      <c r="I124" s="1722">
        <f t="shared" si="13"/>
        <v>37807761</v>
      </c>
      <c r="J124" s="1957"/>
      <c r="K124" s="1720">
        <f>I124</f>
        <v>37807761</v>
      </c>
      <c r="L124" s="1800"/>
      <c r="M124" s="718" t="s">
        <v>5147</v>
      </c>
      <c r="N124" s="1461"/>
      <c r="O124" s="1461"/>
      <c r="P124" s="1461"/>
      <c r="Q124" s="1461"/>
      <c r="R124" s="1466"/>
      <c r="S124" s="34"/>
    </row>
    <row r="125" spans="1:19" s="97" customFormat="1" ht="24" customHeight="1">
      <c r="A125" s="1760" t="s">
        <v>15</v>
      </c>
      <c r="B125" s="1761" t="s">
        <v>4048</v>
      </c>
      <c r="C125" s="1762" t="s">
        <v>5108</v>
      </c>
      <c r="D125" s="1762" t="s">
        <v>5109</v>
      </c>
      <c r="E125" s="1763">
        <v>46267</v>
      </c>
      <c r="F125" s="1764">
        <v>46267</v>
      </c>
      <c r="G125" s="1765">
        <f>VLOOKUP(F125,환율!A:B,2,0)</f>
        <v>1370.3</v>
      </c>
      <c r="H125" s="1766">
        <v>24143.39</v>
      </c>
      <c r="I125" s="1767">
        <f>ROUNDDOWN(H125*G125,0)</f>
        <v>33083687</v>
      </c>
      <c r="J125" s="1585">
        <f t="shared" si="16"/>
        <v>33083687</v>
      </c>
      <c r="K125" s="1768"/>
      <c r="L125" s="1800"/>
      <c r="M125" s="1771">
        <f>SUM(K124:K124)</f>
        <v>37807761</v>
      </c>
      <c r="N125" s="1461"/>
      <c r="O125" s="1461"/>
      <c r="P125" s="1461"/>
      <c r="Q125" s="1461"/>
      <c r="R125" s="1466"/>
      <c r="S125" s="34"/>
    </row>
    <row r="126" spans="1:19" s="718" customFormat="1" ht="24" customHeight="1">
      <c r="A126" s="1483" t="s">
        <v>15</v>
      </c>
      <c r="B126" s="1484" t="s">
        <v>4048</v>
      </c>
      <c r="C126" s="1750" t="s">
        <v>5110</v>
      </c>
      <c r="D126" s="1750" t="s">
        <v>5111</v>
      </c>
      <c r="E126" s="1733">
        <v>46276</v>
      </c>
      <c r="F126" s="1731">
        <v>46276</v>
      </c>
      <c r="G126" s="1551">
        <f>VLOOKUP(F126,환율!A:B,2,0)</f>
        <v>1338.2</v>
      </c>
      <c r="H126" s="1552">
        <v>28589.05</v>
      </c>
      <c r="I126" s="1487">
        <f t="shared" si="13"/>
        <v>38257866</v>
      </c>
      <c r="J126" s="1488">
        <f t="shared" si="16"/>
        <v>38257866</v>
      </c>
      <c r="K126" s="1553"/>
      <c r="L126" s="1800"/>
      <c r="M126" s="718">
        <v>8486902090</v>
      </c>
      <c r="N126" s="1461"/>
      <c r="O126" s="1461"/>
      <c r="P126" s="1461"/>
      <c r="Q126" s="1461"/>
      <c r="R126" s="1466"/>
      <c r="S126" s="34"/>
    </row>
    <row r="127" spans="1:19" s="718" customFormat="1" ht="24" customHeight="1">
      <c r="A127" s="1489" t="s">
        <v>15</v>
      </c>
      <c r="B127" s="1490" t="s">
        <v>4048</v>
      </c>
      <c r="C127" s="1735" t="s">
        <v>5253</v>
      </c>
      <c r="D127" s="1735" t="s">
        <v>5254</v>
      </c>
      <c r="E127" s="1736">
        <v>46274</v>
      </c>
      <c r="F127" s="1494">
        <v>46274</v>
      </c>
      <c r="G127" s="1564">
        <f>VLOOKUP(F127,환율!A:B,2,0)</f>
        <v>1341.1</v>
      </c>
      <c r="H127" s="1565">
        <v>8163.21</v>
      </c>
      <c r="I127" s="1497">
        <f t="shared" si="13"/>
        <v>10947680</v>
      </c>
      <c r="J127" s="1498">
        <f t="shared" si="16"/>
        <v>10947680</v>
      </c>
      <c r="K127" s="1622"/>
      <c r="L127" s="1800"/>
      <c r="M127" s="1944" t="s">
        <v>5148</v>
      </c>
      <c r="N127" s="1461"/>
      <c r="O127" s="1461"/>
      <c r="P127" s="1461"/>
      <c r="Q127" s="1461"/>
      <c r="R127" s="1466"/>
      <c r="S127" s="34"/>
    </row>
    <row r="128" spans="1:19" s="718" customFormat="1" ht="24" customHeight="1">
      <c r="A128" s="1489" t="s">
        <v>15</v>
      </c>
      <c r="B128" s="1490" t="s">
        <v>4048</v>
      </c>
      <c r="C128" s="1735" t="s">
        <v>5255</v>
      </c>
      <c r="D128" s="1735" t="s">
        <v>5256</v>
      </c>
      <c r="E128" s="1736">
        <v>46278</v>
      </c>
      <c r="F128" s="1679">
        <v>46278</v>
      </c>
      <c r="G128" s="1680">
        <f>VLOOKUP(F128,환율!A:B,2,0)</f>
        <v>1338.2</v>
      </c>
      <c r="H128" s="1621">
        <v>16087.35</v>
      </c>
      <c r="I128" s="1497">
        <f t="shared" si="13"/>
        <v>21528091</v>
      </c>
      <c r="J128" s="1498">
        <f t="shared" si="16"/>
        <v>21528091</v>
      </c>
      <c r="K128" s="1622"/>
      <c r="L128" s="1800"/>
      <c r="M128" s="1944"/>
      <c r="N128" s="1461"/>
      <c r="O128" s="1461"/>
      <c r="P128" s="1461"/>
      <c r="Q128" s="1461"/>
      <c r="R128" s="1466"/>
      <c r="S128" s="34"/>
    </row>
    <row r="129" spans="1:19" s="718" customFormat="1" ht="24" customHeight="1">
      <c r="A129" s="1677" t="s">
        <v>15</v>
      </c>
      <c r="B129" s="1678" t="s">
        <v>4048</v>
      </c>
      <c r="C129" s="1735" t="s">
        <v>5257</v>
      </c>
      <c r="D129" s="1735" t="s">
        <v>5258</v>
      </c>
      <c r="E129" s="1736">
        <v>46295</v>
      </c>
      <c r="F129" s="1679">
        <v>46295</v>
      </c>
      <c r="G129" s="1680">
        <f>VLOOKUP(F129,환율!A:B,2,0)</f>
        <v>1358.4</v>
      </c>
      <c r="H129" s="1621">
        <v>27641.37</v>
      </c>
      <c r="I129" s="1681">
        <f t="shared" si="13"/>
        <v>37548037</v>
      </c>
      <c r="J129" s="1682">
        <f t="shared" si="16"/>
        <v>37548037</v>
      </c>
      <c r="K129" s="1622"/>
      <c r="L129" s="1800"/>
      <c r="N129" s="1461"/>
      <c r="O129" s="1461"/>
      <c r="P129" s="1461"/>
      <c r="Q129" s="1461"/>
      <c r="R129" s="1466"/>
      <c r="S129" s="1458"/>
    </row>
    <row r="130" spans="1:19" s="718" customFormat="1" ht="24" customHeight="1" thickBot="1">
      <c r="A130" s="1646" t="s">
        <v>15</v>
      </c>
      <c r="B130" s="1647" t="s">
        <v>4048</v>
      </c>
      <c r="C130" s="1692" t="s">
        <v>5259</v>
      </c>
      <c r="D130" s="1692"/>
      <c r="E130" s="1702"/>
      <c r="F130" s="1649">
        <v>46296</v>
      </c>
      <c r="G130" s="1651">
        <f>VLOOKUP(F130,환율!A:B,2,0)</f>
        <v>1355.7</v>
      </c>
      <c r="H130" s="1652">
        <v>52188.800000000003</v>
      </c>
      <c r="I130" s="1653">
        <f>ROUNDDOWN(H130*G130,0)</f>
        <v>70752356</v>
      </c>
      <c r="J130" s="1654"/>
      <c r="K130" s="1654">
        <f>I130</f>
        <v>70752356</v>
      </c>
      <c r="L130" s="1800"/>
      <c r="N130" s="1461"/>
      <c r="O130" s="1461"/>
      <c r="P130" s="1461"/>
      <c r="Q130" s="1461"/>
      <c r="R130" s="1466"/>
      <c r="S130" s="1458"/>
    </row>
    <row r="131" spans="1:19" s="718" customFormat="1" ht="24" customHeight="1">
      <c r="A131" s="1703" t="s">
        <v>4049</v>
      </c>
      <c r="B131" s="1704" t="s">
        <v>4048</v>
      </c>
      <c r="C131" s="1961" t="s">
        <v>5278</v>
      </c>
      <c r="D131" s="1706" t="s">
        <v>5113</v>
      </c>
      <c r="E131" s="1707"/>
      <c r="F131" s="1521">
        <v>46266</v>
      </c>
      <c r="G131" s="1708"/>
      <c r="H131" s="1709">
        <v>18242</v>
      </c>
      <c r="I131" s="1710">
        <v>21526400</v>
      </c>
      <c r="J131" s="1524">
        <f>I131</f>
        <v>21526400</v>
      </c>
      <c r="K131" s="1711"/>
      <c r="L131" s="1800"/>
      <c r="M131" s="718" t="s">
        <v>5147</v>
      </c>
      <c r="N131" s="1461"/>
      <c r="O131" s="1461"/>
      <c r="P131" s="1461"/>
      <c r="Q131" s="1461"/>
      <c r="R131" s="1466"/>
      <c r="S131" s="1458"/>
    </row>
    <row r="132" spans="1:19" s="97" customFormat="1" ht="24" customHeight="1" thickBot="1">
      <c r="A132" s="1591" t="s">
        <v>4049</v>
      </c>
      <c r="B132" s="1592" t="s">
        <v>4048</v>
      </c>
      <c r="C132" s="1962" t="s">
        <v>5279</v>
      </c>
      <c r="D132" s="1713" t="s">
        <v>5113</v>
      </c>
      <c r="E132" s="1714"/>
      <c r="F132" s="1494">
        <v>46294</v>
      </c>
      <c r="G132" s="1594"/>
      <c r="H132" s="1715">
        <v>18242</v>
      </c>
      <c r="I132" s="1716">
        <v>21526400</v>
      </c>
      <c r="J132" s="1528">
        <f>I132</f>
        <v>21526400</v>
      </c>
      <c r="K132" s="1505"/>
      <c r="L132" s="1856"/>
      <c r="M132" s="718" t="s">
        <v>5147</v>
      </c>
      <c r="N132" s="1461"/>
      <c r="O132" s="1461"/>
      <c r="P132" s="1461"/>
      <c r="Q132" s="1461"/>
      <c r="R132" s="1466"/>
      <c r="S132" s="34"/>
    </row>
    <row r="133" spans="1:19" s="97" customFormat="1" ht="24" customHeight="1" thickBot="1">
      <c r="A133" s="2165" t="s">
        <v>4056</v>
      </c>
      <c r="B133" s="2164"/>
      <c r="C133" s="2164"/>
      <c r="D133" s="2164"/>
      <c r="E133" s="2164"/>
      <c r="F133" s="2164"/>
      <c r="G133" s="2164"/>
      <c r="H133" s="1153"/>
      <c r="I133" s="1154">
        <f>SUM(I31:I132)</f>
        <v>7730242171</v>
      </c>
      <c r="J133" s="948">
        <f>SUM(J31:J132)</f>
        <v>5486104049</v>
      </c>
      <c r="K133" s="949">
        <f>SUM(K31:K132)</f>
        <v>2244138122</v>
      </c>
      <c r="L133" s="1856"/>
      <c r="M133" s="718"/>
      <c r="N133" s="40"/>
      <c r="O133" s="40"/>
      <c r="P133" s="40"/>
      <c r="Q133" s="40"/>
      <c r="R133" s="34"/>
      <c r="S133" s="34"/>
    </row>
    <row r="134" spans="1:19" s="496" customFormat="1" ht="24" customHeight="1">
      <c r="A134" s="809"/>
      <c r="B134" s="809"/>
      <c r="C134" s="810"/>
      <c r="D134" s="810" t="s">
        <v>4715</v>
      </c>
      <c r="E134" s="811"/>
      <c r="F134" s="1172"/>
      <c r="G134" s="810"/>
      <c r="H134" s="2194" t="s">
        <v>4411</v>
      </c>
      <c r="I134" s="2194"/>
      <c r="J134" s="1163">
        <f>SUM(I39:I132)-K133</f>
        <v>4749473597</v>
      </c>
      <c r="K134" s="810" t="s">
        <v>4985</v>
      </c>
      <c r="L134" s="1802"/>
      <c r="N134" s="1460"/>
      <c r="O134" s="1719"/>
      <c r="P134" s="1719"/>
      <c r="Q134" s="1460"/>
      <c r="R134" s="1459"/>
      <c r="S134" s="1459"/>
    </row>
    <row r="135" spans="1:19" s="34" customFormat="1" ht="19.2">
      <c r="A135" s="809"/>
      <c r="B135" s="809"/>
      <c r="C135" s="810"/>
      <c r="D135" s="810"/>
      <c r="E135" s="811"/>
      <c r="F135" s="1172"/>
      <c r="G135" s="810"/>
      <c r="H135" s="1468"/>
      <c r="I135" s="1468"/>
      <c r="J135" s="1163"/>
      <c r="K135" s="810"/>
      <c r="L135" s="1172"/>
      <c r="M135" s="1727"/>
      <c r="N135" s="1460"/>
      <c r="O135" s="1460"/>
      <c r="P135" s="1460"/>
      <c r="Q135" s="1460"/>
      <c r="R135" s="1459"/>
    </row>
    <row r="136" spans="1:19" s="34" customFormat="1" ht="28.5" customHeight="1">
      <c r="A136" s="809"/>
      <c r="B136" s="809"/>
      <c r="C136" s="810"/>
      <c r="D136" s="810"/>
      <c r="E136" s="811"/>
      <c r="F136" s="1172"/>
      <c r="G136" s="810"/>
      <c r="H136" s="1119"/>
      <c r="I136" s="810"/>
      <c r="J136" s="810"/>
      <c r="K136" s="810"/>
      <c r="L136" s="1790"/>
      <c r="M136" s="1727"/>
      <c r="N136" s="40"/>
      <c r="O136" s="40"/>
      <c r="P136" s="40"/>
      <c r="Q136" s="40"/>
    </row>
    <row r="137" spans="1:19">
      <c r="I137" s="1018"/>
    </row>
  </sheetData>
  <autoFilter ref="A30:K134" xr:uid="{1CCF8D2F-36BE-46CD-94BA-38FEC2C856C0}"/>
  <mergeCells count="44">
    <mergeCell ref="E17:G17"/>
    <mergeCell ref="A1:G4"/>
    <mergeCell ref="A5:B5"/>
    <mergeCell ref="A6:B6"/>
    <mergeCell ref="A7:B7"/>
    <mergeCell ref="A8:A23"/>
    <mergeCell ref="E8:G8"/>
    <mergeCell ref="E9:G9"/>
    <mergeCell ref="E10:G10"/>
    <mergeCell ref="B11:C11"/>
    <mergeCell ref="E11:G11"/>
    <mergeCell ref="E12:G12"/>
    <mergeCell ref="E13:G13"/>
    <mergeCell ref="E14:G14"/>
    <mergeCell ref="E15:G15"/>
    <mergeCell ref="E16:G16"/>
    <mergeCell ref="E18:G18"/>
    <mergeCell ref="E19:G19"/>
    <mergeCell ref="E20:G20"/>
    <mergeCell ref="E21:G21"/>
    <mergeCell ref="B22:C22"/>
    <mergeCell ref="E22:G22"/>
    <mergeCell ref="B23:C23"/>
    <mergeCell ref="E23:G23"/>
    <mergeCell ref="A24:A27"/>
    <mergeCell ref="E24:G24"/>
    <mergeCell ref="H24:H27"/>
    <mergeCell ref="E25:G25"/>
    <mergeCell ref="E26:G26"/>
    <mergeCell ref="N27:P27"/>
    <mergeCell ref="A29:A30"/>
    <mergeCell ref="B29:B30"/>
    <mergeCell ref="C29:C30"/>
    <mergeCell ref="D29:D30"/>
    <mergeCell ref="E29:E30"/>
    <mergeCell ref="F29:F30"/>
    <mergeCell ref="G29:G30"/>
    <mergeCell ref="H29:K29"/>
    <mergeCell ref="A133:D133"/>
    <mergeCell ref="E133:G133"/>
    <mergeCell ref="H134:I134"/>
    <mergeCell ref="J26:J27"/>
    <mergeCell ref="K26:K27"/>
    <mergeCell ref="E27:G27"/>
  </mergeCells>
  <phoneticPr fontId="2" type="noConversion"/>
  <conditionalFormatting sqref="A5:A7 A29:K29 C30:K35 L30:L38 A36:K39 L40:L134 A112:G112 C113:G114 C115:K124 H133:K133">
    <cfRule type="expression" dxfId="21" priority="11">
      <formula>#REF!="*01월*"</formula>
    </cfRule>
  </conditionalFormatting>
  <conditionalFormatting sqref="A30">
    <cfRule type="expression" dxfId="20" priority="7">
      <formula>#REF!="*01월*"</formula>
    </cfRule>
  </conditionalFormatting>
  <conditionalFormatting sqref="A133">
    <cfRule type="expression" dxfId="19" priority="10">
      <formula>#REF!="*01월*"</formula>
    </cfRule>
  </conditionalFormatting>
  <conditionalFormatting sqref="A31:B31 A88:B88">
    <cfRule type="expression" dxfId="18" priority="18">
      <formula>#REF!="*01월*"</formula>
    </cfRule>
  </conditionalFormatting>
  <conditionalFormatting sqref="A125:K132">
    <cfRule type="expression" dxfId="17" priority="4">
      <formula>#REF!="*01월*"</formula>
    </cfRule>
  </conditionalFormatting>
  <conditionalFormatting sqref="B19:B22">
    <cfRule type="expression" dxfId="16" priority="8">
      <formula>#REF!="*01월*"</formula>
    </cfRule>
  </conditionalFormatting>
  <conditionalFormatting sqref="B10:C10 B11 B12:C12 B13:B16">
    <cfRule type="expression" dxfId="15" priority="15">
      <formula>#REF!="*01월*"</formula>
    </cfRule>
  </conditionalFormatting>
  <conditionalFormatting sqref="B17:C18">
    <cfRule type="expression" dxfId="14" priority="13">
      <formula>#REF!="*01월*"</formula>
    </cfRule>
  </conditionalFormatting>
  <conditionalFormatting sqref="B24:C27">
    <cfRule type="expression" dxfId="13" priority="9">
      <formula>#REF!="*01월*"</formula>
    </cfRule>
  </conditionalFormatting>
  <conditionalFormatting sqref="C15:C16">
    <cfRule type="expression" dxfId="12" priority="14">
      <formula>#REF!="*01월*"</formula>
    </cfRule>
  </conditionalFormatting>
  <conditionalFormatting sqref="C20:C21">
    <cfRule type="expression" dxfId="11" priority="12">
      <formula>#REF!="*01월*"</formula>
    </cfRule>
  </conditionalFormatting>
  <conditionalFormatting sqref="C40:K111">
    <cfRule type="expression" dxfId="10" priority="1">
      <formula>#REF!="*01월*"</formula>
    </cfRule>
  </conditionalFormatting>
  <conditionalFormatting sqref="D5:E5 G5">
    <cfRule type="expression" dxfId="9" priority="21">
      <formula>$F10="*01월*"</formula>
    </cfRule>
  </conditionalFormatting>
  <conditionalFormatting sqref="D6:E7 G6:G7">
    <cfRule type="expression" dxfId="8" priority="22">
      <formula>$F12="*01월*"</formula>
    </cfRule>
  </conditionalFormatting>
  <conditionalFormatting sqref="D8:E8 E12:E19 D36:E37 F47:F49">
    <cfRule type="expression" dxfId="7" priority="17">
      <formula>$F10="*01월*"</formula>
    </cfRule>
  </conditionalFormatting>
  <conditionalFormatting sqref="E9:E10 E20">
    <cfRule type="expression" dxfId="6" priority="23">
      <formula>$F12="*01월*"</formula>
    </cfRule>
  </conditionalFormatting>
  <conditionalFormatting sqref="E21">
    <cfRule type="expression" dxfId="5" priority="20">
      <formula>#REF!="*01월*"</formula>
    </cfRule>
  </conditionalFormatting>
  <conditionalFormatting sqref="F48:F49">
    <cfRule type="expression" dxfId="4" priority="19">
      <formula>#REF!="*01월*"</formula>
    </cfRule>
  </conditionalFormatting>
  <conditionalFormatting sqref="F49">
    <cfRule type="expression" dxfId="3" priority="6">
      <formula>$F50="*01월*"</formula>
    </cfRule>
  </conditionalFormatting>
  <conditionalFormatting sqref="H8:J8">
    <cfRule type="expression" dxfId="2" priority="16">
      <formula>$F10="*01월*"</formula>
    </cfRule>
  </conditionalFormatting>
  <conditionalFormatting sqref="H112:K114">
    <cfRule type="expression" dxfId="1" priority="3">
      <formula>#REF!="*01월*"</formula>
    </cfRule>
  </conditionalFormatting>
  <conditionalFormatting sqref="M30">
    <cfRule type="expression" dxfId="0" priority="5">
      <formula>#REF!="*01월*"</formula>
    </cfRule>
  </conditionalFormatting>
  <pageMargins left="0.43307086614173229" right="0" top="0.59055118110236227" bottom="0.55118110236220474" header="0" footer="0"/>
  <pageSetup paperSize="9" scale="55" fitToHeight="0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Sheet7">
    <tabColor rgb="FF00B050"/>
  </sheetPr>
  <dimension ref="A1:M3040"/>
  <sheetViews>
    <sheetView topLeftCell="A2804" workbookViewId="0">
      <selection activeCell="E2817" sqref="E2817"/>
    </sheetView>
  </sheetViews>
  <sheetFormatPr defaultRowHeight="17.399999999999999"/>
  <cols>
    <col min="1" max="1" width="9.69921875" style="14" bestFit="1" customWidth="1"/>
    <col min="2" max="2" width="10.5" style="10" customWidth="1"/>
    <col min="3" max="3" width="10.3984375" bestFit="1" customWidth="1"/>
    <col min="4" max="4" width="11.8984375" bestFit="1" customWidth="1"/>
    <col min="5" max="5" width="14.59765625" bestFit="1" customWidth="1"/>
    <col min="6" max="6" width="19.3984375" bestFit="1" customWidth="1"/>
    <col min="7" max="7" width="19" style="13" bestFit="1" customWidth="1"/>
    <col min="8" max="8" width="13" bestFit="1" customWidth="1"/>
    <col min="12" max="13" width="10.8984375" bestFit="1" customWidth="1"/>
  </cols>
  <sheetData>
    <row r="1" spans="1:2">
      <c r="A1" s="7" t="s">
        <v>25</v>
      </c>
      <c r="B1" s="9" t="s">
        <v>26</v>
      </c>
    </row>
    <row r="2" spans="1:2">
      <c r="A2" s="7" t="s">
        <v>27</v>
      </c>
      <c r="B2" s="9">
        <v>0</v>
      </c>
    </row>
    <row r="3" spans="1:2" ht="16.5" hidden="1" customHeight="1">
      <c r="A3" s="8">
        <v>43466</v>
      </c>
      <c r="B3" s="11">
        <v>1118.0999999999999</v>
      </c>
    </row>
    <row r="4" spans="1:2" ht="16.5" hidden="1" customHeight="1">
      <c r="A4" s="8">
        <v>43467</v>
      </c>
      <c r="B4" s="11">
        <v>1118.0999999999999</v>
      </c>
    </row>
    <row r="5" spans="1:2" ht="16.5" hidden="1" customHeight="1">
      <c r="A5" s="8">
        <v>43468</v>
      </c>
      <c r="B5" s="11">
        <v>1119</v>
      </c>
    </row>
    <row r="6" spans="1:2" ht="16.5" hidden="1" customHeight="1">
      <c r="A6" s="8">
        <v>43469</v>
      </c>
      <c r="B6" s="11">
        <v>1127.5</v>
      </c>
    </row>
    <row r="7" spans="1:2" ht="16.5" hidden="1" customHeight="1">
      <c r="A7" s="8">
        <v>43470</v>
      </c>
      <c r="B7" s="11">
        <v>1127.5</v>
      </c>
    </row>
    <row r="8" spans="1:2" ht="16.5" hidden="1" customHeight="1">
      <c r="A8" s="8">
        <v>43471</v>
      </c>
      <c r="B8" s="11">
        <v>1127.5</v>
      </c>
    </row>
    <row r="9" spans="1:2" ht="16.5" hidden="1" customHeight="1">
      <c r="A9" s="8">
        <v>43472</v>
      </c>
      <c r="B9" s="11">
        <v>1125.2</v>
      </c>
    </row>
    <row r="10" spans="1:2" ht="16.5" hidden="1" customHeight="1">
      <c r="A10" s="8">
        <v>43473</v>
      </c>
      <c r="B10" s="11">
        <v>1118</v>
      </c>
    </row>
    <row r="11" spans="1:2" ht="16.5" hidden="1" customHeight="1">
      <c r="A11" s="8">
        <v>43474</v>
      </c>
      <c r="B11" s="11">
        <v>1121.7</v>
      </c>
    </row>
    <row r="12" spans="1:2" ht="16.5" hidden="1" customHeight="1">
      <c r="A12" s="8">
        <v>43475</v>
      </c>
      <c r="B12" s="11">
        <v>1121.5999999999999</v>
      </c>
    </row>
    <row r="13" spans="1:2" ht="16.5" hidden="1" customHeight="1">
      <c r="A13" s="8">
        <v>43476</v>
      </c>
      <c r="B13" s="11">
        <v>1118.9000000000001</v>
      </c>
    </row>
    <row r="14" spans="1:2" ht="16.5" hidden="1" customHeight="1">
      <c r="A14" s="8">
        <v>43477</v>
      </c>
      <c r="B14" s="11">
        <v>1118.9000000000001</v>
      </c>
    </row>
    <row r="15" spans="1:2" ht="16.5" hidden="1" customHeight="1">
      <c r="A15" s="8">
        <v>43478</v>
      </c>
      <c r="B15" s="11">
        <v>1118.9000000000001</v>
      </c>
    </row>
    <row r="16" spans="1:2" ht="16.5" hidden="1" customHeight="1">
      <c r="A16" s="8">
        <v>43479</v>
      </c>
      <c r="B16" s="11">
        <v>1117.5999999999999</v>
      </c>
    </row>
    <row r="17" spans="1:2" ht="16.5" hidden="1" customHeight="1">
      <c r="A17" s="8">
        <v>43480</v>
      </c>
      <c r="B17" s="11">
        <v>1121.4000000000001</v>
      </c>
    </row>
    <row r="18" spans="1:2" ht="16.5" hidden="1" customHeight="1">
      <c r="A18" s="8">
        <v>43481</v>
      </c>
      <c r="B18" s="11">
        <v>1120.0999999999999</v>
      </c>
    </row>
    <row r="19" spans="1:2" ht="16.5" hidden="1" customHeight="1">
      <c r="A19" s="8">
        <v>43482</v>
      </c>
      <c r="B19" s="11">
        <v>1122</v>
      </c>
    </row>
    <row r="20" spans="1:2" ht="16.5" hidden="1" customHeight="1">
      <c r="A20" s="8">
        <v>43483</v>
      </c>
      <c r="B20" s="11">
        <v>1121.4000000000001</v>
      </c>
    </row>
    <row r="21" spans="1:2" ht="16.5" hidden="1" customHeight="1">
      <c r="A21" s="8">
        <v>43484</v>
      </c>
      <c r="B21" s="11">
        <v>1121.4000000000001</v>
      </c>
    </row>
    <row r="22" spans="1:2" ht="16.5" hidden="1" customHeight="1">
      <c r="A22" s="8">
        <v>43485</v>
      </c>
      <c r="B22" s="11">
        <v>1121.4000000000001</v>
      </c>
    </row>
    <row r="23" spans="1:2" ht="16.5" hidden="1" customHeight="1">
      <c r="A23" s="8">
        <v>43486</v>
      </c>
      <c r="B23" s="11">
        <v>1121.3</v>
      </c>
    </row>
    <row r="24" spans="1:2" ht="16.5" hidden="1" customHeight="1">
      <c r="A24" s="8">
        <v>43487</v>
      </c>
      <c r="B24" s="11">
        <v>1126.5</v>
      </c>
    </row>
    <row r="25" spans="1:2" ht="16.5" hidden="1" customHeight="1">
      <c r="A25" s="8">
        <v>43488</v>
      </c>
      <c r="B25" s="11">
        <v>1130.2</v>
      </c>
    </row>
    <row r="26" spans="1:2" ht="16.5" hidden="1" customHeight="1">
      <c r="A26" s="8">
        <v>43489</v>
      </c>
      <c r="B26" s="11">
        <v>1128.2</v>
      </c>
    </row>
    <row r="27" spans="1:2" ht="16.5" hidden="1" customHeight="1">
      <c r="A27" s="8">
        <v>43490</v>
      </c>
      <c r="B27" s="11">
        <v>1128</v>
      </c>
    </row>
    <row r="28" spans="1:2" ht="16.5" hidden="1" customHeight="1">
      <c r="A28" s="8">
        <v>43491</v>
      </c>
      <c r="B28" s="11">
        <v>1128</v>
      </c>
    </row>
    <row r="29" spans="1:2" ht="16.5" hidden="1" customHeight="1">
      <c r="A29" s="8">
        <v>43492</v>
      </c>
      <c r="B29" s="11">
        <v>1128</v>
      </c>
    </row>
    <row r="30" spans="1:2" ht="16.5" hidden="1" customHeight="1">
      <c r="A30" s="8">
        <v>43493</v>
      </c>
      <c r="B30" s="11">
        <v>1125.0999999999999</v>
      </c>
    </row>
    <row r="31" spans="1:2" ht="16.5" hidden="1" customHeight="1">
      <c r="A31" s="8">
        <v>43494</v>
      </c>
      <c r="B31" s="11">
        <v>1116.9000000000001</v>
      </c>
    </row>
    <row r="32" spans="1:2" ht="16.5" hidden="1" customHeight="1">
      <c r="A32" s="8">
        <v>43495</v>
      </c>
      <c r="B32" s="11">
        <v>1118.0999999999999</v>
      </c>
    </row>
    <row r="33" spans="1:5" ht="16.5" hidden="1" customHeight="1">
      <c r="A33" s="8">
        <v>43496</v>
      </c>
      <c r="B33" s="11">
        <v>1117.2</v>
      </c>
    </row>
    <row r="34" spans="1:5" ht="16.5" hidden="1" customHeight="1">
      <c r="A34" s="8">
        <v>43497</v>
      </c>
      <c r="B34" s="11">
        <v>1111.5999999999999</v>
      </c>
      <c r="D34" s="13"/>
      <c r="E34" s="12"/>
    </row>
    <row r="35" spans="1:5" ht="16.5" hidden="1" customHeight="1">
      <c r="A35" s="8">
        <v>43498</v>
      </c>
      <c r="B35" s="11">
        <v>1111.5999999999999</v>
      </c>
      <c r="D35" s="13"/>
      <c r="E35" s="12"/>
    </row>
    <row r="36" spans="1:5" ht="16.5" hidden="1" customHeight="1">
      <c r="A36" s="8">
        <v>43499</v>
      </c>
      <c r="B36" s="11">
        <v>1111.5999999999999</v>
      </c>
      <c r="D36" s="13"/>
      <c r="E36" s="12"/>
    </row>
    <row r="37" spans="1:5" ht="16.5" hidden="1" customHeight="1">
      <c r="A37" s="8">
        <v>43500</v>
      </c>
      <c r="B37" s="11">
        <v>1111.5999999999999</v>
      </c>
      <c r="D37" s="13"/>
      <c r="E37" s="12"/>
    </row>
    <row r="38" spans="1:5" ht="16.5" hidden="1" customHeight="1">
      <c r="A38" s="8">
        <v>43501</v>
      </c>
      <c r="B38" s="11">
        <v>1111.5999999999999</v>
      </c>
      <c r="D38" s="13"/>
      <c r="E38" s="12"/>
    </row>
    <row r="39" spans="1:5" ht="16.5" hidden="1" customHeight="1">
      <c r="A39" s="8">
        <v>43502</v>
      </c>
      <c r="B39" s="11">
        <v>1111.5999999999999</v>
      </c>
      <c r="D39" s="13"/>
      <c r="E39" s="12"/>
    </row>
    <row r="40" spans="1:5" ht="16.5" hidden="1" customHeight="1">
      <c r="A40" s="8">
        <v>43503</v>
      </c>
      <c r="B40" s="11">
        <v>1116.8</v>
      </c>
      <c r="D40" s="13"/>
      <c r="E40" s="12"/>
    </row>
    <row r="41" spans="1:5" ht="16.5" hidden="1" customHeight="1">
      <c r="A41" s="8">
        <v>43504</v>
      </c>
      <c r="B41" s="11">
        <v>1123.4000000000001</v>
      </c>
      <c r="D41" s="13"/>
    </row>
    <row r="42" spans="1:5" ht="16.5" hidden="1" customHeight="1">
      <c r="A42" s="8">
        <v>43505</v>
      </c>
      <c r="B42" s="11">
        <v>1123.4000000000001</v>
      </c>
      <c r="D42" s="13"/>
    </row>
    <row r="43" spans="1:5" ht="16.5" hidden="1" customHeight="1">
      <c r="A43" s="8">
        <v>43506</v>
      </c>
      <c r="B43" s="11">
        <v>1123.4000000000001</v>
      </c>
      <c r="D43" s="13"/>
    </row>
    <row r="44" spans="1:5" ht="16.5" hidden="1" customHeight="1">
      <c r="A44" s="8">
        <v>43507</v>
      </c>
      <c r="B44" s="11">
        <v>1124.5</v>
      </c>
    </row>
    <row r="45" spans="1:5" ht="16.5" hidden="1" customHeight="1">
      <c r="A45" s="8">
        <v>43508</v>
      </c>
      <c r="B45" s="11">
        <v>1124.5</v>
      </c>
    </row>
    <row r="46" spans="1:5" ht="16.5" hidden="1" customHeight="1">
      <c r="A46" s="8">
        <v>43509</v>
      </c>
      <c r="B46" s="11">
        <v>1124.5999999999999</v>
      </c>
    </row>
    <row r="47" spans="1:5" ht="16.5" hidden="1" customHeight="1">
      <c r="A47" s="8">
        <v>43510</v>
      </c>
      <c r="B47" s="11">
        <v>1121.7</v>
      </c>
    </row>
    <row r="48" spans="1:5" ht="16.5" hidden="1" customHeight="1">
      <c r="A48" s="8">
        <v>43511</v>
      </c>
      <c r="B48" s="11">
        <v>1125</v>
      </c>
    </row>
    <row r="49" spans="1:2" ht="16.5" hidden="1" customHeight="1">
      <c r="A49" s="8">
        <v>43512</v>
      </c>
      <c r="B49" s="11">
        <v>1125</v>
      </c>
    </row>
    <row r="50" spans="1:2" ht="16.5" hidden="1" customHeight="1">
      <c r="A50" s="8">
        <v>43513</v>
      </c>
      <c r="B50" s="11">
        <v>1125</v>
      </c>
    </row>
    <row r="51" spans="1:2" ht="16.5" hidden="1" customHeight="1">
      <c r="A51" s="8">
        <v>43514</v>
      </c>
      <c r="B51" s="11">
        <v>1127.7</v>
      </c>
    </row>
    <row r="52" spans="1:2" ht="16.5" hidden="1" customHeight="1">
      <c r="A52" s="8">
        <v>43515</v>
      </c>
      <c r="B52" s="11">
        <v>1124.7</v>
      </c>
    </row>
    <row r="53" spans="1:2" ht="16.5" hidden="1" customHeight="1">
      <c r="A53" s="8">
        <v>43516</v>
      </c>
      <c r="B53" s="11">
        <v>1127.5</v>
      </c>
    </row>
    <row r="54" spans="1:2" ht="16.5" hidden="1" customHeight="1">
      <c r="A54" s="8">
        <v>43517</v>
      </c>
      <c r="B54" s="11">
        <v>1122.5999999999999</v>
      </c>
    </row>
    <row r="55" spans="1:2" ht="16.5" hidden="1" customHeight="1">
      <c r="A55" s="8">
        <v>43518</v>
      </c>
      <c r="B55" s="11">
        <v>1124.4000000000001</v>
      </c>
    </row>
    <row r="56" spans="1:2" ht="16.5" hidden="1" customHeight="1">
      <c r="A56" s="8">
        <v>43519</v>
      </c>
      <c r="B56" s="11">
        <v>1124.4000000000001</v>
      </c>
    </row>
    <row r="57" spans="1:2" ht="16.5" hidden="1" customHeight="1">
      <c r="A57" s="8">
        <v>43520</v>
      </c>
      <c r="B57" s="11">
        <v>1124.4000000000001</v>
      </c>
    </row>
    <row r="58" spans="1:2" ht="16.5" hidden="1" customHeight="1">
      <c r="A58" s="8">
        <v>43521</v>
      </c>
      <c r="B58" s="11">
        <v>1125.7</v>
      </c>
    </row>
    <row r="59" spans="1:2" ht="16.5" hidden="1" customHeight="1">
      <c r="A59" s="8">
        <v>43522</v>
      </c>
      <c r="B59" s="11">
        <v>1120.8</v>
      </c>
    </row>
    <row r="60" spans="1:2" ht="16.5" hidden="1" customHeight="1">
      <c r="A60" s="8">
        <v>43523</v>
      </c>
      <c r="B60" s="11">
        <v>1118.3</v>
      </c>
    </row>
    <row r="61" spans="1:2" ht="16.5" hidden="1" customHeight="1">
      <c r="A61" s="8">
        <v>43524</v>
      </c>
      <c r="B61" s="11">
        <v>1117.8</v>
      </c>
    </row>
    <row r="62" spans="1:2" ht="16.5" hidden="1" customHeight="1">
      <c r="A62" s="8">
        <v>43525</v>
      </c>
      <c r="B62" s="11">
        <v>1117.8</v>
      </c>
    </row>
    <row r="63" spans="1:2" ht="16.5" hidden="1" customHeight="1">
      <c r="A63" s="8">
        <v>43526</v>
      </c>
      <c r="B63" s="11">
        <v>1117.8</v>
      </c>
    </row>
    <row r="64" spans="1:2" ht="16.5" hidden="1" customHeight="1">
      <c r="A64" s="8">
        <v>43527</v>
      </c>
      <c r="B64" s="11">
        <v>1117.8</v>
      </c>
    </row>
    <row r="65" spans="1:2" ht="16.5" hidden="1" customHeight="1">
      <c r="A65" s="8">
        <v>43528</v>
      </c>
      <c r="B65" s="11">
        <v>1119.9000000000001</v>
      </c>
    </row>
    <row r="66" spans="1:2" ht="16.5" hidden="1" customHeight="1">
      <c r="A66" s="8">
        <v>43529</v>
      </c>
      <c r="B66" s="11">
        <v>1125</v>
      </c>
    </row>
    <row r="67" spans="1:2" ht="16.5" hidden="1" customHeight="1">
      <c r="A67" s="8">
        <v>43530</v>
      </c>
      <c r="B67" s="11">
        <v>1125.8</v>
      </c>
    </row>
    <row r="68" spans="1:2" ht="16.5" hidden="1" customHeight="1">
      <c r="A68" s="8">
        <v>43531</v>
      </c>
      <c r="B68" s="11">
        <v>1127.8</v>
      </c>
    </row>
    <row r="69" spans="1:2" ht="16.5" hidden="1" customHeight="1">
      <c r="A69" s="8">
        <v>43532</v>
      </c>
      <c r="B69" s="11">
        <v>1128.3</v>
      </c>
    </row>
    <row r="70" spans="1:2" ht="16.5" hidden="1" customHeight="1">
      <c r="A70" s="8">
        <v>43533</v>
      </c>
      <c r="B70" s="11">
        <v>1128.3</v>
      </c>
    </row>
    <row r="71" spans="1:2" ht="16.5" hidden="1" customHeight="1">
      <c r="A71" s="8">
        <v>43534</v>
      </c>
      <c r="B71" s="11">
        <v>1128.3</v>
      </c>
    </row>
    <row r="72" spans="1:2" ht="16.5" hidden="1" customHeight="1">
      <c r="A72" s="8">
        <v>43535</v>
      </c>
      <c r="B72" s="11">
        <v>1134</v>
      </c>
    </row>
    <row r="73" spans="1:2" ht="16.5" hidden="1" customHeight="1">
      <c r="A73" s="8">
        <v>43536</v>
      </c>
      <c r="B73" s="11">
        <v>1134.5</v>
      </c>
    </row>
    <row r="74" spans="1:2" ht="16.5" hidden="1" customHeight="1">
      <c r="A74" s="8">
        <v>43537</v>
      </c>
      <c r="B74" s="11">
        <v>1128.7</v>
      </c>
    </row>
    <row r="75" spans="1:2" ht="16.5" hidden="1" customHeight="1">
      <c r="A75" s="8">
        <v>43538</v>
      </c>
      <c r="B75" s="11">
        <v>1131.5</v>
      </c>
    </row>
    <row r="76" spans="1:2" ht="16.5" hidden="1" customHeight="1">
      <c r="A76" s="8">
        <v>43539</v>
      </c>
      <c r="B76" s="11">
        <v>1132.7</v>
      </c>
    </row>
    <row r="77" spans="1:2" ht="16.5" hidden="1" customHeight="1">
      <c r="A77" s="8">
        <v>43540</v>
      </c>
      <c r="B77" s="11">
        <v>1132.7</v>
      </c>
    </row>
    <row r="78" spans="1:2" ht="16.5" hidden="1" customHeight="1">
      <c r="A78" s="8">
        <v>43541</v>
      </c>
      <c r="B78" s="11">
        <v>1132.7</v>
      </c>
    </row>
    <row r="79" spans="1:2" ht="16.5" hidden="1" customHeight="1">
      <c r="A79" s="8">
        <v>43542</v>
      </c>
      <c r="B79" s="11">
        <v>1136.0999999999999</v>
      </c>
    </row>
    <row r="80" spans="1:2" ht="16.5" hidden="1" customHeight="1">
      <c r="A80" s="8">
        <v>43543</v>
      </c>
      <c r="B80" s="11">
        <v>1133.7</v>
      </c>
    </row>
    <row r="81" spans="1:2" ht="16.5" hidden="1" customHeight="1">
      <c r="A81" s="8">
        <v>43544</v>
      </c>
      <c r="B81" s="11">
        <v>1130.9000000000001</v>
      </c>
    </row>
    <row r="82" spans="1:2" ht="16.5" hidden="1" customHeight="1">
      <c r="A82" s="8">
        <v>43545</v>
      </c>
      <c r="B82" s="10">
        <v>1130.4000000000001</v>
      </c>
    </row>
    <row r="83" spans="1:2" ht="16.5" hidden="1" customHeight="1">
      <c r="A83" s="8">
        <v>43546</v>
      </c>
      <c r="B83" s="10">
        <v>1125.8</v>
      </c>
    </row>
    <row r="84" spans="1:2" ht="16.5" hidden="1" customHeight="1">
      <c r="A84" s="8">
        <v>43547</v>
      </c>
      <c r="B84" s="10">
        <v>1125.8</v>
      </c>
    </row>
    <row r="85" spans="1:2" ht="16.5" hidden="1" customHeight="1">
      <c r="A85" s="8">
        <v>43548</v>
      </c>
      <c r="B85" s="10">
        <v>1125.8</v>
      </c>
    </row>
    <row r="86" spans="1:2" ht="16.5" hidden="1" customHeight="1">
      <c r="A86" s="8">
        <v>43549</v>
      </c>
      <c r="B86" s="10">
        <v>1129.8</v>
      </c>
    </row>
    <row r="87" spans="1:2" ht="16.5" hidden="1" customHeight="1">
      <c r="A87" s="8">
        <v>43550</v>
      </c>
      <c r="B87" s="10">
        <v>1134.9000000000001</v>
      </c>
    </row>
    <row r="88" spans="1:2" ht="16.5" hidden="1" customHeight="1">
      <c r="A88" s="8">
        <v>43551</v>
      </c>
      <c r="B88" s="10">
        <v>1132.0999999999999</v>
      </c>
    </row>
    <row r="89" spans="1:2" ht="16.5" hidden="1" customHeight="1">
      <c r="A89" s="8">
        <v>43552</v>
      </c>
      <c r="B89" s="10">
        <v>1134.7</v>
      </c>
    </row>
    <row r="90" spans="1:2" ht="16.5" hidden="1" customHeight="1">
      <c r="A90" s="8">
        <v>43553</v>
      </c>
      <c r="B90" s="10">
        <v>1137.8</v>
      </c>
    </row>
    <row r="91" spans="1:2" ht="16.5" hidden="1" customHeight="1">
      <c r="A91" s="8">
        <v>43554</v>
      </c>
      <c r="B91" s="10">
        <v>1137.8</v>
      </c>
    </row>
    <row r="92" spans="1:2" ht="16.5" hidden="1" customHeight="1">
      <c r="A92" s="8">
        <v>43555</v>
      </c>
      <c r="B92" s="10">
        <v>1137.8</v>
      </c>
    </row>
    <row r="93" spans="1:2" ht="16.5" hidden="1" customHeight="1">
      <c r="A93" s="8">
        <v>43556</v>
      </c>
      <c r="B93" s="10">
        <v>1136.0999999999999</v>
      </c>
    </row>
    <row r="94" spans="1:2" ht="16.5" hidden="1" customHeight="1">
      <c r="A94" s="8">
        <v>43557</v>
      </c>
      <c r="B94" s="10">
        <v>1132.7</v>
      </c>
    </row>
    <row r="95" spans="1:2" ht="16.5" hidden="1" customHeight="1">
      <c r="A95" s="8">
        <v>43558</v>
      </c>
      <c r="B95" s="10">
        <v>1135.8</v>
      </c>
    </row>
    <row r="96" spans="1:2" ht="16.5" hidden="1" customHeight="1">
      <c r="A96" s="8">
        <v>43559</v>
      </c>
      <c r="B96" s="10">
        <v>1134.9000000000001</v>
      </c>
    </row>
    <row r="97" spans="1:2" ht="16.5" hidden="1" customHeight="1">
      <c r="A97" s="8">
        <v>43560</v>
      </c>
      <c r="B97" s="10">
        <v>1135.5</v>
      </c>
    </row>
    <row r="98" spans="1:2" ht="16.5" hidden="1" customHeight="1">
      <c r="A98" s="8">
        <v>43561</v>
      </c>
      <c r="B98" s="10">
        <v>1135.5</v>
      </c>
    </row>
    <row r="99" spans="1:2" ht="16.5" hidden="1" customHeight="1">
      <c r="A99" s="8">
        <v>43562</v>
      </c>
      <c r="B99" s="10">
        <v>1135.5</v>
      </c>
    </row>
    <row r="100" spans="1:2" ht="16.5" hidden="1" customHeight="1">
      <c r="A100" s="8">
        <v>43563</v>
      </c>
      <c r="B100" s="10">
        <v>1136.4000000000001</v>
      </c>
    </row>
    <row r="101" spans="1:2" ht="16.5" hidden="1" customHeight="1">
      <c r="A101" s="8">
        <v>43564</v>
      </c>
      <c r="B101" s="10">
        <v>1141.4000000000001</v>
      </c>
    </row>
    <row r="102" spans="1:2" ht="16.5" hidden="1" customHeight="1">
      <c r="A102" s="8">
        <v>43565</v>
      </c>
      <c r="B102" s="10">
        <v>1142.8</v>
      </c>
    </row>
    <row r="103" spans="1:2" ht="16.5" hidden="1" customHeight="1">
      <c r="A103" s="8">
        <v>43566</v>
      </c>
      <c r="B103" s="10">
        <v>1141.2</v>
      </c>
    </row>
    <row r="104" spans="1:2" ht="16.5" hidden="1" customHeight="1">
      <c r="A104" s="8">
        <v>43567</v>
      </c>
      <c r="B104" s="10">
        <v>1139.2</v>
      </c>
    </row>
    <row r="105" spans="1:2" ht="16.5" hidden="1" customHeight="1">
      <c r="A105" s="8">
        <v>43568</v>
      </c>
      <c r="B105" s="10">
        <v>1139.2</v>
      </c>
    </row>
    <row r="106" spans="1:2" ht="16.5" hidden="1" customHeight="1">
      <c r="A106" s="8">
        <v>43569</v>
      </c>
      <c r="B106" s="10">
        <v>1139.2</v>
      </c>
    </row>
    <row r="107" spans="1:2" ht="16.5" hidden="1" customHeight="1">
      <c r="A107" s="8">
        <v>43570</v>
      </c>
      <c r="B107" s="10">
        <v>1140.5</v>
      </c>
    </row>
    <row r="108" spans="1:2" ht="16.5" hidden="1" customHeight="1">
      <c r="A108" s="8">
        <v>43571</v>
      </c>
      <c r="B108" s="10">
        <v>1133.9000000000001</v>
      </c>
    </row>
    <row r="109" spans="1:2" ht="16.5" hidden="1" customHeight="1">
      <c r="A109" s="8">
        <v>43572</v>
      </c>
      <c r="B109" s="10">
        <v>1135.7</v>
      </c>
    </row>
    <row r="110" spans="1:2" ht="16.5" hidden="1" customHeight="1">
      <c r="A110" s="8">
        <v>43573</v>
      </c>
      <c r="B110" s="10">
        <v>1136.0999999999999</v>
      </c>
    </row>
    <row r="111" spans="1:2" ht="16.5" hidden="1" customHeight="1">
      <c r="A111" s="8">
        <v>43574</v>
      </c>
      <c r="B111" s="10">
        <v>1136.2</v>
      </c>
    </row>
    <row r="112" spans="1:2" ht="16.5" hidden="1" customHeight="1">
      <c r="A112" s="8">
        <v>43575</v>
      </c>
      <c r="B112" s="10">
        <v>1136.2</v>
      </c>
    </row>
    <row r="113" spans="1:2" ht="16.5" hidden="1" customHeight="1">
      <c r="A113" s="8">
        <v>43576</v>
      </c>
      <c r="B113" s="10">
        <v>1136.2</v>
      </c>
    </row>
    <row r="114" spans="1:2" ht="16.5" hidden="1" customHeight="1">
      <c r="A114" s="8">
        <v>43577</v>
      </c>
      <c r="B114" s="10">
        <v>1137.0999999999999</v>
      </c>
    </row>
    <row r="115" spans="1:2" ht="16.5" hidden="1" customHeight="1">
      <c r="A115" s="8">
        <v>43578</v>
      </c>
      <c r="B115" s="10">
        <v>1140.8</v>
      </c>
    </row>
    <row r="116" spans="1:2" ht="16.5" hidden="1" customHeight="1">
      <c r="A116" s="8">
        <v>43579</v>
      </c>
      <c r="B116" s="10">
        <v>1141.0999999999999</v>
      </c>
    </row>
    <row r="117" spans="1:2" ht="16.5" hidden="1" customHeight="1">
      <c r="A117" s="8">
        <v>43580</v>
      </c>
      <c r="B117" s="10">
        <v>1146.9000000000001</v>
      </c>
    </row>
    <row r="118" spans="1:2" ht="16.5" hidden="1" customHeight="1">
      <c r="A118" s="8">
        <v>43581</v>
      </c>
      <c r="B118" s="10">
        <v>1158.7</v>
      </c>
    </row>
    <row r="119" spans="1:2" ht="16.5" hidden="1" customHeight="1">
      <c r="A119" s="8">
        <v>43582</v>
      </c>
      <c r="B119" s="10">
        <v>1158.7</v>
      </c>
    </row>
    <row r="120" spans="1:2" ht="16.5" hidden="1" customHeight="1">
      <c r="A120" s="8">
        <v>43583</v>
      </c>
      <c r="B120" s="10">
        <v>1158.7</v>
      </c>
    </row>
    <row r="121" spans="1:2" ht="16.5" hidden="1" customHeight="1">
      <c r="A121" s="8">
        <v>43584</v>
      </c>
      <c r="B121" s="10">
        <v>1159.7</v>
      </c>
    </row>
    <row r="122" spans="1:2" ht="16.5" hidden="1" customHeight="1">
      <c r="A122" s="8">
        <v>43585</v>
      </c>
      <c r="B122" s="10">
        <v>1158.2</v>
      </c>
    </row>
    <row r="123" spans="1:2" ht="16.5" hidden="1" customHeight="1">
      <c r="A123" s="8">
        <v>43586</v>
      </c>
      <c r="B123" s="10">
        <v>1158.2</v>
      </c>
    </row>
    <row r="124" spans="1:2" ht="16.5" hidden="1" customHeight="1">
      <c r="A124" s="8">
        <v>43587</v>
      </c>
      <c r="B124" s="10">
        <v>1163.8</v>
      </c>
    </row>
    <row r="125" spans="1:2" ht="16.5" hidden="1" customHeight="1">
      <c r="A125" s="8">
        <v>43588</v>
      </c>
      <c r="B125" s="10">
        <v>1163.9000000000001</v>
      </c>
    </row>
    <row r="126" spans="1:2" ht="16.5" hidden="1" customHeight="1">
      <c r="A126" s="8">
        <v>43589</v>
      </c>
      <c r="B126" s="10">
        <v>1163.9000000000001</v>
      </c>
    </row>
    <row r="127" spans="1:2" ht="16.5" hidden="1" customHeight="1">
      <c r="A127" s="8">
        <v>43590</v>
      </c>
      <c r="B127" s="10">
        <v>1163.9000000000001</v>
      </c>
    </row>
    <row r="128" spans="1:2" ht="16.5" hidden="1" customHeight="1">
      <c r="A128" s="8">
        <v>43591</v>
      </c>
      <c r="B128" s="10">
        <v>1163.9000000000001</v>
      </c>
    </row>
    <row r="129" spans="1:2" ht="16.5" hidden="1" customHeight="1">
      <c r="A129" s="8">
        <v>43592</v>
      </c>
      <c r="B129" s="10">
        <v>1169.4000000000001</v>
      </c>
    </row>
    <row r="130" spans="1:2" ht="16.5" hidden="1" customHeight="1">
      <c r="A130" s="8">
        <v>43593</v>
      </c>
      <c r="B130" s="10">
        <v>1169.8</v>
      </c>
    </row>
    <row r="131" spans="1:2" ht="16.5" hidden="1" customHeight="1">
      <c r="A131" s="8">
        <v>43594</v>
      </c>
      <c r="B131" s="10">
        <v>1169.9000000000001</v>
      </c>
    </row>
    <row r="132" spans="1:2" ht="16.5" hidden="1" customHeight="1">
      <c r="A132" s="8">
        <v>43595</v>
      </c>
      <c r="B132" s="10">
        <v>1175.8</v>
      </c>
    </row>
    <row r="133" spans="1:2" ht="16.5" hidden="1" customHeight="1">
      <c r="A133" s="8">
        <v>43596</v>
      </c>
      <c r="B133" s="10">
        <v>1175.8</v>
      </c>
    </row>
    <row r="134" spans="1:2" ht="16.5" hidden="1" customHeight="1">
      <c r="A134" s="8">
        <v>43597</v>
      </c>
      <c r="B134" s="10">
        <v>1175.8</v>
      </c>
    </row>
    <row r="135" spans="1:2" ht="16.5" hidden="1" customHeight="1">
      <c r="A135" s="8">
        <v>43598</v>
      </c>
      <c r="B135" s="10">
        <v>1178.0999999999999</v>
      </c>
    </row>
    <row r="136" spans="1:2" ht="16.5" hidden="1" customHeight="1">
      <c r="A136" s="8">
        <v>43599</v>
      </c>
      <c r="B136" s="10">
        <v>1183.0999999999999</v>
      </c>
    </row>
    <row r="137" spans="1:2" ht="16.5" hidden="1" customHeight="1">
      <c r="A137" s="8">
        <v>43600</v>
      </c>
      <c r="B137" s="10">
        <v>1187</v>
      </c>
    </row>
    <row r="138" spans="1:2" ht="16.5" hidden="1" customHeight="1">
      <c r="A138" s="8">
        <v>43601</v>
      </c>
      <c r="B138" s="10">
        <v>1189.4000000000001</v>
      </c>
    </row>
    <row r="139" spans="1:2" ht="16.5" hidden="1" customHeight="1">
      <c r="A139" s="8">
        <v>43602</v>
      </c>
      <c r="B139" s="10">
        <v>1189.8</v>
      </c>
    </row>
    <row r="140" spans="1:2" ht="16.5" hidden="1" customHeight="1">
      <c r="A140" s="8">
        <v>43603</v>
      </c>
      <c r="B140" s="10">
        <v>1189.8</v>
      </c>
    </row>
    <row r="141" spans="1:2" ht="16.5" hidden="1" customHeight="1">
      <c r="A141" s="8">
        <v>43604</v>
      </c>
      <c r="B141" s="10">
        <v>1189.8</v>
      </c>
    </row>
    <row r="142" spans="1:2" ht="16.5" hidden="1" customHeight="1">
      <c r="A142" s="8">
        <v>43605</v>
      </c>
      <c r="B142" s="10">
        <v>1192.7</v>
      </c>
    </row>
    <row r="143" spans="1:2" ht="16.5" hidden="1" customHeight="1">
      <c r="A143" s="8">
        <v>43606</v>
      </c>
      <c r="B143" s="10">
        <v>1192.9000000000001</v>
      </c>
    </row>
    <row r="144" spans="1:2" ht="16.5" hidden="1" customHeight="1">
      <c r="A144" s="8">
        <v>43607</v>
      </c>
      <c r="B144" s="10">
        <v>1193.3</v>
      </c>
    </row>
    <row r="145" spans="1:2" ht="16.5" hidden="1" customHeight="1">
      <c r="A145" s="8">
        <v>43608</v>
      </c>
      <c r="B145" s="10">
        <v>1194.5999999999999</v>
      </c>
    </row>
    <row r="146" spans="1:2" ht="16.5" hidden="1" customHeight="1">
      <c r="A146" s="8">
        <v>43609</v>
      </c>
      <c r="B146" s="10">
        <v>1191.2</v>
      </c>
    </row>
    <row r="147" spans="1:2" ht="16.5" hidden="1" customHeight="1">
      <c r="A147" s="8">
        <v>43610</v>
      </c>
      <c r="B147" s="10">
        <v>1191.2</v>
      </c>
    </row>
    <row r="148" spans="1:2" ht="16.5" hidden="1" customHeight="1">
      <c r="A148" s="8">
        <v>43611</v>
      </c>
      <c r="B148" s="10">
        <v>1191.2</v>
      </c>
    </row>
    <row r="149" spans="1:2" ht="16.5" hidden="1" customHeight="1">
      <c r="A149" s="8">
        <v>43612</v>
      </c>
      <c r="B149" s="10">
        <v>1189.5999999999999</v>
      </c>
    </row>
    <row r="150" spans="1:2" ht="16.5" hidden="1" customHeight="1">
      <c r="A150" s="8">
        <v>43613</v>
      </c>
      <c r="B150" s="10">
        <v>1184.0999999999999</v>
      </c>
    </row>
    <row r="151" spans="1:2" ht="16.5" hidden="1" customHeight="1">
      <c r="A151" s="8">
        <v>43614</v>
      </c>
      <c r="B151" s="10">
        <v>1187.5999999999999</v>
      </c>
    </row>
    <row r="152" spans="1:2" ht="16.5" hidden="1" customHeight="1">
      <c r="A152" s="8">
        <v>43615</v>
      </c>
      <c r="B152" s="10">
        <v>1193.0999999999999</v>
      </c>
    </row>
    <row r="153" spans="1:2" ht="16.5" hidden="1" customHeight="1">
      <c r="A153" s="8">
        <v>43616</v>
      </c>
      <c r="B153" s="10">
        <v>1190</v>
      </c>
    </row>
    <row r="154" spans="1:2" ht="16.5" hidden="1" customHeight="1">
      <c r="A154" s="8">
        <v>43617</v>
      </c>
      <c r="B154" s="10">
        <v>1190</v>
      </c>
    </row>
    <row r="155" spans="1:2" ht="16.5" hidden="1" customHeight="1">
      <c r="A155" s="8">
        <v>43618</v>
      </c>
      <c r="B155" s="10">
        <v>1190</v>
      </c>
    </row>
    <row r="156" spans="1:2" ht="16.5" hidden="1" customHeight="1">
      <c r="A156" s="8">
        <v>43619</v>
      </c>
      <c r="B156" s="10">
        <v>1191.2</v>
      </c>
    </row>
    <row r="157" spans="1:2" ht="16.5" hidden="1" customHeight="1">
      <c r="A157" s="8">
        <v>43620</v>
      </c>
      <c r="B157" s="10">
        <v>1183</v>
      </c>
    </row>
    <row r="158" spans="1:2" ht="16.5" hidden="1" customHeight="1">
      <c r="A158" s="8">
        <v>43621</v>
      </c>
      <c r="B158" s="10">
        <v>1181.5</v>
      </c>
    </row>
    <row r="159" spans="1:2" ht="16.5" hidden="1" customHeight="1">
      <c r="A159" s="8">
        <v>43622</v>
      </c>
      <c r="B159" s="10">
        <v>1181.5</v>
      </c>
    </row>
    <row r="160" spans="1:2" ht="16.5" hidden="1" customHeight="1">
      <c r="A160" s="8">
        <v>43623</v>
      </c>
      <c r="B160" s="10">
        <v>1179.8</v>
      </c>
    </row>
    <row r="161" spans="1:2" ht="16.5" hidden="1" customHeight="1">
      <c r="A161" s="8">
        <v>43624</v>
      </c>
      <c r="B161" s="10">
        <v>1179.8</v>
      </c>
    </row>
    <row r="162" spans="1:2" ht="16.5" hidden="1" customHeight="1">
      <c r="A162" s="8">
        <v>43625</v>
      </c>
      <c r="B162" s="10">
        <v>1179.8</v>
      </c>
    </row>
    <row r="163" spans="1:2" ht="16.5" hidden="1" customHeight="1">
      <c r="A163" s="8">
        <v>43626</v>
      </c>
      <c r="B163" s="10">
        <v>1179.5</v>
      </c>
    </row>
    <row r="164" spans="1:2" ht="16.5" hidden="1" customHeight="1">
      <c r="A164" s="8">
        <v>43627</v>
      </c>
      <c r="B164" s="10">
        <v>1184</v>
      </c>
    </row>
    <row r="165" spans="1:2" ht="16.5" hidden="1" customHeight="1">
      <c r="A165" s="8">
        <v>43628</v>
      </c>
      <c r="B165" s="10">
        <v>1181.7</v>
      </c>
    </row>
    <row r="166" spans="1:2" ht="16.5" hidden="1" customHeight="1">
      <c r="A166" s="8">
        <v>43629</v>
      </c>
      <c r="B166" s="10">
        <v>1181.7</v>
      </c>
    </row>
    <row r="167" spans="1:2" ht="16.5" hidden="1" customHeight="1">
      <c r="A167" s="8">
        <v>43630</v>
      </c>
      <c r="B167" s="10">
        <v>1184.7</v>
      </c>
    </row>
    <row r="168" spans="1:2" ht="16.5" hidden="1" customHeight="1">
      <c r="A168" s="8">
        <v>43631</v>
      </c>
      <c r="B168" s="10">
        <v>1184.7</v>
      </c>
    </row>
    <row r="169" spans="1:2" ht="16.5" hidden="1" customHeight="1">
      <c r="A169" s="8">
        <v>43632</v>
      </c>
      <c r="B169" s="10">
        <v>1184.7</v>
      </c>
    </row>
    <row r="170" spans="1:2" ht="16.5" hidden="1" customHeight="1">
      <c r="A170" s="8">
        <v>43633</v>
      </c>
      <c r="B170" s="10">
        <v>1184</v>
      </c>
    </row>
    <row r="171" spans="1:2" ht="16.5" hidden="1" customHeight="1">
      <c r="A171" s="8">
        <v>43634</v>
      </c>
      <c r="B171" s="10">
        <v>1186.3</v>
      </c>
    </row>
    <row r="172" spans="1:2" ht="16.5" hidden="1" customHeight="1">
      <c r="A172" s="8">
        <v>43635</v>
      </c>
      <c r="B172" s="10">
        <v>1185</v>
      </c>
    </row>
    <row r="173" spans="1:2" ht="16.5" hidden="1" customHeight="1">
      <c r="A173" s="8">
        <v>43636</v>
      </c>
      <c r="B173" s="10">
        <v>1177</v>
      </c>
    </row>
    <row r="174" spans="1:2" ht="16.5" hidden="1" customHeight="1">
      <c r="A174" s="8">
        <v>43637</v>
      </c>
      <c r="B174" s="10">
        <v>1167.7</v>
      </c>
    </row>
    <row r="175" spans="1:2" ht="16.5" hidden="1" customHeight="1">
      <c r="A175" s="8">
        <v>43638</v>
      </c>
      <c r="B175" s="10">
        <v>1167.7</v>
      </c>
    </row>
    <row r="176" spans="1:2" ht="16.5" hidden="1" customHeight="1">
      <c r="A176" s="8">
        <v>43639</v>
      </c>
      <c r="B176" s="10">
        <v>1167.7</v>
      </c>
    </row>
    <row r="177" spans="1:2" ht="16.5" hidden="1" customHeight="1">
      <c r="A177" s="8">
        <v>43640</v>
      </c>
      <c r="B177" s="10">
        <v>1162</v>
      </c>
    </row>
    <row r="178" spans="1:2" ht="16.5" hidden="1" customHeight="1">
      <c r="A178" s="8">
        <v>43641</v>
      </c>
      <c r="B178" s="10">
        <v>1157.9000000000001</v>
      </c>
    </row>
    <row r="179" spans="1:2" ht="16.5" hidden="1" customHeight="1">
      <c r="A179" s="8">
        <v>43642</v>
      </c>
      <c r="B179" s="10">
        <v>1154.7</v>
      </c>
    </row>
    <row r="180" spans="1:2" ht="16.5" hidden="1" customHeight="1">
      <c r="A180" s="8">
        <v>43643</v>
      </c>
      <c r="B180" s="10">
        <v>1158.2</v>
      </c>
    </row>
    <row r="181" spans="1:2" ht="16.5" hidden="1" customHeight="1">
      <c r="A181" s="8">
        <v>43644</v>
      </c>
      <c r="B181" s="10">
        <v>1156.8</v>
      </c>
    </row>
    <row r="182" spans="1:2" ht="16.5" hidden="1" customHeight="1">
      <c r="A182" s="8">
        <v>43645</v>
      </c>
      <c r="B182" s="10">
        <v>1156.8</v>
      </c>
    </row>
    <row r="183" spans="1:2" ht="16.5" hidden="1" customHeight="1">
      <c r="A183" s="8">
        <v>43646</v>
      </c>
      <c r="B183" s="10">
        <v>1156.8</v>
      </c>
    </row>
    <row r="184" spans="1:2" ht="16.5" hidden="1" customHeight="1">
      <c r="A184" s="8">
        <v>43647</v>
      </c>
      <c r="B184" s="10">
        <v>1156.4000000000001</v>
      </c>
    </row>
    <row r="185" spans="1:2" ht="16.5" hidden="1" customHeight="1">
      <c r="A185" s="8">
        <v>43648</v>
      </c>
      <c r="B185" s="10">
        <v>1155.4000000000001</v>
      </c>
    </row>
    <row r="186" spans="1:2" ht="16.5" hidden="1" customHeight="1">
      <c r="A186" s="8">
        <v>43649</v>
      </c>
      <c r="B186" s="10">
        <v>1164.8</v>
      </c>
    </row>
    <row r="187" spans="1:2" ht="16.5" hidden="1" customHeight="1">
      <c r="A187" s="8">
        <v>43650</v>
      </c>
      <c r="B187" s="10">
        <v>1170.4000000000001</v>
      </c>
    </row>
    <row r="188" spans="1:2" ht="16.5" hidden="1" customHeight="1">
      <c r="A188" s="8">
        <v>43651</v>
      </c>
      <c r="B188" s="10">
        <v>1169.2</v>
      </c>
    </row>
    <row r="189" spans="1:2" ht="16.5" hidden="1" customHeight="1">
      <c r="A189" s="8">
        <v>43652</v>
      </c>
      <c r="B189" s="10">
        <v>1169.2</v>
      </c>
    </row>
    <row r="190" spans="1:2" ht="16.5" hidden="1" customHeight="1">
      <c r="A190" s="8">
        <v>43653</v>
      </c>
      <c r="B190" s="10">
        <v>1169.2</v>
      </c>
    </row>
    <row r="191" spans="1:2" ht="16.5" hidden="1" customHeight="1">
      <c r="A191" s="8">
        <v>43654</v>
      </c>
      <c r="B191" s="10">
        <v>1170.4000000000001</v>
      </c>
    </row>
    <row r="192" spans="1:2" ht="16.5" hidden="1" customHeight="1">
      <c r="A192" s="8">
        <v>43655</v>
      </c>
      <c r="B192" s="10">
        <v>1178.5</v>
      </c>
    </row>
    <row r="193" spans="1:2" ht="16.5" hidden="1" customHeight="1">
      <c r="A193" s="8">
        <v>43656</v>
      </c>
      <c r="B193" s="10">
        <v>1179.9000000000001</v>
      </c>
    </row>
    <row r="194" spans="1:2" ht="16.5" hidden="1" customHeight="1">
      <c r="A194" s="8">
        <v>43657</v>
      </c>
      <c r="B194" s="10">
        <v>1181.4000000000001</v>
      </c>
    </row>
    <row r="195" spans="1:2" ht="16.5" hidden="1" customHeight="1">
      <c r="A195" s="8">
        <v>43658</v>
      </c>
      <c r="B195" s="10">
        <v>1173.8</v>
      </c>
    </row>
    <row r="196" spans="1:2" ht="16.5" hidden="1" customHeight="1">
      <c r="A196" s="8">
        <v>43659</v>
      </c>
      <c r="B196" s="10">
        <v>1173.8</v>
      </c>
    </row>
    <row r="197" spans="1:2" ht="16.5" hidden="1" customHeight="1">
      <c r="A197" s="8">
        <v>43660</v>
      </c>
      <c r="B197" s="10">
        <v>1173.8</v>
      </c>
    </row>
    <row r="198" spans="1:2" ht="16.5" hidden="1" customHeight="1">
      <c r="A198" s="8">
        <v>43661</v>
      </c>
      <c r="B198" s="10">
        <v>1177.3</v>
      </c>
    </row>
    <row r="199" spans="1:2" ht="16.5" hidden="1" customHeight="1">
      <c r="A199" s="8">
        <v>43662</v>
      </c>
      <c r="B199" s="10">
        <v>1179.2</v>
      </c>
    </row>
    <row r="200" spans="1:2" ht="16.5" hidden="1" customHeight="1">
      <c r="A200" s="8">
        <v>43663</v>
      </c>
      <c r="B200" s="10">
        <v>1178.5</v>
      </c>
    </row>
    <row r="201" spans="1:2" ht="16.5" hidden="1" customHeight="1">
      <c r="A201" s="8">
        <v>43664</v>
      </c>
      <c r="B201" s="10">
        <v>1180.4000000000001</v>
      </c>
    </row>
    <row r="202" spans="1:2" ht="16.5" hidden="1" customHeight="1">
      <c r="A202" s="8">
        <v>43665</v>
      </c>
      <c r="B202" s="10">
        <v>1179.5</v>
      </c>
    </row>
    <row r="203" spans="1:2" ht="16.5" hidden="1" customHeight="1">
      <c r="A203" s="8">
        <v>43666</v>
      </c>
      <c r="B203" s="10">
        <v>1179.5</v>
      </c>
    </row>
    <row r="204" spans="1:2" ht="16.5" hidden="1" customHeight="1">
      <c r="A204" s="8">
        <v>43667</v>
      </c>
      <c r="B204" s="10">
        <v>1179.5</v>
      </c>
    </row>
    <row r="205" spans="1:2" ht="16.5" hidden="1" customHeight="1">
      <c r="A205" s="8">
        <v>43668</v>
      </c>
      <c r="B205" s="10">
        <v>1173.4000000000001</v>
      </c>
    </row>
    <row r="206" spans="1:2" ht="16.5" hidden="1" customHeight="1">
      <c r="A206" s="8">
        <v>43669</v>
      </c>
      <c r="B206" s="10">
        <v>1177.5999999999999</v>
      </c>
    </row>
    <row r="207" spans="1:2" ht="16.5" hidden="1" customHeight="1">
      <c r="A207" s="8">
        <v>43670</v>
      </c>
      <c r="B207" s="10">
        <v>1178.4000000000001</v>
      </c>
    </row>
    <row r="208" spans="1:2" ht="16.5" hidden="1" customHeight="1">
      <c r="A208" s="8">
        <v>43671</v>
      </c>
      <c r="B208" s="10">
        <v>1178.2</v>
      </c>
    </row>
    <row r="209" spans="1:2" ht="16.5" hidden="1" customHeight="1">
      <c r="A209" s="8">
        <v>43672</v>
      </c>
      <c r="B209" s="10">
        <v>1179.8</v>
      </c>
    </row>
    <row r="210" spans="1:2" ht="16.5" hidden="1" customHeight="1">
      <c r="A210" s="8">
        <v>43673</v>
      </c>
      <c r="B210" s="10">
        <v>1179.8</v>
      </c>
    </row>
    <row r="211" spans="1:2" ht="16.5" hidden="1" customHeight="1">
      <c r="A211" s="8">
        <v>43674</v>
      </c>
      <c r="B211" s="10">
        <v>1179.8</v>
      </c>
    </row>
    <row r="212" spans="1:2" ht="16.5" hidden="1" customHeight="1">
      <c r="A212" s="8">
        <v>43675</v>
      </c>
      <c r="B212" s="10">
        <v>1184.2</v>
      </c>
    </row>
    <row r="213" spans="1:2" ht="16.5" hidden="1" customHeight="1">
      <c r="A213" s="8">
        <v>43676</v>
      </c>
      <c r="B213" s="10">
        <v>1183.4000000000001</v>
      </c>
    </row>
    <row r="214" spans="1:2" ht="16.5" hidden="1" customHeight="1">
      <c r="A214" s="8">
        <v>43677</v>
      </c>
      <c r="B214" s="10">
        <v>1182</v>
      </c>
    </row>
    <row r="215" spans="1:2" ht="16.5" hidden="1" customHeight="1">
      <c r="A215" s="8">
        <v>43678</v>
      </c>
      <c r="B215" s="10">
        <v>1181.9000000000001</v>
      </c>
    </row>
    <row r="216" spans="1:2" ht="16.5" hidden="1" customHeight="1">
      <c r="A216" s="8">
        <v>43679</v>
      </c>
      <c r="B216" s="10">
        <v>1188.5</v>
      </c>
    </row>
    <row r="217" spans="1:2" ht="16.5" hidden="1" customHeight="1">
      <c r="A217" s="8">
        <v>43680</v>
      </c>
      <c r="B217" s="10">
        <v>1188.5</v>
      </c>
    </row>
    <row r="218" spans="1:2" ht="16.5" hidden="1" customHeight="1">
      <c r="A218" s="8">
        <v>43681</v>
      </c>
      <c r="B218" s="10">
        <v>1188.5</v>
      </c>
    </row>
    <row r="219" spans="1:2" ht="16.5" hidden="1" customHeight="1">
      <c r="A219" s="8">
        <v>43682</v>
      </c>
      <c r="B219" s="10">
        <v>1194.8</v>
      </c>
    </row>
    <row r="220" spans="1:2" ht="16.5" hidden="1" customHeight="1">
      <c r="A220" s="8">
        <v>43683</v>
      </c>
      <c r="B220" s="10">
        <v>1211.8</v>
      </c>
    </row>
    <row r="221" spans="1:2" ht="16.5" hidden="1" customHeight="1">
      <c r="A221" s="8">
        <v>43684</v>
      </c>
      <c r="B221" s="10">
        <v>1214.3</v>
      </c>
    </row>
    <row r="222" spans="1:2" ht="16.5" hidden="1" customHeight="1">
      <c r="A222" s="8">
        <v>43685</v>
      </c>
      <c r="B222" s="10">
        <v>1214.5</v>
      </c>
    </row>
    <row r="223" spans="1:2" ht="16.5" hidden="1" customHeight="1">
      <c r="A223" s="8">
        <v>43686</v>
      </c>
      <c r="B223" s="10">
        <v>1211.3</v>
      </c>
    </row>
    <row r="224" spans="1:2" ht="16.5" hidden="1" customHeight="1">
      <c r="A224" s="8">
        <v>43687</v>
      </c>
      <c r="B224" s="10">
        <v>1211.3</v>
      </c>
    </row>
    <row r="225" spans="1:2" ht="16.5" hidden="1" customHeight="1">
      <c r="A225" s="8">
        <v>43688</v>
      </c>
      <c r="B225" s="10">
        <v>1211.3</v>
      </c>
    </row>
    <row r="226" spans="1:2" ht="16.5" hidden="1" customHeight="1">
      <c r="A226" s="8">
        <v>43689</v>
      </c>
      <c r="B226" s="10">
        <v>1209.7</v>
      </c>
    </row>
    <row r="227" spans="1:2" ht="16.5" hidden="1" customHeight="1">
      <c r="A227" s="8">
        <v>43690</v>
      </c>
      <c r="B227" s="10">
        <v>1215.5999999999999</v>
      </c>
    </row>
    <row r="228" spans="1:2" ht="16.5" hidden="1" customHeight="1">
      <c r="A228" s="8">
        <v>43691</v>
      </c>
      <c r="B228" s="10">
        <v>1218.9000000000001</v>
      </c>
    </row>
    <row r="229" spans="1:2" ht="16.5" hidden="1" customHeight="1">
      <c r="A229" s="8">
        <v>43692</v>
      </c>
      <c r="B229" s="10">
        <v>1218.9000000000001</v>
      </c>
    </row>
    <row r="230" spans="1:2" ht="16.5" hidden="1" customHeight="1">
      <c r="A230" s="8">
        <v>43693</v>
      </c>
      <c r="B230" s="10">
        <v>1211.7</v>
      </c>
    </row>
    <row r="231" spans="1:2" ht="16.5" hidden="1" customHeight="1">
      <c r="A231" s="8">
        <v>43694</v>
      </c>
      <c r="B231" s="10">
        <v>1211.7</v>
      </c>
    </row>
    <row r="232" spans="1:2" ht="16.5" hidden="1" customHeight="1">
      <c r="A232" s="8">
        <v>43695</v>
      </c>
      <c r="B232" s="10">
        <v>1211.7</v>
      </c>
    </row>
    <row r="233" spans="1:2" ht="16.5" hidden="1" customHeight="1">
      <c r="A233" s="8">
        <v>43696</v>
      </c>
      <c r="B233" s="10">
        <v>1213.3</v>
      </c>
    </row>
    <row r="234" spans="1:2" ht="16.5" hidden="1" customHeight="1">
      <c r="A234" s="8">
        <v>43697</v>
      </c>
      <c r="B234" s="10">
        <v>1210.7</v>
      </c>
    </row>
    <row r="235" spans="1:2" ht="16.5" hidden="1" customHeight="1">
      <c r="A235" s="8">
        <v>43698</v>
      </c>
      <c r="B235" s="10">
        <v>1210.2</v>
      </c>
    </row>
    <row r="236" spans="1:2" ht="16.5" hidden="1" customHeight="1">
      <c r="A236" s="8">
        <v>43699</v>
      </c>
      <c r="B236" s="10">
        <v>1204</v>
      </c>
    </row>
    <row r="237" spans="1:2" ht="16.5" hidden="1" customHeight="1">
      <c r="A237" s="8">
        <v>43700</v>
      </c>
      <c r="B237" s="10">
        <v>1205.0999999999999</v>
      </c>
    </row>
    <row r="238" spans="1:2" ht="16.5" hidden="1" customHeight="1">
      <c r="A238" s="8">
        <v>43701</v>
      </c>
      <c r="B238" s="10">
        <v>1205.0999999999999</v>
      </c>
    </row>
    <row r="239" spans="1:2" ht="16.5" hidden="1" customHeight="1">
      <c r="A239" s="8">
        <v>43702</v>
      </c>
      <c r="B239" s="10">
        <v>1205.0999999999999</v>
      </c>
    </row>
    <row r="240" spans="1:2" ht="16.5" hidden="1" customHeight="1">
      <c r="A240" s="8">
        <v>43703</v>
      </c>
      <c r="B240" s="10">
        <v>1212.2</v>
      </c>
    </row>
    <row r="241" spans="1:2" ht="16.5" hidden="1" customHeight="1">
      <c r="A241" s="8">
        <v>43704</v>
      </c>
      <c r="B241" s="10">
        <v>1218.2</v>
      </c>
    </row>
    <row r="242" spans="1:2" ht="16.5" hidden="1" customHeight="1">
      <c r="A242" s="8">
        <v>43705</v>
      </c>
      <c r="B242" s="10">
        <v>1213.0999999999999</v>
      </c>
    </row>
    <row r="243" spans="1:2" ht="16.5" hidden="1" customHeight="1">
      <c r="A243" s="8">
        <v>43706</v>
      </c>
      <c r="B243" s="10">
        <v>1213.5</v>
      </c>
    </row>
    <row r="244" spans="1:2" ht="16.5" hidden="1" customHeight="1">
      <c r="A244" s="8">
        <v>43707</v>
      </c>
      <c r="B244" s="10">
        <v>1215.2</v>
      </c>
    </row>
    <row r="245" spans="1:2" ht="16.5" hidden="1" customHeight="1">
      <c r="A245" s="8">
        <v>43708</v>
      </c>
      <c r="B245" s="10">
        <v>1215.2</v>
      </c>
    </row>
    <row r="246" spans="1:2" ht="16.5" hidden="1" customHeight="1">
      <c r="A246" s="8">
        <v>43709</v>
      </c>
      <c r="B246" s="10">
        <v>1215.2</v>
      </c>
    </row>
    <row r="247" spans="1:2" ht="16.5" hidden="1" customHeight="1">
      <c r="A247" s="8">
        <v>43710</v>
      </c>
      <c r="B247" s="10">
        <v>1209.5999999999999</v>
      </c>
    </row>
    <row r="248" spans="1:2" ht="16.5" hidden="1" customHeight="1">
      <c r="A248" s="8">
        <v>43711</v>
      </c>
      <c r="B248" s="10">
        <v>1211.9000000000001</v>
      </c>
    </row>
    <row r="249" spans="1:2" ht="16.5" hidden="1" customHeight="1">
      <c r="A249" s="8">
        <v>43712</v>
      </c>
      <c r="B249" s="10">
        <v>1215.2</v>
      </c>
    </row>
    <row r="250" spans="1:2" ht="16.5" hidden="1" customHeight="1">
      <c r="A250" s="8">
        <v>43713</v>
      </c>
      <c r="B250" s="10">
        <v>1209.7</v>
      </c>
    </row>
    <row r="251" spans="1:2" ht="16.5" hidden="1" customHeight="1">
      <c r="A251" s="8">
        <v>43714</v>
      </c>
      <c r="B251" s="10">
        <v>1199.5999999999999</v>
      </c>
    </row>
    <row r="252" spans="1:2" ht="16.5" hidden="1" customHeight="1">
      <c r="A252" s="8">
        <v>43715</v>
      </c>
      <c r="B252" s="10">
        <v>1199.5999999999999</v>
      </c>
    </row>
    <row r="253" spans="1:2" ht="16.5" hidden="1" customHeight="1">
      <c r="A253" s="8">
        <v>43716</v>
      </c>
      <c r="B253" s="10">
        <v>1199.5999999999999</v>
      </c>
    </row>
    <row r="254" spans="1:2" ht="16.5" hidden="1" customHeight="1">
      <c r="A254" s="8">
        <v>43717</v>
      </c>
      <c r="B254" s="10">
        <v>1196.9000000000001</v>
      </c>
    </row>
    <row r="255" spans="1:2" ht="16.5" hidden="1" customHeight="1">
      <c r="A255" s="8">
        <v>43718</v>
      </c>
      <c r="B255" s="10">
        <v>1192.4000000000001</v>
      </c>
    </row>
    <row r="256" spans="1:2" ht="16.5" hidden="1" customHeight="1">
      <c r="A256" s="8">
        <v>43719</v>
      </c>
      <c r="B256" s="10">
        <v>1191.9000000000001</v>
      </c>
    </row>
    <row r="257" spans="1:2" ht="16.5" hidden="1" customHeight="1">
      <c r="A257" s="8">
        <v>43720</v>
      </c>
      <c r="B257" s="10">
        <v>1191.9000000000001</v>
      </c>
    </row>
    <row r="258" spans="1:2" ht="16.5" hidden="1" customHeight="1">
      <c r="A258" s="8">
        <v>43721</v>
      </c>
      <c r="B258" s="10">
        <v>1191.9000000000001</v>
      </c>
    </row>
    <row r="259" spans="1:2" ht="16.5" hidden="1" customHeight="1">
      <c r="A259" s="8">
        <v>43722</v>
      </c>
      <c r="B259" s="10">
        <v>1191.9000000000001</v>
      </c>
    </row>
    <row r="260" spans="1:2" ht="16.5" hidden="1" customHeight="1">
      <c r="A260" s="8">
        <v>43723</v>
      </c>
      <c r="B260" s="10">
        <v>1191.9000000000001</v>
      </c>
    </row>
    <row r="261" spans="1:2" ht="16.5" hidden="1" customHeight="1">
      <c r="A261" s="8">
        <v>43724</v>
      </c>
      <c r="B261" s="10">
        <v>1191.4000000000001</v>
      </c>
    </row>
    <row r="262" spans="1:2" ht="16.5" hidden="1" customHeight="1">
      <c r="A262" s="8">
        <v>43725</v>
      </c>
      <c r="B262" s="10">
        <v>1184</v>
      </c>
    </row>
    <row r="263" spans="1:2" ht="16.5" hidden="1" customHeight="1">
      <c r="A263" s="8">
        <v>43726</v>
      </c>
      <c r="B263" s="10">
        <v>1188.3</v>
      </c>
    </row>
    <row r="264" spans="1:2" ht="16.5" hidden="1" customHeight="1">
      <c r="A264" s="8">
        <v>43727</v>
      </c>
      <c r="B264" s="10">
        <v>1190.5</v>
      </c>
    </row>
    <row r="265" spans="1:2" ht="16.5" hidden="1" customHeight="1">
      <c r="A265" s="8">
        <v>43728</v>
      </c>
      <c r="B265" s="10">
        <v>1195.0999999999999</v>
      </c>
    </row>
    <row r="266" spans="1:2" ht="16.5" hidden="1" customHeight="1">
      <c r="A266" s="8">
        <v>43729</v>
      </c>
      <c r="B266" s="10">
        <v>1195.0999999999999</v>
      </c>
    </row>
    <row r="267" spans="1:2" ht="16.5" hidden="1" customHeight="1">
      <c r="A267" s="8">
        <v>43730</v>
      </c>
      <c r="B267" s="10">
        <v>1195.0999999999999</v>
      </c>
    </row>
    <row r="268" spans="1:2" ht="16.5" hidden="1" customHeight="1">
      <c r="A268" s="8">
        <v>43731</v>
      </c>
      <c r="B268" s="10">
        <v>1191.0999999999999</v>
      </c>
    </row>
    <row r="269" spans="1:2" ht="16.5" hidden="1" customHeight="1">
      <c r="A269" s="8">
        <v>43732</v>
      </c>
      <c r="B269" s="10">
        <v>1193.0999999999999</v>
      </c>
    </row>
    <row r="270" spans="1:2" ht="16.5" hidden="1" customHeight="1">
      <c r="A270" s="8">
        <v>43733</v>
      </c>
      <c r="B270" s="10">
        <v>1194</v>
      </c>
    </row>
    <row r="271" spans="1:2" ht="16.5" hidden="1" customHeight="1">
      <c r="A271" s="8">
        <v>43734</v>
      </c>
      <c r="B271" s="10">
        <v>1198.3</v>
      </c>
    </row>
    <row r="272" spans="1:2" ht="16.5" hidden="1" customHeight="1">
      <c r="A272" s="8">
        <v>43735</v>
      </c>
      <c r="B272" s="10">
        <v>1199.0999999999999</v>
      </c>
    </row>
    <row r="273" spans="1:2" ht="16.5" hidden="1" customHeight="1">
      <c r="A273" s="8">
        <v>43736</v>
      </c>
      <c r="B273" s="10">
        <v>1199.0999999999999</v>
      </c>
    </row>
    <row r="274" spans="1:2" ht="16.5" hidden="1" customHeight="1">
      <c r="A274" s="8">
        <v>43737</v>
      </c>
      <c r="B274" s="10">
        <v>1199.0999999999999</v>
      </c>
    </row>
    <row r="275" spans="1:2" ht="16.5" hidden="1" customHeight="1">
      <c r="A275" s="8">
        <v>43738</v>
      </c>
      <c r="B275" s="10">
        <v>1201.3</v>
      </c>
    </row>
    <row r="276" spans="1:2" ht="16.5" hidden="1" customHeight="1">
      <c r="A276" s="8">
        <v>43739</v>
      </c>
      <c r="B276" s="10">
        <v>1199.2</v>
      </c>
    </row>
    <row r="277" spans="1:2" ht="16.5" hidden="1" customHeight="1">
      <c r="A277" s="8">
        <v>43740</v>
      </c>
      <c r="B277" s="10">
        <v>1198.2</v>
      </c>
    </row>
    <row r="278" spans="1:2" ht="16.5" hidden="1" customHeight="1">
      <c r="A278" s="8">
        <v>43741</v>
      </c>
      <c r="B278" s="10">
        <v>1198.2</v>
      </c>
    </row>
    <row r="279" spans="1:2" ht="16.5" hidden="1" customHeight="1">
      <c r="A279" s="8">
        <v>43742</v>
      </c>
      <c r="B279" s="10">
        <v>1203.7</v>
      </c>
    </row>
    <row r="280" spans="1:2" ht="16.5" hidden="1" customHeight="1">
      <c r="A280" s="8">
        <v>43743</v>
      </c>
      <c r="B280" s="10">
        <v>1203.7</v>
      </c>
    </row>
    <row r="281" spans="1:2" ht="16.5" hidden="1" customHeight="1">
      <c r="A281" s="8">
        <v>43744</v>
      </c>
      <c r="B281" s="10">
        <v>1203.7</v>
      </c>
    </row>
    <row r="282" spans="1:2" ht="16.5" hidden="1" customHeight="1">
      <c r="A282" s="8">
        <v>43745</v>
      </c>
      <c r="B282" s="10">
        <v>1197</v>
      </c>
    </row>
    <row r="283" spans="1:2" ht="16.5" hidden="1" customHeight="1">
      <c r="A283" s="8">
        <v>43746</v>
      </c>
      <c r="B283" s="10">
        <v>1196.5</v>
      </c>
    </row>
    <row r="284" spans="1:2" ht="16.5" hidden="1" customHeight="1">
      <c r="A284" s="8">
        <v>43747</v>
      </c>
      <c r="B284" s="10">
        <v>1196.5</v>
      </c>
    </row>
    <row r="285" spans="1:2" ht="16.5" hidden="1" customHeight="1">
      <c r="A285" s="8">
        <v>43748</v>
      </c>
      <c r="B285" s="10">
        <v>1194.7</v>
      </c>
    </row>
    <row r="286" spans="1:2" ht="16.5" hidden="1" customHeight="1">
      <c r="A286" s="8">
        <v>43749</v>
      </c>
      <c r="B286" s="10">
        <v>1196.0999999999999</v>
      </c>
    </row>
    <row r="287" spans="1:2" ht="16.5" hidden="1" customHeight="1">
      <c r="A287" s="8">
        <v>43750</v>
      </c>
      <c r="B287" s="10">
        <v>1196.0999999999999</v>
      </c>
    </row>
    <row r="288" spans="1:2" ht="16.5" hidden="1" customHeight="1">
      <c r="A288" s="8">
        <v>43751</v>
      </c>
      <c r="B288" s="10">
        <v>1196.0999999999999</v>
      </c>
    </row>
    <row r="289" spans="1:2" ht="16.5" hidden="1" customHeight="1">
      <c r="A289" s="8">
        <v>43752</v>
      </c>
      <c r="B289" s="10">
        <v>1189.3</v>
      </c>
    </row>
    <row r="290" spans="1:2" ht="16.5" hidden="1" customHeight="1">
      <c r="A290" s="8">
        <v>43753</v>
      </c>
      <c r="B290" s="10">
        <v>1183.7</v>
      </c>
    </row>
    <row r="291" spans="1:2" ht="16.5" hidden="1" customHeight="1">
      <c r="A291" s="8">
        <v>43754</v>
      </c>
      <c r="B291" s="10">
        <v>1184.0999999999999</v>
      </c>
    </row>
    <row r="292" spans="1:2" ht="16.5" hidden="1" customHeight="1">
      <c r="A292" s="8">
        <v>43755</v>
      </c>
      <c r="B292" s="10">
        <v>1187</v>
      </c>
    </row>
    <row r="293" spans="1:2" ht="16.5" hidden="1" customHeight="1">
      <c r="A293" s="8">
        <v>43756</v>
      </c>
      <c r="B293" s="10">
        <v>1186.5999999999999</v>
      </c>
    </row>
    <row r="294" spans="1:2" ht="16.5" hidden="1" customHeight="1">
      <c r="A294" s="8">
        <v>43757</v>
      </c>
      <c r="B294" s="10">
        <v>1186.5999999999999</v>
      </c>
    </row>
    <row r="295" spans="1:2" ht="16.5" hidden="1" customHeight="1">
      <c r="A295" s="8">
        <v>43758</v>
      </c>
      <c r="B295" s="10">
        <v>1186.5999999999999</v>
      </c>
    </row>
    <row r="296" spans="1:2" ht="16.5" hidden="1" customHeight="1">
      <c r="A296" s="8">
        <v>43759</v>
      </c>
      <c r="B296" s="10">
        <v>1180.5</v>
      </c>
    </row>
    <row r="297" spans="1:2" ht="16.5" hidden="1" customHeight="1">
      <c r="A297" s="8">
        <v>43760</v>
      </c>
      <c r="B297" s="10">
        <v>1175.4000000000001</v>
      </c>
    </row>
    <row r="298" spans="1:2" ht="16.5" hidden="1" customHeight="1">
      <c r="A298" s="8">
        <v>43761</v>
      </c>
      <c r="B298" s="10">
        <v>1171.4000000000001</v>
      </c>
    </row>
    <row r="299" spans="1:2" ht="16.5" hidden="1" customHeight="1">
      <c r="A299" s="8">
        <v>43762</v>
      </c>
      <c r="B299" s="10">
        <v>1173.7</v>
      </c>
    </row>
    <row r="300" spans="1:2" ht="16.5" hidden="1" customHeight="1">
      <c r="A300" s="8">
        <v>43763</v>
      </c>
      <c r="B300" s="10">
        <v>1171</v>
      </c>
    </row>
    <row r="301" spans="1:2" ht="16.5" hidden="1" customHeight="1">
      <c r="A301" s="8">
        <v>43764</v>
      </c>
      <c r="B301" s="10">
        <v>1171</v>
      </c>
    </row>
    <row r="302" spans="1:2" ht="16.5" hidden="1" customHeight="1">
      <c r="A302" s="8">
        <v>43765</v>
      </c>
      <c r="B302" s="10">
        <v>1171</v>
      </c>
    </row>
    <row r="303" spans="1:2" ht="16.5" hidden="1" customHeight="1">
      <c r="A303" s="8">
        <v>43766</v>
      </c>
      <c r="B303" s="10">
        <v>1174.2</v>
      </c>
    </row>
    <row r="304" spans="1:2" ht="16.5" hidden="1" customHeight="1">
      <c r="A304" s="8">
        <v>43767</v>
      </c>
      <c r="B304" s="10">
        <v>1169.5999999999999</v>
      </c>
    </row>
    <row r="305" spans="1:2" ht="16.5" hidden="1" customHeight="1">
      <c r="A305" s="8">
        <v>43768</v>
      </c>
      <c r="B305" s="10">
        <v>1166.5</v>
      </c>
    </row>
    <row r="306" spans="1:2" ht="16.5" hidden="1" customHeight="1">
      <c r="A306" s="8">
        <v>43769</v>
      </c>
      <c r="B306" s="10">
        <v>1168.4000000000001</v>
      </c>
    </row>
    <row r="307" spans="1:2" ht="16.5" hidden="1" customHeight="1">
      <c r="A307" s="8">
        <v>43770</v>
      </c>
      <c r="B307" s="10">
        <v>1161.7</v>
      </c>
    </row>
    <row r="308" spans="1:2" ht="16.5" hidden="1" customHeight="1">
      <c r="A308" s="8">
        <v>43771</v>
      </c>
      <c r="B308" s="10">
        <v>1161.7</v>
      </c>
    </row>
    <row r="309" spans="1:2" ht="16.5" hidden="1" customHeight="1">
      <c r="A309" s="8">
        <v>43772</v>
      </c>
      <c r="B309" s="10">
        <v>1161.7</v>
      </c>
    </row>
    <row r="310" spans="1:2" ht="16.5" hidden="1" customHeight="1">
      <c r="A310" s="8">
        <v>43773</v>
      </c>
      <c r="B310" s="10">
        <v>1167.5999999999999</v>
      </c>
    </row>
    <row r="311" spans="1:2" ht="16.5" hidden="1" customHeight="1">
      <c r="A311" s="8">
        <v>43774</v>
      </c>
      <c r="B311" s="10">
        <v>1160.4000000000001</v>
      </c>
    </row>
    <row r="312" spans="1:2" ht="16.5" hidden="1" customHeight="1">
      <c r="A312" s="8">
        <v>43775</v>
      </c>
      <c r="B312" s="10">
        <v>1160.0999999999999</v>
      </c>
    </row>
    <row r="313" spans="1:2" ht="16.5" hidden="1" customHeight="1">
      <c r="A313" s="8">
        <v>43776</v>
      </c>
      <c r="B313" s="10">
        <v>1157.5</v>
      </c>
    </row>
    <row r="314" spans="1:2" ht="16.5" hidden="1" customHeight="1">
      <c r="A314" s="8">
        <v>43777</v>
      </c>
      <c r="B314" s="10">
        <v>1160.5999999999999</v>
      </c>
    </row>
    <row r="315" spans="1:2" ht="16.5" hidden="1" customHeight="1">
      <c r="A315" s="8">
        <v>43778</v>
      </c>
      <c r="B315" s="10">
        <v>1160.5999999999999</v>
      </c>
    </row>
    <row r="316" spans="1:2" ht="16.5" hidden="1" customHeight="1">
      <c r="A316" s="8">
        <v>43779</v>
      </c>
      <c r="B316" s="10">
        <v>1160.5999999999999</v>
      </c>
    </row>
    <row r="317" spans="1:2" ht="16.5" hidden="1" customHeight="1">
      <c r="A317" s="8">
        <v>43780</v>
      </c>
      <c r="B317" s="10">
        <v>1156.0999999999999</v>
      </c>
    </row>
    <row r="318" spans="1:2" ht="16.5" hidden="1" customHeight="1">
      <c r="A318" s="8">
        <v>43781</v>
      </c>
      <c r="B318" s="10">
        <v>1161.3</v>
      </c>
    </row>
    <row r="319" spans="1:2" ht="16.5" hidden="1" customHeight="1">
      <c r="A319" s="8">
        <v>43782</v>
      </c>
      <c r="B319" s="10">
        <v>1163.5</v>
      </c>
    </row>
    <row r="320" spans="1:2" ht="16.5" hidden="1" customHeight="1">
      <c r="A320" s="8">
        <v>43783</v>
      </c>
      <c r="B320" s="10">
        <v>1167.5999999999999</v>
      </c>
    </row>
    <row r="321" spans="1:12" ht="16.5" hidden="1" customHeight="1">
      <c r="A321" s="8">
        <v>43784</v>
      </c>
      <c r="B321" s="10">
        <v>1170.4000000000001</v>
      </c>
    </row>
    <row r="322" spans="1:12" ht="16.5" hidden="1" customHeight="1">
      <c r="A322" s="8">
        <v>43785</v>
      </c>
      <c r="B322" s="10">
        <v>1170.4000000000001</v>
      </c>
    </row>
    <row r="323" spans="1:12" ht="16.5" hidden="1" customHeight="1">
      <c r="A323" s="8">
        <v>43786</v>
      </c>
      <c r="B323" s="10">
        <v>1170.4000000000001</v>
      </c>
    </row>
    <row r="324" spans="1:12" ht="16.5" hidden="1" customHeight="1">
      <c r="A324" s="8">
        <v>43787</v>
      </c>
      <c r="B324" s="10">
        <v>1166.3</v>
      </c>
    </row>
    <row r="325" spans="1:12" ht="16.5" hidden="1" customHeight="1">
      <c r="A325" s="8">
        <v>43788</v>
      </c>
      <c r="B325" s="10">
        <v>1164.5</v>
      </c>
    </row>
    <row r="326" spans="1:12" ht="16.5" hidden="1" customHeight="1">
      <c r="A326" s="8">
        <v>43789</v>
      </c>
      <c r="B326" s="10">
        <v>1168.5999999999999</v>
      </c>
    </row>
    <row r="327" spans="1:12" ht="16.5" hidden="1" customHeight="1">
      <c r="A327" s="8">
        <v>43790</v>
      </c>
      <c r="B327" s="10">
        <v>1170.0999999999999</v>
      </c>
    </row>
    <row r="328" spans="1:12" ht="16.5" hidden="1" customHeight="1">
      <c r="A328" s="8">
        <v>43791</v>
      </c>
      <c r="B328" s="10">
        <v>1176.5</v>
      </c>
    </row>
    <row r="329" spans="1:12" ht="16.5" hidden="1" customHeight="1">
      <c r="A329" s="8">
        <v>43792</v>
      </c>
      <c r="B329" s="10">
        <v>1176.5</v>
      </c>
    </row>
    <row r="330" spans="1:12" ht="16.5" hidden="1" customHeight="1">
      <c r="A330" s="8">
        <v>43793</v>
      </c>
      <c r="B330" s="10">
        <v>1176.5</v>
      </c>
    </row>
    <row r="331" spans="1:12" ht="16.5" hidden="1" customHeight="1">
      <c r="A331" s="8">
        <v>43794</v>
      </c>
      <c r="B331" s="10">
        <v>1177.8</v>
      </c>
    </row>
    <row r="332" spans="1:12" ht="16.5" hidden="1" customHeight="1">
      <c r="A332" s="8">
        <v>43795</v>
      </c>
      <c r="B332" s="10">
        <v>1176.2</v>
      </c>
    </row>
    <row r="333" spans="1:12" ht="16.5" hidden="1" customHeight="1">
      <c r="A333" s="8">
        <v>43796</v>
      </c>
      <c r="B333" s="10">
        <v>1174.4000000000001</v>
      </c>
    </row>
    <row r="334" spans="1:12" ht="16.5" hidden="1" customHeight="1">
      <c r="A334" s="8">
        <v>43797</v>
      </c>
      <c r="B334" s="10">
        <v>1176</v>
      </c>
      <c r="F334" s="21"/>
      <c r="H334" s="13"/>
      <c r="J334" s="2253"/>
      <c r="L334" s="22"/>
    </row>
    <row r="335" spans="1:12" ht="16.5" hidden="1" customHeight="1">
      <c r="A335" s="8">
        <v>43798</v>
      </c>
      <c r="B335" s="10">
        <v>1179.3</v>
      </c>
      <c r="F335" s="21"/>
      <c r="H335" s="13"/>
      <c r="J335" s="2253"/>
      <c r="L335" s="13"/>
    </row>
    <row r="336" spans="1:12" ht="16.5" hidden="1" customHeight="1">
      <c r="A336" s="8">
        <v>43799</v>
      </c>
      <c r="B336" s="10">
        <v>1179.3</v>
      </c>
      <c r="F336" s="23"/>
      <c r="H336" s="22"/>
      <c r="L336" s="13"/>
    </row>
    <row r="337" spans="1:13" ht="16.5" hidden="1" customHeight="1">
      <c r="A337" s="8">
        <v>43800</v>
      </c>
      <c r="B337" s="10">
        <v>1179.3</v>
      </c>
      <c r="F337" s="23"/>
      <c r="H337" s="22"/>
      <c r="L337" s="13"/>
      <c r="M337" s="13"/>
    </row>
    <row r="338" spans="1:13" ht="16.5" hidden="1" customHeight="1">
      <c r="A338" s="8">
        <v>43801</v>
      </c>
      <c r="B338" s="10">
        <v>1180.3</v>
      </c>
      <c r="F338" s="23"/>
      <c r="H338" s="22"/>
      <c r="L338" s="13"/>
      <c r="M338" s="13"/>
    </row>
    <row r="339" spans="1:13" ht="16.5" hidden="1" customHeight="1">
      <c r="A339" s="8">
        <v>43802</v>
      </c>
      <c r="B339" s="10">
        <v>1180.4000000000001</v>
      </c>
      <c r="F339" s="23"/>
      <c r="H339" s="22"/>
      <c r="L339" s="13"/>
      <c r="M339" s="13"/>
    </row>
    <row r="340" spans="1:13" ht="16.5" hidden="1" customHeight="1">
      <c r="A340" s="8">
        <v>43803</v>
      </c>
      <c r="B340" s="10">
        <v>1186.2</v>
      </c>
      <c r="F340" s="23"/>
      <c r="H340" s="22"/>
      <c r="L340" s="13"/>
      <c r="M340" s="13"/>
    </row>
    <row r="341" spans="1:13" ht="16.5" hidden="1" customHeight="1">
      <c r="A341" s="8">
        <v>43804</v>
      </c>
      <c r="B341" s="10">
        <v>1193.7</v>
      </c>
    </row>
    <row r="342" spans="1:13" ht="16.5" hidden="1" customHeight="1">
      <c r="A342" s="8">
        <v>43805</v>
      </c>
      <c r="B342" s="10">
        <v>1190.2</v>
      </c>
    </row>
    <row r="343" spans="1:13" ht="16.5" hidden="1" customHeight="1">
      <c r="A343" s="8">
        <v>43806</v>
      </c>
      <c r="B343" s="10">
        <v>1190.2</v>
      </c>
      <c r="F343" s="23"/>
      <c r="H343" s="22"/>
    </row>
    <row r="344" spans="1:13" ht="16.5" hidden="1" customHeight="1">
      <c r="A344" s="8">
        <v>43807</v>
      </c>
      <c r="B344" s="10">
        <v>1190.2</v>
      </c>
      <c r="F344" s="21"/>
      <c r="H344" s="13"/>
    </row>
    <row r="345" spans="1:13" ht="16.5" hidden="1" customHeight="1">
      <c r="A345" s="8">
        <v>43808</v>
      </c>
      <c r="B345" s="10">
        <v>1189.7</v>
      </c>
      <c r="F345" s="21"/>
      <c r="H345" s="13"/>
    </row>
    <row r="346" spans="1:13" ht="16.5" hidden="1" customHeight="1">
      <c r="A346" s="8">
        <v>43809</v>
      </c>
      <c r="B346" s="10">
        <v>1189.3</v>
      </c>
    </row>
    <row r="347" spans="1:13" ht="16.5" hidden="1" customHeight="1">
      <c r="A347" s="8">
        <v>43810</v>
      </c>
      <c r="B347" s="10">
        <v>1192</v>
      </c>
    </row>
    <row r="348" spans="1:13" ht="16.5" hidden="1" customHeight="1">
      <c r="A348" s="8">
        <v>43811</v>
      </c>
      <c r="B348" s="10">
        <v>1193.3</v>
      </c>
    </row>
    <row r="349" spans="1:13" ht="16.5" hidden="1" customHeight="1">
      <c r="A349" s="8">
        <v>43812</v>
      </c>
      <c r="B349" s="10">
        <v>1188.5999999999999</v>
      </c>
    </row>
    <row r="350" spans="1:13" ht="16.5" hidden="1" customHeight="1">
      <c r="A350" s="8">
        <v>43813</v>
      </c>
      <c r="B350" s="10">
        <v>1188.5999999999999</v>
      </c>
    </row>
    <row r="351" spans="1:13" ht="16.5" hidden="1" customHeight="1">
      <c r="A351" s="8">
        <v>43814</v>
      </c>
      <c r="B351" s="10">
        <v>1188.5999999999999</v>
      </c>
    </row>
    <row r="352" spans="1:13" ht="16.5" hidden="1" customHeight="1">
      <c r="A352" s="8">
        <v>43815</v>
      </c>
      <c r="B352" s="10">
        <v>1171.7</v>
      </c>
    </row>
    <row r="353" spans="1:2" ht="16.5" hidden="1" customHeight="1">
      <c r="A353" s="8">
        <v>43816</v>
      </c>
      <c r="B353" s="10">
        <v>1172.9000000000001</v>
      </c>
    </row>
    <row r="354" spans="1:2" ht="16.5" hidden="1" customHeight="1">
      <c r="A354" s="8">
        <v>43817</v>
      </c>
      <c r="B354" s="10">
        <v>1166.7</v>
      </c>
    </row>
    <row r="355" spans="1:2" ht="16.5" hidden="1" customHeight="1">
      <c r="A355" s="8">
        <v>43818</v>
      </c>
      <c r="B355" s="10">
        <v>1165.3</v>
      </c>
    </row>
    <row r="356" spans="1:2" ht="16.5" hidden="1" customHeight="1">
      <c r="A356" s="8">
        <v>43819</v>
      </c>
      <c r="B356" s="10">
        <v>1164.5</v>
      </c>
    </row>
    <row r="357" spans="1:2" ht="16.5" hidden="1" customHeight="1">
      <c r="A357" s="8">
        <v>43820</v>
      </c>
      <c r="B357" s="10">
        <v>1164.5</v>
      </c>
    </row>
    <row r="358" spans="1:2" ht="16.5" hidden="1" customHeight="1">
      <c r="A358" s="8">
        <v>43821</v>
      </c>
      <c r="B358" s="10">
        <v>1164.5</v>
      </c>
    </row>
    <row r="359" spans="1:2" ht="16.5" hidden="1" customHeight="1">
      <c r="A359" s="8">
        <v>43822</v>
      </c>
      <c r="B359" s="10">
        <v>1162.5999999999999</v>
      </c>
    </row>
    <row r="360" spans="1:2" ht="16.5" hidden="1" customHeight="1">
      <c r="A360" s="8">
        <v>43823</v>
      </c>
      <c r="B360" s="10">
        <v>1161.7</v>
      </c>
    </row>
    <row r="361" spans="1:2" ht="16.5" hidden="1" customHeight="1">
      <c r="A361" s="8">
        <v>43824</v>
      </c>
      <c r="B361" s="10">
        <v>1161.7</v>
      </c>
    </row>
    <row r="362" spans="1:2" ht="16.5" hidden="1" customHeight="1">
      <c r="A362" s="8">
        <v>43825</v>
      </c>
      <c r="B362" s="10">
        <v>1163.7</v>
      </c>
    </row>
    <row r="363" spans="1:2" ht="16.5" hidden="1" customHeight="1">
      <c r="A363" s="8">
        <v>43826</v>
      </c>
      <c r="B363" s="10">
        <v>1161.2</v>
      </c>
    </row>
    <row r="364" spans="1:2" ht="16.5" hidden="1" customHeight="1">
      <c r="A364" s="8">
        <v>43827</v>
      </c>
      <c r="B364" s="10">
        <v>1161.2</v>
      </c>
    </row>
    <row r="365" spans="1:2" ht="16.5" hidden="1" customHeight="1">
      <c r="A365" s="8">
        <v>43828</v>
      </c>
      <c r="B365" s="10">
        <v>1161.2</v>
      </c>
    </row>
    <row r="366" spans="1:2" ht="16.5" hidden="1" customHeight="1">
      <c r="A366" s="8">
        <v>43829</v>
      </c>
      <c r="B366" s="10">
        <v>1160.9000000000001</v>
      </c>
    </row>
    <row r="367" spans="1:2" ht="16.5" hidden="1" customHeight="1">
      <c r="A367" s="8">
        <v>43830</v>
      </c>
      <c r="B367" s="10">
        <v>1157.8</v>
      </c>
    </row>
    <row r="368" spans="1:2" ht="16.5" hidden="1" customHeight="1">
      <c r="A368" s="8">
        <v>43831</v>
      </c>
      <c r="B368" s="10">
        <v>1157.8</v>
      </c>
    </row>
    <row r="369" spans="1:5" ht="16.5" hidden="1" customHeight="1">
      <c r="A369" s="8">
        <v>43832</v>
      </c>
      <c r="B369" s="10">
        <v>1157.8</v>
      </c>
    </row>
    <row r="370" spans="1:5" ht="16.5" hidden="1" customHeight="1">
      <c r="A370" s="8">
        <v>43833</v>
      </c>
      <c r="B370" s="10">
        <v>1156.9000000000001</v>
      </c>
      <c r="E370" s="12"/>
    </row>
    <row r="371" spans="1:5" ht="16.5" hidden="1" customHeight="1">
      <c r="A371" s="8">
        <v>43834</v>
      </c>
      <c r="B371" s="10">
        <v>1156.9000000000001</v>
      </c>
      <c r="E371" s="12"/>
    </row>
    <row r="372" spans="1:5" ht="16.5" hidden="1" customHeight="1">
      <c r="A372" s="8">
        <v>43835</v>
      </c>
      <c r="B372" s="10">
        <v>1156.9000000000001</v>
      </c>
      <c r="E372" s="12"/>
    </row>
    <row r="373" spans="1:5" ht="16.5" hidden="1" customHeight="1">
      <c r="A373" s="8">
        <v>43836</v>
      </c>
      <c r="B373" s="10">
        <v>1162.7</v>
      </c>
      <c r="E373" s="12"/>
    </row>
    <row r="374" spans="1:5" ht="16.5" hidden="1" customHeight="1">
      <c r="A374" s="8">
        <v>43837</v>
      </c>
      <c r="B374" s="10">
        <v>1169.5999999999999</v>
      </c>
      <c r="E374" s="12"/>
    </row>
    <row r="375" spans="1:5" ht="16.5" hidden="1" customHeight="1">
      <c r="A375" s="8">
        <v>43838</v>
      </c>
      <c r="B375" s="10">
        <v>1165.3</v>
      </c>
      <c r="E375" s="12"/>
    </row>
    <row r="376" spans="1:5" ht="16.5" hidden="1" customHeight="1">
      <c r="A376" s="8">
        <v>43839</v>
      </c>
      <c r="B376" s="10">
        <v>1174.0999999999999</v>
      </c>
      <c r="E376" s="12"/>
    </row>
    <row r="377" spans="1:5" ht="16.5" hidden="1" customHeight="1">
      <c r="A377" s="8">
        <v>43840</v>
      </c>
      <c r="B377" s="10">
        <v>1160</v>
      </c>
    </row>
    <row r="378" spans="1:5" ht="16.5" hidden="1" customHeight="1">
      <c r="A378" s="8">
        <v>43841</v>
      </c>
      <c r="B378" s="10">
        <v>1160</v>
      </c>
    </row>
    <row r="379" spans="1:5" ht="16.5" hidden="1" customHeight="1">
      <c r="A379" s="8">
        <v>43842</v>
      </c>
      <c r="B379" s="10">
        <v>1160</v>
      </c>
    </row>
    <row r="380" spans="1:5" ht="16.5" hidden="1" customHeight="1">
      <c r="A380" s="8">
        <v>43843</v>
      </c>
      <c r="B380" s="10">
        <v>1161.0999999999999</v>
      </c>
    </row>
    <row r="381" spans="1:5" ht="16.5" hidden="1" customHeight="1">
      <c r="A381" s="8">
        <v>43844</v>
      </c>
      <c r="B381" s="10">
        <v>1155.7</v>
      </c>
    </row>
    <row r="382" spans="1:5" ht="16.5" hidden="1" customHeight="1">
      <c r="A382" s="8">
        <v>43845</v>
      </c>
      <c r="B382" s="10">
        <v>1153.0999999999999</v>
      </c>
    </row>
    <row r="383" spans="1:5" ht="16.5" hidden="1" customHeight="1">
      <c r="A383" s="8">
        <v>43846</v>
      </c>
      <c r="B383" s="10">
        <v>1158.8</v>
      </c>
    </row>
    <row r="384" spans="1:5" ht="16.5" hidden="1" customHeight="1">
      <c r="A384" s="8">
        <v>43847</v>
      </c>
      <c r="B384" s="10">
        <v>1159.5999999999999</v>
      </c>
    </row>
    <row r="385" spans="1:2" ht="16.5" hidden="1" customHeight="1">
      <c r="A385" s="8">
        <v>43848</v>
      </c>
      <c r="B385" s="10">
        <v>1159.5999999999999</v>
      </c>
    </row>
    <row r="386" spans="1:2" ht="16.5" hidden="1" customHeight="1">
      <c r="A386" s="8">
        <v>43849</v>
      </c>
      <c r="B386" s="10">
        <v>1159.5999999999999</v>
      </c>
    </row>
    <row r="387" spans="1:2" ht="16.5" hidden="1" customHeight="1">
      <c r="A387" s="8">
        <v>43850</v>
      </c>
      <c r="B387" s="10">
        <v>1158.8</v>
      </c>
    </row>
    <row r="388" spans="1:2" ht="16.5" hidden="1" customHeight="1">
      <c r="A388" s="8">
        <v>43851</v>
      </c>
      <c r="B388" s="10">
        <v>1158.8</v>
      </c>
    </row>
    <row r="389" spans="1:2" ht="16.5" hidden="1" customHeight="1">
      <c r="A389" s="8">
        <v>43852</v>
      </c>
      <c r="B389" s="10">
        <v>1164.7</v>
      </c>
    </row>
    <row r="390" spans="1:2" ht="16.5" hidden="1" customHeight="1">
      <c r="A390" s="8">
        <v>43853</v>
      </c>
      <c r="B390" s="10">
        <v>1165.0999999999999</v>
      </c>
    </row>
    <row r="391" spans="1:2" ht="16.5" hidden="1" customHeight="1">
      <c r="A391" s="8">
        <v>43854</v>
      </c>
      <c r="B391" s="10">
        <v>1165.0999999999999</v>
      </c>
    </row>
    <row r="392" spans="1:2" ht="16.5" hidden="1" customHeight="1">
      <c r="A392" s="8">
        <v>43855</v>
      </c>
      <c r="B392" s="10">
        <v>1165.0999999999999</v>
      </c>
    </row>
    <row r="393" spans="1:2" ht="16.5" hidden="1" customHeight="1">
      <c r="A393" s="8">
        <v>43856</v>
      </c>
      <c r="B393" s="10">
        <v>1165.0999999999999</v>
      </c>
    </row>
    <row r="394" spans="1:2" ht="16.5" hidden="1" customHeight="1">
      <c r="A394" s="8">
        <v>43857</v>
      </c>
      <c r="B394" s="10">
        <v>1165.0999999999999</v>
      </c>
    </row>
    <row r="395" spans="1:2" ht="16.5" hidden="1" customHeight="1">
      <c r="A395" s="8">
        <v>43858</v>
      </c>
      <c r="B395" s="10">
        <v>1167.2</v>
      </c>
    </row>
    <row r="396" spans="1:2" ht="16.5" hidden="1" customHeight="1">
      <c r="A396" s="8">
        <v>43859</v>
      </c>
      <c r="B396" s="10">
        <v>1176.7</v>
      </c>
    </row>
    <row r="397" spans="1:2" ht="16.5" hidden="1" customHeight="1">
      <c r="A397" s="8">
        <v>43860</v>
      </c>
      <c r="B397" s="10">
        <v>1176</v>
      </c>
    </row>
    <row r="398" spans="1:2" ht="16.5" hidden="1" customHeight="1">
      <c r="A398" s="8">
        <v>43861</v>
      </c>
      <c r="B398" s="10">
        <v>1183.5</v>
      </c>
    </row>
    <row r="399" spans="1:2" ht="16.5" hidden="1" customHeight="1">
      <c r="A399" s="8">
        <v>43862</v>
      </c>
      <c r="B399" s="10">
        <v>1183.5</v>
      </c>
    </row>
    <row r="400" spans="1:2" ht="16.5" hidden="1" customHeight="1">
      <c r="A400" s="8">
        <v>43863</v>
      </c>
      <c r="B400" s="10">
        <v>1183.5</v>
      </c>
    </row>
    <row r="401" spans="1:2" ht="16.5" hidden="1" customHeight="1">
      <c r="A401" s="8">
        <v>43864</v>
      </c>
      <c r="B401" s="10">
        <v>1187.8</v>
      </c>
    </row>
    <row r="402" spans="1:2" ht="16.5" hidden="1" customHeight="1">
      <c r="A402" s="8">
        <v>43865</v>
      </c>
      <c r="B402" s="10">
        <v>1196</v>
      </c>
    </row>
    <row r="403" spans="1:2" ht="16.5" hidden="1" customHeight="1">
      <c r="A403" s="8">
        <v>43866</v>
      </c>
      <c r="B403" s="10">
        <v>1189.4000000000001</v>
      </c>
    </row>
    <row r="404" spans="1:2" ht="16.5" hidden="1" customHeight="1">
      <c r="A404" s="8">
        <v>43867</v>
      </c>
      <c r="B404" s="10">
        <v>1188.5</v>
      </c>
    </row>
    <row r="405" spans="1:2" ht="16.5" hidden="1" customHeight="1">
      <c r="A405" s="8">
        <v>43868</v>
      </c>
      <c r="B405" s="10">
        <v>1181.4000000000001</v>
      </c>
    </row>
    <row r="406" spans="1:2" ht="16.5" hidden="1" customHeight="1">
      <c r="A406" s="8">
        <v>43869</v>
      </c>
      <c r="B406" s="10">
        <v>1181.4000000000001</v>
      </c>
    </row>
    <row r="407" spans="1:2" ht="16.5" hidden="1" customHeight="1">
      <c r="A407" s="8">
        <v>43870</v>
      </c>
      <c r="B407" s="10">
        <v>1181.4000000000001</v>
      </c>
    </row>
    <row r="408" spans="1:2" ht="16.5" hidden="1" customHeight="1">
      <c r="A408" s="8">
        <v>43871</v>
      </c>
      <c r="B408" s="10">
        <v>1187.2</v>
      </c>
    </row>
    <row r="409" spans="1:2" ht="16.5" hidden="1" customHeight="1">
      <c r="A409" s="8">
        <v>43872</v>
      </c>
      <c r="B409" s="10">
        <v>1189.8</v>
      </c>
    </row>
    <row r="410" spans="1:2" ht="16.5" hidden="1" customHeight="1">
      <c r="A410" s="8">
        <v>43873</v>
      </c>
      <c r="B410" s="10">
        <v>1184.0999999999999</v>
      </c>
    </row>
    <row r="411" spans="1:2" ht="16.5" hidden="1" customHeight="1">
      <c r="A411" s="8">
        <v>43874</v>
      </c>
      <c r="B411" s="10">
        <v>1179.8</v>
      </c>
    </row>
    <row r="412" spans="1:2" ht="16.5" hidden="1" customHeight="1">
      <c r="A412" s="8">
        <v>43875</v>
      </c>
      <c r="B412" s="10">
        <v>1181.5</v>
      </c>
    </row>
    <row r="413" spans="1:2" ht="16.5" hidden="1" customHeight="1">
      <c r="A413" s="8">
        <v>43876</v>
      </c>
      <c r="B413" s="10">
        <v>1181.5</v>
      </c>
    </row>
    <row r="414" spans="1:2" ht="16.5" hidden="1" customHeight="1">
      <c r="A414" s="8">
        <v>43877</v>
      </c>
      <c r="B414" s="10">
        <v>1181.5</v>
      </c>
    </row>
    <row r="415" spans="1:2" ht="16.5" hidden="1" customHeight="1">
      <c r="A415" s="8">
        <v>43878</v>
      </c>
      <c r="B415" s="10">
        <v>1183.5</v>
      </c>
    </row>
    <row r="416" spans="1:2" ht="16.5" hidden="1" customHeight="1">
      <c r="A416" s="8">
        <v>43879</v>
      </c>
      <c r="B416" s="10">
        <v>1182.2</v>
      </c>
    </row>
    <row r="417" spans="1:2" ht="16.5" hidden="1" customHeight="1">
      <c r="A417" s="8">
        <v>43880</v>
      </c>
      <c r="B417" s="10">
        <v>1188.0999999999999</v>
      </c>
    </row>
    <row r="418" spans="1:2" ht="16.5" hidden="1" customHeight="1">
      <c r="A418" s="8">
        <v>43881</v>
      </c>
      <c r="B418" s="10">
        <v>1190.8</v>
      </c>
    </row>
    <row r="419" spans="1:2" ht="16.5" hidden="1" customHeight="1">
      <c r="A419" s="8">
        <v>43882</v>
      </c>
      <c r="B419" s="10">
        <v>1197</v>
      </c>
    </row>
    <row r="420" spans="1:2" ht="16.5" hidden="1" customHeight="1">
      <c r="A420" s="8">
        <v>43883</v>
      </c>
      <c r="B420" s="10">
        <v>1197</v>
      </c>
    </row>
    <row r="421" spans="1:2" ht="16.5" hidden="1" customHeight="1">
      <c r="A421" s="8">
        <v>43884</v>
      </c>
      <c r="B421" s="10">
        <v>1197</v>
      </c>
    </row>
    <row r="422" spans="1:2" ht="16.5" hidden="1" customHeight="1">
      <c r="A422" s="8">
        <v>43885</v>
      </c>
      <c r="B422" s="10">
        <v>1205.5999999999999</v>
      </c>
    </row>
    <row r="423" spans="1:2" ht="16.5" hidden="1" customHeight="1">
      <c r="A423" s="8">
        <v>43886</v>
      </c>
      <c r="B423" s="10">
        <v>1217.7</v>
      </c>
    </row>
    <row r="424" spans="1:2" ht="16.5" hidden="1" customHeight="1">
      <c r="A424" s="8">
        <v>43887</v>
      </c>
      <c r="B424" s="10">
        <v>1212.7</v>
      </c>
    </row>
    <row r="425" spans="1:2" ht="16.5" hidden="1" customHeight="1">
      <c r="A425" s="8">
        <v>43888</v>
      </c>
      <c r="B425" s="10">
        <v>1216.8</v>
      </c>
    </row>
    <row r="426" spans="1:2" ht="16.5" hidden="1" customHeight="1">
      <c r="A426" s="8">
        <v>43889</v>
      </c>
      <c r="B426" s="10">
        <v>1215.9000000000001</v>
      </c>
    </row>
    <row r="427" spans="1:2" ht="16.5" hidden="1" customHeight="1">
      <c r="A427" s="8">
        <v>43890</v>
      </c>
      <c r="B427" s="10">
        <v>1215.9000000000001</v>
      </c>
    </row>
    <row r="428" spans="1:2" ht="16.5" hidden="1" customHeight="1">
      <c r="A428" s="8">
        <v>43891</v>
      </c>
      <c r="B428" s="10">
        <v>1215.9000000000001</v>
      </c>
    </row>
    <row r="429" spans="1:2" ht="16.5" hidden="1" customHeight="1">
      <c r="A429" s="8">
        <v>43892</v>
      </c>
      <c r="B429" s="10">
        <v>1215.3</v>
      </c>
    </row>
    <row r="430" spans="1:2" ht="16.5" hidden="1" customHeight="1">
      <c r="A430" s="8">
        <v>43893</v>
      </c>
      <c r="B430" s="10">
        <v>1200.3</v>
      </c>
    </row>
    <row r="431" spans="1:2" ht="16.5" hidden="1" customHeight="1">
      <c r="A431" s="8">
        <v>43894</v>
      </c>
      <c r="B431" s="10">
        <v>1191.4000000000001</v>
      </c>
    </row>
    <row r="432" spans="1:2" ht="16.5" hidden="1" customHeight="1">
      <c r="A432" s="8">
        <v>43895</v>
      </c>
      <c r="B432" s="10">
        <v>1186.4000000000001</v>
      </c>
    </row>
    <row r="433" spans="1:2" ht="16.5" hidden="1" customHeight="1">
      <c r="A433" s="8">
        <v>43896</v>
      </c>
      <c r="B433" s="10">
        <v>1185</v>
      </c>
    </row>
    <row r="434" spans="1:2" ht="16.5" hidden="1" customHeight="1">
      <c r="A434" s="8">
        <v>43897</v>
      </c>
      <c r="B434" s="10">
        <v>1185</v>
      </c>
    </row>
    <row r="435" spans="1:2" ht="16.5" hidden="1" customHeight="1">
      <c r="A435" s="8">
        <v>43898</v>
      </c>
      <c r="B435" s="10">
        <v>1185</v>
      </c>
    </row>
    <row r="436" spans="1:2" ht="16.5" hidden="1" customHeight="1">
      <c r="A436" s="8">
        <v>43899</v>
      </c>
      <c r="B436" s="10">
        <v>1191.4000000000001</v>
      </c>
    </row>
    <row r="437" spans="1:2" ht="16.5" hidden="1" customHeight="1">
      <c r="A437" s="8">
        <v>43900</v>
      </c>
      <c r="B437" s="10">
        <v>1201.4000000000001</v>
      </c>
    </row>
    <row r="438" spans="1:2" ht="16.5" hidden="1" customHeight="1">
      <c r="A438" s="8">
        <v>43901</v>
      </c>
      <c r="B438" s="10">
        <v>1196.7</v>
      </c>
    </row>
    <row r="439" spans="1:2" ht="16.5" hidden="1" customHeight="1">
      <c r="A439" s="8">
        <v>43902</v>
      </c>
      <c r="B439" s="10">
        <v>1192.8</v>
      </c>
    </row>
    <row r="440" spans="1:2" ht="16.5" hidden="1" customHeight="1">
      <c r="A440" s="8">
        <v>43903</v>
      </c>
      <c r="B440" s="10">
        <v>1202</v>
      </c>
    </row>
    <row r="441" spans="1:2" ht="16.5" hidden="1" customHeight="1">
      <c r="A441" s="8">
        <v>43904</v>
      </c>
      <c r="B441" s="10">
        <v>1202</v>
      </c>
    </row>
    <row r="442" spans="1:2" ht="16.5" hidden="1" customHeight="1">
      <c r="A442" s="8">
        <v>43905</v>
      </c>
      <c r="B442" s="10">
        <v>1202</v>
      </c>
    </row>
    <row r="443" spans="1:2" ht="16.5" hidden="1" customHeight="1">
      <c r="A443" s="8">
        <v>43906</v>
      </c>
      <c r="B443" s="10">
        <v>1222.2</v>
      </c>
    </row>
    <row r="444" spans="1:2" ht="16.5" hidden="1" customHeight="1">
      <c r="A444" s="8">
        <v>43907</v>
      </c>
      <c r="B444" s="10">
        <v>1219.5999999999999</v>
      </c>
    </row>
    <row r="445" spans="1:2" ht="16.5" hidden="1" customHeight="1">
      <c r="A445" s="8">
        <v>43908</v>
      </c>
      <c r="B445" s="10">
        <v>1241.2</v>
      </c>
    </row>
    <row r="446" spans="1:2" ht="16.5" hidden="1" customHeight="1">
      <c r="A446" s="8">
        <v>43909</v>
      </c>
      <c r="B446" s="10">
        <v>1237.8</v>
      </c>
    </row>
    <row r="447" spans="1:2" ht="16.5" hidden="1" customHeight="1">
      <c r="A447" s="8">
        <v>43910</v>
      </c>
      <c r="B447" s="10">
        <v>1280.0999999999999</v>
      </c>
    </row>
    <row r="448" spans="1:2" ht="16.5" hidden="1" customHeight="1">
      <c r="A448" s="8">
        <v>43911</v>
      </c>
      <c r="B448" s="10">
        <v>1280.0999999999999</v>
      </c>
    </row>
    <row r="449" spans="1:2" ht="16.5" hidden="1" customHeight="1">
      <c r="A449" s="8">
        <v>43912</v>
      </c>
      <c r="B449" s="10">
        <v>1280.0999999999999</v>
      </c>
    </row>
    <row r="450" spans="1:2" ht="16.5" hidden="1" customHeight="1">
      <c r="A450" s="8">
        <v>43913</v>
      </c>
      <c r="B450" s="10">
        <v>1254.0999999999999</v>
      </c>
    </row>
    <row r="451" spans="1:2" ht="16.5" hidden="1" customHeight="1">
      <c r="A451" s="8">
        <v>43914</v>
      </c>
      <c r="B451" s="10">
        <v>1274.5999999999999</v>
      </c>
    </row>
    <row r="452" spans="1:2" ht="16.5" hidden="1" customHeight="1">
      <c r="A452" s="8">
        <v>43915</v>
      </c>
      <c r="B452" s="10">
        <v>1256</v>
      </c>
    </row>
    <row r="453" spans="1:2" ht="16.5" hidden="1" customHeight="1">
      <c r="A453" s="8">
        <v>43916</v>
      </c>
      <c r="B453" s="10">
        <v>1230.7</v>
      </c>
    </row>
    <row r="454" spans="1:2" ht="16.5" hidden="1" customHeight="1">
      <c r="A454" s="8">
        <v>43917</v>
      </c>
      <c r="B454" s="10">
        <v>1227.9000000000001</v>
      </c>
    </row>
    <row r="455" spans="1:2" ht="16.5" hidden="1" customHeight="1">
      <c r="A455" s="8">
        <v>43918</v>
      </c>
      <c r="B455" s="10">
        <v>1227.9000000000001</v>
      </c>
    </row>
    <row r="456" spans="1:2" ht="16.5" hidden="1" customHeight="1">
      <c r="A456" s="8">
        <v>43919</v>
      </c>
      <c r="B456" s="10">
        <v>1227.9000000000001</v>
      </c>
    </row>
    <row r="457" spans="1:2" ht="16.5" hidden="1" customHeight="1">
      <c r="A457" s="8">
        <v>43920</v>
      </c>
      <c r="B457" s="10">
        <v>1212.4000000000001</v>
      </c>
    </row>
    <row r="458" spans="1:2" ht="16.5" hidden="1" customHeight="1">
      <c r="A458" s="8">
        <v>43921</v>
      </c>
      <c r="B458" s="10">
        <v>1222.5999999999999</v>
      </c>
    </row>
    <row r="459" spans="1:2" ht="16.5" hidden="1" customHeight="1">
      <c r="A459" s="8">
        <v>43922</v>
      </c>
      <c r="B459" s="10">
        <v>1220</v>
      </c>
    </row>
    <row r="460" spans="1:2" ht="16.5" hidden="1" customHeight="1">
      <c r="A460" s="8">
        <v>43923</v>
      </c>
      <c r="B460" s="10">
        <v>1222.2</v>
      </c>
    </row>
    <row r="461" spans="1:2" ht="16.5" hidden="1" customHeight="1">
      <c r="A461" s="8">
        <v>43924</v>
      </c>
      <c r="B461" s="10">
        <v>1237.5999999999999</v>
      </c>
    </row>
    <row r="462" spans="1:2" ht="16.5" hidden="1" customHeight="1">
      <c r="A462" s="8">
        <v>43925</v>
      </c>
      <c r="B462" s="10">
        <v>1237.5999999999999</v>
      </c>
    </row>
    <row r="463" spans="1:2" ht="16.5" hidden="1" customHeight="1">
      <c r="A463" s="8">
        <v>43926</v>
      </c>
      <c r="B463" s="10">
        <v>1237.5999999999999</v>
      </c>
    </row>
    <row r="464" spans="1:2" ht="16.5" hidden="1" customHeight="1">
      <c r="A464" s="8">
        <v>43927</v>
      </c>
      <c r="B464" s="10">
        <v>1229.8</v>
      </c>
    </row>
    <row r="465" spans="1:2" ht="16.5" hidden="1" customHeight="1">
      <c r="A465" s="8">
        <v>43928</v>
      </c>
      <c r="B465" s="10">
        <v>1233.4000000000001</v>
      </c>
    </row>
    <row r="466" spans="1:2" ht="16.5" hidden="1" customHeight="1">
      <c r="A466" s="8">
        <v>43929</v>
      </c>
      <c r="B466" s="10">
        <v>1222.4000000000001</v>
      </c>
    </row>
    <row r="467" spans="1:2" ht="16.5" hidden="1" customHeight="1">
      <c r="A467" s="8">
        <v>43930</v>
      </c>
      <c r="B467" s="10">
        <v>1219.7</v>
      </c>
    </row>
    <row r="468" spans="1:2" ht="16.5" hidden="1" customHeight="1">
      <c r="A468" s="8">
        <v>43931</v>
      </c>
      <c r="B468" s="10">
        <v>1216.4000000000001</v>
      </c>
    </row>
    <row r="469" spans="1:2" ht="16.5" hidden="1" customHeight="1">
      <c r="A469" s="8">
        <v>43932</v>
      </c>
      <c r="B469" s="10">
        <v>1216.4000000000001</v>
      </c>
    </row>
    <row r="470" spans="1:2" ht="16.5" hidden="1" customHeight="1">
      <c r="A470" s="8">
        <v>43933</v>
      </c>
      <c r="B470" s="10">
        <v>1216.4000000000001</v>
      </c>
    </row>
    <row r="471" spans="1:2" ht="16.5" hidden="1" customHeight="1">
      <c r="A471" s="8">
        <v>43934</v>
      </c>
      <c r="B471" s="10">
        <v>1212.3</v>
      </c>
    </row>
    <row r="472" spans="1:2" ht="16.5" hidden="1" customHeight="1">
      <c r="A472" s="8">
        <v>43935</v>
      </c>
      <c r="B472" s="10">
        <v>1218.7</v>
      </c>
    </row>
    <row r="473" spans="1:2" ht="16.5" hidden="1" customHeight="1">
      <c r="A473" s="8">
        <v>43936</v>
      </c>
      <c r="B473" s="10">
        <v>1218.7</v>
      </c>
    </row>
    <row r="474" spans="1:2" ht="16.5" hidden="1" customHeight="1">
      <c r="A474" s="8">
        <v>43937</v>
      </c>
      <c r="B474" s="10">
        <v>1216.7</v>
      </c>
    </row>
    <row r="475" spans="1:2" ht="16.5" hidden="1" customHeight="1">
      <c r="A475" s="8">
        <v>43938</v>
      </c>
      <c r="B475" s="10">
        <v>1227.5</v>
      </c>
    </row>
    <row r="476" spans="1:2" ht="16.5" hidden="1" customHeight="1">
      <c r="A476" s="8">
        <v>43939</v>
      </c>
      <c r="B476" s="10">
        <v>1227.5</v>
      </c>
    </row>
    <row r="477" spans="1:2" ht="16.5" hidden="1" customHeight="1">
      <c r="A477" s="8">
        <v>43940</v>
      </c>
      <c r="B477" s="10">
        <v>1227.5</v>
      </c>
    </row>
    <row r="478" spans="1:2" ht="16.5" hidden="1" customHeight="1">
      <c r="A478" s="8">
        <v>43941</v>
      </c>
      <c r="B478" s="10">
        <v>1219.3</v>
      </c>
    </row>
    <row r="479" spans="1:2" ht="16.5" hidden="1" customHeight="1">
      <c r="A479" s="8">
        <v>43942</v>
      </c>
      <c r="B479" s="10">
        <v>1218.7</v>
      </c>
    </row>
    <row r="480" spans="1:2" ht="16.5" hidden="1" customHeight="1">
      <c r="A480" s="8">
        <v>43943</v>
      </c>
      <c r="B480" s="10">
        <v>1231.3</v>
      </c>
    </row>
    <row r="481" spans="1:2" ht="16.5" hidden="1" customHeight="1">
      <c r="A481" s="8">
        <v>43944</v>
      </c>
      <c r="B481" s="10">
        <v>1235.2</v>
      </c>
    </row>
    <row r="482" spans="1:2" ht="16.5" hidden="1" customHeight="1">
      <c r="A482" s="8">
        <v>43945</v>
      </c>
      <c r="B482" s="10">
        <v>1232</v>
      </c>
    </row>
    <row r="483" spans="1:2" ht="16.5" hidden="1" customHeight="1">
      <c r="A483" s="8">
        <v>43946</v>
      </c>
      <c r="B483" s="10">
        <v>1232</v>
      </c>
    </row>
    <row r="484" spans="1:2" ht="16.5" hidden="1" customHeight="1">
      <c r="A484" s="8">
        <v>43947</v>
      </c>
      <c r="B484" s="10">
        <v>1232</v>
      </c>
    </row>
    <row r="485" spans="1:2" ht="16.5" hidden="1" customHeight="1">
      <c r="A485" s="8">
        <v>43948</v>
      </c>
      <c r="B485" s="10">
        <v>1235.8</v>
      </c>
    </row>
    <row r="486" spans="1:2" ht="16.5" hidden="1" customHeight="1">
      <c r="A486" s="8">
        <v>43949</v>
      </c>
      <c r="B486" s="10">
        <v>1230.3</v>
      </c>
    </row>
    <row r="487" spans="1:2" ht="16.5" hidden="1" customHeight="1">
      <c r="A487" s="8">
        <v>43950</v>
      </c>
      <c r="B487" s="10">
        <v>1225.2</v>
      </c>
    </row>
    <row r="488" spans="1:2" ht="16.5" hidden="1" customHeight="1">
      <c r="A488" s="8">
        <v>43951</v>
      </c>
      <c r="B488" s="10">
        <v>1225.2</v>
      </c>
    </row>
    <row r="489" spans="1:2" ht="16.5" hidden="1" customHeight="1">
      <c r="A489" s="8">
        <v>43952</v>
      </c>
      <c r="B489" s="10">
        <v>1225.2</v>
      </c>
    </row>
    <row r="490" spans="1:2" ht="16.5" hidden="1" customHeight="1">
      <c r="A490" s="8">
        <v>43953</v>
      </c>
      <c r="B490" s="10">
        <v>1225.2</v>
      </c>
    </row>
    <row r="491" spans="1:2" ht="16.5" hidden="1" customHeight="1">
      <c r="A491" s="8">
        <v>43954</v>
      </c>
      <c r="B491" s="10">
        <v>1225.2</v>
      </c>
    </row>
    <row r="492" spans="1:2" ht="16.5" hidden="1" customHeight="1">
      <c r="A492" s="8">
        <v>43955</v>
      </c>
      <c r="B492" s="10">
        <v>1218.5</v>
      </c>
    </row>
    <row r="493" spans="1:2" ht="16.5" hidden="1" customHeight="1">
      <c r="A493" s="8">
        <v>43956</v>
      </c>
      <c r="B493" s="10">
        <v>1218.5</v>
      </c>
    </row>
    <row r="494" spans="1:2" ht="16.5" hidden="1" customHeight="1">
      <c r="A494" s="8">
        <v>43957</v>
      </c>
      <c r="B494" s="10">
        <v>1227.8</v>
      </c>
    </row>
    <row r="495" spans="1:2" ht="16.5" hidden="1" customHeight="1">
      <c r="A495" s="8">
        <v>43958</v>
      </c>
      <c r="B495" s="10">
        <v>1223.3</v>
      </c>
    </row>
    <row r="496" spans="1:2" ht="16.5" hidden="1" customHeight="1">
      <c r="A496" s="8">
        <v>43959</v>
      </c>
      <c r="B496" s="10">
        <v>1226.5</v>
      </c>
    </row>
    <row r="497" spans="1:2" ht="16.5" hidden="1" customHeight="1">
      <c r="A497" s="8">
        <v>43960</v>
      </c>
      <c r="B497" s="10">
        <v>1226.5</v>
      </c>
    </row>
    <row r="498" spans="1:2" ht="16.5" hidden="1" customHeight="1">
      <c r="A498" s="8">
        <v>43961</v>
      </c>
      <c r="B498" s="10">
        <v>1226.5</v>
      </c>
    </row>
    <row r="499" spans="1:2" ht="16.5" hidden="1" customHeight="1">
      <c r="A499" s="8">
        <v>43962</v>
      </c>
      <c r="B499" s="10">
        <v>1217.7</v>
      </c>
    </row>
    <row r="500" spans="1:2" ht="16.5" hidden="1" customHeight="1">
      <c r="A500" s="8">
        <v>43963</v>
      </c>
      <c r="B500" s="10">
        <v>1217.8</v>
      </c>
    </row>
    <row r="501" spans="1:2" ht="16.5" hidden="1" customHeight="1">
      <c r="A501" s="8">
        <v>43964</v>
      </c>
      <c r="B501" s="10">
        <v>1226.7</v>
      </c>
    </row>
    <row r="502" spans="1:2" ht="16.5" hidden="1" customHeight="1">
      <c r="A502" s="8">
        <v>43965</v>
      </c>
      <c r="B502" s="10">
        <v>1226.3</v>
      </c>
    </row>
    <row r="503" spans="1:2" ht="16.5" hidden="1" customHeight="1">
      <c r="A503" s="8">
        <v>43966</v>
      </c>
      <c r="B503" s="10">
        <v>1227.9000000000001</v>
      </c>
    </row>
    <row r="504" spans="1:2" ht="16.5" hidden="1" customHeight="1">
      <c r="A504" s="8">
        <v>43967</v>
      </c>
      <c r="B504" s="10">
        <v>1227.9000000000001</v>
      </c>
    </row>
    <row r="505" spans="1:2" ht="16.5" hidden="1" customHeight="1">
      <c r="A505" s="8">
        <v>43968</v>
      </c>
      <c r="B505" s="10">
        <v>1227.9000000000001</v>
      </c>
    </row>
    <row r="506" spans="1:2" ht="16.5" hidden="1" customHeight="1">
      <c r="A506" s="8">
        <v>43969</v>
      </c>
      <c r="B506" s="10">
        <v>1229.3</v>
      </c>
    </row>
    <row r="507" spans="1:2" ht="16.5" hidden="1" customHeight="1">
      <c r="A507" s="8">
        <v>43970</v>
      </c>
      <c r="B507" s="10">
        <v>1231.5999999999999</v>
      </c>
    </row>
    <row r="508" spans="1:2" ht="16.5" hidden="1" customHeight="1">
      <c r="A508" s="8">
        <v>43971</v>
      </c>
      <c r="B508" s="10">
        <v>1224.5</v>
      </c>
    </row>
    <row r="509" spans="1:2" ht="16.5" hidden="1" customHeight="1">
      <c r="A509" s="8">
        <v>43972</v>
      </c>
      <c r="B509" s="10">
        <v>1227.8</v>
      </c>
    </row>
    <row r="510" spans="1:2" ht="16.5" hidden="1" customHeight="1">
      <c r="A510" s="8">
        <v>43973</v>
      </c>
      <c r="B510" s="10">
        <v>1230.7</v>
      </c>
    </row>
    <row r="511" spans="1:2" ht="16.5" hidden="1" customHeight="1">
      <c r="A511" s="8">
        <v>43974</v>
      </c>
      <c r="B511" s="10">
        <v>1230.7</v>
      </c>
    </row>
    <row r="512" spans="1:2" ht="16.5" hidden="1" customHeight="1">
      <c r="A512" s="8">
        <v>43975</v>
      </c>
      <c r="B512" s="10">
        <v>1230.7</v>
      </c>
    </row>
    <row r="513" spans="1:2" ht="16.5" hidden="1" customHeight="1">
      <c r="A513" s="8">
        <v>43976</v>
      </c>
      <c r="B513" s="10">
        <v>1236.2</v>
      </c>
    </row>
    <row r="514" spans="1:2" ht="16.5" hidden="1" customHeight="1">
      <c r="A514" s="8">
        <v>43977</v>
      </c>
      <c r="B514" s="10">
        <v>1242</v>
      </c>
    </row>
    <row r="515" spans="1:2" ht="16.5" hidden="1" customHeight="1">
      <c r="A515" s="8">
        <v>43978</v>
      </c>
      <c r="B515" s="10">
        <v>1237.0999999999999</v>
      </c>
    </row>
    <row r="516" spans="1:2" ht="16.5" hidden="1" customHeight="1">
      <c r="A516" s="8">
        <v>43979</v>
      </c>
      <c r="B516" s="10">
        <v>1233.7</v>
      </c>
    </row>
    <row r="517" spans="1:2" ht="16.5" hidden="1" customHeight="1">
      <c r="A517" s="8">
        <v>43980</v>
      </c>
      <c r="B517" s="10">
        <v>1239.4000000000001</v>
      </c>
    </row>
    <row r="518" spans="1:2" ht="16.5" hidden="1" customHeight="1">
      <c r="A518" s="8">
        <v>43981</v>
      </c>
      <c r="B518" s="10">
        <v>1239.4000000000001</v>
      </c>
    </row>
    <row r="519" spans="1:2" ht="16.5" hidden="1" customHeight="1">
      <c r="A519" s="8">
        <v>43982</v>
      </c>
      <c r="B519" s="10">
        <v>1239.4000000000001</v>
      </c>
    </row>
    <row r="520" spans="1:2" ht="16.5" hidden="1" customHeight="1">
      <c r="A520" s="8">
        <v>43983</v>
      </c>
      <c r="B520" s="10">
        <v>1237.5999999999999</v>
      </c>
    </row>
    <row r="521" spans="1:2" ht="16.5" hidden="1" customHeight="1">
      <c r="A521" s="8">
        <v>43984</v>
      </c>
      <c r="B521" s="10">
        <v>1227.8</v>
      </c>
    </row>
    <row r="522" spans="1:2" ht="16.5" hidden="1" customHeight="1">
      <c r="A522" s="8">
        <v>43985</v>
      </c>
      <c r="B522" s="10">
        <v>1224.0999999999999</v>
      </c>
    </row>
    <row r="523" spans="1:2" ht="16.5" hidden="1" customHeight="1">
      <c r="A523" s="8">
        <v>43986</v>
      </c>
      <c r="B523" s="10">
        <v>1216.9000000000001</v>
      </c>
    </row>
    <row r="524" spans="1:2" ht="16.5" hidden="1" customHeight="1">
      <c r="A524" s="8">
        <v>43987</v>
      </c>
      <c r="B524" s="10">
        <v>1217.4000000000001</v>
      </c>
    </row>
    <row r="525" spans="1:2" ht="16.5" hidden="1" customHeight="1">
      <c r="A525" s="8">
        <v>43988</v>
      </c>
      <c r="B525" s="10">
        <v>1217.4000000000001</v>
      </c>
    </row>
    <row r="526" spans="1:2" ht="16.5" hidden="1" customHeight="1">
      <c r="A526" s="8">
        <v>43989</v>
      </c>
      <c r="B526" s="10">
        <v>1217.4000000000001</v>
      </c>
    </row>
    <row r="527" spans="1:2" ht="16.5" hidden="1" customHeight="1">
      <c r="A527" s="8">
        <v>43990</v>
      </c>
      <c r="B527" s="10">
        <v>1213.0999999999999</v>
      </c>
    </row>
    <row r="528" spans="1:2" ht="16.5" hidden="1" customHeight="1">
      <c r="A528" s="8">
        <v>43991</v>
      </c>
      <c r="B528" s="10">
        <v>1204.2</v>
      </c>
    </row>
    <row r="529" spans="1:2" ht="16.5" hidden="1" customHeight="1">
      <c r="A529" s="8">
        <v>43992</v>
      </c>
      <c r="B529" s="10">
        <v>1197.7</v>
      </c>
    </row>
    <row r="530" spans="1:2" ht="16.5" hidden="1" customHeight="1">
      <c r="A530" s="8">
        <v>43993</v>
      </c>
      <c r="B530" s="10">
        <v>1194.4000000000001</v>
      </c>
    </row>
    <row r="531" spans="1:2" ht="16.5" hidden="1" customHeight="1">
      <c r="A531" s="8">
        <v>43994</v>
      </c>
      <c r="B531" s="10">
        <v>1192.8</v>
      </c>
    </row>
    <row r="532" spans="1:2" ht="16.5" hidden="1" customHeight="1">
      <c r="A532" s="8">
        <v>43995</v>
      </c>
      <c r="B532" s="10">
        <v>1192.8</v>
      </c>
    </row>
    <row r="533" spans="1:2" ht="16.5" hidden="1" customHeight="1">
      <c r="A533" s="8">
        <v>43996</v>
      </c>
      <c r="B533" s="10">
        <v>1192.8</v>
      </c>
    </row>
    <row r="534" spans="1:2" ht="16.5" hidden="1" customHeight="1">
      <c r="A534" s="8">
        <v>43997</v>
      </c>
      <c r="B534" s="10">
        <v>1206.5999999999999</v>
      </c>
    </row>
    <row r="535" spans="1:2" ht="16.5" hidden="1" customHeight="1">
      <c r="A535" s="8">
        <v>43998</v>
      </c>
      <c r="B535" s="10">
        <v>1210.8</v>
      </c>
    </row>
    <row r="536" spans="1:2" ht="16.5" hidden="1" customHeight="1">
      <c r="A536" s="8">
        <v>43999</v>
      </c>
      <c r="B536" s="10">
        <v>1206.5999999999999</v>
      </c>
    </row>
    <row r="537" spans="1:2" ht="16.5" hidden="1" customHeight="1">
      <c r="A537" s="8">
        <v>44000</v>
      </c>
      <c r="B537" s="10">
        <v>1214.5</v>
      </c>
    </row>
    <row r="538" spans="1:2" ht="16.5" hidden="1" customHeight="1">
      <c r="A538" s="8">
        <v>44001</v>
      </c>
      <c r="B538" s="10">
        <v>1213</v>
      </c>
    </row>
    <row r="539" spans="1:2" ht="16.5" hidden="1" customHeight="1">
      <c r="A539" s="8">
        <v>44002</v>
      </c>
      <c r="B539" s="10">
        <v>1213</v>
      </c>
    </row>
    <row r="540" spans="1:2" ht="16.5" hidden="1" customHeight="1">
      <c r="A540" s="8">
        <v>44003</v>
      </c>
      <c r="B540" s="10">
        <v>1213</v>
      </c>
    </row>
    <row r="541" spans="1:2" ht="16.5" hidden="1" customHeight="1">
      <c r="A541" s="8">
        <v>44004</v>
      </c>
      <c r="B541" s="10">
        <v>1212</v>
      </c>
    </row>
    <row r="542" spans="1:2" ht="16.5" hidden="1" customHeight="1">
      <c r="A542" s="8">
        <v>44005</v>
      </c>
      <c r="B542" s="10">
        <v>1213.2</v>
      </c>
    </row>
    <row r="543" spans="1:2" ht="16.5" hidden="1" customHeight="1">
      <c r="A543" s="8">
        <v>44006</v>
      </c>
      <c r="B543" s="10">
        <v>1210.0999999999999</v>
      </c>
    </row>
    <row r="544" spans="1:2" ht="16.5" hidden="1" customHeight="1">
      <c r="A544" s="8">
        <v>44007</v>
      </c>
      <c r="B544" s="10">
        <v>1202.9000000000001</v>
      </c>
    </row>
    <row r="545" spans="1:2" ht="16.5" hidden="1" customHeight="1">
      <c r="A545" s="8">
        <v>44008</v>
      </c>
      <c r="B545" s="10">
        <v>1205.2</v>
      </c>
    </row>
    <row r="546" spans="1:2" ht="16.5" hidden="1" customHeight="1">
      <c r="A546" s="8">
        <v>44009</v>
      </c>
      <c r="B546" s="10">
        <v>1205.2</v>
      </c>
    </row>
    <row r="547" spans="1:2" ht="16.5" hidden="1" customHeight="1">
      <c r="A547" s="8">
        <v>44010</v>
      </c>
      <c r="B547" s="10">
        <v>1205.2</v>
      </c>
    </row>
    <row r="548" spans="1:2" ht="16.5" hidden="1" customHeight="1">
      <c r="A548" s="8">
        <v>44011</v>
      </c>
      <c r="B548" s="10">
        <v>1198.5999999999999</v>
      </c>
    </row>
    <row r="549" spans="1:2" ht="16.5" hidden="1" customHeight="1">
      <c r="A549" s="8">
        <v>44012</v>
      </c>
      <c r="B549" s="10">
        <v>1200.7</v>
      </c>
    </row>
    <row r="550" spans="1:2" ht="16.5" hidden="1" customHeight="1">
      <c r="A550" s="8">
        <v>44013</v>
      </c>
      <c r="B550" s="10">
        <v>1198.5</v>
      </c>
    </row>
    <row r="551" spans="1:2" ht="16.5" hidden="1" customHeight="1">
      <c r="A551" s="8">
        <v>44014</v>
      </c>
      <c r="B551" s="10">
        <v>1201.5999999999999</v>
      </c>
    </row>
    <row r="552" spans="1:2" ht="16.5" hidden="1" customHeight="1">
      <c r="A552" s="8">
        <v>44015</v>
      </c>
      <c r="B552" s="10">
        <v>1201</v>
      </c>
    </row>
    <row r="553" spans="1:2" ht="16.5" hidden="1" customHeight="1">
      <c r="A553" s="8">
        <v>44016</v>
      </c>
      <c r="B553" s="10">
        <v>1201</v>
      </c>
    </row>
    <row r="554" spans="1:2" ht="16.5" hidden="1" customHeight="1">
      <c r="A554" s="8">
        <v>44017</v>
      </c>
      <c r="B554" s="10">
        <v>1201</v>
      </c>
    </row>
    <row r="555" spans="1:2" ht="16.5" hidden="1" customHeight="1">
      <c r="A555" s="8">
        <v>44018</v>
      </c>
      <c r="B555" s="10">
        <v>1200.4000000000001</v>
      </c>
    </row>
    <row r="556" spans="1:2" ht="16.5" hidden="1" customHeight="1">
      <c r="A556" s="8">
        <v>44019</v>
      </c>
      <c r="B556" s="10">
        <v>1196.8</v>
      </c>
    </row>
    <row r="557" spans="1:2" ht="16.5" hidden="1" customHeight="1">
      <c r="A557" s="8">
        <v>44020</v>
      </c>
      <c r="B557" s="10">
        <v>1192.9000000000001</v>
      </c>
    </row>
    <row r="558" spans="1:2" ht="16.5" hidden="1" customHeight="1">
      <c r="A558" s="8">
        <v>44021</v>
      </c>
      <c r="B558" s="10">
        <v>1195.8</v>
      </c>
    </row>
    <row r="559" spans="1:2" ht="16.5" hidden="1" customHeight="1">
      <c r="A559" s="8">
        <v>44022</v>
      </c>
      <c r="B559" s="10">
        <v>1194.5</v>
      </c>
    </row>
    <row r="560" spans="1:2" ht="16.5" hidden="1" customHeight="1">
      <c r="A560" s="8">
        <v>44023</v>
      </c>
      <c r="B560" s="10">
        <v>1194.5</v>
      </c>
    </row>
    <row r="561" spans="1:2" ht="16.5" hidden="1" customHeight="1">
      <c r="A561" s="8">
        <v>44024</v>
      </c>
      <c r="B561" s="10">
        <v>1194.5</v>
      </c>
    </row>
    <row r="562" spans="1:2" ht="16.5" hidden="1" customHeight="1">
      <c r="A562" s="8">
        <v>44025</v>
      </c>
      <c r="B562" s="10">
        <v>1202.4000000000001</v>
      </c>
    </row>
    <row r="563" spans="1:2" ht="16.5" hidden="1" customHeight="1">
      <c r="A563" s="8">
        <v>44026</v>
      </c>
      <c r="B563" s="10">
        <v>1200.3</v>
      </c>
    </row>
    <row r="564" spans="1:2" ht="16.5" hidden="1" customHeight="1">
      <c r="A564" s="8">
        <v>44027</v>
      </c>
      <c r="B564" s="10">
        <v>1206.4000000000001</v>
      </c>
    </row>
    <row r="565" spans="1:2" ht="16.5" hidden="1" customHeight="1">
      <c r="A565" s="8">
        <v>44028</v>
      </c>
      <c r="B565" s="10">
        <v>1200.7</v>
      </c>
    </row>
    <row r="566" spans="1:2" ht="16.5" hidden="1" customHeight="1">
      <c r="A566" s="8">
        <v>44029</v>
      </c>
      <c r="B566" s="10">
        <v>1204.0999999999999</v>
      </c>
    </row>
    <row r="567" spans="1:2" ht="16.5" hidden="1" customHeight="1">
      <c r="A567" s="8">
        <v>44030</v>
      </c>
      <c r="B567" s="10">
        <v>1204.0999999999999</v>
      </c>
    </row>
    <row r="568" spans="1:2" ht="16.5" hidden="1" customHeight="1">
      <c r="A568" s="8">
        <v>44031</v>
      </c>
      <c r="B568" s="10">
        <v>1204.0999999999999</v>
      </c>
    </row>
    <row r="569" spans="1:2" ht="16.5" hidden="1" customHeight="1">
      <c r="A569" s="8">
        <v>44032</v>
      </c>
      <c r="B569" s="10">
        <v>1205.7</v>
      </c>
    </row>
    <row r="570" spans="1:2" ht="16.5" hidden="1" customHeight="1">
      <c r="A570" s="8">
        <v>44033</v>
      </c>
      <c r="B570" s="10">
        <v>1203.7</v>
      </c>
    </row>
    <row r="571" spans="1:2" ht="16.5" hidden="1" customHeight="1">
      <c r="A571" s="8">
        <v>44034</v>
      </c>
      <c r="B571" s="10">
        <v>1198.0999999999999</v>
      </c>
    </row>
    <row r="572" spans="1:2" ht="16.5" hidden="1" customHeight="1">
      <c r="A572" s="8">
        <v>44035</v>
      </c>
      <c r="B572" s="10">
        <v>1193.7</v>
      </c>
    </row>
    <row r="573" spans="1:2" ht="16.5" hidden="1" customHeight="1">
      <c r="A573" s="8">
        <v>44036</v>
      </c>
      <c r="B573" s="10">
        <v>1198.5</v>
      </c>
    </row>
    <row r="574" spans="1:2" ht="16.5" hidden="1" customHeight="1">
      <c r="A574" s="8">
        <v>44037</v>
      </c>
      <c r="B574" s="10">
        <v>1198.5</v>
      </c>
    </row>
    <row r="575" spans="1:2" ht="16.5" hidden="1" customHeight="1">
      <c r="A575" s="8">
        <v>44038</v>
      </c>
      <c r="B575" s="10">
        <v>1198.5</v>
      </c>
    </row>
    <row r="576" spans="1:2" ht="16.5" hidden="1" customHeight="1">
      <c r="A576" s="8">
        <v>44039</v>
      </c>
      <c r="B576" s="10">
        <v>1201.3</v>
      </c>
    </row>
    <row r="577" spans="1:2" ht="16.5" hidden="1" customHeight="1">
      <c r="A577" s="8">
        <v>44040</v>
      </c>
      <c r="B577" s="10">
        <v>1196.5999999999999</v>
      </c>
    </row>
    <row r="578" spans="1:2" ht="16.5" hidden="1" customHeight="1">
      <c r="A578" s="8">
        <v>44041</v>
      </c>
      <c r="B578" s="10">
        <v>1195.0999999999999</v>
      </c>
    </row>
    <row r="579" spans="1:2" ht="16.5" hidden="1" customHeight="1">
      <c r="A579" s="8">
        <v>44042</v>
      </c>
      <c r="B579" s="10">
        <v>1195.2</v>
      </c>
    </row>
    <row r="580" spans="1:2" ht="16.5" hidden="1" customHeight="1">
      <c r="A580" s="8">
        <v>44043</v>
      </c>
      <c r="B580" s="10">
        <v>1191.4000000000001</v>
      </c>
    </row>
    <row r="581" spans="1:2" ht="16.5" hidden="1" customHeight="1">
      <c r="A581" s="8">
        <v>44044</v>
      </c>
      <c r="B581" s="10">
        <v>1191.4000000000001</v>
      </c>
    </row>
    <row r="582" spans="1:2" ht="16.5" hidden="1" customHeight="1">
      <c r="A582" s="8">
        <v>44045</v>
      </c>
      <c r="B582" s="10">
        <v>1191.4000000000001</v>
      </c>
    </row>
    <row r="583" spans="1:2" ht="16.5" hidden="1" customHeight="1">
      <c r="A583" s="8">
        <v>44046</v>
      </c>
      <c r="B583" s="10">
        <v>1189.0999999999999</v>
      </c>
    </row>
    <row r="584" spans="1:2" ht="16.5" hidden="1" customHeight="1">
      <c r="A584" s="8">
        <v>44047</v>
      </c>
      <c r="B584" s="10">
        <v>1193.7</v>
      </c>
    </row>
    <row r="585" spans="1:2" ht="16.5" hidden="1" customHeight="1">
      <c r="A585" s="8">
        <v>44048</v>
      </c>
      <c r="B585" s="10">
        <v>1193.5</v>
      </c>
    </row>
    <row r="586" spans="1:2" ht="16.5" hidden="1" customHeight="1">
      <c r="A586" s="8">
        <v>44049</v>
      </c>
      <c r="B586" s="10">
        <v>1190.3</v>
      </c>
    </row>
    <row r="587" spans="1:2" ht="16.5" hidden="1" customHeight="1">
      <c r="A587" s="8">
        <v>44050</v>
      </c>
      <c r="B587" s="10">
        <v>1184.3</v>
      </c>
    </row>
    <row r="588" spans="1:2" ht="16.5" hidden="1" customHeight="1">
      <c r="A588" s="8">
        <v>44051</v>
      </c>
      <c r="B588" s="10">
        <v>1184.3</v>
      </c>
    </row>
    <row r="589" spans="1:2" ht="16.5" hidden="1" customHeight="1">
      <c r="A589" s="8">
        <v>44052</v>
      </c>
      <c r="B589" s="10">
        <v>1184.3</v>
      </c>
    </row>
    <row r="590" spans="1:2" ht="16.5" hidden="1" customHeight="1">
      <c r="A590" s="8">
        <v>44053</v>
      </c>
      <c r="B590" s="10">
        <v>1185.9000000000001</v>
      </c>
    </row>
    <row r="591" spans="1:2" ht="16.5" hidden="1" customHeight="1">
      <c r="A591" s="8">
        <v>44054</v>
      </c>
      <c r="B591" s="10">
        <v>1186.7</v>
      </c>
    </row>
    <row r="592" spans="1:2" ht="16.5" hidden="1" customHeight="1">
      <c r="A592" s="8">
        <v>44055</v>
      </c>
      <c r="B592" s="10">
        <v>1184.9000000000001</v>
      </c>
    </row>
    <row r="593" spans="1:2" ht="16.5" hidden="1" customHeight="1">
      <c r="A593" s="8">
        <v>44056</v>
      </c>
      <c r="B593" s="10">
        <v>1186</v>
      </c>
    </row>
    <row r="594" spans="1:2" ht="16.5" hidden="1" customHeight="1">
      <c r="A594" s="8">
        <v>44057</v>
      </c>
      <c r="B594" s="10">
        <v>1183.5999999999999</v>
      </c>
    </row>
    <row r="595" spans="1:2" ht="16.5" hidden="1" customHeight="1">
      <c r="A595" s="8">
        <v>44058</v>
      </c>
      <c r="B595" s="10">
        <v>1183.5999999999999</v>
      </c>
    </row>
    <row r="596" spans="1:2" ht="16.5" hidden="1" customHeight="1">
      <c r="A596" s="8">
        <v>44059</v>
      </c>
      <c r="B596" s="10">
        <v>1183.5999999999999</v>
      </c>
    </row>
    <row r="597" spans="1:2" ht="16.5" hidden="1" customHeight="1">
      <c r="A597" s="8">
        <v>44060</v>
      </c>
      <c r="B597" s="10">
        <v>1183.5999999999999</v>
      </c>
    </row>
    <row r="598" spans="1:2" ht="16.5" hidden="1" customHeight="1">
      <c r="A598" s="8">
        <v>44061</v>
      </c>
      <c r="B598" s="10">
        <v>1185.8</v>
      </c>
    </row>
    <row r="599" spans="1:2" ht="16.5" hidden="1" customHeight="1">
      <c r="A599" s="8">
        <v>44062</v>
      </c>
      <c r="B599" s="10">
        <v>1185.0999999999999</v>
      </c>
    </row>
    <row r="600" spans="1:2" ht="16.5" hidden="1" customHeight="1">
      <c r="A600" s="8">
        <v>44063</v>
      </c>
      <c r="B600" s="10">
        <v>1182.3</v>
      </c>
    </row>
    <row r="601" spans="1:2" ht="16.5" hidden="1" customHeight="1">
      <c r="A601" s="8">
        <v>44064</v>
      </c>
      <c r="B601" s="10">
        <v>1186.3</v>
      </c>
    </row>
    <row r="602" spans="1:2" ht="16.5" hidden="1" customHeight="1">
      <c r="A602" s="8">
        <v>44065</v>
      </c>
      <c r="B602" s="10">
        <v>1186.3</v>
      </c>
    </row>
    <row r="603" spans="1:2" ht="16.5" hidden="1" customHeight="1">
      <c r="A603" s="8">
        <v>44066</v>
      </c>
      <c r="B603" s="10">
        <v>1186.3</v>
      </c>
    </row>
    <row r="604" spans="1:2" ht="16.5" hidden="1" customHeight="1">
      <c r="A604" s="8">
        <v>44067</v>
      </c>
      <c r="B604" s="10">
        <v>1185.3</v>
      </c>
    </row>
    <row r="605" spans="1:2" ht="16.5" hidden="1" customHeight="1">
      <c r="A605" s="8">
        <v>44068</v>
      </c>
      <c r="B605" s="10">
        <v>1190</v>
      </c>
    </row>
    <row r="606" spans="1:2" ht="16.5" hidden="1" customHeight="1">
      <c r="A606" s="8">
        <v>44069</v>
      </c>
      <c r="B606" s="10">
        <v>1186.3</v>
      </c>
    </row>
    <row r="607" spans="1:2" ht="16.5" hidden="1" customHeight="1">
      <c r="A607" s="8">
        <v>44070</v>
      </c>
      <c r="B607" s="10">
        <v>1187</v>
      </c>
    </row>
    <row r="608" spans="1:2" ht="16.5" hidden="1" customHeight="1">
      <c r="A608" s="8">
        <v>44071</v>
      </c>
      <c r="B608" s="10">
        <v>1185.7</v>
      </c>
    </row>
    <row r="609" spans="1:2" ht="16.5" hidden="1" customHeight="1">
      <c r="A609" s="8">
        <v>44072</v>
      </c>
      <c r="B609" s="10">
        <v>1185.7</v>
      </c>
    </row>
    <row r="610" spans="1:2" ht="16.5" hidden="1" customHeight="1">
      <c r="A610" s="8">
        <v>44073</v>
      </c>
      <c r="B610" s="10">
        <v>1185.7</v>
      </c>
    </row>
    <row r="611" spans="1:2" ht="16.5" hidden="1" customHeight="1">
      <c r="A611" s="8">
        <v>44074</v>
      </c>
      <c r="B611" s="10">
        <v>1185.0999999999999</v>
      </c>
    </row>
    <row r="612" spans="1:2" ht="16.5" hidden="1" customHeight="1">
      <c r="A612" s="8">
        <v>44075</v>
      </c>
      <c r="B612" s="10">
        <v>1183.3</v>
      </c>
    </row>
    <row r="613" spans="1:2" ht="16.5" hidden="1" customHeight="1">
      <c r="A613" s="8">
        <v>44076</v>
      </c>
      <c r="B613" s="10">
        <v>1184.5999999999999</v>
      </c>
    </row>
    <row r="614" spans="1:2" ht="16.5" hidden="1" customHeight="1">
      <c r="A614" s="8">
        <v>44077</v>
      </c>
      <c r="B614" s="10">
        <v>1186.2</v>
      </c>
    </row>
    <row r="615" spans="1:2" ht="16.5" hidden="1" customHeight="1">
      <c r="A615" s="8">
        <v>44078</v>
      </c>
      <c r="B615" s="10">
        <v>1187.5</v>
      </c>
    </row>
    <row r="616" spans="1:2" ht="16.5" hidden="1" customHeight="1">
      <c r="A616" s="8">
        <v>44079</v>
      </c>
      <c r="B616" s="10">
        <v>1187.5</v>
      </c>
    </row>
    <row r="617" spans="1:2" ht="16.5" hidden="1" customHeight="1">
      <c r="A617" s="8">
        <v>44080</v>
      </c>
      <c r="B617" s="10">
        <v>1187.5</v>
      </c>
    </row>
    <row r="618" spans="1:2" ht="16.5" hidden="1" customHeight="1">
      <c r="A618" s="8">
        <v>44081</v>
      </c>
      <c r="B618" s="10">
        <v>1190.2</v>
      </c>
    </row>
    <row r="619" spans="1:2" ht="16.5" hidden="1" customHeight="1">
      <c r="A619" s="8">
        <v>44082</v>
      </c>
      <c r="B619" s="10">
        <v>1187.2</v>
      </c>
    </row>
    <row r="620" spans="1:2" ht="16.5" hidden="1" customHeight="1">
      <c r="A620" s="8">
        <v>44083</v>
      </c>
      <c r="B620" s="10">
        <v>1187.9000000000001</v>
      </c>
    </row>
    <row r="621" spans="1:2" ht="16.5" hidden="1" customHeight="1">
      <c r="A621" s="8">
        <v>44084</v>
      </c>
      <c r="B621" s="10">
        <v>1189.5999999999999</v>
      </c>
    </row>
    <row r="622" spans="1:2" ht="16.5" hidden="1" customHeight="1">
      <c r="A622" s="8">
        <v>44085</v>
      </c>
      <c r="B622" s="10">
        <v>1185.3</v>
      </c>
    </row>
    <row r="623" spans="1:2" ht="16.5" hidden="1" customHeight="1">
      <c r="A623" s="8">
        <v>44086</v>
      </c>
      <c r="B623" s="10">
        <v>1185.3</v>
      </c>
    </row>
    <row r="624" spans="1:2" ht="16.5" hidden="1" customHeight="1">
      <c r="A624" s="8">
        <v>44087</v>
      </c>
      <c r="B624" s="10">
        <v>1185.3</v>
      </c>
    </row>
    <row r="625" spans="1:5" ht="16.5" hidden="1" customHeight="1">
      <c r="A625" s="8">
        <v>44088</v>
      </c>
      <c r="B625" s="10">
        <v>1188.3</v>
      </c>
    </row>
    <row r="626" spans="1:5" ht="16.5" hidden="1" customHeight="1">
      <c r="A626" s="8">
        <v>44089</v>
      </c>
      <c r="B626" s="10">
        <v>1184.2</v>
      </c>
      <c r="C626" t="s">
        <v>47</v>
      </c>
      <c r="D626" s="13">
        <v>60</v>
      </c>
    </row>
    <row r="627" spans="1:5" ht="16.5" hidden="1" customHeight="1">
      <c r="A627" s="8">
        <v>44090</v>
      </c>
      <c r="B627" s="10">
        <v>1180.5</v>
      </c>
      <c r="C627" t="s">
        <v>40</v>
      </c>
      <c r="D627" s="13">
        <v>80</v>
      </c>
    </row>
    <row r="628" spans="1:5" ht="16.5" hidden="1" customHeight="1">
      <c r="A628" s="8">
        <v>44091</v>
      </c>
      <c r="B628" s="10">
        <v>1177.8</v>
      </c>
      <c r="C628" t="s">
        <v>34</v>
      </c>
      <c r="D628" s="13">
        <v>60</v>
      </c>
    </row>
    <row r="629" spans="1:5" ht="16.5" hidden="1" customHeight="1">
      <c r="A629" s="8">
        <v>44092</v>
      </c>
      <c r="B629" s="10">
        <v>1175.4000000000001</v>
      </c>
      <c r="C629" t="s">
        <v>39</v>
      </c>
      <c r="D629" s="13">
        <v>60</v>
      </c>
    </row>
    <row r="630" spans="1:5" ht="16.5" hidden="1" customHeight="1">
      <c r="A630" s="8">
        <v>44093</v>
      </c>
      <c r="B630" s="10">
        <v>1175.4000000000001</v>
      </c>
      <c r="C630" t="s">
        <v>41</v>
      </c>
      <c r="D630" s="13">
        <v>60</v>
      </c>
      <c r="E630" s="25"/>
    </row>
    <row r="631" spans="1:5" ht="16.5" hidden="1" customHeight="1">
      <c r="A631" s="8">
        <v>44094</v>
      </c>
      <c r="B631" s="10">
        <v>1175.4000000000001</v>
      </c>
      <c r="C631" t="s">
        <v>42</v>
      </c>
      <c r="D631" s="13">
        <v>60</v>
      </c>
      <c r="E631" s="25"/>
    </row>
    <row r="632" spans="1:5" ht="16.5" hidden="1" customHeight="1">
      <c r="A632" s="8">
        <v>44095</v>
      </c>
      <c r="B632" s="10">
        <v>1163.5999999999999</v>
      </c>
      <c r="C632" t="s">
        <v>45</v>
      </c>
      <c r="D632" s="13">
        <v>45</v>
      </c>
      <c r="E632" s="25"/>
    </row>
    <row r="633" spans="1:5" ht="16.5" hidden="1" customHeight="1">
      <c r="A633" s="8">
        <v>44096</v>
      </c>
      <c r="B633" s="10">
        <v>1160.5999999999999</v>
      </c>
      <c r="C633" t="s">
        <v>46</v>
      </c>
      <c r="D633" s="13" t="s">
        <v>36</v>
      </c>
    </row>
    <row r="634" spans="1:5" ht="16.5" hidden="1" customHeight="1">
      <c r="A634" s="8">
        <v>44097</v>
      </c>
      <c r="B634" s="10">
        <v>1163.9000000000001</v>
      </c>
      <c r="C634" t="s">
        <v>35</v>
      </c>
      <c r="D634" s="13" t="s">
        <v>36</v>
      </c>
      <c r="E634" s="23"/>
    </row>
    <row r="635" spans="1:5" ht="16.5" hidden="1" customHeight="1">
      <c r="A635" s="8">
        <v>44098</v>
      </c>
      <c r="B635" s="10">
        <v>1164.4000000000001</v>
      </c>
      <c r="C635" t="s">
        <v>37</v>
      </c>
      <c r="D635" s="13" t="s">
        <v>36</v>
      </c>
      <c r="E635" s="23"/>
    </row>
    <row r="636" spans="1:5" ht="16.5" hidden="1" customHeight="1">
      <c r="A636" s="8">
        <v>44099</v>
      </c>
      <c r="B636" s="10">
        <v>1170.3</v>
      </c>
    </row>
    <row r="637" spans="1:5" ht="16.5" hidden="1" customHeight="1">
      <c r="A637" s="8">
        <v>44100</v>
      </c>
      <c r="B637" s="10">
        <v>1170.3</v>
      </c>
    </row>
    <row r="638" spans="1:5" ht="16.5" hidden="1" customHeight="1">
      <c r="A638" s="8">
        <v>44101</v>
      </c>
      <c r="B638" s="10">
        <v>1170.3</v>
      </c>
    </row>
    <row r="639" spans="1:5" ht="16.5" hidden="1" customHeight="1">
      <c r="A639" s="8">
        <v>44102</v>
      </c>
      <c r="B639" s="10">
        <v>1170.5</v>
      </c>
    </row>
    <row r="640" spans="1:5" ht="16.5" hidden="1" customHeight="1">
      <c r="A640" s="8">
        <v>44103</v>
      </c>
      <c r="B640" s="10">
        <v>1173.5</v>
      </c>
    </row>
    <row r="641" spans="1:7" ht="16.5" hidden="1" customHeight="1">
      <c r="A641" s="8">
        <v>44104</v>
      </c>
      <c r="B641" s="10">
        <v>1173.5</v>
      </c>
    </row>
    <row r="642" spans="1:7" ht="16.5" hidden="1" customHeight="1">
      <c r="A642" s="8">
        <v>44105</v>
      </c>
      <c r="B642" s="10">
        <v>1173.5</v>
      </c>
    </row>
    <row r="643" spans="1:7" ht="16.5" hidden="1" customHeight="1">
      <c r="A643" s="8">
        <v>44106</v>
      </c>
      <c r="B643" s="10">
        <v>1173.5</v>
      </c>
    </row>
    <row r="644" spans="1:7" ht="16.5" hidden="1" customHeight="1">
      <c r="A644" s="8">
        <v>44107</v>
      </c>
      <c r="B644" s="10">
        <v>1173.5</v>
      </c>
    </row>
    <row r="645" spans="1:7" ht="16.5" hidden="1" customHeight="1">
      <c r="A645" s="8">
        <v>44108</v>
      </c>
      <c r="B645" s="10">
        <v>1173.5</v>
      </c>
    </row>
    <row r="646" spans="1:7" ht="16.5" hidden="1" customHeight="1">
      <c r="A646" s="8">
        <v>44109</v>
      </c>
      <c r="B646" s="10">
        <v>1169.5</v>
      </c>
    </row>
    <row r="647" spans="1:7" ht="16.5" hidden="1" customHeight="1">
      <c r="A647" s="8">
        <v>44110</v>
      </c>
      <c r="B647" s="10">
        <v>1163.4000000000001</v>
      </c>
    </row>
    <row r="648" spans="1:7" ht="16.5" hidden="1" customHeight="1">
      <c r="A648" s="8">
        <v>44111</v>
      </c>
      <c r="B648" s="10">
        <v>1160</v>
      </c>
      <c r="G648"/>
    </row>
    <row r="649" spans="1:7" ht="16.5" hidden="1" customHeight="1">
      <c r="A649" s="8">
        <v>44112</v>
      </c>
      <c r="B649" s="10">
        <v>1162.5</v>
      </c>
      <c r="G649"/>
    </row>
    <row r="650" spans="1:7" ht="16.5" hidden="1" customHeight="1">
      <c r="A650" s="8">
        <v>44113</v>
      </c>
      <c r="B650" s="10">
        <v>1162.5</v>
      </c>
      <c r="G650"/>
    </row>
    <row r="651" spans="1:7" ht="16.5" hidden="1" customHeight="1">
      <c r="A651" s="8">
        <v>44114</v>
      </c>
      <c r="B651" s="10">
        <v>1162.5</v>
      </c>
      <c r="G651"/>
    </row>
    <row r="652" spans="1:7" ht="16.5" hidden="1" customHeight="1">
      <c r="A652" s="8">
        <v>44115</v>
      </c>
      <c r="B652" s="10">
        <v>1162.5</v>
      </c>
      <c r="G652"/>
    </row>
    <row r="653" spans="1:7" ht="16.5" hidden="1" customHeight="1">
      <c r="A653" s="8">
        <v>44116</v>
      </c>
      <c r="B653" s="10">
        <v>1156.2</v>
      </c>
      <c r="G653"/>
    </row>
    <row r="654" spans="1:7" ht="16.5" hidden="1" customHeight="1">
      <c r="A654" s="8">
        <v>44117</v>
      </c>
      <c r="B654" s="10">
        <v>1148.3</v>
      </c>
      <c r="G654"/>
    </row>
    <row r="655" spans="1:7" ht="16.5" hidden="1" customHeight="1">
      <c r="A655" s="8">
        <v>44118</v>
      </c>
      <c r="B655" s="10">
        <v>1149.5</v>
      </c>
      <c r="G655"/>
    </row>
    <row r="656" spans="1:7" ht="16.5" hidden="1" customHeight="1">
      <c r="A656" s="8">
        <v>44119</v>
      </c>
      <c r="B656" s="10">
        <v>1145.7</v>
      </c>
    </row>
    <row r="657" spans="1:2" ht="16.5" hidden="1" customHeight="1">
      <c r="A657" s="8">
        <v>44120</v>
      </c>
      <c r="B657" s="10">
        <v>1144.5999999999999</v>
      </c>
    </row>
    <row r="658" spans="1:2" ht="16.5" hidden="1" customHeight="1">
      <c r="A658" s="8">
        <v>44121</v>
      </c>
      <c r="B658" s="10">
        <v>1144.5999999999999</v>
      </c>
    </row>
    <row r="659" spans="1:2" ht="16.5" hidden="1" customHeight="1">
      <c r="A659" s="8">
        <v>44122</v>
      </c>
      <c r="B659" s="10">
        <v>1144.5999999999999</v>
      </c>
    </row>
    <row r="660" spans="1:2" ht="16.5" hidden="1" customHeight="1">
      <c r="A660" s="8">
        <v>44123</v>
      </c>
      <c r="B660" s="10">
        <v>1145.5999999999999</v>
      </c>
    </row>
    <row r="661" spans="1:2" ht="16.5" hidden="1" customHeight="1">
      <c r="A661" s="8">
        <v>44124</v>
      </c>
      <c r="B661" s="10">
        <v>1142.2</v>
      </c>
    </row>
    <row r="662" spans="1:2" ht="16.5" hidden="1" customHeight="1">
      <c r="A662" s="8">
        <v>44125</v>
      </c>
      <c r="B662" s="10">
        <v>1139.7</v>
      </c>
    </row>
    <row r="663" spans="1:2" ht="16.5" hidden="1" customHeight="1">
      <c r="A663" s="8">
        <v>44126</v>
      </c>
      <c r="B663" s="10">
        <v>1133.7</v>
      </c>
    </row>
    <row r="664" spans="1:2" ht="16.5" hidden="1" customHeight="1">
      <c r="A664" s="8">
        <v>44127</v>
      </c>
      <c r="B664" s="10">
        <v>1134.0999999999999</v>
      </c>
    </row>
    <row r="665" spans="1:2" ht="16.5" hidden="1" customHeight="1">
      <c r="A665" s="8">
        <v>44128</v>
      </c>
      <c r="B665" s="10">
        <v>1134.0999999999999</v>
      </c>
    </row>
    <row r="666" spans="1:2" ht="16.5" hidden="1" customHeight="1">
      <c r="A666" s="8">
        <v>44129</v>
      </c>
      <c r="B666" s="10">
        <v>1134.0999999999999</v>
      </c>
    </row>
    <row r="667" spans="1:2" ht="16.5" hidden="1" customHeight="1">
      <c r="A667" s="8">
        <v>44130</v>
      </c>
      <c r="B667" s="10">
        <v>1134.5999999999999</v>
      </c>
    </row>
    <row r="668" spans="1:2" ht="16.5" hidden="1" customHeight="1">
      <c r="A668" s="8">
        <v>44131</v>
      </c>
      <c r="B668" s="10">
        <v>1129.0999999999999</v>
      </c>
    </row>
    <row r="669" spans="1:2" ht="16.5" hidden="1" customHeight="1">
      <c r="A669" s="8">
        <v>44132</v>
      </c>
      <c r="B669" s="10">
        <v>1127.5999999999999</v>
      </c>
    </row>
    <row r="670" spans="1:2" ht="16.5" hidden="1" customHeight="1">
      <c r="A670" s="8">
        <v>44133</v>
      </c>
      <c r="B670" s="10">
        <v>1129.3</v>
      </c>
    </row>
    <row r="671" spans="1:2" ht="16.5" hidden="1" customHeight="1">
      <c r="A671" s="8">
        <v>44134</v>
      </c>
      <c r="B671" s="10">
        <v>1133.4000000000001</v>
      </c>
    </row>
    <row r="672" spans="1:2" ht="16.5" hidden="1" customHeight="1">
      <c r="A672" s="8">
        <v>44135</v>
      </c>
      <c r="B672" s="10">
        <v>1133.4000000000001</v>
      </c>
    </row>
    <row r="673" spans="1:2" ht="16.5" hidden="1" customHeight="1">
      <c r="A673" s="8">
        <v>44136</v>
      </c>
      <c r="B673" s="10">
        <v>1133.4000000000001</v>
      </c>
    </row>
    <row r="674" spans="1:2" ht="16.5" hidden="1" customHeight="1">
      <c r="A674" s="8">
        <v>44137</v>
      </c>
      <c r="B674" s="10">
        <v>1130.4000000000001</v>
      </c>
    </row>
    <row r="675" spans="1:2" ht="16.5" hidden="1" customHeight="1">
      <c r="A675" s="8">
        <v>44138</v>
      </c>
      <c r="B675" s="10">
        <v>1134.7</v>
      </c>
    </row>
    <row r="676" spans="1:2" ht="16.5" hidden="1" customHeight="1">
      <c r="A676" s="8">
        <v>44139</v>
      </c>
      <c r="B676" s="10">
        <v>1134.5999999999999</v>
      </c>
    </row>
    <row r="677" spans="1:2" ht="16.5" hidden="1" customHeight="1">
      <c r="A677" s="8">
        <v>44140</v>
      </c>
      <c r="B677" s="10">
        <v>1136.5</v>
      </c>
    </row>
    <row r="678" spans="1:2" ht="16.5" hidden="1" customHeight="1">
      <c r="A678" s="8">
        <v>44141</v>
      </c>
      <c r="B678" s="10">
        <v>1130.9000000000001</v>
      </c>
    </row>
    <row r="679" spans="1:2" ht="16.5" hidden="1" customHeight="1">
      <c r="A679" s="8">
        <v>44142</v>
      </c>
      <c r="B679" s="10">
        <v>1130.9000000000001</v>
      </c>
    </row>
    <row r="680" spans="1:2" ht="16.5" hidden="1" customHeight="1">
      <c r="A680" s="8">
        <v>44143</v>
      </c>
      <c r="B680" s="10">
        <v>1130.9000000000001</v>
      </c>
    </row>
    <row r="681" spans="1:2" ht="16.5" hidden="1" customHeight="1">
      <c r="A681" s="8">
        <v>44144</v>
      </c>
      <c r="B681" s="10">
        <v>1124.4000000000001</v>
      </c>
    </row>
    <row r="682" spans="1:2" ht="16.5" hidden="1" customHeight="1">
      <c r="A682" s="8">
        <v>44145</v>
      </c>
      <c r="B682" s="10">
        <v>1115.5999999999999</v>
      </c>
    </row>
    <row r="683" spans="1:2" ht="16.5" hidden="1" customHeight="1">
      <c r="A683" s="8">
        <v>44146</v>
      </c>
      <c r="B683" s="10">
        <v>1115.9000000000001</v>
      </c>
    </row>
    <row r="684" spans="1:2" ht="16.5" hidden="1" customHeight="1">
      <c r="A684" s="8">
        <v>44147</v>
      </c>
      <c r="B684" s="10">
        <v>1112.4000000000001</v>
      </c>
    </row>
    <row r="685" spans="1:2" ht="16.5" hidden="1" customHeight="1">
      <c r="A685" s="8">
        <v>44148</v>
      </c>
      <c r="B685" s="10">
        <v>1113.2</v>
      </c>
    </row>
    <row r="686" spans="1:2" ht="16.5" hidden="1" customHeight="1">
      <c r="A686" s="8">
        <v>44149</v>
      </c>
      <c r="B686" s="10">
        <v>1113.2</v>
      </c>
    </row>
    <row r="687" spans="1:2" ht="16.5" hidden="1" customHeight="1">
      <c r="A687" s="8">
        <v>44150</v>
      </c>
      <c r="B687" s="10">
        <v>1113.2</v>
      </c>
    </row>
    <row r="688" spans="1:2" ht="16.5" hidden="1" customHeight="1">
      <c r="A688" s="8">
        <v>44151</v>
      </c>
      <c r="B688" s="10">
        <v>1115.0999999999999</v>
      </c>
    </row>
    <row r="689" spans="1:2" ht="16.5" hidden="1" customHeight="1">
      <c r="A689" s="8">
        <v>44152</v>
      </c>
      <c r="B689" s="10">
        <v>1108</v>
      </c>
    </row>
    <row r="690" spans="1:2" ht="16.5" hidden="1" customHeight="1">
      <c r="A690" s="8">
        <v>44153</v>
      </c>
      <c r="B690" s="10">
        <v>1106.8</v>
      </c>
    </row>
    <row r="691" spans="1:2" ht="16.5" hidden="1" customHeight="1">
      <c r="A691" s="8">
        <v>44154</v>
      </c>
      <c r="B691" s="10">
        <v>1105.9000000000001</v>
      </c>
    </row>
    <row r="692" spans="1:2" ht="16.5" hidden="1" customHeight="1">
      <c r="A692" s="8">
        <v>44155</v>
      </c>
      <c r="B692" s="10">
        <v>1112.2</v>
      </c>
    </row>
    <row r="693" spans="1:2" ht="16.5" hidden="1" customHeight="1">
      <c r="A693" s="8">
        <v>44156</v>
      </c>
      <c r="B693" s="10">
        <v>1112.2</v>
      </c>
    </row>
    <row r="694" spans="1:2" ht="16.5" hidden="1" customHeight="1">
      <c r="A694" s="8">
        <v>44157</v>
      </c>
      <c r="B694" s="10">
        <v>1112.2</v>
      </c>
    </row>
    <row r="695" spans="1:2" ht="16.5" hidden="1" customHeight="1">
      <c r="A695" s="8">
        <v>44158</v>
      </c>
      <c r="B695" s="10">
        <v>1114.2</v>
      </c>
    </row>
    <row r="696" spans="1:2" ht="16.5" hidden="1" customHeight="1">
      <c r="A696" s="8">
        <v>44159</v>
      </c>
      <c r="B696" s="10">
        <v>1112.5999999999999</v>
      </c>
    </row>
    <row r="697" spans="1:2" ht="16.5" hidden="1" customHeight="1">
      <c r="A697" s="8">
        <v>44160</v>
      </c>
      <c r="B697" s="10">
        <v>1111.2</v>
      </c>
    </row>
    <row r="698" spans="1:2" ht="16.5" hidden="1" customHeight="1">
      <c r="A698" s="8">
        <v>44161</v>
      </c>
      <c r="B698" s="10">
        <v>1107.2</v>
      </c>
    </row>
    <row r="699" spans="1:2" ht="16.5" hidden="1" customHeight="1">
      <c r="A699" s="8">
        <v>44162</v>
      </c>
      <c r="B699" s="10">
        <v>1105.8</v>
      </c>
    </row>
    <row r="700" spans="1:2" ht="16.5" hidden="1" customHeight="1">
      <c r="A700" s="8">
        <v>44163</v>
      </c>
      <c r="B700" s="10">
        <v>1105.8</v>
      </c>
    </row>
    <row r="701" spans="1:2" ht="16.5" hidden="1" customHeight="1">
      <c r="A701" s="8">
        <v>44164</v>
      </c>
      <c r="B701" s="10">
        <v>1105.8</v>
      </c>
    </row>
    <row r="702" spans="1:2" ht="16.5" hidden="1" customHeight="1">
      <c r="A702" s="8">
        <v>44165</v>
      </c>
      <c r="B702" s="10">
        <v>1104.4000000000001</v>
      </c>
    </row>
    <row r="703" spans="1:2" ht="16.5" hidden="1" customHeight="1">
      <c r="A703" s="8">
        <v>44166</v>
      </c>
      <c r="B703" s="10">
        <v>1104.9000000000001</v>
      </c>
    </row>
    <row r="704" spans="1:2" ht="16.5" hidden="1" customHeight="1">
      <c r="A704" s="8">
        <v>44167</v>
      </c>
      <c r="B704" s="10">
        <v>1107.0999999999999</v>
      </c>
    </row>
    <row r="705" spans="1:2" ht="16.5" hidden="1" customHeight="1">
      <c r="A705" s="8">
        <v>44168</v>
      </c>
      <c r="B705" s="10">
        <v>1103.3</v>
      </c>
    </row>
    <row r="706" spans="1:2" ht="16.5" hidden="1" customHeight="1">
      <c r="A706" s="8">
        <v>44169</v>
      </c>
      <c r="B706" s="10">
        <v>1098.0999999999999</v>
      </c>
    </row>
    <row r="707" spans="1:2" ht="16.5" hidden="1" customHeight="1">
      <c r="A707" s="8">
        <v>44170</v>
      </c>
      <c r="B707" s="10">
        <v>1098.0999999999999</v>
      </c>
    </row>
    <row r="708" spans="1:2" ht="16.5" hidden="1" customHeight="1">
      <c r="A708" s="8">
        <v>44171</v>
      </c>
      <c r="B708" s="10">
        <v>1098.0999999999999</v>
      </c>
    </row>
    <row r="709" spans="1:2" ht="16.5" hidden="1" customHeight="1">
      <c r="A709" s="8">
        <v>44172</v>
      </c>
      <c r="B709" s="10">
        <v>1086.5999999999999</v>
      </c>
    </row>
    <row r="710" spans="1:2" ht="16.5" hidden="1" customHeight="1">
      <c r="A710" s="8">
        <v>44173</v>
      </c>
      <c r="B710" s="10">
        <v>1082.7</v>
      </c>
    </row>
    <row r="711" spans="1:2" ht="16.5" hidden="1" customHeight="1">
      <c r="A711" s="8">
        <v>44174</v>
      </c>
      <c r="B711" s="10">
        <v>1084.4000000000001</v>
      </c>
    </row>
    <row r="712" spans="1:2" ht="16.5" hidden="1" customHeight="1">
      <c r="A712" s="8">
        <v>44175</v>
      </c>
      <c r="B712" s="10">
        <v>1083.5999999999999</v>
      </c>
    </row>
    <row r="713" spans="1:2" ht="16.5" hidden="1" customHeight="1">
      <c r="A713" s="8">
        <v>44176</v>
      </c>
      <c r="B713" s="10">
        <v>1086.2</v>
      </c>
    </row>
    <row r="714" spans="1:2" ht="16.5" hidden="1" customHeight="1">
      <c r="A714" s="8">
        <v>44177</v>
      </c>
      <c r="B714" s="10">
        <v>1086.2</v>
      </c>
    </row>
    <row r="715" spans="1:2" ht="16.5" hidden="1" customHeight="1">
      <c r="A715" s="8">
        <v>44178</v>
      </c>
      <c r="B715" s="10">
        <v>1086.2</v>
      </c>
    </row>
    <row r="716" spans="1:2" ht="16.5" hidden="1" customHeight="1">
      <c r="A716" s="8">
        <v>44179</v>
      </c>
      <c r="B716" s="10">
        <v>1089.3</v>
      </c>
    </row>
    <row r="717" spans="1:2" ht="16.5" hidden="1" customHeight="1">
      <c r="A717" s="8">
        <v>44180</v>
      </c>
      <c r="B717" s="10">
        <v>1090.8</v>
      </c>
    </row>
    <row r="718" spans="1:2" ht="16.5" hidden="1" customHeight="1">
      <c r="A718" s="8">
        <v>44181</v>
      </c>
      <c r="B718" s="10">
        <v>1093.2</v>
      </c>
    </row>
    <row r="719" spans="1:2" ht="16.5" hidden="1" customHeight="1">
      <c r="A719" s="8">
        <v>44182</v>
      </c>
      <c r="B719" s="10">
        <v>1092.2</v>
      </c>
    </row>
    <row r="720" spans="1:2" ht="16.5" hidden="1" customHeight="1">
      <c r="A720" s="8">
        <v>44183</v>
      </c>
      <c r="B720" s="10">
        <v>1092.8</v>
      </c>
    </row>
    <row r="721" spans="1:2" ht="16.5" hidden="1" customHeight="1">
      <c r="A721" s="8">
        <v>44184</v>
      </c>
      <c r="B721" s="10">
        <v>1092.8</v>
      </c>
    </row>
    <row r="722" spans="1:2" ht="16.5" hidden="1" customHeight="1">
      <c r="A722" s="8">
        <v>44185</v>
      </c>
      <c r="B722" s="10">
        <v>1092.8</v>
      </c>
    </row>
    <row r="723" spans="1:2" ht="16.5" hidden="1" customHeight="1">
      <c r="A723" s="8">
        <v>44186</v>
      </c>
      <c r="B723" s="10">
        <v>1097.9000000000001</v>
      </c>
    </row>
    <row r="724" spans="1:2" ht="16.5" hidden="1" customHeight="1">
      <c r="A724" s="8">
        <v>44187</v>
      </c>
      <c r="B724" s="10">
        <v>1101.2</v>
      </c>
    </row>
    <row r="725" spans="1:2" ht="16.5" hidden="1" customHeight="1">
      <c r="A725" s="8">
        <v>44188</v>
      </c>
      <c r="B725" s="10">
        <v>1106.5999999999999</v>
      </c>
    </row>
    <row r="726" spans="1:2" ht="16.5" hidden="1" customHeight="1">
      <c r="A726" s="8">
        <v>44189</v>
      </c>
      <c r="B726" s="10">
        <v>1108.9000000000001</v>
      </c>
    </row>
    <row r="727" spans="1:2" ht="16.5" hidden="1" customHeight="1">
      <c r="A727" s="8">
        <v>44190</v>
      </c>
      <c r="B727" s="10">
        <v>1108.9000000000001</v>
      </c>
    </row>
    <row r="728" spans="1:2" ht="16.5" hidden="1" customHeight="1">
      <c r="A728" s="8">
        <v>44191</v>
      </c>
      <c r="B728" s="10">
        <v>1108.9000000000001</v>
      </c>
    </row>
    <row r="729" spans="1:2" ht="16.5" hidden="1" customHeight="1">
      <c r="A729" s="8">
        <v>44192</v>
      </c>
      <c r="B729" s="10">
        <v>1108.9000000000001</v>
      </c>
    </row>
    <row r="730" spans="1:2" ht="16.5" hidden="1" customHeight="1">
      <c r="A730" s="8">
        <v>44193</v>
      </c>
      <c r="B730" s="10">
        <v>1103.7</v>
      </c>
    </row>
    <row r="731" spans="1:2" ht="16.5" hidden="1" customHeight="1">
      <c r="A731" s="8">
        <v>44194</v>
      </c>
      <c r="B731" s="10">
        <v>1098.2</v>
      </c>
    </row>
    <row r="732" spans="1:2" ht="16.5" hidden="1" customHeight="1">
      <c r="A732" s="8">
        <v>44195</v>
      </c>
      <c r="B732" s="10">
        <v>1093.2</v>
      </c>
    </row>
    <row r="733" spans="1:2" ht="16.5" hidden="1" customHeight="1">
      <c r="A733" s="8">
        <v>44196</v>
      </c>
      <c r="B733" s="10">
        <v>1088</v>
      </c>
    </row>
    <row r="734" spans="1:2" ht="16.5" hidden="1" customHeight="1">
      <c r="A734" s="8">
        <v>44197</v>
      </c>
      <c r="B734" s="10">
        <v>1088</v>
      </c>
    </row>
    <row r="735" spans="1:2" ht="16.5" hidden="1" customHeight="1">
      <c r="A735" s="8">
        <v>44198</v>
      </c>
      <c r="B735" s="10">
        <v>1088</v>
      </c>
    </row>
    <row r="736" spans="1:2" ht="16.5" hidden="1" customHeight="1">
      <c r="A736" s="8">
        <v>44199</v>
      </c>
      <c r="B736" s="10">
        <v>1088</v>
      </c>
    </row>
    <row r="737" spans="1:2" ht="16.5" hidden="1" customHeight="1">
      <c r="A737" s="8">
        <v>44200</v>
      </c>
      <c r="B737" s="10">
        <v>1088</v>
      </c>
    </row>
    <row r="738" spans="1:2" ht="16.5" hidden="1" customHeight="1">
      <c r="A738" s="8">
        <v>44201</v>
      </c>
      <c r="B738" s="10">
        <v>1083.0999999999999</v>
      </c>
    </row>
    <row r="739" spans="1:2" ht="16.5" hidden="1" customHeight="1">
      <c r="A739" s="8">
        <v>44202</v>
      </c>
      <c r="B739" s="10">
        <v>1086.0999999999999</v>
      </c>
    </row>
    <row r="740" spans="1:2" ht="16.5" hidden="1" customHeight="1">
      <c r="A740" s="8">
        <v>44203</v>
      </c>
      <c r="B740" s="10">
        <v>1086.8</v>
      </c>
    </row>
    <row r="741" spans="1:2" ht="16.5" hidden="1" customHeight="1">
      <c r="A741" s="8">
        <v>44204</v>
      </c>
      <c r="B741" s="10">
        <v>1087.7</v>
      </c>
    </row>
    <row r="742" spans="1:2" ht="16.5" hidden="1" customHeight="1">
      <c r="A742" s="8">
        <v>44205</v>
      </c>
      <c r="B742" s="10">
        <v>1087.7</v>
      </c>
    </row>
    <row r="743" spans="1:2" ht="16.5" hidden="1" customHeight="1">
      <c r="A743" s="8">
        <v>44206</v>
      </c>
      <c r="B743" s="10">
        <v>1087.7</v>
      </c>
    </row>
    <row r="744" spans="1:2" ht="16.5" hidden="1" customHeight="1">
      <c r="A744" s="8">
        <v>44207</v>
      </c>
      <c r="B744" s="10">
        <v>1094.4000000000001</v>
      </c>
    </row>
    <row r="745" spans="1:2" ht="16.5" hidden="1" customHeight="1">
      <c r="A745" s="8">
        <v>44208</v>
      </c>
      <c r="B745" s="10">
        <v>1097.8</v>
      </c>
    </row>
    <row r="746" spans="1:2" ht="16.5" hidden="1" customHeight="1">
      <c r="A746" s="8">
        <v>44209</v>
      </c>
      <c r="B746" s="10">
        <v>1099.9000000000001</v>
      </c>
    </row>
    <row r="747" spans="1:2" ht="16.5" hidden="1" customHeight="1">
      <c r="A747" s="8">
        <v>44210</v>
      </c>
      <c r="B747" s="10">
        <v>1095</v>
      </c>
    </row>
    <row r="748" spans="1:2" ht="16.5" hidden="1" customHeight="1">
      <c r="A748" s="8">
        <v>44211</v>
      </c>
      <c r="B748" s="10">
        <v>1100.3</v>
      </c>
    </row>
    <row r="749" spans="1:2" ht="16.5" hidden="1" customHeight="1">
      <c r="A749" s="8">
        <v>44212</v>
      </c>
      <c r="B749" s="10">
        <v>1100.3</v>
      </c>
    </row>
    <row r="750" spans="1:2" ht="16.5" hidden="1" customHeight="1">
      <c r="A750" s="8">
        <v>44213</v>
      </c>
      <c r="B750" s="10">
        <v>1100.3</v>
      </c>
    </row>
    <row r="751" spans="1:2" ht="16.5" hidden="1" customHeight="1">
      <c r="A751" s="8">
        <v>44214</v>
      </c>
      <c r="B751" s="10">
        <v>1097.9000000000001</v>
      </c>
    </row>
    <row r="752" spans="1:2" ht="16.5" hidden="1" customHeight="1">
      <c r="A752" s="8">
        <v>44215</v>
      </c>
      <c r="B752" s="10">
        <v>1104.4000000000001</v>
      </c>
    </row>
    <row r="753" spans="1:2" ht="16.5" hidden="1" customHeight="1">
      <c r="A753" s="8">
        <v>44216</v>
      </c>
      <c r="B753" s="10">
        <v>1102.0999999999999</v>
      </c>
    </row>
    <row r="754" spans="1:2" ht="16.5" hidden="1" customHeight="1">
      <c r="A754" s="8">
        <v>44217</v>
      </c>
      <c r="B754" s="10">
        <v>1100</v>
      </c>
    </row>
    <row r="755" spans="1:2" ht="16.5" hidden="1" customHeight="1">
      <c r="A755" s="8">
        <v>44218</v>
      </c>
      <c r="B755" s="10">
        <v>1099.2</v>
      </c>
    </row>
    <row r="756" spans="1:2" ht="16.5" hidden="1" customHeight="1">
      <c r="A756" s="8">
        <v>44219</v>
      </c>
      <c r="B756" s="10">
        <v>1099.2</v>
      </c>
    </row>
    <row r="757" spans="1:2" ht="16.5" hidden="1" customHeight="1">
      <c r="A757" s="8">
        <v>44220</v>
      </c>
      <c r="B757" s="10">
        <v>1099.2</v>
      </c>
    </row>
    <row r="758" spans="1:2" ht="16.5" hidden="1" customHeight="1">
      <c r="A758" s="8">
        <v>44221</v>
      </c>
      <c r="B758" s="10">
        <v>1102.3</v>
      </c>
    </row>
    <row r="759" spans="1:2" ht="16.5" hidden="1" customHeight="1">
      <c r="A759" s="8">
        <v>44222</v>
      </c>
      <c r="B759" s="10">
        <v>1103.2</v>
      </c>
    </row>
    <row r="760" spans="1:2" ht="16.5" hidden="1" customHeight="1">
      <c r="A760" s="8">
        <v>44223</v>
      </c>
      <c r="B760" s="10">
        <v>1103</v>
      </c>
    </row>
    <row r="761" spans="1:2" ht="16.5" hidden="1" customHeight="1">
      <c r="A761" s="8">
        <v>44224</v>
      </c>
      <c r="B761" s="10">
        <v>1104</v>
      </c>
    </row>
    <row r="762" spans="1:2" ht="16.5" hidden="1" customHeight="1">
      <c r="A762" s="8">
        <v>44225</v>
      </c>
      <c r="B762" s="10">
        <v>1114.5999999999999</v>
      </c>
    </row>
    <row r="763" spans="1:2" ht="16.5" hidden="1" customHeight="1">
      <c r="A763" s="8">
        <v>44226</v>
      </c>
      <c r="B763" s="10">
        <v>1114.5999999999999</v>
      </c>
    </row>
    <row r="764" spans="1:2" ht="16.5" hidden="1" customHeight="1">
      <c r="A764" s="8">
        <v>44227</v>
      </c>
      <c r="B764" s="10">
        <v>1114.5999999999999</v>
      </c>
    </row>
    <row r="765" spans="1:2" ht="16.5" hidden="1" customHeight="1">
      <c r="A765" s="8">
        <v>44228</v>
      </c>
      <c r="B765" s="10">
        <v>1117.2</v>
      </c>
    </row>
    <row r="766" spans="1:2" ht="16.5" hidden="1" customHeight="1">
      <c r="A766" s="8">
        <v>44229</v>
      </c>
      <c r="B766" s="10">
        <v>1118</v>
      </c>
    </row>
    <row r="767" spans="1:2" ht="16.5" hidden="1" customHeight="1">
      <c r="A767" s="8">
        <v>44230</v>
      </c>
      <c r="B767" s="10">
        <v>1116.5999999999999</v>
      </c>
    </row>
    <row r="768" spans="1:2" ht="16.5" hidden="1" customHeight="1">
      <c r="A768" s="8">
        <v>44231</v>
      </c>
      <c r="B768" s="10">
        <v>1114</v>
      </c>
    </row>
    <row r="769" spans="1:2" ht="16.5" hidden="1" customHeight="1">
      <c r="A769" s="8">
        <v>44232</v>
      </c>
      <c r="B769" s="10">
        <v>1116.7</v>
      </c>
    </row>
    <row r="770" spans="1:2" ht="16.5" hidden="1" customHeight="1">
      <c r="A770" s="8">
        <v>44233</v>
      </c>
      <c r="B770" s="10">
        <v>1116.7</v>
      </c>
    </row>
    <row r="771" spans="1:2" ht="16.5" hidden="1" customHeight="1">
      <c r="A771" s="8">
        <v>44234</v>
      </c>
      <c r="B771" s="10">
        <v>1116.7</v>
      </c>
    </row>
    <row r="772" spans="1:2" ht="16.5" hidden="1" customHeight="1">
      <c r="A772" s="8">
        <v>44235</v>
      </c>
      <c r="B772" s="10">
        <v>1124</v>
      </c>
    </row>
    <row r="773" spans="1:2" ht="16.5" hidden="1" customHeight="1">
      <c r="A773" s="8">
        <v>44236</v>
      </c>
      <c r="B773" s="10">
        <v>1119.0999999999999</v>
      </c>
    </row>
    <row r="774" spans="1:2" ht="16.5" hidden="1" customHeight="1">
      <c r="A774" s="8">
        <v>44237</v>
      </c>
      <c r="B774" s="10">
        <v>1116</v>
      </c>
    </row>
    <row r="775" spans="1:2" ht="16.5" hidden="1" customHeight="1">
      <c r="A775" s="8">
        <v>44238</v>
      </c>
      <c r="B775" s="10">
        <v>1116</v>
      </c>
    </row>
    <row r="776" spans="1:2" ht="16.5" hidden="1" customHeight="1">
      <c r="A776" s="8">
        <v>44239</v>
      </c>
      <c r="B776" s="10">
        <v>1116</v>
      </c>
    </row>
    <row r="777" spans="1:2" ht="16.5" hidden="1" customHeight="1">
      <c r="A777" s="8">
        <v>44240</v>
      </c>
      <c r="B777" s="10">
        <v>1116</v>
      </c>
    </row>
    <row r="778" spans="1:2" ht="16.5" hidden="1" customHeight="1">
      <c r="A778" s="8">
        <v>44241</v>
      </c>
      <c r="B778" s="10">
        <v>1116</v>
      </c>
    </row>
    <row r="779" spans="1:2" ht="16.5" hidden="1" customHeight="1">
      <c r="A779" s="8">
        <v>44242</v>
      </c>
      <c r="B779" s="10">
        <v>1110.0999999999999</v>
      </c>
    </row>
    <row r="780" spans="1:2" ht="16.5" hidden="1" customHeight="1">
      <c r="A780" s="8">
        <v>44243</v>
      </c>
      <c r="B780" s="10">
        <v>1103.0999999999999</v>
      </c>
    </row>
    <row r="781" spans="1:2" ht="16.5" hidden="1" customHeight="1">
      <c r="A781" s="8">
        <v>44244</v>
      </c>
      <c r="B781" s="10">
        <v>1099.7</v>
      </c>
    </row>
    <row r="782" spans="1:2" ht="16.5" hidden="1" customHeight="1">
      <c r="A782" s="8">
        <v>44245</v>
      </c>
      <c r="B782" s="10">
        <v>1107.7</v>
      </c>
    </row>
    <row r="783" spans="1:2" ht="16.5" hidden="1" customHeight="1">
      <c r="A783" s="8">
        <v>44246</v>
      </c>
      <c r="B783" s="10">
        <v>1105.7</v>
      </c>
    </row>
    <row r="784" spans="1:2" ht="16.5" hidden="1" customHeight="1">
      <c r="A784" s="8">
        <v>44247</v>
      </c>
      <c r="B784" s="10">
        <v>1105.7</v>
      </c>
    </row>
    <row r="785" spans="1:2" ht="16.5" hidden="1" customHeight="1">
      <c r="A785" s="8">
        <v>44248</v>
      </c>
      <c r="B785" s="10">
        <v>1105.7</v>
      </c>
    </row>
    <row r="786" spans="1:2" ht="16.5" hidden="1" customHeight="1">
      <c r="A786" s="8">
        <v>44249</v>
      </c>
      <c r="B786" s="10">
        <v>1107.0999999999999</v>
      </c>
    </row>
    <row r="787" spans="1:2" ht="16.5" hidden="1" customHeight="1">
      <c r="A787" s="8">
        <v>44250</v>
      </c>
      <c r="B787" s="10">
        <v>1106.5</v>
      </c>
    </row>
    <row r="788" spans="1:2" ht="16.5" hidden="1" customHeight="1">
      <c r="A788" s="8">
        <v>44251</v>
      </c>
      <c r="B788" s="10">
        <v>1110.8</v>
      </c>
    </row>
    <row r="789" spans="1:2" ht="16.5" hidden="1" customHeight="1">
      <c r="A789" s="8">
        <v>44252</v>
      </c>
      <c r="B789" s="10">
        <v>1110.2</v>
      </c>
    </row>
    <row r="790" spans="1:2" ht="16.5" hidden="1" customHeight="1">
      <c r="A790" s="8">
        <v>44253</v>
      </c>
      <c r="B790" s="10">
        <v>1108.4000000000001</v>
      </c>
    </row>
    <row r="791" spans="1:2" ht="16.5" hidden="1" customHeight="1">
      <c r="A791" s="8">
        <v>44254</v>
      </c>
      <c r="B791" s="10">
        <v>1108.4000000000001</v>
      </c>
    </row>
    <row r="792" spans="1:2" ht="16.5" hidden="1" customHeight="1">
      <c r="A792" s="8">
        <v>44255</v>
      </c>
      <c r="B792" s="10">
        <v>1108.4000000000001</v>
      </c>
    </row>
    <row r="793" spans="1:2" ht="16.5" hidden="1" customHeight="1">
      <c r="A793" s="8">
        <v>44256</v>
      </c>
      <c r="B793" s="10">
        <v>1108.4000000000001</v>
      </c>
    </row>
    <row r="794" spans="1:2" ht="16.5" hidden="1" customHeight="1">
      <c r="A794" s="8">
        <v>44257</v>
      </c>
      <c r="B794" s="10">
        <v>1121.8</v>
      </c>
    </row>
    <row r="795" spans="1:2" ht="16.5" hidden="1" customHeight="1">
      <c r="A795" s="8">
        <v>44258</v>
      </c>
      <c r="B795" s="10">
        <v>1121.3</v>
      </c>
    </row>
    <row r="796" spans="1:2" ht="16.5" hidden="1" customHeight="1">
      <c r="A796" s="8">
        <v>44259</v>
      </c>
      <c r="B796" s="10">
        <v>1122.9000000000001</v>
      </c>
    </row>
    <row r="797" spans="1:2" ht="16.5" hidden="1" customHeight="1">
      <c r="A797" s="8">
        <v>44260</v>
      </c>
      <c r="B797" s="10">
        <v>1126.2</v>
      </c>
    </row>
    <row r="798" spans="1:2" ht="16.5" hidden="1" customHeight="1">
      <c r="A798" s="8">
        <v>44261</v>
      </c>
      <c r="B798" s="10">
        <v>1126.2</v>
      </c>
    </row>
    <row r="799" spans="1:2" ht="16.5" hidden="1" customHeight="1">
      <c r="A799" s="8">
        <v>44262</v>
      </c>
      <c r="B799" s="10">
        <v>1126.2</v>
      </c>
    </row>
    <row r="800" spans="1:2" ht="16.5" hidden="1" customHeight="1">
      <c r="A800" s="8">
        <v>44263</v>
      </c>
      <c r="B800" s="10">
        <v>1129.4000000000001</v>
      </c>
    </row>
    <row r="801" spans="1:2" ht="16.5" hidden="1" customHeight="1">
      <c r="A801" s="8">
        <v>44264</v>
      </c>
      <c r="B801" s="10">
        <v>1131.3</v>
      </c>
    </row>
    <row r="802" spans="1:2" ht="16.5" hidden="1" customHeight="1">
      <c r="A802" s="8">
        <v>44265</v>
      </c>
      <c r="B802" s="10">
        <v>1141.0999999999999</v>
      </c>
    </row>
    <row r="803" spans="1:2" ht="16.5" hidden="1" customHeight="1">
      <c r="A803" s="8">
        <v>44266</v>
      </c>
      <c r="B803" s="10">
        <v>1140.7</v>
      </c>
    </row>
    <row r="804" spans="1:2" ht="16.5" hidden="1" customHeight="1">
      <c r="A804" s="8">
        <v>44267</v>
      </c>
      <c r="B804" s="10">
        <v>1137.3</v>
      </c>
    </row>
    <row r="805" spans="1:2" ht="16.5" hidden="1" customHeight="1">
      <c r="A805" s="8">
        <v>44268</v>
      </c>
      <c r="B805" s="10">
        <v>1137.3</v>
      </c>
    </row>
    <row r="806" spans="1:2" ht="16.5" hidden="1" customHeight="1">
      <c r="A806" s="8">
        <v>44269</v>
      </c>
      <c r="B806" s="10">
        <v>1137.3</v>
      </c>
    </row>
    <row r="807" spans="1:2" ht="16.5" hidden="1" customHeight="1">
      <c r="A807" s="8">
        <v>44270</v>
      </c>
      <c r="B807" s="10">
        <v>1130.7</v>
      </c>
    </row>
    <row r="808" spans="1:2" ht="16.5" hidden="1" customHeight="1">
      <c r="A808" s="8">
        <v>44271</v>
      </c>
      <c r="B808" s="10">
        <v>1135.9000000000001</v>
      </c>
    </row>
    <row r="809" spans="1:2" ht="16.5" hidden="1" customHeight="1">
      <c r="A809" s="8">
        <v>44272</v>
      </c>
      <c r="B809" s="10">
        <v>1132.5</v>
      </c>
    </row>
    <row r="810" spans="1:2" ht="16.5" hidden="1" customHeight="1">
      <c r="A810" s="8">
        <v>44273</v>
      </c>
      <c r="B810" s="10">
        <v>1131.8</v>
      </c>
    </row>
    <row r="811" spans="1:2" ht="16.5" hidden="1" customHeight="1">
      <c r="A811" s="8">
        <v>44274</v>
      </c>
      <c r="B811" s="10">
        <v>1123.7</v>
      </c>
    </row>
    <row r="812" spans="1:2" ht="16.5" hidden="1" customHeight="1">
      <c r="A812" s="8">
        <v>44275</v>
      </c>
      <c r="B812" s="10">
        <v>1123.7</v>
      </c>
    </row>
    <row r="813" spans="1:2" ht="16.5" hidden="1" customHeight="1">
      <c r="A813" s="8">
        <v>44276</v>
      </c>
      <c r="B813" s="10">
        <v>1123.7</v>
      </c>
    </row>
    <row r="814" spans="1:2" ht="16.5" hidden="1" customHeight="1">
      <c r="A814" s="8">
        <v>44277</v>
      </c>
      <c r="B814" s="10">
        <v>1131.8</v>
      </c>
    </row>
    <row r="815" spans="1:2" ht="16.5" hidden="1" customHeight="1">
      <c r="A815" s="8">
        <v>44278</v>
      </c>
      <c r="B815" s="10">
        <v>1131.3</v>
      </c>
    </row>
    <row r="816" spans="1:2" ht="16.5" hidden="1" customHeight="1">
      <c r="A816" s="8">
        <v>44279</v>
      </c>
      <c r="B816" s="10">
        <v>1128</v>
      </c>
    </row>
    <row r="817" spans="1:2" ht="16.5" hidden="1" customHeight="1">
      <c r="A817" s="8">
        <v>44280</v>
      </c>
      <c r="B817" s="10">
        <v>1133.5</v>
      </c>
    </row>
    <row r="818" spans="1:2" ht="16.5" hidden="1" customHeight="1">
      <c r="A818" s="8">
        <v>44281</v>
      </c>
      <c r="B818" s="10">
        <v>1134.2</v>
      </c>
    </row>
    <row r="819" spans="1:2" ht="16.5" hidden="1" customHeight="1">
      <c r="A819" s="8">
        <v>44282</v>
      </c>
      <c r="B819" s="10">
        <v>1134.2</v>
      </c>
    </row>
    <row r="820" spans="1:2" ht="16.5" hidden="1" customHeight="1">
      <c r="A820" s="8">
        <v>44283</v>
      </c>
      <c r="B820" s="10">
        <v>1134.2</v>
      </c>
    </row>
    <row r="821" spans="1:2" ht="16.5" hidden="1" customHeight="1">
      <c r="A821" s="8">
        <v>44284</v>
      </c>
      <c r="B821" s="10">
        <v>1131.8</v>
      </c>
    </row>
    <row r="822" spans="1:2" ht="16.5" hidden="1" customHeight="1">
      <c r="A822" s="8">
        <v>44285</v>
      </c>
      <c r="B822" s="10">
        <v>1131.7</v>
      </c>
    </row>
    <row r="823" spans="1:2" ht="16.5" hidden="1" customHeight="1">
      <c r="A823" s="8">
        <v>44286</v>
      </c>
      <c r="B823" s="10">
        <v>1133.5</v>
      </c>
    </row>
    <row r="824" spans="1:2" ht="16.5" hidden="1" customHeight="1">
      <c r="A824" s="8">
        <v>44287</v>
      </c>
      <c r="B824" s="10">
        <v>1132.5999999999999</v>
      </c>
    </row>
    <row r="825" spans="1:2" ht="16.5" hidden="1" customHeight="1">
      <c r="A825" s="8">
        <v>44288</v>
      </c>
      <c r="B825" s="10">
        <v>1129.3</v>
      </c>
    </row>
    <row r="826" spans="1:2" ht="16.5" hidden="1" customHeight="1">
      <c r="A826" s="8">
        <v>44289</v>
      </c>
      <c r="B826" s="10">
        <v>1129.3</v>
      </c>
    </row>
    <row r="827" spans="1:2" ht="16.5" hidden="1" customHeight="1">
      <c r="A827" s="8">
        <v>44290</v>
      </c>
      <c r="B827" s="10">
        <v>1129.3</v>
      </c>
    </row>
    <row r="828" spans="1:2" ht="16.5" hidden="1" customHeight="1">
      <c r="A828" s="8">
        <v>44291</v>
      </c>
      <c r="B828" s="10">
        <v>1127.5</v>
      </c>
    </row>
    <row r="829" spans="1:2" ht="16.5" hidden="1" customHeight="1">
      <c r="A829" s="8">
        <v>44292</v>
      </c>
      <c r="B829" s="10">
        <v>1127.8</v>
      </c>
    </row>
    <row r="830" spans="1:2" ht="16.5" hidden="1" customHeight="1">
      <c r="A830" s="8">
        <v>44293</v>
      </c>
      <c r="B830" s="10">
        <v>1122.9000000000001</v>
      </c>
    </row>
    <row r="831" spans="1:2" ht="16.5" hidden="1" customHeight="1">
      <c r="A831" s="8">
        <v>44294</v>
      </c>
      <c r="B831" s="10">
        <v>1116.4000000000001</v>
      </c>
    </row>
    <row r="832" spans="1:2" ht="16.5" hidden="1" customHeight="1">
      <c r="A832" s="8">
        <v>44295</v>
      </c>
      <c r="B832" s="10">
        <v>1118.5</v>
      </c>
    </row>
    <row r="833" spans="1:2" ht="16.5" hidden="1" customHeight="1">
      <c r="A833" s="8">
        <v>44296</v>
      </c>
      <c r="B833" s="10">
        <v>1118.5</v>
      </c>
    </row>
    <row r="834" spans="1:2" ht="16.5" hidden="1" customHeight="1">
      <c r="A834" s="8">
        <v>44297</v>
      </c>
      <c r="B834" s="10">
        <v>1118.5</v>
      </c>
    </row>
    <row r="835" spans="1:2" ht="16.5" hidden="1" customHeight="1">
      <c r="A835" s="8">
        <v>44298</v>
      </c>
      <c r="B835" s="10">
        <v>1117.2</v>
      </c>
    </row>
    <row r="836" spans="1:2" ht="16.5" hidden="1" customHeight="1">
      <c r="A836" s="8">
        <v>44299</v>
      </c>
      <c r="B836" s="10">
        <v>1124.3</v>
      </c>
    </row>
    <row r="837" spans="1:2" ht="16.5" hidden="1" customHeight="1">
      <c r="A837" s="8">
        <v>44300</v>
      </c>
      <c r="B837" s="10">
        <v>1126.0999999999999</v>
      </c>
    </row>
    <row r="838" spans="1:2" ht="16.5" hidden="1" customHeight="1">
      <c r="A838" s="8">
        <v>44301</v>
      </c>
      <c r="B838" s="10">
        <v>1119.9000000000001</v>
      </c>
    </row>
    <row r="839" spans="1:2" ht="16.5" hidden="1" customHeight="1">
      <c r="A839" s="8">
        <v>44302</v>
      </c>
      <c r="B839" s="10">
        <v>1117.5999999999999</v>
      </c>
    </row>
    <row r="840" spans="1:2" ht="16.5" hidden="1" customHeight="1">
      <c r="A840" s="8">
        <v>44303</v>
      </c>
      <c r="B840" s="10">
        <v>1117.5999999999999</v>
      </c>
    </row>
    <row r="841" spans="1:2" ht="16.5" hidden="1" customHeight="1">
      <c r="A841" s="8">
        <v>44304</v>
      </c>
      <c r="B841" s="10">
        <v>1117.5999999999999</v>
      </c>
    </row>
    <row r="842" spans="1:2" ht="16.5" hidden="1" customHeight="1">
      <c r="A842" s="8">
        <v>44305</v>
      </c>
      <c r="B842" s="10">
        <v>1117.9000000000001</v>
      </c>
    </row>
    <row r="843" spans="1:2" ht="16.5" hidden="1" customHeight="1">
      <c r="A843" s="8">
        <v>44306</v>
      </c>
      <c r="B843" s="10">
        <v>1118.2</v>
      </c>
    </row>
    <row r="844" spans="1:2" ht="16.5" hidden="1" customHeight="1">
      <c r="A844" s="8">
        <v>44307</v>
      </c>
      <c r="B844" s="10">
        <v>1113.4000000000001</v>
      </c>
    </row>
    <row r="845" spans="1:2" ht="16.5" hidden="1" customHeight="1">
      <c r="A845" s="8">
        <v>44308</v>
      </c>
      <c r="B845" s="10">
        <v>1117.4000000000001</v>
      </c>
    </row>
    <row r="846" spans="1:2" ht="16.5" hidden="1" customHeight="1">
      <c r="A846" s="8">
        <v>44309</v>
      </c>
      <c r="B846" s="10">
        <v>1116.3</v>
      </c>
    </row>
    <row r="847" spans="1:2" ht="16.5" hidden="1" customHeight="1">
      <c r="A847" s="8">
        <v>44310</v>
      </c>
      <c r="B847" s="10">
        <v>1116.3</v>
      </c>
    </row>
    <row r="848" spans="1:2" ht="16.5" hidden="1" customHeight="1">
      <c r="A848" s="8">
        <v>44311</v>
      </c>
      <c r="B848" s="10">
        <v>1116.3</v>
      </c>
    </row>
    <row r="849" spans="1:6" ht="16.5" hidden="1" customHeight="1">
      <c r="A849" s="8">
        <v>44312</v>
      </c>
      <c r="B849" s="10">
        <v>1118.9000000000001</v>
      </c>
    </row>
    <row r="850" spans="1:6" ht="16.5" hidden="1" customHeight="1">
      <c r="A850" s="8">
        <v>44313</v>
      </c>
      <c r="B850" s="10">
        <v>1114</v>
      </c>
    </row>
    <row r="851" spans="1:6" ht="16.5" hidden="1" customHeight="1">
      <c r="A851" s="8">
        <v>44314</v>
      </c>
      <c r="B851" s="10">
        <v>1110.8</v>
      </c>
    </row>
    <row r="852" spans="1:6" ht="16.5" hidden="1" customHeight="1">
      <c r="A852" s="8">
        <v>44315</v>
      </c>
      <c r="B852" s="10">
        <v>1112.5</v>
      </c>
    </row>
    <row r="853" spans="1:6" ht="16.5" hidden="1" customHeight="1">
      <c r="A853" s="8">
        <v>44316</v>
      </c>
      <c r="B853" s="10">
        <v>1107.4000000000001</v>
      </c>
    </row>
    <row r="854" spans="1:6" ht="16.5" hidden="1" customHeight="1">
      <c r="A854" s="8">
        <v>44317</v>
      </c>
      <c r="B854" s="10">
        <v>1107.4000000000001</v>
      </c>
      <c r="E854" t="s">
        <v>47</v>
      </c>
      <c r="F854" s="12" t="e">
        <f>#REF!+60</f>
        <v>#REF!</v>
      </c>
    </row>
    <row r="855" spans="1:6" ht="16.5" hidden="1" customHeight="1">
      <c r="A855" s="8">
        <v>44318</v>
      </c>
      <c r="B855" s="10">
        <v>1107.4000000000001</v>
      </c>
      <c r="E855" t="s">
        <v>40</v>
      </c>
      <c r="F855" s="12" t="e">
        <f>#REF!+60</f>
        <v>#REF!</v>
      </c>
    </row>
    <row r="856" spans="1:6" ht="16.5" hidden="1" customHeight="1">
      <c r="A856" s="8">
        <v>44319</v>
      </c>
      <c r="B856" s="10">
        <v>1109.5999999999999</v>
      </c>
      <c r="E856" t="s">
        <v>34</v>
      </c>
      <c r="F856" s="12" t="e">
        <f>#REF!+45</f>
        <v>#REF!</v>
      </c>
    </row>
    <row r="857" spans="1:6" ht="16.5" hidden="1" customHeight="1">
      <c r="A857" s="8">
        <v>44320</v>
      </c>
      <c r="B857" s="10">
        <v>1119.3</v>
      </c>
      <c r="E857" t="s">
        <v>39</v>
      </c>
      <c r="F857" s="12" t="e">
        <f>#REF!+45</f>
        <v>#REF!</v>
      </c>
    </row>
    <row r="858" spans="1:6" ht="16.5" hidden="1" customHeight="1">
      <c r="A858" s="8">
        <v>44321</v>
      </c>
      <c r="B858" s="10">
        <v>1119.3</v>
      </c>
      <c r="E858" t="s">
        <v>41</v>
      </c>
      <c r="F858" s="12"/>
    </row>
    <row r="859" spans="1:6" ht="16.5" hidden="1" customHeight="1">
      <c r="A859" s="8">
        <v>44322</v>
      </c>
      <c r="B859" s="10">
        <v>1121.0999999999999</v>
      </c>
      <c r="E859" t="s">
        <v>42</v>
      </c>
      <c r="F859" s="12"/>
    </row>
    <row r="860" spans="1:6" ht="16.5" hidden="1" customHeight="1">
      <c r="A860" s="8">
        <v>44323</v>
      </c>
      <c r="B860" s="10">
        <v>1125.5</v>
      </c>
      <c r="E860" t="s">
        <v>45</v>
      </c>
    </row>
    <row r="861" spans="1:6" ht="16.5" hidden="1" customHeight="1">
      <c r="A861" s="8">
        <v>44324</v>
      </c>
      <c r="B861" s="10">
        <v>1125.5</v>
      </c>
    </row>
    <row r="862" spans="1:6" ht="16.5" hidden="1" customHeight="1">
      <c r="A862" s="8">
        <v>44325</v>
      </c>
      <c r="B862" s="10">
        <v>1125.5</v>
      </c>
    </row>
    <row r="863" spans="1:6" ht="16.5" hidden="1" customHeight="1">
      <c r="A863" s="8">
        <v>44326</v>
      </c>
      <c r="B863" s="10">
        <v>1121.4000000000001</v>
      </c>
    </row>
    <row r="864" spans="1:6" ht="16.5" hidden="1" customHeight="1">
      <c r="A864" s="8">
        <v>44327</v>
      </c>
      <c r="B864" s="10">
        <v>1114.5999999999999</v>
      </c>
    </row>
    <row r="865" spans="1:2" ht="16.5" hidden="1" customHeight="1">
      <c r="A865" s="8">
        <v>44328</v>
      </c>
      <c r="B865" s="10">
        <v>1119.0999999999999</v>
      </c>
    </row>
    <row r="866" spans="1:2" ht="16.5" hidden="1" customHeight="1">
      <c r="A866" s="8">
        <v>44329</v>
      </c>
      <c r="B866" s="10">
        <v>1123.5</v>
      </c>
    </row>
    <row r="867" spans="1:2" ht="16.5" hidden="1" customHeight="1">
      <c r="A867" s="8">
        <v>44330</v>
      </c>
      <c r="B867" s="10">
        <v>1130.5999999999999</v>
      </c>
    </row>
    <row r="868" spans="1:2" ht="16.5" hidden="1" customHeight="1">
      <c r="A868" s="8">
        <v>44331</v>
      </c>
      <c r="B868" s="10">
        <v>1130.5999999999999</v>
      </c>
    </row>
    <row r="869" spans="1:2" ht="16.5" hidden="1" customHeight="1">
      <c r="A869" s="8">
        <v>44332</v>
      </c>
      <c r="B869" s="10">
        <v>1130.5999999999999</v>
      </c>
    </row>
    <row r="870" spans="1:2" ht="16.5" hidden="1" customHeight="1">
      <c r="A870" s="8">
        <v>44333</v>
      </c>
      <c r="B870" s="10">
        <v>1129.5</v>
      </c>
    </row>
    <row r="871" spans="1:2" ht="16.5" hidden="1" customHeight="1">
      <c r="A871" s="8">
        <v>44334</v>
      </c>
      <c r="B871" s="10">
        <v>1133</v>
      </c>
    </row>
    <row r="872" spans="1:2" ht="16.5" hidden="1" customHeight="1">
      <c r="A872" s="8">
        <v>44335</v>
      </c>
      <c r="B872" s="10">
        <v>1133</v>
      </c>
    </row>
    <row r="873" spans="1:2" ht="16.5" hidden="1" customHeight="1">
      <c r="A873" s="8">
        <v>44336</v>
      </c>
      <c r="B873" s="10">
        <v>1133.0999999999999</v>
      </c>
    </row>
    <row r="874" spans="1:2" ht="16.5" hidden="1" customHeight="1">
      <c r="A874" s="8">
        <v>44337</v>
      </c>
      <c r="B874" s="10">
        <v>1132.2</v>
      </c>
    </row>
    <row r="875" spans="1:2" ht="16.5" hidden="1" customHeight="1">
      <c r="A875" s="8">
        <v>44338</v>
      </c>
      <c r="B875" s="10">
        <v>1132.2</v>
      </c>
    </row>
    <row r="876" spans="1:2" ht="16.5" hidden="1" customHeight="1">
      <c r="A876" s="8">
        <v>44339</v>
      </c>
      <c r="B876" s="10">
        <v>1132.2</v>
      </c>
    </row>
    <row r="877" spans="1:2" ht="16.5" hidden="1" customHeight="1">
      <c r="A877" s="8">
        <v>44340</v>
      </c>
      <c r="B877" s="10">
        <v>1126.9000000000001</v>
      </c>
    </row>
    <row r="878" spans="1:2" ht="16.5" hidden="1" customHeight="1">
      <c r="A878" s="8">
        <v>44341</v>
      </c>
      <c r="B878" s="10">
        <v>1127.5999999999999</v>
      </c>
    </row>
    <row r="879" spans="1:2" ht="16.5" hidden="1" customHeight="1">
      <c r="A879" s="8">
        <v>44342</v>
      </c>
      <c r="B879" s="10">
        <v>1122.8</v>
      </c>
    </row>
    <row r="880" spans="1:2" ht="16.5" hidden="1" customHeight="1">
      <c r="A880" s="8">
        <v>44343</v>
      </c>
      <c r="B880" s="10">
        <v>1118.5999999999999</v>
      </c>
    </row>
    <row r="881" spans="1:2" ht="16.5" hidden="1" customHeight="1">
      <c r="A881" s="8">
        <v>44344</v>
      </c>
      <c r="B881" s="10">
        <v>1118</v>
      </c>
    </row>
    <row r="882" spans="1:2" ht="16.5" hidden="1" customHeight="1">
      <c r="A882" s="8">
        <v>44345</v>
      </c>
      <c r="B882" s="10">
        <v>1118</v>
      </c>
    </row>
    <row r="883" spans="1:2" ht="16.5" hidden="1" customHeight="1">
      <c r="A883" s="8">
        <v>44346</v>
      </c>
      <c r="B883" s="10">
        <v>1118</v>
      </c>
    </row>
    <row r="884" spans="1:2" ht="16.5" hidden="1" customHeight="1">
      <c r="A884" s="8">
        <v>44347</v>
      </c>
      <c r="B884" s="10">
        <v>1116</v>
      </c>
    </row>
    <row r="885" spans="1:2" ht="16.5" hidden="1" customHeight="1">
      <c r="A885" s="8">
        <v>44348</v>
      </c>
      <c r="B885" s="10">
        <v>1113.5</v>
      </c>
    </row>
    <row r="886" spans="1:2" ht="16.5" hidden="1" customHeight="1">
      <c r="A886" s="8">
        <v>44349</v>
      </c>
      <c r="B886" s="10">
        <v>1107</v>
      </c>
    </row>
    <row r="887" spans="1:2" ht="16.5" hidden="1" customHeight="1">
      <c r="A887" s="8">
        <v>44350</v>
      </c>
      <c r="B887" s="10">
        <v>1110.3</v>
      </c>
    </row>
    <row r="888" spans="1:2" ht="16.5" hidden="1" customHeight="1">
      <c r="A888" s="8">
        <v>44351</v>
      </c>
      <c r="B888" s="10">
        <v>1111.8</v>
      </c>
    </row>
    <row r="889" spans="1:2" ht="16.5" hidden="1" customHeight="1">
      <c r="A889" s="8">
        <v>44352</v>
      </c>
      <c r="B889" s="10">
        <v>1111.8</v>
      </c>
    </row>
    <row r="890" spans="1:2" ht="16.5" hidden="1" customHeight="1">
      <c r="A890" s="8">
        <v>44353</v>
      </c>
      <c r="B890" s="10">
        <v>1111.8</v>
      </c>
    </row>
    <row r="891" spans="1:2" ht="16.5" hidden="1" customHeight="1">
      <c r="A891" s="8">
        <v>44354</v>
      </c>
      <c r="B891" s="10">
        <v>1117.5</v>
      </c>
    </row>
    <row r="892" spans="1:2" ht="16.5" hidden="1" customHeight="1">
      <c r="A892" s="8">
        <v>44355</v>
      </c>
      <c r="B892" s="10">
        <v>1111.2</v>
      </c>
    </row>
    <row r="893" spans="1:2" ht="16.5" hidden="1" customHeight="1">
      <c r="A893" s="8">
        <v>44356</v>
      </c>
      <c r="B893" s="10">
        <v>1113.7</v>
      </c>
    </row>
    <row r="894" spans="1:2" ht="16.5" hidden="1" customHeight="1">
      <c r="A894" s="8">
        <v>44357</v>
      </c>
      <c r="B894" s="10">
        <v>1115.8</v>
      </c>
    </row>
    <row r="895" spans="1:2" ht="16.5" hidden="1" customHeight="1">
      <c r="A895" s="8">
        <v>44358</v>
      </c>
      <c r="B895" s="10">
        <v>1115</v>
      </c>
    </row>
    <row r="896" spans="1:2" ht="16.5" hidden="1" customHeight="1">
      <c r="A896" s="8">
        <v>44359</v>
      </c>
      <c r="B896" s="10">
        <v>1115</v>
      </c>
    </row>
    <row r="897" spans="1:2" ht="16.5" hidden="1" customHeight="1">
      <c r="A897" s="8">
        <v>44360</v>
      </c>
      <c r="B897" s="10">
        <v>1115</v>
      </c>
    </row>
    <row r="898" spans="1:2" ht="16.5" hidden="1" customHeight="1">
      <c r="A898" s="8">
        <v>44361</v>
      </c>
      <c r="B898" s="10">
        <v>1111.2</v>
      </c>
    </row>
    <row r="899" spans="1:2" ht="16.5" hidden="1" customHeight="1">
      <c r="A899" s="8">
        <v>44362</v>
      </c>
      <c r="B899" s="10">
        <v>1116.4000000000001</v>
      </c>
    </row>
    <row r="900" spans="1:2" ht="16.5" hidden="1" customHeight="1">
      <c r="A900" s="8">
        <v>44363</v>
      </c>
      <c r="B900" s="10">
        <v>1117.8</v>
      </c>
    </row>
    <row r="901" spans="1:2" ht="16.5" hidden="1" customHeight="1">
      <c r="A901" s="8">
        <v>44364</v>
      </c>
      <c r="B901" s="10">
        <v>1117.7</v>
      </c>
    </row>
    <row r="902" spans="1:2" ht="16.5" hidden="1" customHeight="1">
      <c r="A902" s="8">
        <v>44365</v>
      </c>
      <c r="B902" s="10">
        <v>1129.5</v>
      </c>
    </row>
    <row r="903" spans="1:2" ht="16.5" hidden="1" customHeight="1">
      <c r="A903" s="8">
        <v>44366</v>
      </c>
      <c r="B903" s="10">
        <v>1129.5</v>
      </c>
    </row>
    <row r="904" spans="1:2" ht="16.5" hidden="1" customHeight="1">
      <c r="A904" s="8">
        <v>44367</v>
      </c>
      <c r="B904" s="10">
        <v>1129.5</v>
      </c>
    </row>
    <row r="905" spans="1:2" ht="16.5" hidden="1" customHeight="1">
      <c r="A905" s="8">
        <v>44368</v>
      </c>
      <c r="B905" s="10">
        <v>1132.2</v>
      </c>
    </row>
    <row r="906" spans="1:2" ht="16.5" hidden="1" customHeight="1">
      <c r="A906" s="8">
        <v>44369</v>
      </c>
      <c r="B906" s="10">
        <v>1135.4000000000001</v>
      </c>
    </row>
    <row r="907" spans="1:2" ht="16.5" hidden="1" customHeight="1">
      <c r="A907" s="8">
        <v>44370</v>
      </c>
      <c r="B907" s="10">
        <v>1132.4000000000001</v>
      </c>
    </row>
    <row r="908" spans="1:2" ht="16.5" hidden="1" customHeight="1">
      <c r="A908" s="8">
        <v>44371</v>
      </c>
      <c r="B908" s="10">
        <v>1135.5999999999999</v>
      </c>
    </row>
    <row r="909" spans="1:2" ht="16.5" hidden="1" customHeight="1">
      <c r="A909" s="8">
        <v>44372</v>
      </c>
      <c r="B909" s="10">
        <v>1135.8</v>
      </c>
    </row>
    <row r="910" spans="1:2" ht="16.5" hidden="1" customHeight="1">
      <c r="A910" s="8">
        <v>44373</v>
      </c>
      <c r="B910" s="10">
        <v>1135.8</v>
      </c>
    </row>
    <row r="911" spans="1:2" ht="16.5" hidden="1" customHeight="1">
      <c r="A911" s="8">
        <v>44374</v>
      </c>
      <c r="B911" s="10">
        <v>1135.8</v>
      </c>
    </row>
    <row r="912" spans="1:2" ht="16.5" hidden="1" customHeight="1">
      <c r="A912" s="8">
        <v>44375</v>
      </c>
      <c r="B912" s="10">
        <v>1128.8</v>
      </c>
    </row>
    <row r="913" spans="1:2" ht="16.5" hidden="1" customHeight="1">
      <c r="A913" s="8">
        <v>44376</v>
      </c>
      <c r="B913" s="10">
        <v>1129.9000000000001</v>
      </c>
    </row>
    <row r="914" spans="1:2" ht="16.5" hidden="1" customHeight="1">
      <c r="A914" s="8">
        <v>44377</v>
      </c>
      <c r="B914" s="10">
        <v>1130</v>
      </c>
    </row>
    <row r="915" spans="1:2" ht="16.5" hidden="1" customHeight="1">
      <c r="A915" s="8">
        <v>44378</v>
      </c>
      <c r="B915" s="10">
        <v>1129.5</v>
      </c>
    </row>
    <row r="916" spans="1:2" ht="16.5" hidden="1" customHeight="1">
      <c r="A916" s="8">
        <v>44379</v>
      </c>
      <c r="B916" s="10">
        <v>1132.2</v>
      </c>
    </row>
    <row r="917" spans="1:2" ht="16.5" hidden="1" customHeight="1">
      <c r="A917" s="8">
        <v>44380</v>
      </c>
      <c r="B917" s="10">
        <v>1132.2</v>
      </c>
    </row>
    <row r="918" spans="1:2" ht="16.5" hidden="1" customHeight="1">
      <c r="A918" s="8">
        <v>44381</v>
      </c>
      <c r="B918" s="10">
        <v>1132.2</v>
      </c>
    </row>
    <row r="919" spans="1:2" ht="16.5" hidden="1" customHeight="1">
      <c r="A919" s="8">
        <v>44382</v>
      </c>
      <c r="B919" s="10">
        <v>1134.5</v>
      </c>
    </row>
    <row r="920" spans="1:2" ht="16.5" hidden="1" customHeight="1">
      <c r="A920" s="8">
        <v>44383</v>
      </c>
      <c r="B920" s="10">
        <v>1130.3</v>
      </c>
    </row>
    <row r="921" spans="1:2" ht="16.5" hidden="1" customHeight="1">
      <c r="A921" s="8">
        <v>44384</v>
      </c>
      <c r="B921" s="10">
        <v>1131.8</v>
      </c>
    </row>
    <row r="922" spans="1:2" ht="16.5" hidden="1" customHeight="1">
      <c r="A922" s="8">
        <v>44385</v>
      </c>
      <c r="B922" s="10">
        <v>1137.5999999999999</v>
      </c>
    </row>
    <row r="923" spans="1:2" ht="16.5" hidden="1" customHeight="1">
      <c r="A923" s="8">
        <v>44386</v>
      </c>
      <c r="B923" s="10">
        <v>1143.4000000000001</v>
      </c>
    </row>
    <row r="924" spans="1:2" ht="16.5" hidden="1" customHeight="1">
      <c r="A924" s="8">
        <v>44387</v>
      </c>
      <c r="B924" s="10">
        <v>1143.4000000000001</v>
      </c>
    </row>
    <row r="925" spans="1:2" ht="16.5" hidden="1" customHeight="1">
      <c r="A925" s="8">
        <v>44388</v>
      </c>
      <c r="B925" s="10">
        <v>1143.4000000000001</v>
      </c>
    </row>
    <row r="926" spans="1:2" ht="16.5" hidden="1" customHeight="1">
      <c r="A926" s="8">
        <v>44389</v>
      </c>
      <c r="B926" s="10">
        <v>1148.3</v>
      </c>
    </row>
    <row r="927" spans="1:2" ht="16.5" hidden="1" customHeight="1">
      <c r="A927" s="8">
        <v>44390</v>
      </c>
      <c r="B927" s="10">
        <v>1146.4000000000001</v>
      </c>
    </row>
    <row r="928" spans="1:2" ht="16.5" hidden="1" customHeight="1">
      <c r="A928" s="8">
        <v>44391</v>
      </c>
      <c r="B928" s="10">
        <v>1145.0999999999999</v>
      </c>
    </row>
    <row r="929" spans="1:2" ht="16.5" hidden="1" customHeight="1">
      <c r="A929" s="8">
        <v>44392</v>
      </c>
      <c r="B929" s="10">
        <v>1150.3</v>
      </c>
    </row>
    <row r="930" spans="1:2" ht="16.5" hidden="1" customHeight="1">
      <c r="A930" s="8">
        <v>44393</v>
      </c>
      <c r="B930" s="10">
        <v>1143.7</v>
      </c>
    </row>
    <row r="931" spans="1:2" ht="16.5" hidden="1" customHeight="1">
      <c r="A931" s="8">
        <v>44394</v>
      </c>
      <c r="B931" s="10">
        <v>1143.7</v>
      </c>
    </row>
    <row r="932" spans="1:2" ht="16.5" hidden="1" customHeight="1">
      <c r="A932" s="8">
        <v>44395</v>
      </c>
      <c r="B932" s="10">
        <v>1143.7</v>
      </c>
    </row>
    <row r="933" spans="1:2" ht="16.5" hidden="1" customHeight="1">
      <c r="A933" s="8">
        <v>44396</v>
      </c>
      <c r="B933" s="10">
        <v>1141.0999999999999</v>
      </c>
    </row>
    <row r="934" spans="1:2" ht="16.5" hidden="1" customHeight="1">
      <c r="A934" s="8">
        <v>44397</v>
      </c>
      <c r="B934" s="10">
        <v>1145.7</v>
      </c>
    </row>
    <row r="935" spans="1:2" ht="16.5" hidden="1" customHeight="1">
      <c r="A935" s="8">
        <v>44398</v>
      </c>
      <c r="B935" s="10">
        <v>1151</v>
      </c>
    </row>
    <row r="936" spans="1:2" ht="16.5" hidden="1" customHeight="1">
      <c r="A936" s="8">
        <v>44399</v>
      </c>
      <c r="B936" s="10">
        <v>1050.5999999999999</v>
      </c>
    </row>
    <row r="937" spans="1:2" ht="16.5" hidden="1" customHeight="1">
      <c r="A937" s="8">
        <v>44400</v>
      </c>
      <c r="B937" s="10">
        <v>1151</v>
      </c>
    </row>
    <row r="938" spans="1:2" ht="16.5" hidden="1" customHeight="1">
      <c r="A938" s="8">
        <v>44401</v>
      </c>
      <c r="B938" s="10">
        <v>1151</v>
      </c>
    </row>
    <row r="939" spans="1:2" ht="16.5" hidden="1" customHeight="1">
      <c r="A939" s="8">
        <v>44402</v>
      </c>
      <c r="B939" s="10">
        <v>1151</v>
      </c>
    </row>
    <row r="940" spans="1:2" ht="16.5" hidden="1" customHeight="1">
      <c r="A940" s="8">
        <v>44403</v>
      </c>
      <c r="B940" s="10">
        <v>1149.5</v>
      </c>
    </row>
    <row r="941" spans="1:2" ht="16.5" hidden="1" customHeight="1">
      <c r="A941" s="8">
        <v>44404</v>
      </c>
      <c r="B941" s="10">
        <v>1153.2</v>
      </c>
    </row>
    <row r="942" spans="1:2" ht="16.5" hidden="1" customHeight="1">
      <c r="A942" s="8">
        <v>44405</v>
      </c>
      <c r="B942" s="10">
        <v>1150.2</v>
      </c>
    </row>
    <row r="943" spans="1:2" ht="16.5" hidden="1" customHeight="1">
      <c r="A943" s="8">
        <v>44406</v>
      </c>
      <c r="B943" s="10">
        <v>1154.8</v>
      </c>
    </row>
    <row r="944" spans="1:2" ht="16.5" hidden="1" customHeight="1">
      <c r="A944" s="8">
        <v>44407</v>
      </c>
      <c r="B944" s="10">
        <v>1147.4000000000001</v>
      </c>
    </row>
    <row r="945" spans="1:2" ht="16.5" hidden="1" customHeight="1">
      <c r="A945" s="8">
        <v>44408</v>
      </c>
      <c r="B945" s="10">
        <v>1147.4000000000001</v>
      </c>
    </row>
    <row r="946" spans="1:2" ht="16.5" hidden="1" customHeight="1">
      <c r="A946" s="8">
        <v>44409</v>
      </c>
      <c r="B946" s="10">
        <v>1147.4000000000001</v>
      </c>
    </row>
    <row r="947" spans="1:2" ht="16.5" hidden="1" customHeight="1">
      <c r="A947" s="8">
        <v>44410</v>
      </c>
      <c r="B947" s="10">
        <v>1147.5</v>
      </c>
    </row>
    <row r="948" spans="1:2" ht="16.5" hidden="1" customHeight="1">
      <c r="A948" s="8">
        <v>44411</v>
      </c>
      <c r="B948" s="10">
        <v>1151.5</v>
      </c>
    </row>
    <row r="949" spans="1:2" ht="16.5" hidden="1" customHeight="1">
      <c r="A949" s="8">
        <v>44412</v>
      </c>
      <c r="B949" s="10">
        <v>1150.7</v>
      </c>
    </row>
    <row r="950" spans="1:2" ht="16.5" hidden="1" customHeight="1">
      <c r="A950" s="8">
        <v>44413</v>
      </c>
      <c r="B950" s="10">
        <v>1145.8</v>
      </c>
    </row>
    <row r="951" spans="1:2" ht="16.5" hidden="1" customHeight="1">
      <c r="A951" s="8">
        <v>44414</v>
      </c>
      <c r="B951" s="10">
        <v>1143.5</v>
      </c>
    </row>
    <row r="952" spans="1:2" ht="16.5" hidden="1" customHeight="1">
      <c r="A952" s="8">
        <v>44415</v>
      </c>
      <c r="B952" s="10">
        <v>1143.5</v>
      </c>
    </row>
    <row r="953" spans="1:2" ht="16.5" hidden="1" customHeight="1">
      <c r="A953" s="8">
        <v>44416</v>
      </c>
      <c r="B953" s="10">
        <v>1143.5</v>
      </c>
    </row>
    <row r="954" spans="1:2" ht="16.5" hidden="1" customHeight="1">
      <c r="A954" s="8">
        <v>44417</v>
      </c>
      <c r="B954" s="10">
        <v>1142.3</v>
      </c>
    </row>
    <row r="955" spans="1:2" ht="16.5" hidden="1" customHeight="1">
      <c r="A955" s="8">
        <v>44418</v>
      </c>
      <c r="B955" s="10">
        <v>1145</v>
      </c>
    </row>
    <row r="956" spans="1:2" ht="16.5" hidden="1" customHeight="1">
      <c r="A956" s="8">
        <v>44419</v>
      </c>
      <c r="B956" s="10">
        <v>1148.5</v>
      </c>
    </row>
    <row r="957" spans="1:2" ht="16.5" hidden="1" customHeight="1">
      <c r="A957" s="8">
        <v>44420</v>
      </c>
      <c r="B957" s="10">
        <v>1155</v>
      </c>
    </row>
    <row r="958" spans="1:2" ht="16.5" hidden="1" customHeight="1">
      <c r="A958" s="8">
        <v>44421</v>
      </c>
      <c r="B958" s="10">
        <v>1158.9000000000001</v>
      </c>
    </row>
    <row r="959" spans="1:2" ht="16.5" hidden="1" customHeight="1">
      <c r="A959" s="8">
        <v>44422</v>
      </c>
      <c r="B959" s="10">
        <v>1158.9000000000001</v>
      </c>
    </row>
    <row r="960" spans="1:2" ht="16.5" hidden="1" customHeight="1">
      <c r="A960" s="8">
        <v>44423</v>
      </c>
      <c r="B960" s="10">
        <v>1158.9000000000001</v>
      </c>
    </row>
    <row r="961" spans="1:2" ht="16.5" hidden="1" customHeight="1">
      <c r="A961" s="8">
        <v>44424</v>
      </c>
      <c r="B961" s="10">
        <v>1158.9000000000001</v>
      </c>
    </row>
    <row r="962" spans="1:2" ht="16.5" hidden="1" customHeight="1">
      <c r="A962" s="8">
        <v>44425</v>
      </c>
      <c r="B962" s="10">
        <v>1167.8</v>
      </c>
    </row>
    <row r="963" spans="1:2" ht="16.5" hidden="1" customHeight="1">
      <c r="A963" s="8">
        <v>44426</v>
      </c>
      <c r="B963" s="10">
        <v>1174.9000000000001</v>
      </c>
    </row>
    <row r="964" spans="1:2" ht="16.5" hidden="1" customHeight="1">
      <c r="A964" s="8">
        <v>44427</v>
      </c>
      <c r="B964" s="10">
        <v>1172.7</v>
      </c>
    </row>
    <row r="965" spans="1:2" ht="16.5" hidden="1" customHeight="1">
      <c r="A965" s="8">
        <v>44428</v>
      </c>
      <c r="B965" s="10">
        <v>1174.5</v>
      </c>
    </row>
    <row r="966" spans="1:2" ht="16.5" hidden="1" customHeight="1">
      <c r="A966" s="8">
        <v>44429</v>
      </c>
      <c r="B966" s="10">
        <v>1174.5</v>
      </c>
    </row>
    <row r="967" spans="1:2" ht="16.5" hidden="1" customHeight="1">
      <c r="A967" s="8">
        <v>44430</v>
      </c>
      <c r="B967" s="10">
        <v>1174.5</v>
      </c>
    </row>
    <row r="968" spans="1:2" ht="16.5" hidden="1" customHeight="1">
      <c r="A968" s="8">
        <v>44431</v>
      </c>
      <c r="B968" s="10">
        <v>1176.7</v>
      </c>
    </row>
    <row r="969" spans="1:2" ht="16.5" hidden="1" customHeight="1">
      <c r="A969" s="8">
        <v>44432</v>
      </c>
      <c r="B969" s="10">
        <v>1174</v>
      </c>
    </row>
    <row r="970" spans="1:2" ht="16.5" hidden="1" customHeight="1">
      <c r="A970" s="8">
        <v>44433</v>
      </c>
      <c r="B970" s="10">
        <v>1168</v>
      </c>
    </row>
    <row r="971" spans="1:2" ht="16.5" hidden="1" customHeight="1">
      <c r="A971" s="8">
        <v>44434</v>
      </c>
      <c r="B971" s="10">
        <v>1166.5</v>
      </c>
    </row>
    <row r="972" spans="1:2" ht="16.5" hidden="1" customHeight="1">
      <c r="A972" s="8">
        <v>44435</v>
      </c>
      <c r="B972" s="10">
        <v>1168.0999999999999</v>
      </c>
    </row>
    <row r="973" spans="1:2" ht="16.5" hidden="1" customHeight="1">
      <c r="A973" s="8">
        <v>44436</v>
      </c>
      <c r="B973" s="10">
        <v>1168.0999999999999</v>
      </c>
    </row>
    <row r="974" spans="1:2" ht="16.5" hidden="1" customHeight="1">
      <c r="A974" s="8">
        <v>44437</v>
      </c>
      <c r="B974" s="10">
        <v>1168.0999999999999</v>
      </c>
    </row>
    <row r="975" spans="1:2" ht="16.5" hidden="1" customHeight="1">
      <c r="A975" s="8">
        <v>44438</v>
      </c>
      <c r="B975" s="10">
        <v>1170.8</v>
      </c>
    </row>
    <row r="976" spans="1:2" ht="16.5" hidden="1" customHeight="1">
      <c r="A976" s="8">
        <v>44439</v>
      </c>
      <c r="B976" s="10">
        <v>1164.4000000000001</v>
      </c>
    </row>
    <row r="977" spans="1:2" ht="16.5" hidden="1" customHeight="1">
      <c r="A977" s="8">
        <v>44440</v>
      </c>
      <c r="B977" s="10">
        <v>1162.8</v>
      </c>
    </row>
    <row r="978" spans="1:2" ht="16.5" hidden="1" customHeight="1">
      <c r="A978" s="8">
        <v>44441</v>
      </c>
      <c r="B978" s="10">
        <v>1157.5</v>
      </c>
    </row>
    <row r="979" spans="1:2" ht="16.5" hidden="1" customHeight="1">
      <c r="A979" s="8">
        <v>44442</v>
      </c>
      <c r="B979" s="10">
        <v>1159.7</v>
      </c>
    </row>
    <row r="980" spans="1:2" ht="16.5" hidden="1" customHeight="1">
      <c r="A980" s="8">
        <v>44443</v>
      </c>
      <c r="B980" s="10">
        <v>1159.7</v>
      </c>
    </row>
    <row r="981" spans="1:2" ht="16.5" hidden="1" customHeight="1">
      <c r="A981" s="8">
        <v>44444</v>
      </c>
      <c r="B981" s="10">
        <v>1159.7</v>
      </c>
    </row>
    <row r="982" spans="1:2" ht="16.5" hidden="1" customHeight="1">
      <c r="A982" s="8">
        <v>44445</v>
      </c>
      <c r="B982" s="10">
        <v>1156.4000000000001</v>
      </c>
    </row>
    <row r="983" spans="1:2" ht="16.5" hidden="1" customHeight="1">
      <c r="A983" s="8">
        <v>44446</v>
      </c>
      <c r="B983" s="10">
        <v>1157.3</v>
      </c>
    </row>
    <row r="984" spans="1:2" ht="16.5" hidden="1" customHeight="1">
      <c r="A984" s="8">
        <v>44447</v>
      </c>
      <c r="B984" s="10">
        <v>1157.9000000000001</v>
      </c>
    </row>
    <row r="985" spans="1:2" ht="16.5" hidden="1" customHeight="1">
      <c r="A985" s="8">
        <v>44448</v>
      </c>
      <c r="B985" s="10">
        <v>1164.5</v>
      </c>
    </row>
    <row r="986" spans="1:2" ht="16.5" hidden="1" customHeight="1">
      <c r="A986" s="8">
        <v>44449</v>
      </c>
      <c r="B986" s="10">
        <v>1170.0999999999999</v>
      </c>
    </row>
    <row r="987" spans="1:2" ht="16.5" hidden="1" customHeight="1">
      <c r="A987" s="8">
        <v>44450</v>
      </c>
      <c r="B987" s="10">
        <v>1170.0999999999999</v>
      </c>
    </row>
    <row r="988" spans="1:2" ht="16.5" hidden="1" customHeight="1">
      <c r="A988" s="8">
        <v>44451</v>
      </c>
      <c r="B988" s="10">
        <v>1170.0999999999999</v>
      </c>
    </row>
    <row r="989" spans="1:2" ht="16.5" hidden="1" customHeight="1">
      <c r="A989" s="8">
        <v>44452</v>
      </c>
      <c r="B989" s="10">
        <v>1170.4000000000001</v>
      </c>
    </row>
    <row r="990" spans="1:2" ht="16.5" hidden="1" customHeight="1">
      <c r="A990" s="8">
        <v>44453</v>
      </c>
      <c r="B990" s="10">
        <v>1174.3</v>
      </c>
    </row>
    <row r="991" spans="1:2" ht="16.5" hidden="1" customHeight="1">
      <c r="A991" s="8">
        <v>44454</v>
      </c>
      <c r="B991" s="10">
        <v>1172.2</v>
      </c>
    </row>
    <row r="992" spans="1:2" ht="16.5" hidden="1" customHeight="1">
      <c r="A992" s="8">
        <v>44455</v>
      </c>
      <c r="B992" s="10">
        <v>1171.7</v>
      </c>
    </row>
    <row r="993" spans="1:2" ht="16.5" hidden="1" customHeight="1">
      <c r="A993" s="8">
        <v>44456</v>
      </c>
      <c r="B993" s="10">
        <v>1169.0999999999999</v>
      </c>
    </row>
    <row r="994" spans="1:2" ht="16.5" hidden="1" customHeight="1">
      <c r="A994" s="8">
        <v>44457</v>
      </c>
      <c r="B994" s="10">
        <v>1169.0999999999999</v>
      </c>
    </row>
    <row r="995" spans="1:2" ht="16.5" hidden="1" customHeight="1">
      <c r="A995" s="8">
        <v>44458</v>
      </c>
      <c r="B995" s="10">
        <v>1169.0999999999999</v>
      </c>
    </row>
    <row r="996" spans="1:2" ht="16.5" hidden="1" customHeight="1">
      <c r="A996" s="8">
        <v>44459</v>
      </c>
      <c r="B996" s="10">
        <v>1169.0999999999999</v>
      </c>
    </row>
    <row r="997" spans="1:2" ht="16.5" hidden="1" customHeight="1">
      <c r="A997" s="8">
        <v>44460</v>
      </c>
      <c r="B997" s="10">
        <v>1169.0999999999999</v>
      </c>
    </row>
    <row r="998" spans="1:2" ht="16.5" hidden="1" customHeight="1">
      <c r="A998" s="8">
        <v>44461</v>
      </c>
      <c r="B998" s="10">
        <v>1169.0999999999999</v>
      </c>
    </row>
    <row r="999" spans="1:2" ht="16.5" hidden="1" customHeight="1">
      <c r="A999" s="8">
        <v>44462</v>
      </c>
      <c r="B999" s="10">
        <v>1177.5999999999999</v>
      </c>
    </row>
    <row r="1000" spans="1:2" ht="16.5" hidden="1" customHeight="1">
      <c r="A1000" s="8">
        <v>44463</v>
      </c>
      <c r="B1000" s="10">
        <v>1181.7</v>
      </c>
    </row>
    <row r="1001" spans="1:2" ht="16.5" hidden="1" customHeight="1">
      <c r="A1001" s="8">
        <v>44464</v>
      </c>
      <c r="B1001" s="10">
        <v>1181.7</v>
      </c>
    </row>
    <row r="1002" spans="1:2" ht="16.5" hidden="1" customHeight="1">
      <c r="A1002" s="8">
        <v>44465</v>
      </c>
      <c r="B1002" s="10">
        <v>1181.7</v>
      </c>
    </row>
    <row r="1003" spans="1:2" ht="16.5" hidden="1" customHeight="1">
      <c r="A1003" s="8">
        <v>44466</v>
      </c>
      <c r="B1003" s="10">
        <v>1175.3</v>
      </c>
    </row>
    <row r="1004" spans="1:2" ht="16.5" hidden="1" customHeight="1">
      <c r="A1004" s="8">
        <v>44467</v>
      </c>
      <c r="B1004" s="10">
        <v>1175.9000000000001</v>
      </c>
    </row>
    <row r="1005" spans="1:2" ht="16.5" hidden="1" customHeight="1">
      <c r="A1005" s="8">
        <v>44468</v>
      </c>
      <c r="B1005" s="10">
        <v>1182</v>
      </c>
    </row>
    <row r="1006" spans="1:2" ht="16.5" hidden="1" customHeight="1">
      <c r="A1006" s="8">
        <v>44469</v>
      </c>
      <c r="B1006" s="10">
        <v>1184.9000000000001</v>
      </c>
    </row>
    <row r="1007" spans="1:2" ht="16.5" hidden="1" customHeight="1">
      <c r="A1007" s="8">
        <v>44470</v>
      </c>
      <c r="B1007" s="10">
        <v>1185.2</v>
      </c>
    </row>
    <row r="1008" spans="1:2" ht="16.5" hidden="1" customHeight="1">
      <c r="A1008" s="8">
        <v>44471</v>
      </c>
      <c r="B1008" s="10">
        <v>1185.2</v>
      </c>
    </row>
    <row r="1009" spans="1:2" ht="16.5" hidden="1" customHeight="1">
      <c r="A1009" s="8">
        <v>44472</v>
      </c>
      <c r="B1009" s="10">
        <v>1185.2</v>
      </c>
    </row>
    <row r="1010" spans="1:2" ht="16.5" hidden="1" customHeight="1">
      <c r="A1010" s="8">
        <v>44473</v>
      </c>
      <c r="B1010" s="10">
        <v>1185.2</v>
      </c>
    </row>
    <row r="1011" spans="1:2" ht="16.5" hidden="1" customHeight="1">
      <c r="A1011" s="8">
        <v>44474</v>
      </c>
      <c r="B1011" s="10">
        <v>1187.2</v>
      </c>
    </row>
    <row r="1012" spans="1:2" ht="16.5" hidden="1" customHeight="1">
      <c r="A1012" s="8">
        <v>44475</v>
      </c>
      <c r="B1012" s="10">
        <v>1187.0999999999999</v>
      </c>
    </row>
    <row r="1013" spans="1:2" ht="16.5" hidden="1" customHeight="1">
      <c r="A1013" s="8">
        <v>44476</v>
      </c>
      <c r="B1013" s="10">
        <v>1190</v>
      </c>
    </row>
    <row r="1014" spans="1:2" ht="16.5" hidden="1" customHeight="1">
      <c r="A1014" s="8">
        <v>44477</v>
      </c>
      <c r="B1014" s="10">
        <v>1190.3</v>
      </c>
    </row>
    <row r="1015" spans="1:2" ht="16.5" hidden="1" customHeight="1">
      <c r="A1015" s="8">
        <v>44478</v>
      </c>
      <c r="B1015" s="10">
        <v>1190.3</v>
      </c>
    </row>
    <row r="1016" spans="1:2" ht="16.5" hidden="1" customHeight="1">
      <c r="A1016" s="8">
        <v>44479</v>
      </c>
      <c r="B1016" s="10">
        <v>1190.3</v>
      </c>
    </row>
    <row r="1017" spans="1:2" ht="16.5" hidden="1" customHeight="1">
      <c r="A1017" s="8">
        <v>44480</v>
      </c>
      <c r="B1017" s="10">
        <v>1190.3</v>
      </c>
    </row>
    <row r="1018" spans="1:2" ht="16.5" hidden="1" customHeight="1">
      <c r="A1018" s="8">
        <v>44481</v>
      </c>
      <c r="B1018" s="10">
        <v>1193.4000000000001</v>
      </c>
    </row>
    <row r="1019" spans="1:2" ht="16.5" hidden="1" customHeight="1">
      <c r="A1019" s="8">
        <v>44482</v>
      </c>
      <c r="B1019" s="10">
        <v>1199.0999999999999</v>
      </c>
    </row>
    <row r="1020" spans="1:2" ht="16.5" hidden="1" customHeight="1">
      <c r="A1020" s="8">
        <v>44483</v>
      </c>
      <c r="B1020" s="10">
        <v>1195</v>
      </c>
    </row>
    <row r="1021" spans="1:2" ht="16.5" hidden="1" customHeight="1">
      <c r="A1021" s="8">
        <v>44484</v>
      </c>
      <c r="B1021" s="10">
        <v>1188.3</v>
      </c>
    </row>
    <row r="1022" spans="1:2" ht="16.5" hidden="1" customHeight="1">
      <c r="A1022" s="8">
        <v>44485</v>
      </c>
      <c r="B1022" s="10">
        <v>1188.3</v>
      </c>
    </row>
    <row r="1023" spans="1:2" ht="16.5" hidden="1" customHeight="1">
      <c r="A1023" s="8">
        <v>44486</v>
      </c>
      <c r="B1023" s="10">
        <v>1188.3</v>
      </c>
    </row>
    <row r="1024" spans="1:2" ht="16.5" hidden="1" customHeight="1">
      <c r="A1024" s="8">
        <v>44487</v>
      </c>
      <c r="B1024" s="10">
        <v>1182.8</v>
      </c>
    </row>
    <row r="1025" spans="1:2" ht="16.5" hidden="1" customHeight="1">
      <c r="A1025" s="8">
        <v>44488</v>
      </c>
      <c r="B1025" s="10">
        <v>1185.8</v>
      </c>
    </row>
    <row r="1026" spans="1:2" ht="16.5" hidden="1" customHeight="1">
      <c r="A1026" s="8">
        <v>44489</v>
      </c>
      <c r="B1026" s="10">
        <v>1181.7</v>
      </c>
    </row>
    <row r="1027" spans="1:2" ht="16.5" hidden="1" customHeight="1">
      <c r="A1027" s="8">
        <v>44490</v>
      </c>
      <c r="B1027" s="10">
        <v>1175.5999999999999</v>
      </c>
    </row>
    <row r="1028" spans="1:2" ht="16.5" hidden="1" customHeight="1">
      <c r="A1028" s="8">
        <v>44491</v>
      </c>
      <c r="B1028" s="10">
        <v>1175.8</v>
      </c>
    </row>
    <row r="1029" spans="1:2" ht="16.5" hidden="1" customHeight="1">
      <c r="A1029" s="8">
        <v>44492</v>
      </c>
      <c r="B1029" s="10">
        <v>1175.8</v>
      </c>
    </row>
    <row r="1030" spans="1:2" ht="16.5" hidden="1" customHeight="1">
      <c r="A1030" s="8">
        <v>44493</v>
      </c>
      <c r="B1030" s="10">
        <v>1175.8</v>
      </c>
    </row>
    <row r="1031" spans="1:2" ht="16.5" hidden="1" customHeight="1">
      <c r="A1031" s="8">
        <v>44494</v>
      </c>
      <c r="B1031" s="10">
        <v>1178.4000000000001</v>
      </c>
    </row>
    <row r="1032" spans="1:2" ht="16.5" hidden="1" customHeight="1">
      <c r="A1032" s="8">
        <v>44495</v>
      </c>
      <c r="B1032" s="10">
        <v>1171.8</v>
      </c>
    </row>
    <row r="1033" spans="1:2" ht="16.5" hidden="1" customHeight="1">
      <c r="A1033" s="8">
        <v>44496</v>
      </c>
      <c r="B1033" s="10">
        <v>1166.3</v>
      </c>
    </row>
    <row r="1034" spans="1:2" ht="16.5" hidden="1" customHeight="1">
      <c r="A1034" s="8">
        <v>44497</v>
      </c>
      <c r="B1034" s="10">
        <v>1168.0999999999999</v>
      </c>
    </row>
    <row r="1035" spans="1:2" ht="16.5" hidden="1" customHeight="1">
      <c r="A1035" s="8">
        <v>44498</v>
      </c>
      <c r="B1035" s="10">
        <v>1171.7</v>
      </c>
    </row>
    <row r="1036" spans="1:2" ht="16.5" hidden="1" customHeight="1">
      <c r="A1036" s="8">
        <v>44499</v>
      </c>
      <c r="B1036" s="10">
        <v>1171.7</v>
      </c>
    </row>
    <row r="1037" spans="1:2" ht="16.5" hidden="1" customHeight="1">
      <c r="A1037" s="8">
        <v>44500</v>
      </c>
      <c r="B1037" s="10">
        <v>1171.7</v>
      </c>
    </row>
    <row r="1038" spans="1:2" ht="16.5" hidden="1" customHeight="1">
      <c r="A1038" s="8">
        <v>44501</v>
      </c>
      <c r="B1038" s="10">
        <v>1169.5999999999999</v>
      </c>
    </row>
    <row r="1039" spans="1:2" ht="16.5" hidden="1" customHeight="1">
      <c r="A1039" s="8">
        <v>44502</v>
      </c>
      <c r="B1039" s="10">
        <v>1176.3</v>
      </c>
    </row>
    <row r="1040" spans="1:2" ht="16.5" hidden="1" customHeight="1">
      <c r="A1040" s="8">
        <v>44503</v>
      </c>
      <c r="B1040" s="10">
        <v>1175.5</v>
      </c>
    </row>
    <row r="1041" spans="1:2" ht="16.5" hidden="1" customHeight="1">
      <c r="A1041" s="8">
        <v>44504</v>
      </c>
      <c r="B1041" s="10">
        <v>1181.0999999999999</v>
      </c>
    </row>
    <row r="1042" spans="1:2" ht="16.5" hidden="1" customHeight="1">
      <c r="A1042" s="8">
        <v>44505</v>
      </c>
      <c r="B1042" s="10">
        <v>1180</v>
      </c>
    </row>
    <row r="1043" spans="1:2" ht="16.5" hidden="1" customHeight="1">
      <c r="A1043" s="8">
        <v>44506</v>
      </c>
      <c r="B1043" s="10">
        <v>1180</v>
      </c>
    </row>
    <row r="1044" spans="1:2" ht="16.5" hidden="1" customHeight="1">
      <c r="A1044" s="8">
        <v>44507</v>
      </c>
      <c r="B1044" s="10">
        <v>1180</v>
      </c>
    </row>
    <row r="1045" spans="1:2" ht="16.5" hidden="1" customHeight="1">
      <c r="A1045" s="8">
        <v>44508</v>
      </c>
      <c r="B1045" s="10">
        <v>1185.2</v>
      </c>
    </row>
    <row r="1046" spans="1:2" ht="16.5" hidden="1" customHeight="1">
      <c r="A1046" s="8">
        <v>44509</v>
      </c>
      <c r="B1046" s="10">
        <v>1184.3</v>
      </c>
    </row>
    <row r="1047" spans="1:2" ht="16.5" hidden="1" customHeight="1">
      <c r="A1047" s="8">
        <v>44510</v>
      </c>
      <c r="B1047" s="10">
        <v>1178.4000000000001</v>
      </c>
    </row>
    <row r="1048" spans="1:2" ht="16.5" hidden="1" customHeight="1">
      <c r="A1048" s="8">
        <v>44511</v>
      </c>
      <c r="B1048" s="10">
        <v>1181</v>
      </c>
    </row>
    <row r="1049" spans="1:2" ht="16.5" hidden="1" customHeight="1">
      <c r="A1049" s="8">
        <v>44512</v>
      </c>
      <c r="B1049" s="10">
        <v>1184.7</v>
      </c>
    </row>
    <row r="1050" spans="1:2" ht="16.5" hidden="1" customHeight="1">
      <c r="A1050" s="8">
        <v>44513</v>
      </c>
      <c r="B1050" s="10">
        <v>1184.7</v>
      </c>
    </row>
    <row r="1051" spans="1:2" ht="16.5" hidden="1" customHeight="1">
      <c r="A1051" s="8">
        <v>44514</v>
      </c>
      <c r="B1051" s="10">
        <v>1184.7</v>
      </c>
    </row>
    <row r="1052" spans="1:2" ht="16.5" hidden="1" customHeight="1">
      <c r="A1052" s="8">
        <v>44515</v>
      </c>
      <c r="B1052" s="10">
        <v>1179.5999999999999</v>
      </c>
    </row>
    <row r="1053" spans="1:2" ht="16.5" hidden="1" customHeight="1">
      <c r="A1053" s="8">
        <v>44516</v>
      </c>
      <c r="B1053" s="10">
        <v>1180.2</v>
      </c>
    </row>
    <row r="1054" spans="1:2" ht="16.5" hidden="1" customHeight="1">
      <c r="A1054" s="8">
        <v>44517</v>
      </c>
      <c r="B1054" s="10">
        <v>1179.5999999999999</v>
      </c>
    </row>
    <row r="1055" spans="1:2" ht="16.5" hidden="1" customHeight="1">
      <c r="A1055" s="8">
        <v>44518</v>
      </c>
      <c r="B1055" s="10">
        <v>1183.5999999999999</v>
      </c>
    </row>
    <row r="1056" spans="1:2" ht="16.5" hidden="1" customHeight="1">
      <c r="A1056" s="8">
        <v>44519</v>
      </c>
      <c r="B1056" s="10">
        <v>1180.5</v>
      </c>
    </row>
    <row r="1057" spans="1:2" ht="16.5" hidden="1" customHeight="1">
      <c r="A1057" s="8">
        <v>44520</v>
      </c>
      <c r="B1057" s="10">
        <v>1180.5</v>
      </c>
    </row>
    <row r="1058" spans="1:2" ht="16.5" hidden="1" customHeight="1">
      <c r="A1058" s="8">
        <v>44521</v>
      </c>
      <c r="B1058" s="10">
        <v>1180.5</v>
      </c>
    </row>
    <row r="1059" spans="1:2" ht="16.5" hidden="1" customHeight="1">
      <c r="A1059" s="8">
        <v>44522</v>
      </c>
      <c r="B1059" s="10">
        <v>1183.5</v>
      </c>
    </row>
    <row r="1060" spans="1:2" ht="16.5" hidden="1" customHeight="1">
      <c r="A1060" s="8">
        <v>44523</v>
      </c>
      <c r="B1060" s="10">
        <v>1187.4000000000001</v>
      </c>
    </row>
    <row r="1061" spans="1:2" ht="16.5" hidden="1" customHeight="1">
      <c r="A1061" s="8">
        <v>44524</v>
      </c>
      <c r="B1061" s="10">
        <v>1188.9000000000001</v>
      </c>
    </row>
    <row r="1062" spans="1:2" ht="16.5" hidden="1" customHeight="1">
      <c r="A1062" s="8">
        <v>44525</v>
      </c>
      <c r="B1062" s="10">
        <v>1188.5</v>
      </c>
    </row>
    <row r="1063" spans="1:2" ht="16.5" hidden="1" customHeight="1">
      <c r="A1063" s="8">
        <v>44526</v>
      </c>
      <c r="B1063" s="10">
        <v>1189.7</v>
      </c>
    </row>
    <row r="1064" spans="1:2" ht="16.5" hidden="1" customHeight="1">
      <c r="A1064" s="8">
        <v>44527</v>
      </c>
      <c r="B1064" s="10">
        <v>1189.7</v>
      </c>
    </row>
    <row r="1065" spans="1:2" ht="16.5" hidden="1" customHeight="1">
      <c r="A1065" s="8">
        <v>44528</v>
      </c>
      <c r="B1065" s="10">
        <v>1189.7</v>
      </c>
    </row>
    <row r="1066" spans="1:2" ht="16.5" hidden="1" customHeight="1">
      <c r="A1066" s="8">
        <v>44529</v>
      </c>
      <c r="B1066" s="10">
        <v>1193</v>
      </c>
    </row>
    <row r="1067" spans="1:2" ht="16.5" hidden="1" customHeight="1">
      <c r="A1067" s="8">
        <v>44530</v>
      </c>
      <c r="B1067" s="10">
        <v>1193.4000000000001</v>
      </c>
    </row>
    <row r="1068" spans="1:2" ht="16.5" hidden="1" customHeight="1">
      <c r="A1068" s="8">
        <v>44531</v>
      </c>
      <c r="B1068" s="10">
        <v>1187.7</v>
      </c>
    </row>
    <row r="1069" spans="1:2" ht="16.5" hidden="1" customHeight="1">
      <c r="A1069" s="8">
        <v>44532</v>
      </c>
      <c r="B1069" s="10">
        <v>1180.3</v>
      </c>
    </row>
    <row r="1070" spans="1:2" ht="16.5" hidden="1" customHeight="1">
      <c r="A1070" s="8">
        <v>44533</v>
      </c>
      <c r="B1070" s="10">
        <v>1177.3</v>
      </c>
    </row>
    <row r="1071" spans="1:2" ht="16.5" hidden="1" customHeight="1">
      <c r="A1071" s="8">
        <v>44534</v>
      </c>
      <c r="B1071" s="10">
        <v>1177.3</v>
      </c>
    </row>
    <row r="1072" spans="1:2" ht="16.5" hidden="1" customHeight="1">
      <c r="A1072" s="8">
        <v>44535</v>
      </c>
      <c r="B1072" s="10">
        <v>1177.3</v>
      </c>
    </row>
    <row r="1073" spans="1:2" ht="16.5" hidden="1" customHeight="1">
      <c r="A1073" s="8">
        <v>44536</v>
      </c>
      <c r="B1073" s="10">
        <v>1178.5999999999999</v>
      </c>
    </row>
    <row r="1074" spans="1:2" ht="16.5" hidden="1" customHeight="1">
      <c r="A1074" s="8">
        <v>44537</v>
      </c>
      <c r="B1074" s="10">
        <v>1183.7</v>
      </c>
    </row>
    <row r="1075" spans="1:2" ht="16.5" hidden="1" customHeight="1">
      <c r="A1075" s="8">
        <v>44538</v>
      </c>
      <c r="B1075" s="10">
        <v>1181.2</v>
      </c>
    </row>
    <row r="1076" spans="1:2" ht="16.5" hidden="1" customHeight="1">
      <c r="A1076" s="8">
        <v>44539</v>
      </c>
      <c r="B1076" s="10">
        <v>1176.4000000000001</v>
      </c>
    </row>
    <row r="1077" spans="1:2" ht="16.5" hidden="1" customHeight="1">
      <c r="A1077" s="8">
        <v>44540</v>
      </c>
      <c r="B1077" s="10">
        <v>1173.8</v>
      </c>
    </row>
    <row r="1078" spans="1:2" ht="16.5" hidden="1" customHeight="1">
      <c r="A1078" s="8">
        <v>44541</v>
      </c>
      <c r="B1078" s="10">
        <v>1173.8</v>
      </c>
    </row>
    <row r="1079" spans="1:2" ht="16.5" hidden="1" customHeight="1">
      <c r="A1079" s="8">
        <v>44542</v>
      </c>
      <c r="B1079" s="10">
        <v>1173.8</v>
      </c>
    </row>
    <row r="1080" spans="1:2" ht="16.5" hidden="1" customHeight="1">
      <c r="A1080" s="8">
        <v>44543</v>
      </c>
      <c r="B1080" s="10">
        <v>1178.2</v>
      </c>
    </row>
    <row r="1081" spans="1:2" ht="16.5" hidden="1" customHeight="1">
      <c r="A1081" s="8">
        <v>44544</v>
      </c>
      <c r="B1081" s="10">
        <v>1178.8</v>
      </c>
    </row>
    <row r="1082" spans="1:2" ht="16.5" hidden="1" customHeight="1">
      <c r="A1082" s="8">
        <v>44545</v>
      </c>
      <c r="B1082" s="10">
        <v>1183.5999999999999</v>
      </c>
    </row>
    <row r="1083" spans="1:2" ht="16.5" hidden="1" customHeight="1">
      <c r="A1083" s="8">
        <v>44546</v>
      </c>
      <c r="B1083" s="10">
        <v>1186.2</v>
      </c>
    </row>
    <row r="1084" spans="1:2" ht="16.5" hidden="1" customHeight="1">
      <c r="A1084" s="8">
        <v>44547</v>
      </c>
      <c r="B1084" s="10">
        <v>1183.5</v>
      </c>
    </row>
    <row r="1085" spans="1:2" ht="16.5" hidden="1" customHeight="1">
      <c r="A1085" s="8">
        <v>44548</v>
      </c>
      <c r="B1085" s="10">
        <v>1183.5</v>
      </c>
    </row>
    <row r="1086" spans="1:2" ht="16.5" hidden="1" customHeight="1">
      <c r="A1086" s="8">
        <v>44549</v>
      </c>
      <c r="B1086" s="10">
        <v>1183.5</v>
      </c>
    </row>
    <row r="1087" spans="1:2" ht="16.5" hidden="1" customHeight="1">
      <c r="A1087" s="8">
        <v>44550</v>
      </c>
      <c r="B1087" s="10">
        <v>1184.4000000000001</v>
      </c>
    </row>
    <row r="1088" spans="1:2" ht="16.5" hidden="1" customHeight="1">
      <c r="A1088" s="8">
        <v>44551</v>
      </c>
      <c r="B1088" s="10">
        <v>1189.8</v>
      </c>
    </row>
    <row r="1089" spans="1:2" ht="16.5" hidden="1" customHeight="1">
      <c r="A1089" s="8">
        <v>44552</v>
      </c>
      <c r="B1089" s="10">
        <v>1191.5</v>
      </c>
    </row>
    <row r="1090" spans="1:2" ht="16.5" hidden="1" customHeight="1">
      <c r="A1090" s="8">
        <v>44553</v>
      </c>
      <c r="B1090" s="10">
        <v>1191.2</v>
      </c>
    </row>
    <row r="1091" spans="1:2" ht="16.5" hidden="1" customHeight="1">
      <c r="A1091" s="8">
        <v>44554</v>
      </c>
      <c r="B1091" s="10">
        <v>1187.5</v>
      </c>
    </row>
    <row r="1092" spans="1:2" ht="16.5" hidden="1" customHeight="1">
      <c r="A1092" s="8">
        <v>44555</v>
      </c>
      <c r="B1092" s="10">
        <v>1187.5</v>
      </c>
    </row>
    <row r="1093" spans="1:2" ht="16.5" hidden="1" customHeight="1">
      <c r="A1093" s="8">
        <v>44556</v>
      </c>
      <c r="B1093" s="10">
        <v>1187.5</v>
      </c>
    </row>
    <row r="1094" spans="1:2" ht="16.5" hidden="1" customHeight="1">
      <c r="A1094" s="8">
        <v>44557</v>
      </c>
      <c r="B1094" s="10">
        <v>1186.4000000000001</v>
      </c>
    </row>
    <row r="1095" spans="1:2" ht="16.5" hidden="1" customHeight="1">
      <c r="A1095" s="8">
        <v>44558</v>
      </c>
      <c r="B1095" s="10">
        <v>1186.2</v>
      </c>
    </row>
    <row r="1096" spans="1:2" ht="16.5" hidden="1" customHeight="1">
      <c r="A1096" s="8">
        <v>44559</v>
      </c>
      <c r="B1096" s="10">
        <v>1186.7</v>
      </c>
    </row>
    <row r="1097" spans="1:2" ht="16.5" hidden="1" customHeight="1">
      <c r="A1097" s="8">
        <v>44560</v>
      </c>
      <c r="B1097" s="10">
        <v>1186.5999999999999</v>
      </c>
    </row>
    <row r="1098" spans="1:2" ht="16.5" hidden="1" customHeight="1">
      <c r="A1098" s="8">
        <v>44561</v>
      </c>
      <c r="B1098" s="10">
        <v>1185.5</v>
      </c>
    </row>
    <row r="1099" spans="1:2" ht="16.5" hidden="1" customHeight="1">
      <c r="A1099" s="8">
        <v>44562</v>
      </c>
      <c r="B1099" s="10">
        <v>1185.5</v>
      </c>
    </row>
    <row r="1100" spans="1:2" ht="16.5" hidden="1" customHeight="1">
      <c r="A1100" s="8">
        <v>44563</v>
      </c>
      <c r="B1100" s="10">
        <v>1185.5</v>
      </c>
    </row>
    <row r="1101" spans="1:2" ht="16.5" hidden="1" customHeight="1">
      <c r="A1101" s="8">
        <v>44564</v>
      </c>
      <c r="B1101" s="10">
        <v>1185.5</v>
      </c>
    </row>
    <row r="1102" spans="1:2" ht="16.5" hidden="1" customHeight="1">
      <c r="A1102" s="8">
        <v>44565</v>
      </c>
      <c r="B1102" s="10">
        <v>1190.8</v>
      </c>
    </row>
    <row r="1103" spans="1:2" ht="16.5" hidden="1" customHeight="1">
      <c r="A1103" s="8">
        <v>44566</v>
      </c>
      <c r="B1103" s="10">
        <v>1194.3</v>
      </c>
    </row>
    <row r="1104" spans="1:2" ht="16.5" hidden="1" customHeight="1">
      <c r="A1104" s="8">
        <v>44567</v>
      </c>
      <c r="B1104" s="10">
        <v>1198.2</v>
      </c>
    </row>
    <row r="1105" spans="1:2" ht="16.5" hidden="1" customHeight="1">
      <c r="A1105" s="8">
        <v>44568</v>
      </c>
      <c r="B1105" s="10">
        <v>1199.5999999999999</v>
      </c>
    </row>
    <row r="1106" spans="1:2" ht="16.5" hidden="1" customHeight="1">
      <c r="A1106" s="8">
        <v>44569</v>
      </c>
      <c r="B1106" s="10">
        <v>1199.5999999999999</v>
      </c>
    </row>
    <row r="1107" spans="1:2" ht="16.5" hidden="1" customHeight="1">
      <c r="A1107" s="8">
        <v>44570</v>
      </c>
      <c r="B1107" s="10">
        <v>1199.5999999999999</v>
      </c>
    </row>
    <row r="1108" spans="1:2" ht="16.5" hidden="1" customHeight="1">
      <c r="A1108" s="8">
        <v>44571</v>
      </c>
      <c r="B1108" s="10">
        <v>1202.4000000000001</v>
      </c>
    </row>
    <row r="1109" spans="1:2" ht="16.5" hidden="1" customHeight="1">
      <c r="A1109" s="8">
        <v>44572</v>
      </c>
      <c r="B1109" s="10">
        <v>1200</v>
      </c>
    </row>
    <row r="1110" spans="1:2" ht="16.5" hidden="1" customHeight="1">
      <c r="A1110" s="8">
        <v>44573</v>
      </c>
      <c r="B1110" s="10">
        <v>1195.2</v>
      </c>
    </row>
    <row r="1111" spans="1:2" ht="16.5" hidden="1" customHeight="1">
      <c r="A1111" s="8">
        <v>44574</v>
      </c>
      <c r="B1111" s="10">
        <v>1189.9000000000001</v>
      </c>
    </row>
    <row r="1112" spans="1:2" ht="16.5" hidden="1" customHeight="1">
      <c r="A1112" s="8">
        <v>44575</v>
      </c>
      <c r="B1112" s="10">
        <v>1188.2</v>
      </c>
    </row>
    <row r="1113" spans="1:2" ht="16.5" hidden="1" customHeight="1">
      <c r="A1113" s="8">
        <v>44576</v>
      </c>
      <c r="B1113" s="10">
        <v>1188.2</v>
      </c>
    </row>
    <row r="1114" spans="1:2" ht="16.5" hidden="1" customHeight="1">
      <c r="A1114" s="8">
        <v>44577</v>
      </c>
      <c r="B1114" s="10">
        <v>1188.2</v>
      </c>
    </row>
    <row r="1115" spans="1:2" ht="16.5" hidden="1" customHeight="1">
      <c r="A1115" s="8">
        <v>44578</v>
      </c>
      <c r="B1115" s="10">
        <v>1187.5999999999999</v>
      </c>
    </row>
    <row r="1116" spans="1:2" ht="16.5" hidden="1" customHeight="1">
      <c r="A1116" s="8">
        <v>44579</v>
      </c>
      <c r="B1116" s="10">
        <v>1192.3</v>
      </c>
    </row>
    <row r="1117" spans="1:2" ht="16.5" hidden="1" customHeight="1">
      <c r="A1117" s="8">
        <v>44580</v>
      </c>
      <c r="B1117" s="10">
        <v>1188.9000000000001</v>
      </c>
    </row>
    <row r="1118" spans="1:2" ht="16.5" hidden="1" customHeight="1">
      <c r="A1118" s="8">
        <v>44581</v>
      </c>
      <c r="B1118" s="10">
        <v>1191.8</v>
      </c>
    </row>
    <row r="1119" spans="1:2" ht="16.5" hidden="1" customHeight="1">
      <c r="A1119" s="8">
        <v>44582</v>
      </c>
      <c r="B1119" s="10">
        <v>1190.4000000000001</v>
      </c>
    </row>
    <row r="1120" spans="1:2" ht="16.5" hidden="1" customHeight="1">
      <c r="A1120" s="8">
        <v>44583</v>
      </c>
      <c r="B1120" s="10">
        <v>1190.4000000000001</v>
      </c>
    </row>
    <row r="1121" spans="1:2" ht="16.5" hidden="1" customHeight="1">
      <c r="A1121" s="8">
        <v>44584</v>
      </c>
      <c r="B1121" s="10">
        <v>1190.4000000000001</v>
      </c>
    </row>
    <row r="1122" spans="1:2" ht="16.5" hidden="1" customHeight="1">
      <c r="A1122" s="8">
        <v>44585</v>
      </c>
      <c r="B1122" s="10">
        <v>1193.5999999999999</v>
      </c>
    </row>
    <row r="1123" spans="1:2" ht="16.5" hidden="1" customHeight="1">
      <c r="A1123" s="8">
        <v>44586</v>
      </c>
      <c r="B1123" s="10">
        <v>1194.2</v>
      </c>
    </row>
    <row r="1124" spans="1:2" ht="16.5" hidden="1" customHeight="1">
      <c r="A1124" s="8">
        <v>44587</v>
      </c>
      <c r="B1124" s="10">
        <v>1197.8</v>
      </c>
    </row>
    <row r="1125" spans="1:2" ht="16.5" hidden="1" customHeight="1">
      <c r="A1125" s="8">
        <v>44588</v>
      </c>
      <c r="B1125" s="10">
        <v>1197</v>
      </c>
    </row>
    <row r="1126" spans="1:2" ht="16.5" hidden="1" customHeight="1">
      <c r="A1126" s="8">
        <v>44589</v>
      </c>
      <c r="B1126" s="10">
        <v>1202.4000000000001</v>
      </c>
    </row>
    <row r="1127" spans="1:2" ht="16.5" hidden="1" customHeight="1">
      <c r="A1127" s="8">
        <v>44590</v>
      </c>
      <c r="B1127" s="10">
        <v>1202.4000000000001</v>
      </c>
    </row>
    <row r="1128" spans="1:2" ht="16.5" hidden="1" customHeight="1">
      <c r="A1128" s="8">
        <v>44591</v>
      </c>
      <c r="B1128" s="10">
        <v>1202.4000000000001</v>
      </c>
    </row>
    <row r="1129" spans="1:2" ht="16.5" hidden="1" customHeight="1">
      <c r="A1129" s="8">
        <v>44592</v>
      </c>
      <c r="B1129" s="10">
        <v>1202.4000000000001</v>
      </c>
    </row>
    <row r="1130" spans="1:2" ht="16.5" hidden="1" customHeight="1">
      <c r="A1130" s="8">
        <v>44593</v>
      </c>
      <c r="B1130" s="10">
        <v>1202.4000000000001</v>
      </c>
    </row>
    <row r="1131" spans="1:2" ht="16.5" hidden="1" customHeight="1">
      <c r="A1131" s="8">
        <v>44594</v>
      </c>
      <c r="B1131" s="10">
        <v>1202.4000000000001</v>
      </c>
    </row>
    <row r="1132" spans="1:2" ht="16.5" hidden="1" customHeight="1">
      <c r="A1132" s="8">
        <v>44595</v>
      </c>
      <c r="B1132" s="10">
        <v>1205.7</v>
      </c>
    </row>
    <row r="1133" spans="1:2" ht="16.5" hidden="1" customHeight="1">
      <c r="A1133" s="8">
        <v>44596</v>
      </c>
      <c r="B1133" s="10">
        <v>1205.4000000000001</v>
      </c>
    </row>
    <row r="1134" spans="1:2" ht="16.5" hidden="1" customHeight="1">
      <c r="A1134" s="8">
        <v>44597</v>
      </c>
      <c r="B1134" s="10">
        <v>1205.4000000000001</v>
      </c>
    </row>
    <row r="1135" spans="1:2" ht="16.5" hidden="1" customHeight="1">
      <c r="A1135" s="8">
        <v>44598</v>
      </c>
      <c r="B1135" s="10">
        <v>1205.4000000000001</v>
      </c>
    </row>
    <row r="1136" spans="1:2" ht="16.5" hidden="1" customHeight="1">
      <c r="A1136" s="8">
        <v>44599</v>
      </c>
      <c r="B1136" s="10">
        <v>1199.5</v>
      </c>
    </row>
    <row r="1137" spans="1:2" ht="16.5" hidden="1" customHeight="1">
      <c r="A1137" s="8">
        <v>44600</v>
      </c>
      <c r="B1137" s="10">
        <v>1199.4000000000001</v>
      </c>
    </row>
    <row r="1138" spans="1:2" ht="16.5" hidden="1" customHeight="1">
      <c r="A1138" s="8">
        <v>44601</v>
      </c>
      <c r="B1138" s="10">
        <v>1197.8</v>
      </c>
    </row>
    <row r="1139" spans="1:2" ht="16.5" hidden="1" customHeight="1">
      <c r="A1139" s="8">
        <v>44602</v>
      </c>
      <c r="B1139" s="10">
        <v>1196</v>
      </c>
    </row>
    <row r="1140" spans="1:2" ht="16.5" hidden="1" customHeight="1">
      <c r="A1140" s="8">
        <v>44603</v>
      </c>
      <c r="B1140" s="10">
        <v>1196</v>
      </c>
    </row>
    <row r="1141" spans="1:2" ht="16.5" hidden="1" customHeight="1">
      <c r="A1141" s="8">
        <v>44604</v>
      </c>
      <c r="B1141" s="10">
        <v>1196</v>
      </c>
    </row>
    <row r="1142" spans="1:2" ht="16.5" hidden="1" customHeight="1">
      <c r="A1142" s="8">
        <v>44605</v>
      </c>
      <c r="B1142" s="10">
        <v>1196</v>
      </c>
    </row>
    <row r="1143" spans="1:2" ht="16.5" hidden="1" customHeight="1">
      <c r="A1143" s="8">
        <v>44606</v>
      </c>
      <c r="B1143" s="10">
        <v>1199.5999999999999</v>
      </c>
    </row>
    <row r="1144" spans="1:2" ht="16.5" hidden="1" customHeight="1">
      <c r="A1144" s="8">
        <v>44607</v>
      </c>
      <c r="B1144" s="10">
        <v>1198.3</v>
      </c>
    </row>
    <row r="1145" spans="1:2" ht="16.5" hidden="1" customHeight="1">
      <c r="A1145" s="8">
        <v>44608</v>
      </c>
      <c r="B1145" s="10">
        <v>1198.5</v>
      </c>
    </row>
    <row r="1146" spans="1:2" ht="16.5" hidden="1" customHeight="1">
      <c r="A1146" s="8">
        <v>44609</v>
      </c>
      <c r="B1146" s="10">
        <v>1196.9000000000001</v>
      </c>
    </row>
    <row r="1147" spans="1:2" ht="16.5" hidden="1" customHeight="1">
      <c r="A1147" s="8">
        <v>44610</v>
      </c>
      <c r="B1147" s="10">
        <v>1197.0999999999999</v>
      </c>
    </row>
    <row r="1148" spans="1:2" ht="16.5" hidden="1" customHeight="1">
      <c r="A1148" s="8">
        <v>44611</v>
      </c>
      <c r="B1148" s="10">
        <v>1197.0999999999999</v>
      </c>
    </row>
    <row r="1149" spans="1:2" ht="16.5" hidden="1" customHeight="1">
      <c r="A1149" s="8">
        <v>44612</v>
      </c>
      <c r="B1149" s="10">
        <v>1197.0999999999999</v>
      </c>
    </row>
    <row r="1150" spans="1:2" ht="16.5" hidden="1" customHeight="1">
      <c r="A1150" s="8">
        <v>44613</v>
      </c>
      <c r="B1150" s="10">
        <v>1196.4000000000001</v>
      </c>
    </row>
    <row r="1151" spans="1:2" ht="16.5" hidden="1" customHeight="1">
      <c r="A1151" s="8">
        <v>44614</v>
      </c>
      <c r="B1151" s="10">
        <v>1194.5999999999999</v>
      </c>
    </row>
    <row r="1152" spans="1:2" ht="16.5" hidden="1" customHeight="1">
      <c r="A1152" s="8">
        <v>44615</v>
      </c>
      <c r="B1152" s="10">
        <v>1194.7</v>
      </c>
    </row>
    <row r="1153" spans="1:2" ht="16.5" hidden="1" customHeight="1">
      <c r="A1153" s="8">
        <v>44616</v>
      </c>
      <c r="B1153" s="10">
        <v>1192.0999999999999</v>
      </c>
    </row>
    <row r="1154" spans="1:2" ht="16.5" hidden="1" customHeight="1">
      <c r="A1154" s="8">
        <v>44617</v>
      </c>
      <c r="B1154" s="10">
        <v>1199.4000000000001</v>
      </c>
    </row>
    <row r="1155" spans="1:2" ht="16.5" hidden="1" customHeight="1">
      <c r="A1155" s="8">
        <v>44618</v>
      </c>
      <c r="B1155" s="10">
        <v>1199.4000000000001</v>
      </c>
    </row>
    <row r="1156" spans="1:2" ht="16.5" hidden="1" customHeight="1">
      <c r="A1156" s="8">
        <v>44619</v>
      </c>
      <c r="B1156" s="10">
        <v>1199.4000000000001</v>
      </c>
    </row>
    <row r="1157" spans="1:2" ht="16.5" hidden="1" customHeight="1">
      <c r="A1157" s="8">
        <v>44620</v>
      </c>
      <c r="B1157" s="10">
        <v>1202.7</v>
      </c>
    </row>
    <row r="1158" spans="1:2" ht="16.5" hidden="1" customHeight="1">
      <c r="A1158" s="8">
        <v>44621</v>
      </c>
      <c r="B1158" s="10">
        <v>1202.7</v>
      </c>
    </row>
    <row r="1159" spans="1:2" ht="16.5" hidden="1" customHeight="1">
      <c r="A1159" s="8">
        <v>44622</v>
      </c>
      <c r="B1159" s="10">
        <v>1205.5999999999999</v>
      </c>
    </row>
    <row r="1160" spans="1:2" ht="16.5" hidden="1" customHeight="1">
      <c r="A1160" s="8">
        <v>44623</v>
      </c>
      <c r="B1160" s="10">
        <v>1205</v>
      </c>
    </row>
    <row r="1161" spans="1:2" ht="16.5" hidden="1" customHeight="1">
      <c r="A1161" s="8">
        <v>44624</v>
      </c>
      <c r="B1161" s="10">
        <v>1203.5999999999999</v>
      </c>
    </row>
    <row r="1162" spans="1:2" ht="16.5" hidden="1" customHeight="1">
      <c r="A1162" s="8">
        <v>44625</v>
      </c>
      <c r="B1162" s="10">
        <v>1203.5999999999999</v>
      </c>
    </row>
    <row r="1163" spans="1:2" ht="16.5" hidden="1" customHeight="1">
      <c r="A1163" s="8">
        <v>44626</v>
      </c>
      <c r="B1163" s="10">
        <v>1203.5999999999999</v>
      </c>
    </row>
    <row r="1164" spans="1:2" ht="16.5" hidden="1" customHeight="1">
      <c r="A1164" s="8">
        <v>44627</v>
      </c>
      <c r="B1164" s="10">
        <v>1211.5</v>
      </c>
    </row>
    <row r="1165" spans="1:2" ht="16.5" hidden="1" customHeight="1">
      <c r="A1165" s="8">
        <v>44628</v>
      </c>
      <c r="B1165" s="10">
        <v>1225.4000000000001</v>
      </c>
    </row>
    <row r="1166" spans="1:2" ht="16.5" hidden="1" customHeight="1">
      <c r="A1166" s="8">
        <v>44629</v>
      </c>
      <c r="B1166" s="10">
        <v>1225.4000000000001</v>
      </c>
    </row>
    <row r="1167" spans="1:2" ht="16.5" hidden="1" customHeight="1">
      <c r="A1167" s="8">
        <v>44630</v>
      </c>
      <c r="B1167" s="10">
        <v>1234.5</v>
      </c>
    </row>
    <row r="1168" spans="1:2" ht="16.5" hidden="1" customHeight="1">
      <c r="A1168" s="8">
        <v>44631</v>
      </c>
      <c r="B1168" s="10">
        <v>1228.7</v>
      </c>
    </row>
    <row r="1169" spans="1:2" ht="16.5" hidden="1" customHeight="1">
      <c r="A1169" s="8">
        <v>44632</v>
      </c>
      <c r="B1169" s="10">
        <v>1228.7</v>
      </c>
    </row>
    <row r="1170" spans="1:2" ht="16.5" hidden="1" customHeight="1">
      <c r="A1170" s="8">
        <v>44633</v>
      </c>
      <c r="B1170" s="10">
        <v>1228.7</v>
      </c>
    </row>
    <row r="1171" spans="1:2" ht="16.5" hidden="1" customHeight="1">
      <c r="A1171" s="8">
        <v>44634</v>
      </c>
      <c r="B1171" s="10">
        <v>1232.4000000000001</v>
      </c>
    </row>
    <row r="1172" spans="1:2" ht="16.5" hidden="1" customHeight="1">
      <c r="A1172" s="8">
        <v>44635</v>
      </c>
      <c r="B1172" s="10">
        <v>1238.5999999999999</v>
      </c>
    </row>
    <row r="1173" spans="1:2" ht="16.5" hidden="1" customHeight="1">
      <c r="A1173" s="8">
        <v>44636</v>
      </c>
      <c r="B1173" s="10">
        <v>1241.7</v>
      </c>
    </row>
    <row r="1174" spans="1:2" ht="16.5" hidden="1" customHeight="1">
      <c r="A1174" s="8">
        <v>44637</v>
      </c>
      <c r="B1174" s="10">
        <v>1240.4000000000001</v>
      </c>
    </row>
    <row r="1175" spans="1:2" ht="16.5" hidden="1" customHeight="1">
      <c r="A1175" s="8">
        <v>44638</v>
      </c>
      <c r="B1175" s="10">
        <v>1220.5999999999999</v>
      </c>
    </row>
    <row r="1176" spans="1:2" ht="16.5" hidden="1" customHeight="1">
      <c r="A1176" s="8">
        <v>44639</v>
      </c>
      <c r="B1176" s="10">
        <v>1220.5999999999999</v>
      </c>
    </row>
    <row r="1177" spans="1:2" ht="16.5" hidden="1" customHeight="1">
      <c r="A1177" s="8">
        <v>44640</v>
      </c>
      <c r="B1177" s="10">
        <v>1220.5999999999999</v>
      </c>
    </row>
    <row r="1178" spans="1:2" ht="16.5" hidden="1" customHeight="1">
      <c r="A1178" s="8">
        <v>44641</v>
      </c>
      <c r="B1178" s="10">
        <v>1211.0999999999999</v>
      </c>
    </row>
    <row r="1179" spans="1:2" ht="16.5" hidden="1" customHeight="1">
      <c r="A1179" s="8">
        <v>44642</v>
      </c>
      <c r="B1179" s="10">
        <v>1213.7</v>
      </c>
    </row>
    <row r="1180" spans="1:2" ht="16.5" hidden="1" customHeight="1">
      <c r="A1180" s="8">
        <v>44643</v>
      </c>
      <c r="B1180" s="10">
        <v>1221.4000000000001</v>
      </c>
    </row>
    <row r="1181" spans="1:2" ht="16.5" hidden="1" customHeight="1">
      <c r="A1181" s="8">
        <v>44644</v>
      </c>
      <c r="B1181" s="10">
        <v>1212.7</v>
      </c>
    </row>
    <row r="1182" spans="1:2" ht="16.5" hidden="1" customHeight="1">
      <c r="A1182" s="8">
        <v>44645</v>
      </c>
      <c r="B1182" s="10">
        <v>1219.4000000000001</v>
      </c>
    </row>
    <row r="1183" spans="1:2" ht="16.5" hidden="1" customHeight="1">
      <c r="A1183" s="8">
        <v>44646</v>
      </c>
      <c r="B1183" s="10">
        <v>1219.4000000000001</v>
      </c>
    </row>
    <row r="1184" spans="1:2" ht="16.5" hidden="1" customHeight="1">
      <c r="A1184" s="8">
        <v>44647</v>
      </c>
      <c r="B1184" s="10">
        <v>1219.4000000000001</v>
      </c>
    </row>
    <row r="1185" spans="1:2" ht="16.5" hidden="1" customHeight="1">
      <c r="A1185" s="8">
        <v>44648</v>
      </c>
      <c r="B1185" s="10">
        <v>1218.3</v>
      </c>
    </row>
    <row r="1186" spans="1:2" ht="16.5" hidden="1" customHeight="1">
      <c r="A1186" s="8">
        <v>44649</v>
      </c>
      <c r="B1186" s="10">
        <v>1225.7</v>
      </c>
    </row>
    <row r="1187" spans="1:2" ht="16.5" hidden="1" customHeight="1">
      <c r="A1187" s="8">
        <v>44650</v>
      </c>
      <c r="B1187" s="10">
        <v>1220.5</v>
      </c>
    </row>
    <row r="1188" spans="1:2" ht="16.5" hidden="1" customHeight="1">
      <c r="A1188" s="8">
        <v>44651</v>
      </c>
      <c r="B1188" s="10">
        <v>1210.8</v>
      </c>
    </row>
    <row r="1189" spans="1:2" ht="16.5" hidden="1" customHeight="1">
      <c r="A1189" s="8">
        <v>44652</v>
      </c>
      <c r="B1189" s="10">
        <v>1210.7</v>
      </c>
    </row>
    <row r="1190" spans="1:2" ht="16.5" hidden="1" customHeight="1">
      <c r="A1190" s="8">
        <v>44653</v>
      </c>
      <c r="B1190" s="10">
        <v>1210.7</v>
      </c>
    </row>
    <row r="1191" spans="1:2" ht="16.5" hidden="1" customHeight="1">
      <c r="A1191" s="8">
        <v>44654</v>
      </c>
      <c r="B1191" s="10">
        <v>1210.7</v>
      </c>
    </row>
    <row r="1192" spans="1:2" ht="16.5" hidden="1" customHeight="1">
      <c r="A1192" s="8">
        <v>44655</v>
      </c>
      <c r="B1192" s="10">
        <v>1216.0999999999999</v>
      </c>
    </row>
    <row r="1193" spans="1:2" ht="16.5" hidden="1" customHeight="1">
      <c r="A1193" s="8">
        <v>44656</v>
      </c>
      <c r="B1193" s="10">
        <v>1216.7</v>
      </c>
    </row>
    <row r="1194" spans="1:2" ht="16.5" hidden="1" customHeight="1">
      <c r="A1194" s="8">
        <v>44657</v>
      </c>
      <c r="B1194" s="10">
        <v>1212.5999999999999</v>
      </c>
    </row>
    <row r="1195" spans="1:2" ht="16.5" hidden="1" customHeight="1">
      <c r="A1195" s="8">
        <v>44658</v>
      </c>
      <c r="B1195" s="10">
        <v>1219.0999999999999</v>
      </c>
    </row>
    <row r="1196" spans="1:2" ht="16.5" hidden="1" customHeight="1">
      <c r="A1196" s="8">
        <v>44659</v>
      </c>
      <c r="B1196" s="10">
        <v>1218.5</v>
      </c>
    </row>
    <row r="1197" spans="1:2" ht="16.5" hidden="1" customHeight="1">
      <c r="A1197" s="8">
        <v>44660</v>
      </c>
      <c r="B1197" s="10">
        <v>1218.5</v>
      </c>
    </row>
    <row r="1198" spans="1:2" ht="16.5" hidden="1" customHeight="1">
      <c r="A1198" s="8">
        <v>44661</v>
      </c>
      <c r="B1198" s="10">
        <v>1218.5</v>
      </c>
    </row>
    <row r="1199" spans="1:2" ht="16.5" hidden="1" customHeight="1">
      <c r="A1199" s="8">
        <v>44662</v>
      </c>
      <c r="B1199" s="10">
        <v>1224</v>
      </c>
    </row>
    <row r="1200" spans="1:2" ht="16.5" hidden="1" customHeight="1">
      <c r="A1200" s="8">
        <v>44663</v>
      </c>
      <c r="B1200" s="10">
        <v>1232</v>
      </c>
    </row>
    <row r="1201" spans="1:2" ht="16.5" hidden="1" customHeight="1">
      <c r="A1201" s="8">
        <v>44664</v>
      </c>
      <c r="B1201" s="10">
        <v>1236.5999999999999</v>
      </c>
    </row>
    <row r="1202" spans="1:2" ht="16.5" hidden="1" customHeight="1">
      <c r="A1202" s="8">
        <v>44665</v>
      </c>
      <c r="B1202" s="10">
        <v>1227.7</v>
      </c>
    </row>
    <row r="1203" spans="1:2" ht="16.5" hidden="1" customHeight="1">
      <c r="A1203" s="8">
        <v>44666</v>
      </c>
      <c r="B1203" s="10">
        <v>1224.2</v>
      </c>
    </row>
    <row r="1204" spans="1:2" ht="16.5" hidden="1" customHeight="1">
      <c r="A1204" s="8">
        <v>44667</v>
      </c>
      <c r="B1204" s="10">
        <v>1224.2</v>
      </c>
    </row>
    <row r="1205" spans="1:2" ht="16.5" hidden="1" customHeight="1">
      <c r="A1205" s="8">
        <v>44668</v>
      </c>
      <c r="B1205" s="10">
        <v>1224.2</v>
      </c>
    </row>
    <row r="1206" spans="1:2" ht="16.5" hidden="1" customHeight="1">
      <c r="A1206" s="8">
        <v>44669</v>
      </c>
      <c r="B1206" s="10">
        <v>1230.0999999999999</v>
      </c>
    </row>
    <row r="1207" spans="1:2" ht="16.5" hidden="1" customHeight="1">
      <c r="A1207" s="8">
        <v>44670</v>
      </c>
      <c r="B1207" s="10">
        <v>1232.8</v>
      </c>
    </row>
    <row r="1208" spans="1:2" ht="16.5" hidden="1" customHeight="1">
      <c r="A1208" s="8">
        <v>44671</v>
      </c>
      <c r="B1208" s="10">
        <v>1234.9000000000001</v>
      </c>
    </row>
    <row r="1209" spans="1:2" ht="16.5" hidden="1" customHeight="1">
      <c r="A1209" s="8">
        <v>44672</v>
      </c>
      <c r="B1209" s="10">
        <v>1237.0999999999999</v>
      </c>
    </row>
    <row r="1210" spans="1:2" ht="16.5" hidden="1" customHeight="1">
      <c r="A1210" s="8">
        <v>44673</v>
      </c>
      <c r="B1210" s="10">
        <v>1236.4000000000001</v>
      </c>
    </row>
    <row r="1211" spans="1:2" ht="16.5" hidden="1" customHeight="1">
      <c r="A1211" s="8">
        <v>44674</v>
      </c>
      <c r="B1211" s="10">
        <v>1236.4000000000001</v>
      </c>
    </row>
    <row r="1212" spans="1:2" ht="16.5" hidden="1" customHeight="1">
      <c r="A1212" s="8">
        <v>44675</v>
      </c>
      <c r="B1212" s="10">
        <v>1236.4000000000001</v>
      </c>
    </row>
    <row r="1213" spans="1:2" ht="16.5" hidden="1" customHeight="1">
      <c r="A1213" s="8">
        <v>44676</v>
      </c>
      <c r="B1213" s="10">
        <v>1241.7</v>
      </c>
    </row>
    <row r="1214" spans="1:2" ht="16.5" hidden="1" customHeight="1">
      <c r="A1214" s="8">
        <v>44677</v>
      </c>
      <c r="B1214" s="10">
        <v>1247.0999999999999</v>
      </c>
    </row>
    <row r="1215" spans="1:2" ht="16.5" hidden="1" customHeight="1">
      <c r="A1215" s="8">
        <v>44678</v>
      </c>
      <c r="B1215" s="10">
        <v>1248.3</v>
      </c>
    </row>
    <row r="1216" spans="1:2" ht="16.5" hidden="1" customHeight="1">
      <c r="A1216" s="8">
        <v>44679</v>
      </c>
      <c r="B1216" s="10">
        <v>1263.0999999999999</v>
      </c>
    </row>
    <row r="1217" spans="1:5" ht="16.5" hidden="1" customHeight="1">
      <c r="A1217" s="8">
        <v>44680</v>
      </c>
      <c r="B1217" s="10">
        <v>1269.4000000000001</v>
      </c>
    </row>
    <row r="1218" spans="1:5" ht="16.5" hidden="1" customHeight="1">
      <c r="A1218" s="8">
        <v>44681</v>
      </c>
      <c r="B1218" s="10">
        <v>1269.4000000000001</v>
      </c>
    </row>
    <row r="1219" spans="1:5" ht="16.5" hidden="1" customHeight="1">
      <c r="A1219" s="8">
        <v>44682</v>
      </c>
      <c r="B1219" s="10">
        <v>1269.4000000000001</v>
      </c>
    </row>
    <row r="1220" spans="1:5" ht="16.5" hidden="1" customHeight="1">
      <c r="A1220" s="8">
        <v>44683</v>
      </c>
      <c r="B1220" s="10">
        <v>1265.4000000000001</v>
      </c>
    </row>
    <row r="1221" spans="1:5" ht="16.5" hidden="1" customHeight="1">
      <c r="A1221" s="8">
        <v>44684</v>
      </c>
      <c r="B1221" s="10">
        <v>1265.8</v>
      </c>
    </row>
    <row r="1222" spans="1:5" ht="16.5" hidden="1" customHeight="1">
      <c r="A1222" s="8">
        <v>44685</v>
      </c>
      <c r="B1222" s="10">
        <v>1265.7</v>
      </c>
    </row>
    <row r="1223" spans="1:5" ht="16.5" hidden="1" customHeight="1">
      <c r="A1223" s="8">
        <v>44686</v>
      </c>
      <c r="B1223" s="10">
        <v>1265.7</v>
      </c>
    </row>
    <row r="1224" spans="1:5" ht="16.5" hidden="1" customHeight="1">
      <c r="A1224" s="8">
        <v>44687</v>
      </c>
      <c r="B1224" s="10">
        <v>1261.8</v>
      </c>
    </row>
    <row r="1225" spans="1:5" ht="16.5" hidden="1" customHeight="1">
      <c r="A1225" s="8">
        <v>44688</v>
      </c>
      <c r="B1225" s="10">
        <v>1261.8</v>
      </c>
    </row>
    <row r="1226" spans="1:5" ht="16.5" hidden="1" customHeight="1">
      <c r="A1226" s="8">
        <v>44689</v>
      </c>
      <c r="B1226" s="10">
        <v>1261.8</v>
      </c>
    </row>
    <row r="1227" spans="1:5" ht="16.5" hidden="1" customHeight="1">
      <c r="A1227" s="8">
        <v>44690</v>
      </c>
      <c r="B1227" s="10">
        <v>1272.7</v>
      </c>
    </row>
    <row r="1228" spans="1:5" ht="16.5" hidden="1" customHeight="1">
      <c r="A1228" s="8">
        <v>44691</v>
      </c>
      <c r="B1228" s="10">
        <v>1274.5999999999999</v>
      </c>
    </row>
    <row r="1229" spans="1:5" ht="16.5" hidden="1" customHeight="1">
      <c r="A1229" s="8">
        <v>44692</v>
      </c>
      <c r="B1229" s="10">
        <v>1275.5</v>
      </c>
    </row>
    <row r="1230" spans="1:5" ht="16.5" hidden="1" customHeight="1">
      <c r="A1230" s="8">
        <v>44693</v>
      </c>
      <c r="B1230" s="10">
        <v>1277</v>
      </c>
    </row>
    <row r="1231" spans="1:5" ht="16.5" hidden="1" customHeight="1">
      <c r="A1231" s="8">
        <v>44694</v>
      </c>
      <c r="B1231" s="10">
        <v>1286.4000000000001</v>
      </c>
      <c r="E1231">
        <v>4500</v>
      </c>
    </row>
    <row r="1232" spans="1:5" ht="16.5" hidden="1" customHeight="1">
      <c r="A1232" s="8">
        <v>44695</v>
      </c>
      <c r="B1232" s="10">
        <v>1286.4000000000001</v>
      </c>
      <c r="E1232">
        <v>1266.4000000000001</v>
      </c>
    </row>
    <row r="1233" spans="1:5" ht="16.5" hidden="1" customHeight="1">
      <c r="A1233" s="8">
        <v>44696</v>
      </c>
      <c r="B1233" s="10">
        <v>1286.4000000000001</v>
      </c>
      <c r="E1233" s="13">
        <f>ROUNDDOWN(E1231*E1232,0)</f>
        <v>5698800</v>
      </c>
    </row>
    <row r="1234" spans="1:5" ht="16.5" hidden="1" customHeight="1">
      <c r="A1234" s="8">
        <v>44697</v>
      </c>
      <c r="B1234" s="10">
        <v>1286</v>
      </c>
    </row>
    <row r="1235" spans="1:5" ht="16.5" hidden="1" customHeight="1">
      <c r="A1235" s="8">
        <v>44698</v>
      </c>
      <c r="B1235" s="10">
        <v>1281.5999999999999</v>
      </c>
    </row>
    <row r="1236" spans="1:5" ht="16.5" hidden="1" customHeight="1">
      <c r="A1236" s="8">
        <v>44699</v>
      </c>
      <c r="B1236" s="10">
        <v>1277.2</v>
      </c>
    </row>
    <row r="1237" spans="1:5" ht="16.5" hidden="1" customHeight="1">
      <c r="A1237" s="8">
        <v>44700</v>
      </c>
      <c r="B1237" s="10">
        <v>1269.3</v>
      </c>
    </row>
    <row r="1238" spans="1:5" ht="16.5" hidden="1" customHeight="1">
      <c r="A1238" s="8">
        <v>44701</v>
      </c>
      <c r="B1238" s="10">
        <v>1274.5999999999999</v>
      </c>
    </row>
    <row r="1239" spans="1:5" ht="16.5" hidden="1" customHeight="1">
      <c r="A1239" s="8">
        <v>44702</v>
      </c>
      <c r="B1239" s="10">
        <v>1274.5999999999999</v>
      </c>
    </row>
    <row r="1240" spans="1:5" ht="16.5" hidden="1" customHeight="1">
      <c r="A1240" s="8">
        <v>44703</v>
      </c>
      <c r="B1240" s="10">
        <v>1274.5999999999999</v>
      </c>
      <c r="E1240" s="13"/>
    </row>
    <row r="1241" spans="1:5" ht="16.5" hidden="1" customHeight="1">
      <c r="A1241" s="8">
        <v>44704</v>
      </c>
      <c r="B1241" s="10">
        <v>1269.5</v>
      </c>
    </row>
    <row r="1242" spans="1:5" ht="16.5" hidden="1" customHeight="1">
      <c r="A1242" s="8">
        <v>44705</v>
      </c>
      <c r="B1242" s="10">
        <v>1267.7</v>
      </c>
    </row>
    <row r="1243" spans="1:5" ht="16.5" hidden="1" customHeight="1">
      <c r="A1243" s="8">
        <v>44706</v>
      </c>
      <c r="B1243" s="10">
        <v>1264.3</v>
      </c>
    </row>
    <row r="1244" spans="1:5" ht="16.5" hidden="1" customHeight="1">
      <c r="A1244" s="8">
        <v>44707</v>
      </c>
      <c r="B1244" s="10">
        <v>1263.3</v>
      </c>
    </row>
    <row r="1245" spans="1:5" ht="16.5" hidden="1" customHeight="1">
      <c r="A1245" s="8">
        <v>44708</v>
      </c>
      <c r="B1245" s="10">
        <v>1266.4000000000001</v>
      </c>
    </row>
    <row r="1246" spans="1:5" ht="16.5" hidden="1" customHeight="1">
      <c r="A1246" s="8">
        <v>44709</v>
      </c>
      <c r="B1246" s="10">
        <v>1266.4000000000001</v>
      </c>
    </row>
    <row r="1247" spans="1:5" ht="16.5" hidden="1" customHeight="1">
      <c r="A1247" s="8">
        <v>44710</v>
      </c>
      <c r="B1247" s="10">
        <v>1266.4000000000001</v>
      </c>
    </row>
    <row r="1248" spans="1:5" ht="16.5" hidden="1" customHeight="1">
      <c r="A1248" s="8">
        <v>44711</v>
      </c>
      <c r="B1248" s="10">
        <v>1256.9000000000001</v>
      </c>
    </row>
    <row r="1249" spans="1:2" ht="16.5" hidden="1" customHeight="1">
      <c r="A1249" s="8">
        <v>44712</v>
      </c>
      <c r="B1249" s="10">
        <v>1245.8</v>
      </c>
    </row>
    <row r="1250" spans="1:2" ht="16.5" hidden="1" customHeight="1">
      <c r="A1250" s="8">
        <v>44713</v>
      </c>
      <c r="B1250" s="10">
        <v>1245.8</v>
      </c>
    </row>
    <row r="1251" spans="1:2" ht="16.5" hidden="1" customHeight="1">
      <c r="A1251" s="8">
        <v>44714</v>
      </c>
      <c r="B1251" s="10">
        <v>1238.4000000000001</v>
      </c>
    </row>
    <row r="1252" spans="1:2" ht="16.5" hidden="1" customHeight="1">
      <c r="A1252" s="8">
        <v>44715</v>
      </c>
      <c r="B1252" s="10">
        <v>1251.2</v>
      </c>
    </row>
    <row r="1253" spans="1:2" ht="16.5" hidden="1" customHeight="1">
      <c r="A1253" s="8">
        <v>44716</v>
      </c>
      <c r="B1253" s="10">
        <v>1251.2</v>
      </c>
    </row>
    <row r="1254" spans="1:2" ht="16.5" hidden="1" customHeight="1">
      <c r="A1254" s="8">
        <v>44717</v>
      </c>
      <c r="B1254" s="10">
        <v>1251.2</v>
      </c>
    </row>
    <row r="1255" spans="1:2" ht="16.5" hidden="1" customHeight="1">
      <c r="A1255" s="8">
        <v>44718</v>
      </c>
      <c r="B1255" s="10">
        <v>1251.2</v>
      </c>
    </row>
    <row r="1256" spans="1:2" ht="16.5" hidden="1" customHeight="1">
      <c r="A1256" s="8">
        <v>44719</v>
      </c>
      <c r="B1256" s="10">
        <v>1241.0999999999999</v>
      </c>
    </row>
    <row r="1257" spans="1:2" ht="16.5" hidden="1" customHeight="1">
      <c r="A1257" s="8">
        <v>44720</v>
      </c>
      <c r="B1257" s="10">
        <v>1257.0999999999999</v>
      </c>
    </row>
    <row r="1258" spans="1:2" ht="16.5" hidden="1" customHeight="1">
      <c r="A1258" s="8">
        <v>44721</v>
      </c>
      <c r="B1258" s="10">
        <v>1255.4000000000001</v>
      </c>
    </row>
    <row r="1259" spans="1:2" ht="16.5" hidden="1" customHeight="1">
      <c r="A1259" s="8">
        <v>44722</v>
      </c>
      <c r="B1259" s="10">
        <v>1257.5999999999999</v>
      </c>
    </row>
    <row r="1260" spans="1:2" ht="16.5" hidden="1" customHeight="1">
      <c r="A1260" s="8">
        <v>44723</v>
      </c>
      <c r="B1260" s="10">
        <v>1257.5999999999999</v>
      </c>
    </row>
    <row r="1261" spans="1:2" ht="16.5" hidden="1" customHeight="1">
      <c r="A1261" s="8">
        <v>44724</v>
      </c>
      <c r="B1261" s="10">
        <v>1257.5999999999999</v>
      </c>
    </row>
    <row r="1262" spans="1:2" ht="16.5" hidden="1" customHeight="1">
      <c r="A1262" s="8">
        <v>44725</v>
      </c>
      <c r="B1262" s="10">
        <v>1266</v>
      </c>
    </row>
    <row r="1263" spans="1:2" ht="16.5" hidden="1" customHeight="1">
      <c r="A1263" s="8">
        <v>44726</v>
      </c>
      <c r="B1263" s="10">
        <v>1286</v>
      </c>
    </row>
    <row r="1264" spans="1:2" ht="16.5" hidden="1" customHeight="1">
      <c r="A1264" s="8">
        <v>44727</v>
      </c>
      <c r="B1264" s="10">
        <v>1289.7</v>
      </c>
    </row>
    <row r="1265" spans="1:2" ht="16.5" hidden="1" customHeight="1">
      <c r="A1265" s="8">
        <v>44728</v>
      </c>
      <c r="B1265" s="10">
        <v>1291.3</v>
      </c>
    </row>
    <row r="1266" spans="1:2" ht="16.5" hidden="1" customHeight="1">
      <c r="A1266" s="8">
        <v>44729</v>
      </c>
      <c r="B1266" s="10">
        <v>1284.0999999999999</v>
      </c>
    </row>
    <row r="1267" spans="1:2" ht="16.5" hidden="1" customHeight="1">
      <c r="A1267" s="8">
        <v>44730</v>
      </c>
      <c r="B1267" s="10">
        <v>1284.0999999999999</v>
      </c>
    </row>
    <row r="1268" spans="1:2" ht="16.5" hidden="1" customHeight="1">
      <c r="A1268" s="8">
        <v>44731</v>
      </c>
      <c r="B1268" s="10">
        <v>1284.0999999999999</v>
      </c>
    </row>
    <row r="1269" spans="1:2" ht="16.5" hidden="1" customHeight="1">
      <c r="A1269" s="8">
        <v>44732</v>
      </c>
      <c r="B1269" s="10">
        <v>1287.5</v>
      </c>
    </row>
    <row r="1270" spans="1:2" ht="16.5" hidden="1" customHeight="1">
      <c r="A1270" s="8">
        <v>44733</v>
      </c>
      <c r="B1270" s="10">
        <v>1291.7</v>
      </c>
    </row>
    <row r="1271" spans="1:2" ht="16.5" hidden="1" customHeight="1">
      <c r="A1271" s="8">
        <v>44734</v>
      </c>
      <c r="B1271" s="10">
        <v>1290.5999999999999</v>
      </c>
    </row>
    <row r="1272" spans="1:2" ht="16.5" hidden="1" customHeight="1">
      <c r="A1272" s="8">
        <v>44735</v>
      </c>
      <c r="B1272" s="10">
        <v>1295.7</v>
      </c>
    </row>
    <row r="1273" spans="1:2" ht="16.5" hidden="1" customHeight="1">
      <c r="A1273" s="8">
        <v>44736</v>
      </c>
      <c r="B1273" s="10">
        <v>1300.7</v>
      </c>
    </row>
    <row r="1274" spans="1:2" ht="16.5" hidden="1" customHeight="1">
      <c r="A1274" s="8">
        <v>44737</v>
      </c>
      <c r="B1274" s="10">
        <v>1300.7</v>
      </c>
    </row>
    <row r="1275" spans="1:2" ht="16.5" hidden="1" customHeight="1">
      <c r="A1275" s="8">
        <v>44738</v>
      </c>
      <c r="B1275" s="10">
        <v>1300.7</v>
      </c>
    </row>
    <row r="1276" spans="1:2" ht="16.5" hidden="1" customHeight="1">
      <c r="A1276" s="8">
        <v>44739</v>
      </c>
      <c r="B1276" s="10">
        <v>1299.4000000000001</v>
      </c>
    </row>
    <row r="1277" spans="1:2" ht="16.5" hidden="1" customHeight="1">
      <c r="A1277" s="8">
        <v>44740</v>
      </c>
      <c r="B1277" s="10">
        <v>1285.5999999999999</v>
      </c>
    </row>
    <row r="1278" spans="1:2" ht="16.5" hidden="1" customHeight="1">
      <c r="A1278" s="8">
        <v>44741</v>
      </c>
      <c r="B1278" s="10">
        <v>1284.9000000000001</v>
      </c>
    </row>
    <row r="1279" spans="1:2" ht="16.5" hidden="1" customHeight="1">
      <c r="A1279" s="8">
        <v>44742</v>
      </c>
      <c r="B1279" s="10">
        <v>1292.9000000000001</v>
      </c>
    </row>
    <row r="1280" spans="1:2" ht="16.5" hidden="1" customHeight="1">
      <c r="A1280" s="8">
        <v>44743</v>
      </c>
      <c r="B1280" s="79">
        <v>1299.8</v>
      </c>
    </row>
    <row r="1281" spans="1:2" ht="16.5" hidden="1" customHeight="1">
      <c r="A1281" s="8">
        <v>44744</v>
      </c>
      <c r="B1281" s="79">
        <v>1299.8</v>
      </c>
    </row>
    <row r="1282" spans="1:2" ht="16.5" hidden="1" customHeight="1">
      <c r="A1282" s="8">
        <v>44745</v>
      </c>
      <c r="B1282" s="79">
        <v>1299.8</v>
      </c>
    </row>
    <row r="1283" spans="1:2" ht="16.5" hidden="1" customHeight="1">
      <c r="A1283" s="8">
        <v>44746</v>
      </c>
      <c r="B1283" s="79">
        <v>1294.2</v>
      </c>
    </row>
    <row r="1284" spans="1:2" ht="16.5" hidden="1" customHeight="1">
      <c r="A1284" s="8">
        <v>44747</v>
      </c>
      <c r="B1284" s="79">
        <v>1297.9000000000001</v>
      </c>
    </row>
    <row r="1285" spans="1:2" ht="16.5" hidden="1" customHeight="1">
      <c r="A1285" s="8">
        <v>44748</v>
      </c>
      <c r="B1285" s="79">
        <v>1298</v>
      </c>
    </row>
    <row r="1286" spans="1:2" ht="16.5" hidden="1" customHeight="1">
      <c r="A1286" s="8">
        <v>44749</v>
      </c>
      <c r="B1286" s="79">
        <v>1307.4000000000001</v>
      </c>
    </row>
    <row r="1287" spans="1:2" ht="16.5" hidden="1" customHeight="1">
      <c r="A1287" s="8">
        <v>44750</v>
      </c>
      <c r="B1287" s="79">
        <v>1302.7</v>
      </c>
    </row>
    <row r="1288" spans="1:2" ht="16.5" hidden="1" customHeight="1">
      <c r="A1288" s="8">
        <v>44751</v>
      </c>
      <c r="B1288" s="79">
        <v>1302.7</v>
      </c>
    </row>
    <row r="1289" spans="1:2" ht="16.5" hidden="1" customHeight="1">
      <c r="A1289" s="8">
        <v>44752</v>
      </c>
      <c r="B1289" s="79">
        <v>1302.7</v>
      </c>
    </row>
    <row r="1290" spans="1:2" ht="16.5" hidden="1" customHeight="1">
      <c r="A1290" s="8">
        <v>44753</v>
      </c>
      <c r="B1290" s="79">
        <v>1299.3</v>
      </c>
    </row>
    <row r="1291" spans="1:2" ht="16.5" hidden="1" customHeight="1">
      <c r="A1291" s="8">
        <v>44754</v>
      </c>
      <c r="B1291" s="79">
        <v>1300.5999999999999</v>
      </c>
    </row>
    <row r="1292" spans="1:2" ht="16.5" hidden="1" customHeight="1">
      <c r="A1292" s="8">
        <v>44755</v>
      </c>
      <c r="B1292" s="79">
        <v>1312.9</v>
      </c>
    </row>
    <row r="1293" spans="1:2" ht="16.5" hidden="1" customHeight="1">
      <c r="A1293" s="8">
        <v>44756</v>
      </c>
      <c r="B1293" s="79">
        <v>1305.9000000000001</v>
      </c>
    </row>
    <row r="1294" spans="1:2" ht="16.5" hidden="1" customHeight="1">
      <c r="A1294" s="8">
        <v>44757</v>
      </c>
      <c r="B1294" s="79">
        <v>1310</v>
      </c>
    </row>
    <row r="1295" spans="1:2" ht="16.5" hidden="1" customHeight="1">
      <c r="A1295" s="8">
        <v>44758</v>
      </c>
      <c r="B1295" s="79">
        <v>1310</v>
      </c>
    </row>
    <row r="1296" spans="1:2" ht="16.5" hidden="1" customHeight="1">
      <c r="A1296" s="8">
        <v>44759</v>
      </c>
      <c r="B1296" s="79">
        <v>1310</v>
      </c>
    </row>
    <row r="1297" spans="1:2" ht="16.5" hidden="1" customHeight="1">
      <c r="A1297" s="8">
        <v>44760</v>
      </c>
      <c r="B1297" s="79">
        <v>1323.7</v>
      </c>
    </row>
    <row r="1298" spans="1:2" ht="16.5" hidden="1" customHeight="1">
      <c r="A1298" s="8">
        <v>44761</v>
      </c>
      <c r="B1298" s="10">
        <v>1317.8</v>
      </c>
    </row>
    <row r="1299" spans="1:2" ht="16.5" hidden="1" customHeight="1">
      <c r="A1299" s="8">
        <v>44762</v>
      </c>
      <c r="B1299" s="10">
        <v>1314.9</v>
      </c>
    </row>
    <row r="1300" spans="1:2" ht="16.5" hidden="1" customHeight="1">
      <c r="A1300" s="8">
        <v>44763</v>
      </c>
      <c r="B1300" s="10">
        <v>1308.5999999999999</v>
      </c>
    </row>
    <row r="1301" spans="1:2" ht="16.5" hidden="1" customHeight="1">
      <c r="A1301" s="8">
        <v>44764</v>
      </c>
      <c r="B1301" s="10">
        <v>1312.1</v>
      </c>
    </row>
    <row r="1302" spans="1:2" ht="16.5" hidden="1" customHeight="1">
      <c r="A1302" s="8">
        <v>44765</v>
      </c>
      <c r="B1302" s="10">
        <v>1312.1</v>
      </c>
    </row>
    <row r="1303" spans="1:2" ht="16.5" hidden="1" customHeight="1">
      <c r="A1303" s="8">
        <v>44766</v>
      </c>
      <c r="B1303" s="10">
        <v>1312.1</v>
      </c>
    </row>
    <row r="1304" spans="1:2" ht="16.5" hidden="1" customHeight="1">
      <c r="A1304" s="8">
        <v>44767</v>
      </c>
      <c r="B1304" s="10">
        <v>1311.7</v>
      </c>
    </row>
    <row r="1305" spans="1:2" ht="16.5" hidden="1" customHeight="1">
      <c r="A1305" s="8">
        <v>44768</v>
      </c>
      <c r="B1305" s="10">
        <v>1311</v>
      </c>
    </row>
    <row r="1306" spans="1:2" ht="16.5" hidden="1" customHeight="1">
      <c r="A1306" s="8">
        <v>44769</v>
      </c>
      <c r="B1306" s="10">
        <v>1310</v>
      </c>
    </row>
    <row r="1307" spans="1:2" ht="16.5" hidden="1" customHeight="1">
      <c r="A1307" s="8">
        <v>44770</v>
      </c>
      <c r="B1307" s="10">
        <v>1312.8</v>
      </c>
    </row>
    <row r="1308" spans="1:2" ht="16.5" hidden="1" customHeight="1">
      <c r="A1308" s="8">
        <v>44771</v>
      </c>
      <c r="B1308" s="10">
        <v>1304</v>
      </c>
    </row>
    <row r="1309" spans="1:2" ht="16.5" hidden="1" customHeight="1">
      <c r="A1309" s="8">
        <v>44772</v>
      </c>
      <c r="B1309" s="10">
        <v>1304</v>
      </c>
    </row>
    <row r="1310" spans="1:2" ht="16.5" hidden="1" customHeight="1">
      <c r="A1310" s="8">
        <v>44773</v>
      </c>
      <c r="B1310" s="10">
        <v>1304</v>
      </c>
    </row>
    <row r="1311" spans="1:2" ht="16.5" hidden="1" customHeight="1">
      <c r="A1311" s="8">
        <v>44774</v>
      </c>
      <c r="B1311" s="10">
        <v>1298.5999999999999</v>
      </c>
    </row>
    <row r="1312" spans="1:2" ht="16.5" hidden="1" customHeight="1">
      <c r="A1312" s="8">
        <v>44775</v>
      </c>
      <c r="B1312" s="10">
        <v>1306.4000000000001</v>
      </c>
    </row>
    <row r="1313" spans="1:2" ht="16.5" hidden="1" customHeight="1">
      <c r="A1313" s="8">
        <v>44776</v>
      </c>
      <c r="B1313" s="10">
        <v>1307.2</v>
      </c>
    </row>
    <row r="1314" spans="1:2" ht="16.5" hidden="1" customHeight="1">
      <c r="A1314" s="8">
        <v>44777</v>
      </c>
      <c r="B1314" s="10">
        <v>1310.5</v>
      </c>
    </row>
    <row r="1315" spans="1:2" ht="16.5" hidden="1" customHeight="1">
      <c r="A1315" s="8">
        <v>44778</v>
      </c>
      <c r="B1315" s="10">
        <v>1309.7</v>
      </c>
    </row>
    <row r="1316" spans="1:2" ht="16.5" hidden="1" customHeight="1">
      <c r="A1316" s="8">
        <v>44779</v>
      </c>
      <c r="B1316" s="10">
        <v>1309.7</v>
      </c>
    </row>
    <row r="1317" spans="1:2" ht="16.5" hidden="1" customHeight="1">
      <c r="A1317" s="8">
        <v>44780</v>
      </c>
      <c r="B1317" s="10">
        <v>1309.7</v>
      </c>
    </row>
    <row r="1318" spans="1:2" ht="16.5" hidden="1" customHeight="1">
      <c r="A1318" s="8">
        <v>44781</v>
      </c>
      <c r="B1318" s="10">
        <v>1299.3</v>
      </c>
    </row>
    <row r="1319" spans="1:2" ht="16.5" hidden="1" customHeight="1">
      <c r="A1319" s="8">
        <v>44782</v>
      </c>
      <c r="B1319" s="10">
        <v>1304.8</v>
      </c>
    </row>
    <row r="1320" spans="1:2" ht="16.5" hidden="1" customHeight="1">
      <c r="A1320" s="8">
        <v>44783</v>
      </c>
      <c r="B1320" s="10">
        <v>1305.0999999999999</v>
      </c>
    </row>
    <row r="1321" spans="1:2" ht="16.5" hidden="1" customHeight="1">
      <c r="A1321" s="8">
        <v>44784</v>
      </c>
      <c r="B1321" s="10">
        <v>1309.0999999999999</v>
      </c>
    </row>
    <row r="1322" spans="1:2" ht="16.5" hidden="1" customHeight="1">
      <c r="A1322" s="8">
        <v>44785</v>
      </c>
      <c r="B1322" s="10">
        <v>1302.5</v>
      </c>
    </row>
    <row r="1323" spans="1:2" ht="16.5" hidden="1" customHeight="1">
      <c r="A1323" s="8">
        <v>44786</v>
      </c>
      <c r="B1323" s="10">
        <v>1302.5</v>
      </c>
    </row>
    <row r="1324" spans="1:2" ht="16.5" hidden="1" customHeight="1">
      <c r="A1324" s="8">
        <v>44787</v>
      </c>
      <c r="B1324" s="10">
        <v>1302.5</v>
      </c>
    </row>
    <row r="1325" spans="1:2" ht="16.5" hidden="1" customHeight="1">
      <c r="A1325" s="8">
        <v>44788</v>
      </c>
      <c r="B1325" s="10">
        <v>1302.5</v>
      </c>
    </row>
    <row r="1326" spans="1:2" ht="16.5" hidden="1" customHeight="1">
      <c r="A1326" s="8">
        <v>44789</v>
      </c>
      <c r="B1326" s="10">
        <v>1303.0999999999999</v>
      </c>
    </row>
    <row r="1327" spans="1:2" ht="16.5" hidden="1" customHeight="1">
      <c r="A1327" s="8">
        <v>44790</v>
      </c>
      <c r="B1327" s="10">
        <v>1309.5999999999999</v>
      </c>
    </row>
    <row r="1328" spans="1:2" ht="16.5" hidden="1" customHeight="1">
      <c r="A1328" s="8">
        <v>44791</v>
      </c>
      <c r="B1328" s="10">
        <v>1309.8</v>
      </c>
    </row>
    <row r="1329" spans="1:2" ht="16.5" hidden="1" customHeight="1">
      <c r="A1329" s="8">
        <v>44792</v>
      </c>
      <c r="B1329" s="10">
        <v>1317.3</v>
      </c>
    </row>
    <row r="1330" spans="1:2" ht="16.5" hidden="1" customHeight="1">
      <c r="A1330" s="8">
        <v>44793</v>
      </c>
      <c r="B1330" s="10">
        <v>1317.3</v>
      </c>
    </row>
    <row r="1331" spans="1:2" ht="16.5" hidden="1" customHeight="1">
      <c r="A1331" s="8">
        <v>44794</v>
      </c>
      <c r="B1331" s="10">
        <v>1317.3</v>
      </c>
    </row>
    <row r="1332" spans="1:2" ht="16.5" hidden="1" customHeight="1">
      <c r="A1332" s="8">
        <v>44795</v>
      </c>
      <c r="B1332" s="10">
        <v>1326.7</v>
      </c>
    </row>
    <row r="1333" spans="1:2" ht="16.5" hidden="1" customHeight="1">
      <c r="A1333" s="8">
        <v>44796</v>
      </c>
      <c r="B1333" s="10">
        <v>1338.2</v>
      </c>
    </row>
    <row r="1334" spans="1:2" ht="16.5" hidden="1" customHeight="1">
      <c r="A1334" s="8">
        <v>44797</v>
      </c>
      <c r="B1334" s="10">
        <v>1341.8</v>
      </c>
    </row>
    <row r="1335" spans="1:2" ht="16.5" hidden="1" customHeight="1">
      <c r="A1335" s="8">
        <v>44798</v>
      </c>
      <c r="B1335" s="10">
        <v>1341.4</v>
      </c>
    </row>
    <row r="1336" spans="1:2" ht="16.5" hidden="1" customHeight="1">
      <c r="A1336" s="8">
        <v>44799</v>
      </c>
      <c r="B1336" s="10">
        <v>1336.9</v>
      </c>
    </row>
    <row r="1337" spans="1:2" ht="16.5" hidden="1" customHeight="1">
      <c r="A1337" s="8">
        <v>44800</v>
      </c>
      <c r="B1337" s="10">
        <v>1336.9</v>
      </c>
    </row>
    <row r="1338" spans="1:2" ht="16.5" hidden="1" customHeight="1">
      <c r="A1338" s="8">
        <v>44801</v>
      </c>
      <c r="B1338" s="10">
        <v>1336.9</v>
      </c>
    </row>
    <row r="1339" spans="1:2" ht="16.5" hidden="1" customHeight="1">
      <c r="A1339" s="8">
        <v>44802</v>
      </c>
      <c r="B1339" s="10">
        <v>1332.5</v>
      </c>
    </row>
    <row r="1340" spans="1:2" ht="16.5" hidden="1" customHeight="1">
      <c r="A1340" s="8">
        <v>44803</v>
      </c>
      <c r="B1340" s="10">
        <v>1347.7</v>
      </c>
    </row>
    <row r="1341" spans="1:2" ht="16.5" hidden="1" customHeight="1">
      <c r="A1341" s="8">
        <v>44804</v>
      </c>
      <c r="B1341" s="10">
        <v>1347.5</v>
      </c>
    </row>
    <row r="1342" spans="1:2" ht="16.5" hidden="1" customHeight="1">
      <c r="A1342" s="8">
        <v>44805</v>
      </c>
      <c r="B1342" s="10">
        <v>1345.1</v>
      </c>
    </row>
    <row r="1343" spans="1:2" ht="16.5" hidden="1" customHeight="1">
      <c r="A1343" s="8">
        <v>44806</v>
      </c>
      <c r="B1343" s="10">
        <v>1351.4</v>
      </c>
    </row>
    <row r="1344" spans="1:2" ht="16.5" hidden="1" customHeight="1">
      <c r="A1344" s="8">
        <v>44807</v>
      </c>
      <c r="B1344" s="10">
        <v>1351.4</v>
      </c>
    </row>
    <row r="1345" spans="1:4" ht="16.5" hidden="1" customHeight="1">
      <c r="A1345" s="8">
        <v>44808</v>
      </c>
      <c r="B1345" s="10">
        <v>1351.4</v>
      </c>
    </row>
    <row r="1346" spans="1:4" ht="16.5" hidden="1" customHeight="1">
      <c r="A1346" s="8">
        <v>44809</v>
      </c>
      <c r="B1346" s="10">
        <v>1356.5</v>
      </c>
    </row>
    <row r="1347" spans="1:4" ht="16.5" hidden="1" customHeight="1">
      <c r="A1347" s="8">
        <v>44810</v>
      </c>
      <c r="B1347" s="10">
        <v>1369.7</v>
      </c>
    </row>
    <row r="1348" spans="1:4" ht="16.5" hidden="1" customHeight="1">
      <c r="A1348" s="8">
        <v>44811</v>
      </c>
      <c r="B1348" s="10">
        <v>1370.3</v>
      </c>
    </row>
    <row r="1349" spans="1:4" ht="16.5" hidden="1" customHeight="1">
      <c r="A1349" s="8">
        <v>44812</v>
      </c>
      <c r="B1349" s="10">
        <v>1385.3</v>
      </c>
    </row>
    <row r="1350" spans="1:4" ht="16.5" hidden="1" customHeight="1">
      <c r="A1350" s="8">
        <v>44813</v>
      </c>
      <c r="B1350" s="10">
        <v>1385.3</v>
      </c>
    </row>
    <row r="1351" spans="1:4" ht="16.5" hidden="1" customHeight="1">
      <c r="A1351" s="8">
        <v>44814</v>
      </c>
      <c r="B1351" s="10">
        <v>1385.3</v>
      </c>
    </row>
    <row r="1352" spans="1:4" ht="16.5" hidden="1" customHeight="1">
      <c r="A1352" s="8">
        <v>44815</v>
      </c>
      <c r="B1352" s="10">
        <v>1385.3</v>
      </c>
    </row>
    <row r="1353" spans="1:4" ht="16.5" hidden="1" customHeight="1">
      <c r="A1353" s="8">
        <v>44816</v>
      </c>
      <c r="B1353" s="10">
        <v>1385.3</v>
      </c>
    </row>
    <row r="1354" spans="1:4" ht="16.5" hidden="1" customHeight="1">
      <c r="A1354" s="8">
        <v>44817</v>
      </c>
      <c r="B1354" s="10">
        <v>1381.2</v>
      </c>
      <c r="D1354" s="13"/>
    </row>
    <row r="1355" spans="1:4" ht="16.5" hidden="1" customHeight="1">
      <c r="A1355" s="8">
        <v>44818</v>
      </c>
      <c r="B1355" s="10">
        <v>1374.8</v>
      </c>
    </row>
    <row r="1356" spans="1:4" ht="16.5" hidden="1" customHeight="1">
      <c r="A1356" s="8">
        <v>44819</v>
      </c>
      <c r="B1356" s="10">
        <v>1391.7</v>
      </c>
    </row>
    <row r="1357" spans="1:4" ht="16.5" hidden="1" customHeight="1">
      <c r="A1357" s="8">
        <v>44820</v>
      </c>
      <c r="B1357" s="10">
        <v>1394.2</v>
      </c>
    </row>
    <row r="1358" spans="1:4" ht="16.5" hidden="1" customHeight="1">
      <c r="A1358" s="8">
        <v>44821</v>
      </c>
      <c r="B1358" s="10">
        <v>1394.2</v>
      </c>
    </row>
    <row r="1359" spans="1:4" ht="16.5" hidden="1" customHeight="1">
      <c r="A1359" s="8">
        <v>44822</v>
      </c>
      <c r="B1359" s="10">
        <v>1394.2</v>
      </c>
    </row>
    <row r="1360" spans="1:4" ht="16.5" hidden="1" customHeight="1">
      <c r="A1360" s="8">
        <v>44823</v>
      </c>
      <c r="B1360" s="10">
        <v>1394.2</v>
      </c>
    </row>
    <row r="1361" spans="1:2" ht="16.5" hidden="1" customHeight="1">
      <c r="A1361" s="8">
        <v>44824</v>
      </c>
      <c r="B1361" s="10">
        <v>1390.1</v>
      </c>
    </row>
    <row r="1362" spans="1:2" ht="16.5" hidden="1" customHeight="1">
      <c r="A1362" s="8">
        <v>44825</v>
      </c>
      <c r="B1362" s="10">
        <v>1389.1</v>
      </c>
    </row>
    <row r="1363" spans="1:2" ht="16.5" hidden="1" customHeight="1">
      <c r="A1363" s="8">
        <v>44826</v>
      </c>
      <c r="B1363" s="10">
        <v>1393.6</v>
      </c>
    </row>
    <row r="1364" spans="1:2" ht="16.5" hidden="1" customHeight="1">
      <c r="A1364" s="8">
        <v>44827</v>
      </c>
      <c r="B1364" s="10">
        <v>1408</v>
      </c>
    </row>
    <row r="1365" spans="1:2" ht="16.5" hidden="1" customHeight="1">
      <c r="A1365" s="8">
        <v>44828</v>
      </c>
      <c r="B1365" s="10">
        <v>1408</v>
      </c>
    </row>
    <row r="1366" spans="1:2" ht="16.5" hidden="1" customHeight="1">
      <c r="A1366" s="8">
        <v>44829</v>
      </c>
      <c r="B1366" s="10">
        <v>1408</v>
      </c>
    </row>
    <row r="1367" spans="1:2" ht="16.5" hidden="1" customHeight="1">
      <c r="A1367" s="8">
        <v>44830</v>
      </c>
      <c r="B1367" s="10">
        <v>1408.4</v>
      </c>
    </row>
    <row r="1368" spans="1:2" ht="16.5" hidden="1" customHeight="1">
      <c r="A1368" s="8">
        <v>44831</v>
      </c>
      <c r="B1368" s="10">
        <v>1429.7</v>
      </c>
    </row>
    <row r="1369" spans="1:2" ht="16.5" hidden="1" customHeight="1">
      <c r="A1369" s="8">
        <v>44832</v>
      </c>
      <c r="B1369" s="10">
        <v>1427.2</v>
      </c>
    </row>
    <row r="1370" spans="1:2" ht="16.5" hidden="1" customHeight="1">
      <c r="A1370" s="8">
        <v>44833</v>
      </c>
      <c r="B1370" s="10">
        <v>1436.5</v>
      </c>
    </row>
    <row r="1371" spans="1:2" ht="16.5" hidden="1" customHeight="1">
      <c r="A1371" s="8">
        <v>44834</v>
      </c>
      <c r="B1371" s="10">
        <v>1434.8</v>
      </c>
    </row>
    <row r="1372" spans="1:2" ht="16.5" hidden="1" customHeight="1">
      <c r="A1372" s="8">
        <v>44835</v>
      </c>
      <c r="B1372" s="10">
        <v>1434.8</v>
      </c>
    </row>
    <row r="1373" spans="1:2" ht="16.5" hidden="1" customHeight="1">
      <c r="A1373" s="8">
        <v>44836</v>
      </c>
      <c r="B1373" s="10">
        <v>1434.8</v>
      </c>
    </row>
    <row r="1374" spans="1:2" ht="16.5" hidden="1" customHeight="1">
      <c r="A1374" s="8">
        <v>44837</v>
      </c>
      <c r="B1374" s="10">
        <v>1434.8</v>
      </c>
    </row>
    <row r="1375" spans="1:2" ht="16.5" hidden="1" customHeight="1">
      <c r="A1375" s="8">
        <v>44838</v>
      </c>
      <c r="B1375" s="10">
        <v>1432.1</v>
      </c>
    </row>
    <row r="1376" spans="1:2" ht="16.5" hidden="1" customHeight="1">
      <c r="A1376" s="8">
        <v>44839</v>
      </c>
      <c r="B1376" s="10">
        <v>1431.2</v>
      </c>
    </row>
    <row r="1377" spans="1:5" ht="16.5" hidden="1" customHeight="1">
      <c r="A1377" s="8">
        <v>44840</v>
      </c>
      <c r="B1377" s="10">
        <v>1419.1</v>
      </c>
      <c r="E1377" s="23"/>
    </row>
    <row r="1378" spans="1:5" ht="16.5" hidden="1" customHeight="1">
      <c r="A1378" s="8">
        <v>44841</v>
      </c>
      <c r="B1378" s="10">
        <v>1404.2</v>
      </c>
      <c r="E1378" s="23"/>
    </row>
    <row r="1379" spans="1:5" ht="16.5" hidden="1" customHeight="1">
      <c r="A1379" s="8">
        <v>44842</v>
      </c>
      <c r="B1379" s="10">
        <v>1404.2</v>
      </c>
      <c r="E1379" s="23"/>
    </row>
    <row r="1380" spans="1:5" ht="16.5" hidden="1" customHeight="1">
      <c r="A1380" s="8">
        <v>44843</v>
      </c>
      <c r="B1380" s="10">
        <v>1404.2</v>
      </c>
    </row>
    <row r="1381" spans="1:5" ht="16.5" hidden="1" customHeight="1">
      <c r="A1381" s="8">
        <v>44844</v>
      </c>
      <c r="B1381" s="10">
        <v>1404.2</v>
      </c>
    </row>
    <row r="1382" spans="1:5" ht="16.5" hidden="1" customHeight="1">
      <c r="A1382" s="8">
        <v>44845</v>
      </c>
      <c r="B1382" s="10">
        <v>1410.3</v>
      </c>
    </row>
    <row r="1383" spans="1:5" ht="16.5" hidden="1" customHeight="1">
      <c r="A1383" s="8">
        <v>44846</v>
      </c>
      <c r="B1383" s="10">
        <v>1433.5</v>
      </c>
    </row>
    <row r="1384" spans="1:5" ht="16.5" hidden="1" customHeight="1">
      <c r="A1384" s="8">
        <v>44847</v>
      </c>
      <c r="B1384" s="10">
        <v>1430.4</v>
      </c>
    </row>
    <row r="1385" spans="1:5" ht="16.5" hidden="1" customHeight="1">
      <c r="A1385" s="8">
        <v>44848</v>
      </c>
      <c r="B1385" s="10">
        <v>1427</v>
      </c>
    </row>
    <row r="1386" spans="1:5" ht="16.5" hidden="1" customHeight="1">
      <c r="A1386" s="8">
        <v>44849</v>
      </c>
      <c r="B1386" s="10">
        <v>1427</v>
      </c>
    </row>
    <row r="1387" spans="1:5" ht="16.5" hidden="1" customHeight="1">
      <c r="A1387" s="8">
        <v>44850</v>
      </c>
      <c r="B1387" s="10">
        <v>1427</v>
      </c>
    </row>
    <row r="1388" spans="1:5" ht="16.5" hidden="1" customHeight="1">
      <c r="A1388" s="8">
        <v>44851</v>
      </c>
      <c r="B1388" s="10">
        <v>1428.9</v>
      </c>
    </row>
    <row r="1389" spans="1:5" ht="16.5" hidden="1" customHeight="1">
      <c r="A1389" s="8">
        <v>44852</v>
      </c>
      <c r="B1389" s="10">
        <v>1436.6</v>
      </c>
    </row>
    <row r="1390" spans="1:5" ht="16.5" hidden="1" customHeight="1">
      <c r="A1390" s="8">
        <v>44853</v>
      </c>
      <c r="B1390" s="10">
        <v>1425.6</v>
      </c>
    </row>
    <row r="1391" spans="1:5" ht="16.5" hidden="1" customHeight="1">
      <c r="A1391" s="8">
        <v>44854</v>
      </c>
      <c r="B1391" s="10">
        <v>1420.6</v>
      </c>
    </row>
    <row r="1392" spans="1:5" ht="16.5" hidden="1" customHeight="1">
      <c r="A1392" s="8">
        <v>44855</v>
      </c>
      <c r="B1392" s="10">
        <v>1431.7</v>
      </c>
    </row>
    <row r="1393" spans="1:2" ht="16.5" hidden="1" customHeight="1">
      <c r="A1393" s="8">
        <v>44856</v>
      </c>
      <c r="B1393" s="10">
        <v>1431.7</v>
      </c>
    </row>
    <row r="1394" spans="1:2" ht="16.5" hidden="1" customHeight="1">
      <c r="A1394" s="8">
        <v>44857</v>
      </c>
      <c r="B1394" s="10">
        <v>1431.7</v>
      </c>
    </row>
    <row r="1395" spans="1:2" ht="16.5" hidden="1" customHeight="1">
      <c r="A1395" s="8">
        <v>44858</v>
      </c>
      <c r="B1395" s="10">
        <v>1436.6</v>
      </c>
    </row>
    <row r="1396" spans="1:2" ht="16.5" hidden="1" customHeight="1">
      <c r="A1396" s="8">
        <v>44859</v>
      </c>
      <c r="B1396" s="10">
        <v>1436.6</v>
      </c>
    </row>
    <row r="1397" spans="1:2" ht="16.5" hidden="1" customHeight="1">
      <c r="A1397" s="8">
        <v>44860</v>
      </c>
      <c r="B1397" s="10">
        <v>1436.5</v>
      </c>
    </row>
    <row r="1398" spans="1:2" ht="16.5" hidden="1" customHeight="1">
      <c r="A1398" s="8">
        <v>44861</v>
      </c>
      <c r="B1398" s="10">
        <v>1428.2</v>
      </c>
    </row>
    <row r="1399" spans="1:2" ht="16.5" hidden="1" customHeight="1">
      <c r="A1399" s="8">
        <v>44862</v>
      </c>
      <c r="B1399" s="10">
        <v>1418.1</v>
      </c>
    </row>
    <row r="1400" spans="1:2" ht="16.5" hidden="1" customHeight="1">
      <c r="A1400" s="8">
        <v>44863</v>
      </c>
      <c r="B1400" s="10">
        <v>1418.1</v>
      </c>
    </row>
    <row r="1401" spans="1:2" ht="16.5" hidden="1" customHeight="1">
      <c r="A1401" s="8">
        <v>44864</v>
      </c>
      <c r="B1401" s="10">
        <v>1418.1</v>
      </c>
    </row>
    <row r="1402" spans="1:2" ht="16.5" hidden="1" customHeight="1">
      <c r="A1402" s="8">
        <v>44865</v>
      </c>
      <c r="B1402" s="10">
        <v>1419.3</v>
      </c>
    </row>
    <row r="1403" spans="1:2" ht="16.5" hidden="1" customHeight="1">
      <c r="A1403" s="8">
        <v>44866</v>
      </c>
      <c r="B1403" s="10">
        <v>1422.2</v>
      </c>
    </row>
    <row r="1404" spans="1:2" ht="16.5" hidden="1" customHeight="1">
      <c r="A1404" s="8">
        <v>44867</v>
      </c>
      <c r="B1404" s="10">
        <v>1421.7</v>
      </c>
    </row>
    <row r="1405" spans="1:2" ht="16.5" hidden="1" customHeight="1">
      <c r="A1405" s="8">
        <v>44868</v>
      </c>
      <c r="B1405" s="10">
        <v>1418</v>
      </c>
    </row>
    <row r="1406" spans="1:2" ht="16.5" hidden="1" customHeight="1">
      <c r="A1406" s="8">
        <v>44869</v>
      </c>
      <c r="B1406" s="10">
        <v>1422.1</v>
      </c>
    </row>
    <row r="1407" spans="1:2" ht="16.5" hidden="1" customHeight="1">
      <c r="A1407" s="8">
        <v>44870</v>
      </c>
      <c r="B1407" s="10">
        <v>1422.1</v>
      </c>
    </row>
    <row r="1408" spans="1:2" ht="16.5" hidden="1" customHeight="1">
      <c r="A1408" s="8">
        <v>44871</v>
      </c>
      <c r="B1408" s="10">
        <v>1422.1</v>
      </c>
    </row>
    <row r="1409" spans="1:7" ht="16.5" hidden="1" customHeight="1">
      <c r="A1409" s="8">
        <v>44872</v>
      </c>
      <c r="B1409" s="10">
        <v>1422.4</v>
      </c>
    </row>
    <row r="1410" spans="1:7" ht="16.5" hidden="1" customHeight="1">
      <c r="A1410" s="8">
        <v>44873</v>
      </c>
      <c r="B1410" s="10">
        <v>1406.5</v>
      </c>
    </row>
    <row r="1411" spans="1:7" ht="16.5" hidden="1" customHeight="1">
      <c r="A1411" s="8">
        <v>44874</v>
      </c>
      <c r="B1411" s="10">
        <v>1387.3</v>
      </c>
    </row>
    <row r="1412" spans="1:7" ht="16.5" hidden="1" customHeight="1">
      <c r="A1412" s="8">
        <v>44875</v>
      </c>
      <c r="B1412" s="10">
        <v>1368.3</v>
      </c>
    </row>
    <row r="1413" spans="1:7" ht="16.5" hidden="1" customHeight="1">
      <c r="A1413" s="8">
        <v>44876</v>
      </c>
      <c r="B1413" s="10">
        <v>1370.1</v>
      </c>
    </row>
    <row r="1414" spans="1:7" ht="16.5" hidden="1" customHeight="1">
      <c r="A1414" s="8">
        <v>44877</v>
      </c>
      <c r="B1414" s="10">
        <v>1370.1</v>
      </c>
    </row>
    <row r="1415" spans="1:7" ht="16.5" hidden="1" customHeight="1">
      <c r="A1415" s="8">
        <v>44878</v>
      </c>
      <c r="B1415" s="10">
        <v>1370.1</v>
      </c>
    </row>
    <row r="1416" spans="1:7" ht="16.5" hidden="1" customHeight="1">
      <c r="A1416" s="8">
        <v>44879</v>
      </c>
      <c r="B1416" s="10">
        <v>1334.1</v>
      </c>
    </row>
    <row r="1417" spans="1:7" ht="16.5" hidden="1" customHeight="1">
      <c r="A1417" s="8">
        <v>44880</v>
      </c>
      <c r="B1417" s="10">
        <v>1320.3</v>
      </c>
    </row>
    <row r="1418" spans="1:7" ht="16.5" hidden="1" customHeight="1">
      <c r="A1418" s="8">
        <v>44881</v>
      </c>
      <c r="B1418" s="10">
        <v>1322.4</v>
      </c>
      <c r="G1418"/>
    </row>
    <row r="1419" spans="1:7" ht="16.5" hidden="1" customHeight="1">
      <c r="A1419" s="8">
        <v>44882</v>
      </c>
      <c r="B1419" s="10">
        <v>1325.6</v>
      </c>
      <c r="G1419"/>
    </row>
    <row r="1420" spans="1:7" ht="16.5" hidden="1" customHeight="1">
      <c r="A1420" s="8">
        <v>44883</v>
      </c>
      <c r="B1420" s="10">
        <v>1338.4</v>
      </c>
      <c r="G1420"/>
    </row>
    <row r="1421" spans="1:7" ht="16.5" hidden="1" customHeight="1">
      <c r="A1421" s="8">
        <v>44884</v>
      </c>
      <c r="B1421" s="10">
        <v>1338.4</v>
      </c>
      <c r="G1421"/>
    </row>
    <row r="1422" spans="1:7" ht="16.5" hidden="1" customHeight="1">
      <c r="A1422" s="8">
        <v>44885</v>
      </c>
      <c r="B1422" s="10">
        <v>1338.4</v>
      </c>
      <c r="G1422"/>
    </row>
    <row r="1423" spans="1:7" ht="16.5" hidden="1" customHeight="1">
      <c r="A1423" s="8">
        <v>44886</v>
      </c>
      <c r="B1423" s="10">
        <v>1340</v>
      </c>
      <c r="G1423"/>
    </row>
    <row r="1424" spans="1:7" ht="16.5" hidden="1" customHeight="1">
      <c r="A1424" s="8">
        <v>44887</v>
      </c>
      <c r="B1424" s="10">
        <v>1352.3</v>
      </c>
      <c r="G1424"/>
    </row>
    <row r="1425" spans="1:7" ht="16.5" hidden="1" customHeight="1">
      <c r="A1425" s="8">
        <v>44888</v>
      </c>
      <c r="B1425" s="10">
        <v>1355.7</v>
      </c>
      <c r="G1425"/>
    </row>
    <row r="1426" spans="1:7" ht="16.5" hidden="1" customHeight="1">
      <c r="A1426" s="8">
        <v>44889</v>
      </c>
      <c r="B1426" s="10">
        <v>1352.3</v>
      </c>
      <c r="G1426"/>
    </row>
    <row r="1427" spans="1:7" ht="16.5" hidden="1" customHeight="1">
      <c r="A1427" s="8">
        <v>44890</v>
      </c>
      <c r="B1427" s="10">
        <v>1333.2</v>
      </c>
      <c r="G1427"/>
    </row>
    <row r="1428" spans="1:7" ht="16.5" hidden="1" customHeight="1">
      <c r="A1428" s="8">
        <v>44891</v>
      </c>
      <c r="B1428" s="10">
        <v>1333.2</v>
      </c>
      <c r="G1428"/>
    </row>
    <row r="1429" spans="1:7" ht="16.5" hidden="1" customHeight="1">
      <c r="A1429" s="8">
        <v>44892</v>
      </c>
      <c r="B1429" s="10">
        <v>1333.2</v>
      </c>
      <c r="G1429"/>
    </row>
    <row r="1430" spans="1:7" ht="16.5" hidden="1" customHeight="1">
      <c r="A1430" s="8">
        <v>44893</v>
      </c>
      <c r="B1430" s="10">
        <v>1326.8</v>
      </c>
      <c r="G1430"/>
    </row>
    <row r="1431" spans="1:7" ht="16.5" hidden="1" customHeight="1">
      <c r="A1431" s="8">
        <v>44894</v>
      </c>
      <c r="B1431" s="10">
        <v>1339</v>
      </c>
      <c r="G1431"/>
    </row>
    <row r="1432" spans="1:7" ht="16.5" hidden="1" customHeight="1">
      <c r="A1432" s="8">
        <v>44895</v>
      </c>
      <c r="B1432" s="10">
        <v>1331.5</v>
      </c>
      <c r="G1432"/>
    </row>
    <row r="1433" spans="1:7" ht="16.5" hidden="1" customHeight="1">
      <c r="A1433" s="8">
        <v>44896</v>
      </c>
      <c r="B1433" s="10">
        <v>1320.1</v>
      </c>
    </row>
    <row r="1434" spans="1:7" ht="16.5" hidden="1" customHeight="1">
      <c r="A1434" s="8">
        <v>44897</v>
      </c>
      <c r="B1434" s="10">
        <v>1300.8</v>
      </c>
    </row>
    <row r="1435" spans="1:7" ht="16.5" hidden="1" customHeight="1">
      <c r="A1435" s="8">
        <v>44898</v>
      </c>
      <c r="B1435" s="10">
        <v>1300.8</v>
      </c>
    </row>
    <row r="1436" spans="1:7" ht="16.5" hidden="1" customHeight="1">
      <c r="A1436" s="8">
        <v>44899</v>
      </c>
      <c r="B1436" s="10">
        <v>1300.8</v>
      </c>
    </row>
    <row r="1437" spans="1:7" ht="16.5" hidden="1" customHeight="1">
      <c r="A1437" s="8">
        <v>44900</v>
      </c>
      <c r="B1437" s="10">
        <v>1300.4000000000001</v>
      </c>
    </row>
    <row r="1438" spans="1:7" ht="16.5" hidden="1" customHeight="1">
      <c r="A1438" s="8">
        <v>44901</v>
      </c>
      <c r="B1438" s="10">
        <v>1293.2</v>
      </c>
    </row>
    <row r="1439" spans="1:7" ht="16.5" hidden="1" customHeight="1">
      <c r="A1439" s="8">
        <v>44902</v>
      </c>
      <c r="B1439" s="10">
        <v>1309</v>
      </c>
    </row>
    <row r="1440" spans="1:7" ht="16.5" hidden="1" customHeight="1">
      <c r="A1440" s="8">
        <v>44903</v>
      </c>
      <c r="B1440" s="10">
        <v>1319.5</v>
      </c>
    </row>
    <row r="1441" spans="1:2" ht="16.5" hidden="1" customHeight="1">
      <c r="A1441" s="8">
        <v>44904</v>
      </c>
      <c r="B1441" s="10">
        <v>1320.4</v>
      </c>
    </row>
    <row r="1442" spans="1:2" ht="16.5" hidden="1" customHeight="1">
      <c r="A1442" s="8">
        <v>44905</v>
      </c>
      <c r="B1442" s="10">
        <v>1320.4</v>
      </c>
    </row>
    <row r="1443" spans="1:2" ht="16.5" hidden="1" customHeight="1">
      <c r="A1443" s="8">
        <v>44906</v>
      </c>
      <c r="B1443" s="10">
        <v>1320.4</v>
      </c>
    </row>
    <row r="1444" spans="1:2" ht="16.5" hidden="1" customHeight="1">
      <c r="A1444" s="8">
        <v>44907</v>
      </c>
      <c r="B1444" s="10">
        <v>1306.5999999999999</v>
      </c>
    </row>
    <row r="1445" spans="1:2" ht="16.5" hidden="1" customHeight="1">
      <c r="A1445" s="8">
        <v>44908</v>
      </c>
      <c r="B1445" s="10">
        <v>1310</v>
      </c>
    </row>
    <row r="1446" spans="1:2" ht="16.5" hidden="1" customHeight="1">
      <c r="A1446" s="8">
        <v>44909</v>
      </c>
      <c r="B1446" s="10">
        <v>1304.4000000000001</v>
      </c>
    </row>
    <row r="1447" spans="1:2" ht="16.5" hidden="1" customHeight="1">
      <c r="A1447" s="8">
        <v>44910</v>
      </c>
      <c r="B1447" s="10">
        <v>1296</v>
      </c>
    </row>
    <row r="1448" spans="1:2" ht="16.5" hidden="1" customHeight="1">
      <c r="A1448" s="8">
        <v>44911</v>
      </c>
      <c r="B1448" s="10">
        <v>1301</v>
      </c>
    </row>
    <row r="1449" spans="1:2" ht="16.5" hidden="1" customHeight="1">
      <c r="A1449" s="8">
        <v>44912</v>
      </c>
      <c r="B1449" s="10">
        <v>1301</v>
      </c>
    </row>
    <row r="1450" spans="1:2" ht="16.5" hidden="1" customHeight="1">
      <c r="A1450" s="8">
        <v>44913</v>
      </c>
      <c r="B1450" s="10">
        <v>1301</v>
      </c>
    </row>
    <row r="1451" spans="1:2" ht="16.5" hidden="1" customHeight="1">
      <c r="A1451" s="8">
        <v>44914</v>
      </c>
      <c r="B1451" s="10">
        <v>1310.0999999999999</v>
      </c>
    </row>
    <row r="1452" spans="1:2" ht="16.5" hidden="1" customHeight="1">
      <c r="A1452" s="8">
        <v>44915</v>
      </c>
      <c r="B1452" s="10">
        <v>1302</v>
      </c>
    </row>
    <row r="1453" spans="1:2" ht="16.5" hidden="1" customHeight="1">
      <c r="A1453" s="8">
        <v>44916</v>
      </c>
      <c r="B1453" s="10">
        <v>1298</v>
      </c>
    </row>
    <row r="1454" spans="1:2" ht="16.5" hidden="1" customHeight="1">
      <c r="A1454" s="8">
        <v>44917</v>
      </c>
      <c r="B1454" s="10">
        <v>1286.5999999999999</v>
      </c>
    </row>
    <row r="1455" spans="1:2" ht="16.5" hidden="1" customHeight="1">
      <c r="A1455" s="8">
        <v>44918</v>
      </c>
      <c r="B1455" s="10">
        <v>1276.0999999999999</v>
      </c>
    </row>
    <row r="1456" spans="1:2" ht="16.5" hidden="1" customHeight="1">
      <c r="A1456" s="8">
        <v>44919</v>
      </c>
      <c r="B1456" s="10">
        <v>1276.0999999999999</v>
      </c>
    </row>
    <row r="1457" spans="1:2" ht="16.5" hidden="1" customHeight="1">
      <c r="A1457" s="8">
        <v>44920</v>
      </c>
      <c r="B1457" s="10">
        <v>1276.0999999999999</v>
      </c>
    </row>
    <row r="1458" spans="1:2" ht="16.5" hidden="1" customHeight="1">
      <c r="A1458" s="8">
        <v>44921</v>
      </c>
      <c r="B1458" s="10">
        <v>1282.2</v>
      </c>
    </row>
    <row r="1459" spans="1:2" ht="16.5" hidden="1" customHeight="1">
      <c r="A1459" s="8">
        <v>44922</v>
      </c>
      <c r="B1459" s="10">
        <v>1276.4000000000001</v>
      </c>
    </row>
    <row r="1460" spans="1:2" ht="16.5" hidden="1" customHeight="1">
      <c r="A1460" s="8">
        <v>44923</v>
      </c>
      <c r="B1460" s="10">
        <v>1268.3</v>
      </c>
    </row>
    <row r="1461" spans="1:2" ht="16.5" hidden="1" customHeight="1">
      <c r="A1461" s="8">
        <v>44924</v>
      </c>
      <c r="B1461" s="10">
        <v>1268.4000000000001</v>
      </c>
    </row>
    <row r="1462" spans="1:2" ht="16.5" hidden="1" customHeight="1">
      <c r="A1462" s="8">
        <v>44925</v>
      </c>
      <c r="B1462" s="10">
        <v>1267.3</v>
      </c>
    </row>
    <row r="1463" spans="1:2" ht="16.5" hidden="1" customHeight="1">
      <c r="A1463" s="8">
        <v>44926</v>
      </c>
      <c r="B1463" s="10">
        <v>1267.3</v>
      </c>
    </row>
    <row r="1464" spans="1:2" ht="16.5" hidden="1" customHeight="1">
      <c r="A1464" s="8">
        <v>44927</v>
      </c>
      <c r="B1464" s="10">
        <v>1267.3</v>
      </c>
    </row>
    <row r="1465" spans="1:2" ht="16.5" hidden="1" customHeight="1">
      <c r="A1465" s="8">
        <v>44928</v>
      </c>
      <c r="B1465" s="10">
        <v>1267.3</v>
      </c>
    </row>
    <row r="1466" spans="1:2" ht="16.5" hidden="1" customHeight="1">
      <c r="A1466" s="8">
        <v>44929</v>
      </c>
      <c r="B1466" s="10">
        <v>1268.9000000000001</v>
      </c>
    </row>
    <row r="1467" spans="1:2" ht="16.5" hidden="1" customHeight="1">
      <c r="A1467" s="8">
        <v>44930</v>
      </c>
      <c r="B1467" s="10">
        <v>1272.0999999999999</v>
      </c>
    </row>
    <row r="1468" spans="1:2" ht="16.5" hidden="1" customHeight="1">
      <c r="A1468" s="8">
        <v>44931</v>
      </c>
      <c r="B1468" s="10">
        <v>1274.7</v>
      </c>
    </row>
    <row r="1469" spans="1:2" ht="16.5" hidden="1" customHeight="1">
      <c r="A1469" s="8">
        <v>44932</v>
      </c>
      <c r="B1469" s="10">
        <v>1270.3</v>
      </c>
    </row>
    <row r="1470" spans="1:2" ht="16.5" hidden="1" customHeight="1">
      <c r="A1470" s="8">
        <v>44933</v>
      </c>
      <c r="B1470" s="10">
        <v>1270.3</v>
      </c>
    </row>
    <row r="1471" spans="1:2" ht="16.5" hidden="1" customHeight="1">
      <c r="A1471" s="8">
        <v>44934</v>
      </c>
      <c r="B1471" s="10">
        <v>1270.3</v>
      </c>
    </row>
    <row r="1472" spans="1:2" ht="16.5" hidden="1" customHeight="1">
      <c r="A1472" s="8">
        <v>44935</v>
      </c>
      <c r="B1472" s="10">
        <v>1267.2</v>
      </c>
    </row>
    <row r="1473" spans="1:7" ht="16.5" hidden="1" customHeight="1">
      <c r="A1473" s="8">
        <v>44936</v>
      </c>
      <c r="B1473" s="10">
        <v>1246.8</v>
      </c>
    </row>
    <row r="1474" spans="1:7" ht="16.5" hidden="1" customHeight="1">
      <c r="A1474" s="8">
        <v>44937</v>
      </c>
      <c r="B1474" s="10">
        <v>1240.8</v>
      </c>
    </row>
    <row r="1475" spans="1:7" ht="16.5" hidden="1" customHeight="1">
      <c r="A1475" s="8">
        <v>44938</v>
      </c>
      <c r="B1475" s="10">
        <v>1245.3</v>
      </c>
    </row>
    <row r="1476" spans="1:7" ht="16.5" hidden="1" customHeight="1">
      <c r="A1476" s="8">
        <v>44939</v>
      </c>
      <c r="B1476" s="10">
        <v>1244.5999999999999</v>
      </c>
    </row>
    <row r="1477" spans="1:7" ht="16.5" hidden="1" customHeight="1">
      <c r="A1477" s="8">
        <v>44940</v>
      </c>
      <c r="B1477" s="10">
        <v>1244.5999999999999</v>
      </c>
    </row>
    <row r="1478" spans="1:7" ht="16.5" hidden="1" customHeight="1">
      <c r="A1478" s="8">
        <v>44941</v>
      </c>
      <c r="B1478" s="10">
        <v>1244.5999999999999</v>
      </c>
    </row>
    <row r="1479" spans="1:7" ht="16.5" hidden="1" customHeight="1">
      <c r="A1479" s="8">
        <v>44942</v>
      </c>
      <c r="B1479" s="10">
        <v>1240.5999999999999</v>
      </c>
    </row>
    <row r="1480" spans="1:7" ht="16.5" hidden="1" customHeight="1">
      <c r="A1480" s="8">
        <v>44943</v>
      </c>
      <c r="B1480" s="10">
        <v>1234</v>
      </c>
    </row>
    <row r="1481" spans="1:7" ht="16.5" hidden="1" customHeight="1">
      <c r="A1481" s="8">
        <v>44944</v>
      </c>
      <c r="B1481" s="10">
        <v>1238.5</v>
      </c>
    </row>
    <row r="1482" spans="1:7" ht="16.5" hidden="1" customHeight="1">
      <c r="A1482" s="8">
        <v>44945</v>
      </c>
      <c r="B1482" s="10">
        <v>1239.8</v>
      </c>
    </row>
    <row r="1483" spans="1:7" ht="16.5" hidden="1" customHeight="1">
      <c r="A1483" s="8">
        <v>44946</v>
      </c>
      <c r="B1483" s="10">
        <v>1236</v>
      </c>
    </row>
    <row r="1484" spans="1:7" ht="16.5" hidden="1" customHeight="1">
      <c r="A1484" s="8">
        <v>44947</v>
      </c>
      <c r="B1484" s="10">
        <v>1236</v>
      </c>
    </row>
    <row r="1485" spans="1:7" ht="16.5" hidden="1" customHeight="1">
      <c r="A1485" s="8">
        <v>44948</v>
      </c>
      <c r="B1485" s="10">
        <v>1236</v>
      </c>
    </row>
    <row r="1486" spans="1:7" ht="16.5" hidden="1" customHeight="1">
      <c r="A1486" s="8">
        <v>44949</v>
      </c>
      <c r="B1486" s="10">
        <v>1236</v>
      </c>
      <c r="G1486"/>
    </row>
    <row r="1487" spans="1:7" ht="16.5" hidden="1" customHeight="1">
      <c r="A1487" s="8">
        <v>44950</v>
      </c>
      <c r="B1487" s="10">
        <v>1236</v>
      </c>
      <c r="G1487"/>
    </row>
    <row r="1488" spans="1:7" ht="16.5" hidden="1" customHeight="1">
      <c r="A1488" s="8">
        <v>44951</v>
      </c>
      <c r="B1488" s="10">
        <v>1234.4000000000001</v>
      </c>
      <c r="G1488"/>
    </row>
    <row r="1489" spans="1:7" ht="16.5" hidden="1" customHeight="1">
      <c r="A1489" s="8">
        <v>44952</v>
      </c>
      <c r="B1489" s="10">
        <v>1233.4000000000001</v>
      </c>
      <c r="G1489"/>
    </row>
    <row r="1490" spans="1:7" ht="16.5" hidden="1" customHeight="1">
      <c r="A1490" s="8">
        <v>44953</v>
      </c>
      <c r="B1490" s="10">
        <v>1231.4000000000001</v>
      </c>
      <c r="G1490"/>
    </row>
    <row r="1491" spans="1:7" ht="16.5" hidden="1" customHeight="1">
      <c r="A1491" s="8">
        <v>44954</v>
      </c>
      <c r="B1491" s="10">
        <v>1231.4000000000001</v>
      </c>
      <c r="G1491"/>
    </row>
    <row r="1492" spans="1:7" ht="16.5" hidden="1" customHeight="1">
      <c r="A1492" s="8">
        <v>44955</v>
      </c>
      <c r="B1492" s="10">
        <v>1231.4000000000001</v>
      </c>
      <c r="G1492"/>
    </row>
    <row r="1493" spans="1:7" ht="16.5" hidden="1" customHeight="1">
      <c r="A1493" s="8">
        <v>44956</v>
      </c>
      <c r="B1493" s="10">
        <v>1230.2</v>
      </c>
      <c r="G1493"/>
    </row>
    <row r="1494" spans="1:7" ht="16.5" hidden="1" customHeight="1">
      <c r="A1494" s="8">
        <v>44957</v>
      </c>
      <c r="B1494" s="10">
        <v>1228.7</v>
      </c>
      <c r="G1494"/>
    </row>
    <row r="1495" spans="1:7" ht="16.5" hidden="1" customHeight="1">
      <c r="A1495" s="8">
        <v>44958</v>
      </c>
      <c r="B1495" s="10">
        <v>1230.8</v>
      </c>
      <c r="G1495"/>
    </row>
    <row r="1496" spans="1:7" ht="16.5" hidden="1" customHeight="1">
      <c r="A1496" s="8">
        <v>44959</v>
      </c>
      <c r="B1496" s="10">
        <v>1231.4000000000001</v>
      </c>
      <c r="G1496"/>
    </row>
    <row r="1497" spans="1:7" ht="16.5" hidden="1" customHeight="1">
      <c r="A1497" s="8">
        <v>44960</v>
      </c>
      <c r="B1497" s="10">
        <v>1219.3</v>
      </c>
      <c r="G1497"/>
    </row>
    <row r="1498" spans="1:7" ht="16.5" hidden="1" customHeight="1">
      <c r="A1498" s="8">
        <v>44961</v>
      </c>
      <c r="B1498" s="10">
        <v>1219.3</v>
      </c>
      <c r="G1498"/>
    </row>
    <row r="1499" spans="1:7" ht="16.5" hidden="1" customHeight="1">
      <c r="A1499" s="8">
        <v>44962</v>
      </c>
      <c r="B1499" s="10">
        <v>1219.3</v>
      </c>
      <c r="G1499"/>
    </row>
    <row r="1500" spans="1:7" ht="16.5" hidden="1" customHeight="1">
      <c r="A1500" s="8">
        <v>44963</v>
      </c>
      <c r="B1500" s="10">
        <v>1227.2</v>
      </c>
      <c r="G1500"/>
    </row>
    <row r="1501" spans="1:7" ht="16.5" hidden="1" customHeight="1">
      <c r="A1501" s="8">
        <v>44964</v>
      </c>
      <c r="B1501" s="10">
        <v>1247.5</v>
      </c>
      <c r="G1501"/>
    </row>
    <row r="1502" spans="1:7" ht="16.5" hidden="1" customHeight="1">
      <c r="A1502" s="8">
        <v>44965</v>
      </c>
      <c r="B1502" s="10">
        <v>1256</v>
      </c>
      <c r="G1502"/>
    </row>
    <row r="1503" spans="1:7" ht="16.5" hidden="1" customHeight="1">
      <c r="A1503" s="8">
        <v>44966</v>
      </c>
      <c r="B1503" s="10">
        <v>1257.0999999999999</v>
      </c>
      <c r="G1503"/>
    </row>
    <row r="1504" spans="1:7" ht="16.5" hidden="1" customHeight="1">
      <c r="A1504" s="8">
        <v>44967</v>
      </c>
      <c r="B1504" s="10">
        <v>1263.0999999999999</v>
      </c>
      <c r="G1504"/>
    </row>
    <row r="1505" spans="1:7" ht="16.5" hidden="1" customHeight="1">
      <c r="A1505" s="8">
        <v>44968</v>
      </c>
      <c r="B1505" s="10">
        <v>1263.0999999999999</v>
      </c>
      <c r="G1505"/>
    </row>
    <row r="1506" spans="1:7" ht="16.5" hidden="1" customHeight="1">
      <c r="A1506" s="8">
        <v>44969</v>
      </c>
      <c r="B1506" s="10">
        <v>1263.0999999999999</v>
      </c>
      <c r="G1506"/>
    </row>
    <row r="1507" spans="1:7" ht="16.5" hidden="1" customHeight="1">
      <c r="A1507" s="8">
        <v>44970</v>
      </c>
      <c r="B1507" s="10">
        <v>1264.3</v>
      </c>
      <c r="G1507"/>
    </row>
    <row r="1508" spans="1:7" ht="16.5" hidden="1" customHeight="1">
      <c r="A1508" s="8">
        <v>44971</v>
      </c>
      <c r="B1508" s="10">
        <v>1274.5999999999999</v>
      </c>
      <c r="G1508"/>
    </row>
    <row r="1509" spans="1:7" ht="16.5" hidden="1" customHeight="1">
      <c r="A1509" s="8">
        <v>44972</v>
      </c>
      <c r="B1509" s="10">
        <v>1269.9000000000001</v>
      </c>
      <c r="G1509"/>
    </row>
    <row r="1510" spans="1:7" ht="16.5" hidden="1" customHeight="1">
      <c r="A1510" s="8">
        <v>44973</v>
      </c>
      <c r="B1510" s="10">
        <v>1279.3</v>
      </c>
      <c r="G1510"/>
    </row>
    <row r="1511" spans="1:7" ht="16.5" hidden="1" customHeight="1">
      <c r="A1511" s="8">
        <v>44974</v>
      </c>
      <c r="B1511" s="10">
        <v>1283.7</v>
      </c>
      <c r="G1511"/>
    </row>
    <row r="1512" spans="1:7" ht="16.5" hidden="1" customHeight="1">
      <c r="A1512" s="8">
        <v>44975</v>
      </c>
      <c r="B1512" s="10">
        <v>1283.7</v>
      </c>
    </row>
    <row r="1513" spans="1:7" ht="16.5" hidden="1" customHeight="1">
      <c r="A1513" s="8">
        <v>44976</v>
      </c>
      <c r="B1513" s="10">
        <v>1283.7</v>
      </c>
    </row>
    <row r="1514" spans="1:7" ht="16.5" hidden="1" customHeight="1">
      <c r="A1514" s="8">
        <v>44977</v>
      </c>
      <c r="B1514" s="10">
        <v>1297.7</v>
      </c>
    </row>
    <row r="1515" spans="1:7" ht="16.5" hidden="1" customHeight="1">
      <c r="A1515" s="8">
        <v>44978</v>
      </c>
      <c r="B1515" s="10">
        <v>1295.8</v>
      </c>
    </row>
    <row r="1516" spans="1:7" ht="16.5" hidden="1" customHeight="1">
      <c r="A1516" s="8">
        <v>44979</v>
      </c>
      <c r="B1516" s="10">
        <v>1295.8</v>
      </c>
    </row>
    <row r="1517" spans="1:7" ht="16.5" hidden="1" customHeight="1">
      <c r="A1517" s="8">
        <v>44980</v>
      </c>
      <c r="B1517" s="10">
        <v>1303.8</v>
      </c>
    </row>
    <row r="1518" spans="1:7" ht="16.5" hidden="1" customHeight="1">
      <c r="A1518" s="8">
        <v>44981</v>
      </c>
      <c r="B1518" s="10">
        <v>1299.5999999999999</v>
      </c>
    </row>
    <row r="1519" spans="1:7" ht="16.5" hidden="1" customHeight="1">
      <c r="A1519" s="8">
        <v>44982</v>
      </c>
      <c r="B1519" s="10">
        <v>1299.5999999999999</v>
      </c>
    </row>
    <row r="1520" spans="1:7" ht="16.5" hidden="1" customHeight="1">
      <c r="A1520" s="8">
        <v>44983</v>
      </c>
      <c r="B1520" s="10">
        <v>1299.5999999999999</v>
      </c>
    </row>
    <row r="1521" spans="1:2" ht="16.5" hidden="1" customHeight="1">
      <c r="A1521" s="8">
        <v>44984</v>
      </c>
      <c r="B1521" s="10">
        <v>1300.5</v>
      </c>
    </row>
    <row r="1522" spans="1:2" ht="16.5" hidden="1" customHeight="1">
      <c r="A1522" s="8">
        <v>44985</v>
      </c>
      <c r="B1522" s="10">
        <v>1317.4</v>
      </c>
    </row>
    <row r="1523" spans="1:2" ht="16.5" hidden="1" customHeight="1">
      <c r="A1523" s="8">
        <v>44986</v>
      </c>
      <c r="B1523" s="10">
        <v>1317.4</v>
      </c>
    </row>
    <row r="1524" spans="1:2" ht="16.5" hidden="1" customHeight="1">
      <c r="A1524" s="8">
        <v>44987</v>
      </c>
      <c r="B1524" s="10">
        <v>1319.2</v>
      </c>
    </row>
    <row r="1525" spans="1:2" ht="16.5" hidden="1" customHeight="1">
      <c r="A1525" s="8">
        <v>44988</v>
      </c>
      <c r="B1525" s="10">
        <v>1310.4000000000001</v>
      </c>
    </row>
    <row r="1526" spans="1:2" ht="16.5" hidden="1" customHeight="1">
      <c r="A1526" s="8">
        <v>44989</v>
      </c>
      <c r="B1526" s="10">
        <v>1310.4000000000001</v>
      </c>
    </row>
    <row r="1527" spans="1:2" ht="16.5" hidden="1" customHeight="1">
      <c r="A1527" s="8">
        <v>44990</v>
      </c>
      <c r="B1527" s="10">
        <v>1310.4000000000001</v>
      </c>
    </row>
    <row r="1528" spans="1:2" ht="16.5" hidden="1" customHeight="1">
      <c r="A1528" s="8">
        <v>44991</v>
      </c>
      <c r="B1528" s="10">
        <v>1304.8</v>
      </c>
    </row>
    <row r="1529" spans="1:2" ht="16.5" hidden="1" customHeight="1">
      <c r="A1529" s="8">
        <v>44992</v>
      </c>
      <c r="B1529" s="10">
        <v>1296.7</v>
      </c>
    </row>
    <row r="1530" spans="1:2" ht="16.5" hidden="1" customHeight="1">
      <c r="A1530" s="8">
        <v>44993</v>
      </c>
      <c r="B1530" s="10">
        <v>1299.0999999999999</v>
      </c>
    </row>
    <row r="1531" spans="1:2" ht="16.5" hidden="1" customHeight="1">
      <c r="A1531" s="8">
        <v>44994</v>
      </c>
      <c r="B1531" s="10">
        <v>1319.5</v>
      </c>
    </row>
    <row r="1532" spans="1:2" ht="16.5" hidden="1" customHeight="1">
      <c r="A1532" s="8">
        <v>44995</v>
      </c>
      <c r="B1532" s="10">
        <v>1319.7</v>
      </c>
    </row>
    <row r="1533" spans="1:2" ht="16.5" hidden="1" customHeight="1">
      <c r="A1533" s="8">
        <v>44996</v>
      </c>
      <c r="B1533" s="10">
        <v>1319.7</v>
      </c>
    </row>
    <row r="1534" spans="1:2" ht="16.5" hidden="1" customHeight="1">
      <c r="A1534" s="8">
        <v>44997</v>
      </c>
      <c r="B1534" s="10">
        <v>1319.7</v>
      </c>
    </row>
    <row r="1535" spans="1:2" ht="16.5" hidden="1" customHeight="1">
      <c r="A1535" s="8">
        <v>44998</v>
      </c>
      <c r="B1535" s="10">
        <v>1325.7</v>
      </c>
    </row>
    <row r="1536" spans="1:2" ht="16.5" hidden="1" customHeight="1">
      <c r="A1536" s="8">
        <v>44999</v>
      </c>
      <c r="B1536" s="10">
        <v>1307.3</v>
      </c>
    </row>
    <row r="1537" spans="1:2" ht="16.5" hidden="1" customHeight="1">
      <c r="A1537" s="8">
        <v>45000</v>
      </c>
      <c r="B1537" s="10">
        <v>1304.9000000000001</v>
      </c>
    </row>
    <row r="1538" spans="1:2" ht="16.5" hidden="1" customHeight="1">
      <c r="A1538" s="8">
        <v>45001</v>
      </c>
      <c r="B1538" s="10">
        <v>1302</v>
      </c>
    </row>
    <row r="1539" spans="1:2" ht="16.5" hidden="1" customHeight="1">
      <c r="A1539" s="8">
        <v>45002</v>
      </c>
      <c r="B1539" s="10">
        <v>1312.1</v>
      </c>
    </row>
    <row r="1540" spans="1:2" ht="16.5" hidden="1" customHeight="1">
      <c r="A1540" s="8">
        <v>45003</v>
      </c>
      <c r="B1540" s="10">
        <v>1312.1</v>
      </c>
    </row>
    <row r="1541" spans="1:2" ht="16.5" hidden="1" customHeight="1">
      <c r="A1541" s="8">
        <v>45004</v>
      </c>
      <c r="B1541" s="10">
        <v>1312.1</v>
      </c>
    </row>
    <row r="1542" spans="1:2" ht="16.5" hidden="1" customHeight="1">
      <c r="A1542" s="8">
        <v>45005</v>
      </c>
      <c r="B1542" s="10">
        <v>1303.5999999999999</v>
      </c>
    </row>
    <row r="1543" spans="1:2" ht="16.5" hidden="1" customHeight="1">
      <c r="A1543" s="8">
        <v>45006</v>
      </c>
      <c r="B1543" s="10">
        <v>1308.4000000000001</v>
      </c>
    </row>
    <row r="1544" spans="1:2" ht="16.5" hidden="1" customHeight="1">
      <c r="A1544" s="8">
        <v>45007</v>
      </c>
      <c r="B1544" s="10">
        <v>1307.8</v>
      </c>
    </row>
    <row r="1545" spans="1:2" ht="16.5" hidden="1" customHeight="1">
      <c r="A1545" s="8">
        <v>45008</v>
      </c>
      <c r="B1545" s="10">
        <v>1307.0999999999999</v>
      </c>
    </row>
    <row r="1546" spans="1:2" ht="16.5" hidden="1" customHeight="1">
      <c r="A1546" s="8">
        <v>45009</v>
      </c>
      <c r="B1546" s="10">
        <v>1287.2</v>
      </c>
    </row>
    <row r="1547" spans="1:2" ht="16.5" hidden="1" customHeight="1">
      <c r="A1547" s="8">
        <v>45010</v>
      </c>
      <c r="B1547" s="10">
        <v>1287.2</v>
      </c>
    </row>
    <row r="1548" spans="1:2" ht="16.5" hidden="1" customHeight="1">
      <c r="A1548" s="8">
        <v>45011</v>
      </c>
      <c r="B1548" s="10">
        <v>1287.2</v>
      </c>
    </row>
    <row r="1549" spans="1:2" ht="16.5" hidden="1" customHeight="1">
      <c r="A1549" s="8">
        <v>45012</v>
      </c>
      <c r="B1549" s="10">
        <v>1289.7</v>
      </c>
    </row>
    <row r="1550" spans="1:2" ht="16.5" hidden="1" customHeight="1">
      <c r="A1550" s="8">
        <v>45013</v>
      </c>
      <c r="B1550" s="10">
        <v>1300.3</v>
      </c>
    </row>
    <row r="1551" spans="1:2" ht="16.5" hidden="1" customHeight="1">
      <c r="A1551" s="8">
        <v>45014</v>
      </c>
      <c r="B1551" s="10">
        <v>1297.4000000000001</v>
      </c>
    </row>
    <row r="1552" spans="1:2" ht="16.5" hidden="1" customHeight="1">
      <c r="A1552" s="8">
        <v>45015</v>
      </c>
      <c r="B1552" s="10">
        <v>1299.3</v>
      </c>
    </row>
    <row r="1553" spans="1:2" ht="16.5" hidden="1" customHeight="1">
      <c r="A1553" s="8">
        <v>45016</v>
      </c>
      <c r="B1553" s="10">
        <v>1303.8</v>
      </c>
    </row>
    <row r="1554" spans="1:2" ht="16.5" hidden="1" customHeight="1">
      <c r="A1554" s="8">
        <v>45017</v>
      </c>
      <c r="B1554" s="10">
        <v>1303.8</v>
      </c>
    </row>
    <row r="1555" spans="1:2" ht="16.5" hidden="1" customHeight="1">
      <c r="A1555" s="8">
        <v>45018</v>
      </c>
      <c r="B1555" s="10">
        <v>1303.8</v>
      </c>
    </row>
    <row r="1556" spans="1:2" ht="16.5" hidden="1" customHeight="1">
      <c r="A1556" s="8">
        <v>45019</v>
      </c>
      <c r="B1556" s="10">
        <v>1295.4000000000001</v>
      </c>
    </row>
    <row r="1557" spans="1:2" ht="16.5" hidden="1" customHeight="1">
      <c r="A1557" s="8">
        <v>45020</v>
      </c>
      <c r="B1557" s="10">
        <v>1316.3</v>
      </c>
    </row>
    <row r="1558" spans="1:2" ht="16.5" hidden="1" customHeight="1">
      <c r="A1558" s="8">
        <v>45021</v>
      </c>
      <c r="B1558" s="10">
        <v>1310.3</v>
      </c>
    </row>
    <row r="1559" spans="1:2" ht="16.5" hidden="1" customHeight="1">
      <c r="A1559" s="8">
        <v>45022</v>
      </c>
      <c r="B1559" s="10">
        <v>1311.9</v>
      </c>
    </row>
    <row r="1560" spans="1:2" ht="16.5" hidden="1" customHeight="1">
      <c r="A1560" s="8">
        <v>45023</v>
      </c>
      <c r="B1560" s="10">
        <v>1318.7</v>
      </c>
    </row>
    <row r="1561" spans="1:2" ht="16.5" hidden="1" customHeight="1">
      <c r="A1561" s="8">
        <v>45024</v>
      </c>
      <c r="B1561" s="10">
        <v>1318.7</v>
      </c>
    </row>
    <row r="1562" spans="1:2" ht="16.5" hidden="1" customHeight="1">
      <c r="A1562" s="8">
        <v>45025</v>
      </c>
      <c r="B1562" s="10">
        <v>1318.7</v>
      </c>
    </row>
    <row r="1563" spans="1:2" ht="16.5" hidden="1" customHeight="1">
      <c r="A1563" s="8">
        <v>45026</v>
      </c>
      <c r="B1563" s="10">
        <v>1318.9</v>
      </c>
    </row>
    <row r="1564" spans="1:2" ht="16.5" hidden="1" customHeight="1">
      <c r="A1564" s="8">
        <v>45027</v>
      </c>
      <c r="B1564" s="10">
        <v>1320</v>
      </c>
    </row>
    <row r="1565" spans="1:2" ht="16.5" hidden="1" customHeight="1">
      <c r="A1565" s="8">
        <v>45028</v>
      </c>
      <c r="B1565" s="10">
        <v>1319.5</v>
      </c>
    </row>
    <row r="1566" spans="1:2" ht="16.5" hidden="1" customHeight="1">
      <c r="A1566" s="8">
        <v>45029</v>
      </c>
      <c r="B1566" s="10">
        <v>1324.2</v>
      </c>
    </row>
    <row r="1567" spans="1:2" ht="16.5" hidden="1" customHeight="1">
      <c r="A1567" s="8">
        <v>45030</v>
      </c>
      <c r="B1567" s="10">
        <v>1318</v>
      </c>
    </row>
    <row r="1568" spans="1:2" ht="16.5" hidden="1" customHeight="1">
      <c r="A1568" s="8">
        <v>45031</v>
      </c>
      <c r="B1568" s="10">
        <v>1318</v>
      </c>
    </row>
    <row r="1569" spans="1:2" ht="16.5" hidden="1" customHeight="1">
      <c r="A1569" s="8">
        <v>45032</v>
      </c>
      <c r="B1569" s="10">
        <v>1318</v>
      </c>
    </row>
    <row r="1570" spans="1:2" ht="16.5" hidden="1" customHeight="1">
      <c r="A1570" s="8">
        <v>45033</v>
      </c>
      <c r="B1570" s="10">
        <v>1299.3</v>
      </c>
    </row>
    <row r="1571" spans="1:2" ht="16.5" hidden="1" customHeight="1">
      <c r="A1571" s="8">
        <v>45034</v>
      </c>
      <c r="B1571" s="10">
        <v>1311.3</v>
      </c>
    </row>
    <row r="1572" spans="1:2" ht="16.5" hidden="1" customHeight="1">
      <c r="A1572" s="8">
        <v>45035</v>
      </c>
      <c r="B1572" s="10">
        <v>1318.8</v>
      </c>
    </row>
    <row r="1573" spans="1:2" ht="16.5" hidden="1" customHeight="1">
      <c r="A1573" s="8">
        <v>45036</v>
      </c>
      <c r="B1573" s="10">
        <v>1318.8</v>
      </c>
    </row>
    <row r="1574" spans="1:2" ht="16.5" hidden="1" customHeight="1">
      <c r="A1574" s="8">
        <v>45037</v>
      </c>
      <c r="B1574" s="10">
        <v>1327.6</v>
      </c>
    </row>
    <row r="1575" spans="1:2" ht="16.5" hidden="1" customHeight="1">
      <c r="A1575" s="8">
        <v>45038</v>
      </c>
      <c r="B1575" s="10">
        <v>1327.6</v>
      </c>
    </row>
    <row r="1576" spans="1:2" ht="16.5" hidden="1" customHeight="1">
      <c r="A1576" s="8">
        <v>45039</v>
      </c>
      <c r="B1576" s="10">
        <v>1327.6</v>
      </c>
    </row>
    <row r="1577" spans="1:2" ht="16.5" hidden="1" customHeight="1">
      <c r="A1577" s="8">
        <v>45040</v>
      </c>
      <c r="B1577" s="10">
        <v>1327.9</v>
      </c>
    </row>
    <row r="1578" spans="1:2" ht="16.5" hidden="1" customHeight="1">
      <c r="A1578" s="8">
        <v>45041</v>
      </c>
      <c r="B1578" s="10">
        <v>1332.7</v>
      </c>
    </row>
    <row r="1579" spans="1:2" ht="16.5" hidden="1" customHeight="1">
      <c r="A1579" s="8">
        <v>45042</v>
      </c>
      <c r="B1579" s="10">
        <v>1333.3</v>
      </c>
    </row>
    <row r="1580" spans="1:2" ht="16.5" hidden="1" customHeight="1">
      <c r="A1580" s="8">
        <v>45043</v>
      </c>
      <c r="B1580" s="10">
        <v>1337.3</v>
      </c>
    </row>
    <row r="1581" spans="1:2" ht="16.5" hidden="1" customHeight="1">
      <c r="A1581" s="8">
        <v>45044</v>
      </c>
      <c r="B1581" s="10">
        <v>1339.9</v>
      </c>
    </row>
    <row r="1582" spans="1:2" ht="16.5" hidden="1" customHeight="1">
      <c r="A1582" s="8">
        <v>45045</v>
      </c>
      <c r="B1582" s="10">
        <v>1339.9</v>
      </c>
    </row>
    <row r="1583" spans="1:2" ht="16.5" hidden="1" customHeight="1">
      <c r="A1583" s="8">
        <v>45046</v>
      </c>
      <c r="B1583" s="10">
        <v>1339.9</v>
      </c>
    </row>
    <row r="1584" spans="1:2" ht="16.5" hidden="1" customHeight="1">
      <c r="A1584" s="8">
        <v>45047</v>
      </c>
      <c r="B1584" s="10">
        <v>1339.9</v>
      </c>
    </row>
    <row r="1585" spans="1:2" ht="16.5" hidden="1" customHeight="1">
      <c r="A1585" s="8">
        <v>45048</v>
      </c>
      <c r="B1585" s="10">
        <v>1339.1</v>
      </c>
    </row>
    <row r="1586" spans="1:2" ht="16.5" hidden="1" customHeight="1">
      <c r="A1586" s="8">
        <v>45049</v>
      </c>
      <c r="B1586" s="10">
        <v>1340.2</v>
      </c>
    </row>
    <row r="1587" spans="1:2" ht="16.5" hidden="1" customHeight="1">
      <c r="A1587" s="8">
        <v>45050</v>
      </c>
      <c r="B1587" s="10">
        <v>1339.1</v>
      </c>
    </row>
    <row r="1588" spans="1:2" ht="16.5" hidden="1" customHeight="1">
      <c r="A1588" s="8">
        <v>45051</v>
      </c>
      <c r="B1588" s="10">
        <v>1339.1</v>
      </c>
    </row>
    <row r="1589" spans="1:2" ht="16.5" hidden="1" customHeight="1">
      <c r="A1589" s="8">
        <v>45052</v>
      </c>
      <c r="B1589" s="10">
        <v>1339.1</v>
      </c>
    </row>
    <row r="1590" spans="1:2" ht="16.5" hidden="1" customHeight="1">
      <c r="A1590" s="8">
        <v>45053</v>
      </c>
      <c r="B1590" s="10">
        <v>1339.1</v>
      </c>
    </row>
    <row r="1591" spans="1:2" ht="16.5" hidden="1" customHeight="1">
      <c r="A1591" s="8">
        <v>45054</v>
      </c>
      <c r="B1591" s="10">
        <v>1325.6</v>
      </c>
    </row>
    <row r="1592" spans="1:2" ht="16.5" hidden="1" customHeight="1">
      <c r="A1592" s="8">
        <v>45055</v>
      </c>
      <c r="B1592" s="10">
        <v>1322.7</v>
      </c>
    </row>
    <row r="1593" spans="1:2" ht="16.5" hidden="1" customHeight="1">
      <c r="A1593" s="8">
        <v>45056</v>
      </c>
      <c r="B1593" s="10">
        <v>1323</v>
      </c>
    </row>
    <row r="1594" spans="1:2" ht="16.5" hidden="1" customHeight="1">
      <c r="A1594" s="8">
        <v>45057</v>
      </c>
      <c r="B1594" s="10">
        <v>1324.2</v>
      </c>
    </row>
    <row r="1595" spans="1:2" ht="16.5" hidden="1" customHeight="1">
      <c r="A1595" s="8">
        <v>45058</v>
      </c>
      <c r="B1595" s="10">
        <v>1320.3</v>
      </c>
    </row>
    <row r="1596" spans="1:2" ht="16.5" hidden="1" customHeight="1">
      <c r="A1596" s="8">
        <v>45059</v>
      </c>
      <c r="B1596" s="10">
        <v>1320.3</v>
      </c>
    </row>
    <row r="1597" spans="1:2" ht="16.5" hidden="1" customHeight="1">
      <c r="A1597" s="8">
        <v>45060</v>
      </c>
      <c r="B1597" s="10">
        <v>1320.3</v>
      </c>
    </row>
    <row r="1598" spans="1:2" ht="16.5" hidden="1" customHeight="1">
      <c r="A1598" s="8">
        <v>45061</v>
      </c>
      <c r="B1598" s="10">
        <v>1333.6</v>
      </c>
    </row>
    <row r="1599" spans="1:2" ht="16.5" hidden="1" customHeight="1">
      <c r="A1599" s="8">
        <v>45062</v>
      </c>
      <c r="B1599" s="10">
        <v>1337.8</v>
      </c>
    </row>
    <row r="1600" spans="1:2" ht="16.5" hidden="1" customHeight="1">
      <c r="A1600" s="8">
        <v>45063</v>
      </c>
      <c r="B1600" s="10">
        <v>1336</v>
      </c>
    </row>
    <row r="1601" spans="1:2" ht="16.5" hidden="1" customHeight="1">
      <c r="A1601" s="8">
        <v>45064</v>
      </c>
      <c r="B1601" s="10">
        <v>1339.4</v>
      </c>
    </row>
    <row r="1602" spans="1:2" ht="16.5" hidden="1" customHeight="1">
      <c r="A1602" s="8">
        <v>45065</v>
      </c>
      <c r="B1602" s="10">
        <v>1332.7</v>
      </c>
    </row>
    <row r="1603" spans="1:2" ht="16.5" hidden="1" customHeight="1">
      <c r="A1603" s="8">
        <v>45066</v>
      </c>
      <c r="B1603" s="10">
        <v>1332.7</v>
      </c>
    </row>
    <row r="1604" spans="1:2" ht="16.5" hidden="1" customHeight="1">
      <c r="A1604" s="8">
        <v>45067</v>
      </c>
      <c r="B1604" s="10">
        <v>1332.7</v>
      </c>
    </row>
    <row r="1605" spans="1:2" ht="16.5" hidden="1" customHeight="1">
      <c r="A1605" s="8">
        <v>45068</v>
      </c>
      <c r="B1605" s="10">
        <v>1331.2</v>
      </c>
    </row>
    <row r="1606" spans="1:2" ht="16.5" hidden="1" customHeight="1">
      <c r="A1606" s="8">
        <v>45069</v>
      </c>
      <c r="B1606" s="10">
        <v>1319.1</v>
      </c>
    </row>
    <row r="1607" spans="1:2" ht="16.5" hidden="1" customHeight="1">
      <c r="A1607" s="8">
        <v>45070</v>
      </c>
      <c r="B1607" s="10">
        <v>1311.4</v>
      </c>
    </row>
    <row r="1608" spans="1:2" ht="16.5" hidden="1" customHeight="1">
      <c r="A1608" s="8">
        <v>45071</v>
      </c>
      <c r="B1608" s="10">
        <v>1317.5</v>
      </c>
    </row>
    <row r="1609" spans="1:2" ht="16.5" hidden="1" customHeight="1">
      <c r="A1609" s="8">
        <v>45072</v>
      </c>
      <c r="B1609" s="10">
        <v>1323.4</v>
      </c>
    </row>
    <row r="1610" spans="1:2" ht="16.5" hidden="1" customHeight="1">
      <c r="A1610" s="8">
        <v>45073</v>
      </c>
      <c r="B1610" s="10">
        <v>1323.4</v>
      </c>
    </row>
    <row r="1611" spans="1:2" ht="16.5" hidden="1" customHeight="1">
      <c r="A1611" s="8">
        <v>45074</v>
      </c>
      <c r="B1611" s="10">
        <v>1323.4</v>
      </c>
    </row>
    <row r="1612" spans="1:2" ht="16.5" hidden="1" customHeight="1">
      <c r="A1612" s="8">
        <v>45075</v>
      </c>
      <c r="B1612" s="10">
        <v>1323.4</v>
      </c>
    </row>
    <row r="1613" spans="1:2" ht="16.5" hidden="1" customHeight="1">
      <c r="A1613" s="8">
        <v>45076</v>
      </c>
      <c r="B1613" s="10">
        <v>1325.6</v>
      </c>
    </row>
    <row r="1614" spans="1:2" ht="16.5" hidden="1" customHeight="1">
      <c r="A1614" s="8">
        <v>45077</v>
      </c>
      <c r="B1614" s="10">
        <v>1322.2</v>
      </c>
    </row>
    <row r="1615" spans="1:2" ht="16.5" hidden="1" customHeight="1">
      <c r="A1615" s="8">
        <v>45078</v>
      </c>
      <c r="B1615" s="10">
        <v>1321.6</v>
      </c>
    </row>
    <row r="1616" spans="1:2" ht="16.5" hidden="1" customHeight="1">
      <c r="A1616" s="8">
        <v>45079</v>
      </c>
      <c r="B1616" s="10">
        <v>1320.7</v>
      </c>
    </row>
    <row r="1617" spans="1:2" ht="16.5" hidden="1" customHeight="1">
      <c r="A1617" s="8">
        <v>45080</v>
      </c>
      <c r="B1617" s="10">
        <v>1320.7</v>
      </c>
    </row>
    <row r="1618" spans="1:2" ht="16.5" hidden="1" customHeight="1">
      <c r="A1618" s="8">
        <v>45081</v>
      </c>
      <c r="B1618" s="10">
        <v>1320.7</v>
      </c>
    </row>
    <row r="1619" spans="1:2" ht="16.5" hidden="1" customHeight="1">
      <c r="A1619" s="8">
        <v>45082</v>
      </c>
      <c r="B1619" s="10">
        <v>1308.8</v>
      </c>
    </row>
    <row r="1620" spans="1:2" ht="16.5" hidden="1" customHeight="1">
      <c r="A1620" s="8">
        <v>45083</v>
      </c>
      <c r="B1620" s="10">
        <v>1308.8</v>
      </c>
    </row>
    <row r="1621" spans="1:2" ht="16.5" hidden="1" customHeight="1">
      <c r="A1621" s="8">
        <v>45084</v>
      </c>
      <c r="B1621" s="10">
        <v>1308.3</v>
      </c>
    </row>
    <row r="1622" spans="1:2" ht="16.5" hidden="1" customHeight="1">
      <c r="A1622" s="8">
        <v>45085</v>
      </c>
      <c r="B1622" s="10">
        <v>1300.5</v>
      </c>
    </row>
    <row r="1623" spans="1:2" ht="16.5" hidden="1" customHeight="1">
      <c r="A1623" s="8">
        <v>45086</v>
      </c>
      <c r="B1623" s="10">
        <v>1306.0999999999999</v>
      </c>
    </row>
    <row r="1624" spans="1:2" ht="16.5" hidden="1" customHeight="1">
      <c r="A1624" s="8">
        <v>45087</v>
      </c>
      <c r="B1624" s="10">
        <v>1306.0999999999999</v>
      </c>
    </row>
    <row r="1625" spans="1:2" ht="16.5" hidden="1" customHeight="1">
      <c r="A1625" s="8">
        <v>45088</v>
      </c>
      <c r="B1625" s="10">
        <v>1306.0999999999999</v>
      </c>
    </row>
    <row r="1626" spans="1:2" ht="16.5" hidden="1" customHeight="1">
      <c r="A1626" s="8">
        <v>45089</v>
      </c>
      <c r="B1626" s="10">
        <v>1294.9000000000001</v>
      </c>
    </row>
    <row r="1627" spans="1:2" ht="16.5" hidden="1" customHeight="1">
      <c r="A1627" s="8">
        <v>45090</v>
      </c>
      <c r="B1627" s="10">
        <v>1291.0999999999999</v>
      </c>
    </row>
    <row r="1628" spans="1:2" ht="16.5" hidden="1" customHeight="1">
      <c r="A1628" s="8">
        <v>45091</v>
      </c>
      <c r="B1628" s="10">
        <v>1277.5</v>
      </c>
    </row>
    <row r="1629" spans="1:2" ht="16.5" hidden="1" customHeight="1">
      <c r="A1629" s="8">
        <v>45092</v>
      </c>
      <c r="B1629" s="10">
        <v>1275.9000000000001</v>
      </c>
    </row>
    <row r="1630" spans="1:2" ht="16.5" hidden="1" customHeight="1">
      <c r="A1630" s="8">
        <v>45093</v>
      </c>
      <c r="B1630" s="10">
        <v>1280.0999999999999</v>
      </c>
    </row>
    <row r="1631" spans="1:2" ht="16.5" hidden="1" customHeight="1">
      <c r="A1631" s="8">
        <v>45094</v>
      </c>
      <c r="B1631" s="10">
        <v>1280.0999999999999</v>
      </c>
    </row>
    <row r="1632" spans="1:2" ht="16.5" hidden="1" customHeight="1">
      <c r="A1632" s="8">
        <v>45095</v>
      </c>
      <c r="B1632" s="10">
        <v>1280.0999999999999</v>
      </c>
    </row>
    <row r="1633" spans="1:2" ht="16.5" hidden="1" customHeight="1">
      <c r="A1633" s="8">
        <v>45096</v>
      </c>
      <c r="B1633" s="10">
        <v>1273.5</v>
      </c>
    </row>
    <row r="1634" spans="1:2" ht="16.5" hidden="1" customHeight="1">
      <c r="A1634" s="8">
        <v>45097</v>
      </c>
      <c r="B1634" s="10">
        <v>1280.7</v>
      </c>
    </row>
    <row r="1635" spans="1:2" ht="16.5" hidden="1" customHeight="1">
      <c r="A1635" s="8">
        <v>45098</v>
      </c>
      <c r="B1635" s="10">
        <v>1282.2</v>
      </c>
    </row>
    <row r="1636" spans="1:2" ht="16.5" hidden="1" customHeight="1">
      <c r="A1636" s="8">
        <v>45099</v>
      </c>
      <c r="B1636" s="10">
        <v>1291.5</v>
      </c>
    </row>
    <row r="1637" spans="1:2" ht="16.5" hidden="1" customHeight="1">
      <c r="A1637" s="8">
        <v>45100</v>
      </c>
      <c r="B1637" s="10">
        <v>1291.4000000000001</v>
      </c>
    </row>
    <row r="1638" spans="1:2" ht="16.5" hidden="1" customHeight="1">
      <c r="A1638" s="8">
        <v>45101</v>
      </c>
      <c r="B1638" s="10">
        <v>1291.4000000000001</v>
      </c>
    </row>
    <row r="1639" spans="1:2" ht="16.5" hidden="1" customHeight="1">
      <c r="A1639" s="8">
        <v>45102</v>
      </c>
      <c r="B1639" s="10">
        <v>1291.4000000000001</v>
      </c>
    </row>
    <row r="1640" spans="1:2" ht="16.5" hidden="1" customHeight="1">
      <c r="A1640" s="8">
        <v>45103</v>
      </c>
      <c r="B1640" s="10">
        <v>1302.2</v>
      </c>
    </row>
    <row r="1641" spans="1:2" ht="16.5" hidden="1" customHeight="1">
      <c r="A1641" s="8">
        <v>45104</v>
      </c>
      <c r="B1641" s="10">
        <v>1303.8</v>
      </c>
    </row>
    <row r="1642" spans="1:2" ht="16.5" hidden="1" customHeight="1">
      <c r="A1642" s="8">
        <v>45105</v>
      </c>
      <c r="B1642" s="10">
        <v>1303.0999999999999</v>
      </c>
    </row>
    <row r="1643" spans="1:2" ht="16.5" hidden="1" customHeight="1">
      <c r="A1643" s="8">
        <v>45106</v>
      </c>
      <c r="B1643" s="10">
        <v>1304.3</v>
      </c>
    </row>
    <row r="1644" spans="1:2" ht="16.5" hidden="1" customHeight="1">
      <c r="A1644" s="8">
        <v>45107</v>
      </c>
      <c r="B1644" s="10">
        <v>1312.8</v>
      </c>
    </row>
    <row r="1645" spans="1:2" ht="16.5" hidden="1" customHeight="1">
      <c r="A1645" s="8">
        <v>45108</v>
      </c>
      <c r="B1645" s="10">
        <v>1312.8</v>
      </c>
    </row>
    <row r="1646" spans="1:2" ht="16.5" hidden="1" customHeight="1">
      <c r="A1646" s="8">
        <v>45109</v>
      </c>
      <c r="B1646" s="10">
        <v>1312.8</v>
      </c>
    </row>
    <row r="1647" spans="1:2" ht="16.5" hidden="1" customHeight="1">
      <c r="A1647" s="8">
        <v>45110</v>
      </c>
      <c r="B1647" s="10">
        <v>1319.4</v>
      </c>
    </row>
    <row r="1648" spans="1:2" ht="16.5" hidden="1" customHeight="1">
      <c r="A1648" s="8">
        <v>45111</v>
      </c>
      <c r="B1648" s="10">
        <v>1310</v>
      </c>
    </row>
    <row r="1649" spans="1:2" ht="16.5" hidden="1" customHeight="1">
      <c r="A1649" s="8">
        <v>45112</v>
      </c>
      <c r="B1649" s="10">
        <v>1301.7</v>
      </c>
    </row>
    <row r="1650" spans="1:2" ht="16.5" hidden="1" customHeight="1">
      <c r="A1650" s="8">
        <v>45113</v>
      </c>
      <c r="B1650" s="10">
        <v>1300.8</v>
      </c>
    </row>
    <row r="1651" spans="1:2" ht="16.5" hidden="1" customHeight="1">
      <c r="A1651" s="8">
        <v>45114</v>
      </c>
      <c r="B1651" s="10">
        <v>1303.8</v>
      </c>
    </row>
    <row r="1652" spans="1:2" ht="16.5" hidden="1" customHeight="1">
      <c r="A1652" s="8">
        <v>45115</v>
      </c>
      <c r="B1652" s="10">
        <v>1303.8</v>
      </c>
    </row>
    <row r="1653" spans="1:2" ht="16.5" hidden="1" customHeight="1">
      <c r="A1653" s="8">
        <v>45116</v>
      </c>
      <c r="B1653" s="10">
        <v>1303.8</v>
      </c>
    </row>
    <row r="1654" spans="1:2" ht="16.5" hidden="1" customHeight="1">
      <c r="A1654" s="8">
        <v>45117</v>
      </c>
      <c r="B1654" s="10">
        <v>1307.3</v>
      </c>
    </row>
    <row r="1655" spans="1:2" ht="16.5" hidden="1" customHeight="1">
      <c r="A1655" s="8">
        <v>45118</v>
      </c>
      <c r="B1655" s="10">
        <v>1303.8</v>
      </c>
    </row>
    <row r="1656" spans="1:2" ht="16.5" hidden="1" customHeight="1">
      <c r="A1656" s="8">
        <v>45119</v>
      </c>
      <c r="B1656" s="10">
        <v>1295</v>
      </c>
    </row>
    <row r="1657" spans="1:2" ht="16.5" hidden="1" customHeight="1">
      <c r="A1657" s="8">
        <v>45120</v>
      </c>
      <c r="B1657" s="10">
        <v>1291.4000000000001</v>
      </c>
    </row>
    <row r="1658" spans="1:2" ht="16.5" hidden="1" customHeight="1">
      <c r="A1658" s="8">
        <v>45121</v>
      </c>
      <c r="B1658" s="10">
        <v>1276.2</v>
      </c>
    </row>
    <row r="1659" spans="1:2" ht="16.5" hidden="1" customHeight="1">
      <c r="A1659" s="8">
        <v>45122</v>
      </c>
      <c r="B1659" s="10">
        <v>1276.2</v>
      </c>
    </row>
    <row r="1660" spans="1:2" ht="16.5" hidden="1" customHeight="1">
      <c r="A1660" s="8">
        <v>45123</v>
      </c>
      <c r="B1660" s="10">
        <v>1276.2</v>
      </c>
    </row>
    <row r="1661" spans="1:2" ht="16.5" hidden="1" customHeight="1">
      <c r="A1661" s="8">
        <v>45124</v>
      </c>
      <c r="B1661" s="10">
        <v>1265.8</v>
      </c>
    </row>
    <row r="1662" spans="1:2" ht="16.5" hidden="1" customHeight="1">
      <c r="A1662" s="8">
        <v>45125</v>
      </c>
      <c r="B1662" s="10">
        <v>1266.0999999999999</v>
      </c>
    </row>
    <row r="1663" spans="1:2" ht="16.5" hidden="1" customHeight="1">
      <c r="A1663" s="8">
        <v>45126</v>
      </c>
      <c r="B1663" s="10">
        <v>1261.5999999999999</v>
      </c>
    </row>
    <row r="1664" spans="1:2" ht="16.5" hidden="1" customHeight="1">
      <c r="A1664" s="8">
        <v>45127</v>
      </c>
      <c r="B1664" s="10">
        <v>1265.4000000000001</v>
      </c>
    </row>
    <row r="1665" spans="1:2" ht="16.5" hidden="1" customHeight="1">
      <c r="A1665" s="8">
        <v>45128</v>
      </c>
      <c r="B1665" s="10">
        <v>1265.8</v>
      </c>
    </row>
    <row r="1666" spans="1:2" ht="16.5" hidden="1" customHeight="1">
      <c r="A1666" s="8">
        <v>45129</v>
      </c>
      <c r="B1666" s="10">
        <v>1265.8</v>
      </c>
    </row>
    <row r="1667" spans="1:2" ht="16.5" hidden="1" customHeight="1">
      <c r="A1667" s="8">
        <v>45130</v>
      </c>
      <c r="B1667" s="10">
        <v>1265.8</v>
      </c>
    </row>
    <row r="1668" spans="1:2" ht="16.5" hidden="1" customHeight="1">
      <c r="A1668" s="8">
        <v>45131</v>
      </c>
      <c r="B1668" s="10">
        <v>1281.7</v>
      </c>
    </row>
    <row r="1669" spans="1:2" ht="16.5" hidden="1" customHeight="1">
      <c r="A1669" s="8">
        <v>45132</v>
      </c>
      <c r="B1669" s="10">
        <v>1283.8</v>
      </c>
    </row>
    <row r="1670" spans="1:2" ht="16.5" hidden="1" customHeight="1">
      <c r="A1670" s="8">
        <v>45133</v>
      </c>
      <c r="B1670" s="10">
        <v>1280.7</v>
      </c>
    </row>
    <row r="1671" spans="1:2" ht="16.5" hidden="1" customHeight="1">
      <c r="A1671" s="8">
        <v>45134</v>
      </c>
      <c r="B1671" s="10">
        <v>1278.7</v>
      </c>
    </row>
    <row r="1672" spans="1:2" ht="16.5" hidden="1" customHeight="1">
      <c r="A1672" s="8">
        <v>45135</v>
      </c>
      <c r="B1672" s="10">
        <v>1273.4000000000001</v>
      </c>
    </row>
    <row r="1673" spans="1:2" ht="16.5" hidden="1" customHeight="1">
      <c r="A1673" s="8">
        <v>45136</v>
      </c>
      <c r="B1673" s="10">
        <v>1273.4000000000001</v>
      </c>
    </row>
    <row r="1674" spans="1:2" ht="16.5" hidden="1" customHeight="1">
      <c r="A1674" s="8">
        <v>45137</v>
      </c>
      <c r="B1674" s="10">
        <v>1273.4000000000001</v>
      </c>
    </row>
    <row r="1675" spans="1:2" ht="16.5" hidden="1" customHeight="1">
      <c r="A1675" s="8">
        <v>45138</v>
      </c>
      <c r="B1675" s="10">
        <v>1280</v>
      </c>
    </row>
    <row r="1676" spans="1:2" ht="16.5" hidden="1" customHeight="1">
      <c r="A1676" s="8">
        <v>45139</v>
      </c>
      <c r="B1676" s="10">
        <v>1273.8</v>
      </c>
    </row>
    <row r="1677" spans="1:2" ht="16.5" hidden="1" customHeight="1">
      <c r="A1677" s="8">
        <v>45140</v>
      </c>
      <c r="B1677" s="10">
        <v>1280.7</v>
      </c>
    </row>
    <row r="1678" spans="1:2" ht="16.5" hidden="1" customHeight="1">
      <c r="A1678" s="8">
        <v>45141</v>
      </c>
      <c r="B1678" s="10">
        <v>1283</v>
      </c>
    </row>
    <row r="1679" spans="1:2" ht="16.5" hidden="1" customHeight="1">
      <c r="A1679" s="8">
        <v>45142</v>
      </c>
      <c r="B1679" s="10">
        <v>1298.8</v>
      </c>
    </row>
    <row r="1680" spans="1:2" ht="16.5" hidden="1" customHeight="1">
      <c r="A1680" s="8">
        <v>45143</v>
      </c>
      <c r="B1680" s="10">
        <v>1298.8</v>
      </c>
    </row>
    <row r="1681" spans="1:2" ht="16.5" hidden="1" customHeight="1">
      <c r="A1681" s="8">
        <v>45144</v>
      </c>
      <c r="B1681" s="10">
        <v>1298.8</v>
      </c>
    </row>
    <row r="1682" spans="1:2" ht="16.5" hidden="1" customHeight="1">
      <c r="A1682" s="8">
        <v>45145</v>
      </c>
      <c r="B1682" s="10">
        <v>1303.9000000000001</v>
      </c>
    </row>
    <row r="1683" spans="1:2" ht="16.5" hidden="1" customHeight="1">
      <c r="A1683" s="8">
        <v>45146</v>
      </c>
      <c r="B1683" s="10">
        <v>1304.0999999999999</v>
      </c>
    </row>
    <row r="1684" spans="1:2" ht="16.5" hidden="1" customHeight="1">
      <c r="A1684" s="8">
        <v>45147</v>
      </c>
      <c r="B1684" s="10">
        <v>1312.6</v>
      </c>
    </row>
    <row r="1685" spans="1:2" ht="16.5" hidden="1" customHeight="1">
      <c r="A1685" s="8">
        <v>45148</v>
      </c>
      <c r="B1685" s="10">
        <v>1318.3</v>
      </c>
    </row>
    <row r="1686" spans="1:2" ht="16.5" hidden="1" customHeight="1">
      <c r="A1686" s="8">
        <v>45149</v>
      </c>
      <c r="B1686" s="10">
        <v>1317.3</v>
      </c>
    </row>
    <row r="1687" spans="1:2" ht="16.5" hidden="1" customHeight="1">
      <c r="A1687" s="8">
        <v>45150</v>
      </c>
      <c r="B1687" s="10">
        <v>1317.3</v>
      </c>
    </row>
    <row r="1688" spans="1:2" ht="16.5" hidden="1" customHeight="1">
      <c r="A1688" s="8">
        <v>45151</v>
      </c>
      <c r="B1688" s="10">
        <v>1317.3</v>
      </c>
    </row>
    <row r="1689" spans="1:2" ht="16.5" hidden="1" customHeight="1">
      <c r="A1689" s="8">
        <v>45152</v>
      </c>
      <c r="B1689" s="10">
        <v>1321.1</v>
      </c>
    </row>
    <row r="1690" spans="1:2" ht="16.5" hidden="1" customHeight="1">
      <c r="A1690" s="8">
        <v>45153</v>
      </c>
      <c r="B1690" s="10">
        <v>1321.1</v>
      </c>
    </row>
    <row r="1691" spans="1:2" ht="16.5" hidden="1" customHeight="1">
      <c r="A1691" s="8">
        <v>45154</v>
      </c>
      <c r="B1691" s="10">
        <v>1331.3</v>
      </c>
    </row>
    <row r="1692" spans="1:2" ht="16.5" hidden="1" customHeight="1">
      <c r="A1692" s="8">
        <v>45155</v>
      </c>
      <c r="B1692" s="10">
        <v>1338.3</v>
      </c>
    </row>
    <row r="1693" spans="1:2" ht="16.5" hidden="1" customHeight="1">
      <c r="A1693" s="8">
        <v>45156</v>
      </c>
      <c r="B1693" s="10">
        <v>1341.6</v>
      </c>
    </row>
    <row r="1694" spans="1:2" ht="16.5" hidden="1" customHeight="1">
      <c r="A1694" s="8">
        <v>45157</v>
      </c>
      <c r="B1694" s="10">
        <v>1341.6</v>
      </c>
    </row>
    <row r="1695" spans="1:2" ht="16.5" hidden="1" customHeight="1">
      <c r="A1695" s="8">
        <v>45158</v>
      </c>
      <c r="B1695" s="10">
        <v>1341.6</v>
      </c>
    </row>
    <row r="1696" spans="1:2" ht="16.5" hidden="1" customHeight="1">
      <c r="A1696" s="8">
        <v>45159</v>
      </c>
      <c r="B1696" s="10">
        <v>1336.9</v>
      </c>
    </row>
    <row r="1697" spans="1:2" ht="16.5" hidden="1" customHeight="1">
      <c r="A1697" s="8">
        <v>45160</v>
      </c>
      <c r="B1697" s="10">
        <v>1341.5</v>
      </c>
    </row>
    <row r="1698" spans="1:2" ht="16.5" hidden="1" customHeight="1">
      <c r="A1698" s="8">
        <v>45161</v>
      </c>
      <c r="B1698" s="10">
        <v>1338.7</v>
      </c>
    </row>
    <row r="1699" spans="1:2" ht="16.5" hidden="1" customHeight="1">
      <c r="A1699" s="8">
        <v>45162</v>
      </c>
      <c r="B1699" s="10">
        <v>1338</v>
      </c>
    </row>
    <row r="1700" spans="1:2" ht="16.5" hidden="1" customHeight="1">
      <c r="A1700" s="8">
        <v>45163</v>
      </c>
      <c r="B1700" s="10">
        <v>1324</v>
      </c>
    </row>
    <row r="1701" spans="1:2" ht="16.5" hidden="1" customHeight="1">
      <c r="A1701" s="8">
        <v>45164</v>
      </c>
      <c r="B1701" s="10">
        <v>1324</v>
      </c>
    </row>
    <row r="1702" spans="1:2" ht="16.5" hidden="1" customHeight="1">
      <c r="A1702" s="8">
        <v>45165</v>
      </c>
      <c r="B1702" s="10">
        <v>1324</v>
      </c>
    </row>
    <row r="1703" spans="1:2" ht="16.5" hidden="1" customHeight="1">
      <c r="A1703" s="8">
        <v>45166</v>
      </c>
      <c r="B1703" s="10">
        <v>1326.6</v>
      </c>
    </row>
    <row r="1704" spans="1:2" ht="16.5" hidden="1" customHeight="1">
      <c r="A1704" s="8">
        <v>45167</v>
      </c>
      <c r="B1704" s="10">
        <v>1322.5</v>
      </c>
    </row>
    <row r="1705" spans="1:2" ht="16.5" hidden="1" customHeight="1">
      <c r="A1705" s="8">
        <v>45168</v>
      </c>
      <c r="B1705" s="10">
        <v>1322</v>
      </c>
    </row>
    <row r="1706" spans="1:2" ht="16.5" hidden="1" customHeight="1">
      <c r="A1706" s="8">
        <v>45169</v>
      </c>
      <c r="B1706" s="10">
        <v>1321.4</v>
      </c>
    </row>
    <row r="1707" spans="1:2" ht="16.5" hidden="1" customHeight="1">
      <c r="A1707" s="8">
        <v>45170</v>
      </c>
      <c r="B1707" s="10">
        <v>1322.3</v>
      </c>
    </row>
    <row r="1708" spans="1:2" ht="16.5" hidden="1" customHeight="1">
      <c r="A1708" s="8">
        <v>45171</v>
      </c>
      <c r="B1708" s="10">
        <v>1322.3</v>
      </c>
    </row>
    <row r="1709" spans="1:2" ht="16.5" hidden="1" customHeight="1">
      <c r="A1709" s="8">
        <v>45172</v>
      </c>
      <c r="B1709" s="10">
        <v>1322.3</v>
      </c>
    </row>
    <row r="1710" spans="1:2" ht="16.5" hidden="1" customHeight="1">
      <c r="A1710" s="8">
        <v>45173</v>
      </c>
      <c r="B1710" s="10">
        <v>1319.2</v>
      </c>
    </row>
    <row r="1711" spans="1:2" ht="16.5" hidden="1" customHeight="1">
      <c r="A1711" s="8">
        <v>45174</v>
      </c>
      <c r="B1711" s="10">
        <v>1319.3</v>
      </c>
    </row>
    <row r="1712" spans="1:2" ht="16.5" hidden="1" customHeight="1">
      <c r="A1712" s="8">
        <v>45175</v>
      </c>
      <c r="B1712" s="10">
        <v>1324.3</v>
      </c>
    </row>
    <row r="1713" spans="1:2" ht="16.5" hidden="1" customHeight="1">
      <c r="A1713" s="8">
        <v>45176</v>
      </c>
      <c r="B1713" s="10">
        <v>1332.6</v>
      </c>
    </row>
    <row r="1714" spans="1:2" ht="16.5" hidden="1" customHeight="1">
      <c r="A1714" s="8">
        <v>45177</v>
      </c>
      <c r="B1714" s="10">
        <v>1334.7</v>
      </c>
    </row>
    <row r="1715" spans="1:2" ht="16.5" hidden="1" customHeight="1">
      <c r="A1715" s="8">
        <v>45178</v>
      </c>
      <c r="B1715" s="10">
        <v>1334.7</v>
      </c>
    </row>
    <row r="1716" spans="1:2" ht="16.5" hidden="1" customHeight="1">
      <c r="A1716" s="8">
        <v>45179</v>
      </c>
      <c r="B1716" s="10">
        <v>1334.7</v>
      </c>
    </row>
    <row r="1717" spans="1:2" ht="16.5" hidden="1" customHeight="1">
      <c r="A1717" s="8">
        <v>45180</v>
      </c>
      <c r="B1717" s="10">
        <v>1333.4</v>
      </c>
    </row>
    <row r="1718" spans="1:2" ht="16.5" hidden="1" customHeight="1">
      <c r="A1718" s="8">
        <v>45181</v>
      </c>
      <c r="B1718" s="10">
        <v>1332.4</v>
      </c>
    </row>
    <row r="1719" spans="1:2" ht="16.5" hidden="1" customHeight="1">
      <c r="A1719" s="8">
        <v>45182</v>
      </c>
      <c r="B1719" s="10">
        <v>1326.1</v>
      </c>
    </row>
    <row r="1720" spans="1:2" ht="16.5" hidden="1" customHeight="1">
      <c r="A1720" s="8">
        <v>45183</v>
      </c>
      <c r="B1720" s="10">
        <v>1327.8</v>
      </c>
    </row>
    <row r="1721" spans="1:2" ht="16.5" hidden="1" customHeight="1">
      <c r="A1721" s="8">
        <v>45184</v>
      </c>
      <c r="B1721" s="10">
        <v>1326.1</v>
      </c>
    </row>
    <row r="1722" spans="1:2" ht="16.5" hidden="1" customHeight="1">
      <c r="A1722" s="8">
        <v>45185</v>
      </c>
      <c r="B1722" s="10">
        <v>1326.1</v>
      </c>
    </row>
    <row r="1723" spans="1:2" ht="16.5" hidden="1" customHeight="1">
      <c r="A1723" s="8">
        <v>45186</v>
      </c>
      <c r="B1723" s="10">
        <v>1326.1</v>
      </c>
    </row>
    <row r="1724" spans="1:2" ht="16.5" hidden="1" customHeight="1">
      <c r="A1724" s="8">
        <v>45187</v>
      </c>
      <c r="B1724" s="10">
        <v>1327.6</v>
      </c>
    </row>
    <row r="1725" spans="1:2" ht="16.5" hidden="1" customHeight="1">
      <c r="A1725" s="8">
        <v>45188</v>
      </c>
      <c r="B1725" s="10">
        <v>1326</v>
      </c>
    </row>
    <row r="1726" spans="1:2" ht="16.5" hidden="1" customHeight="1">
      <c r="A1726" s="8">
        <v>45189</v>
      </c>
      <c r="B1726" s="10">
        <v>1323.7</v>
      </c>
    </row>
    <row r="1727" spans="1:2" ht="16.5" hidden="1" customHeight="1">
      <c r="A1727" s="8">
        <v>45190</v>
      </c>
      <c r="B1727" s="10">
        <v>1329.3</v>
      </c>
    </row>
    <row r="1728" spans="1:2" ht="16.5" hidden="1" customHeight="1">
      <c r="A1728" s="8">
        <v>45191</v>
      </c>
      <c r="B1728" s="10">
        <v>1339.1</v>
      </c>
    </row>
    <row r="1729" spans="1:2" ht="16.5" hidden="1" customHeight="1">
      <c r="A1729" s="8">
        <v>45192</v>
      </c>
      <c r="B1729" s="10">
        <v>1339.1</v>
      </c>
    </row>
    <row r="1730" spans="1:2" ht="16.5" hidden="1" customHeight="1">
      <c r="A1730" s="8">
        <v>45193</v>
      </c>
      <c r="B1730" s="10">
        <v>1339.1</v>
      </c>
    </row>
    <row r="1731" spans="1:2" ht="16.5" hidden="1" customHeight="1">
      <c r="A1731" s="8">
        <v>45194</v>
      </c>
      <c r="B1731" s="10">
        <v>1337.6</v>
      </c>
    </row>
    <row r="1732" spans="1:2" ht="16.5" hidden="1" customHeight="1">
      <c r="A1732" s="8">
        <v>45195</v>
      </c>
      <c r="B1732" s="10">
        <v>1333.7</v>
      </c>
    </row>
    <row r="1733" spans="1:2" ht="16.5" hidden="1" customHeight="1">
      <c r="A1733" s="8">
        <v>45196</v>
      </c>
      <c r="B1733" s="10">
        <v>1344.8</v>
      </c>
    </row>
    <row r="1734" spans="1:2" ht="16.5" hidden="1" customHeight="1">
      <c r="A1734" s="8">
        <v>45197</v>
      </c>
      <c r="B1734" s="10">
        <v>1344.8</v>
      </c>
    </row>
    <row r="1735" spans="1:2" ht="16.5" hidden="1" customHeight="1">
      <c r="A1735" s="8">
        <v>45198</v>
      </c>
      <c r="B1735" s="10">
        <v>1344.8</v>
      </c>
    </row>
    <row r="1736" spans="1:2" ht="16.5" hidden="1" customHeight="1">
      <c r="A1736" s="8">
        <v>45199</v>
      </c>
      <c r="B1736" s="10">
        <v>1344.8</v>
      </c>
    </row>
    <row r="1737" spans="1:2" ht="16.5" hidden="1" customHeight="1">
      <c r="A1737" s="8">
        <v>45200</v>
      </c>
      <c r="B1737" s="10">
        <v>1344.8</v>
      </c>
    </row>
    <row r="1738" spans="1:2" ht="16.5" hidden="1" customHeight="1">
      <c r="A1738" s="8">
        <v>45201</v>
      </c>
      <c r="B1738" s="10">
        <v>1344.8</v>
      </c>
    </row>
    <row r="1739" spans="1:2" ht="16.5" hidden="1" customHeight="1">
      <c r="A1739" s="8">
        <v>45202</v>
      </c>
      <c r="B1739" s="10">
        <v>1344.8</v>
      </c>
    </row>
    <row r="1740" spans="1:2" ht="16.5" hidden="1" customHeight="1">
      <c r="A1740" s="8">
        <v>45203</v>
      </c>
      <c r="B1740" s="10">
        <v>1351.3</v>
      </c>
    </row>
    <row r="1741" spans="1:2" ht="16.5" hidden="1" customHeight="1">
      <c r="A1741" s="8">
        <v>45204</v>
      </c>
      <c r="B1741" s="10">
        <v>1360.6</v>
      </c>
    </row>
    <row r="1742" spans="1:2" ht="16.5" hidden="1" customHeight="1">
      <c r="A1742" s="8">
        <v>45205</v>
      </c>
      <c r="B1742" s="10">
        <v>1349.4</v>
      </c>
    </row>
    <row r="1743" spans="1:2" ht="16.5" hidden="1" customHeight="1">
      <c r="A1743" s="8">
        <v>45206</v>
      </c>
      <c r="B1743" s="10">
        <v>1349.4</v>
      </c>
    </row>
    <row r="1744" spans="1:2" ht="16.5" hidden="1" customHeight="1">
      <c r="A1744" s="8">
        <v>45207</v>
      </c>
      <c r="B1744" s="10">
        <v>1349.4</v>
      </c>
    </row>
    <row r="1745" spans="1:2" ht="16.5" hidden="1" customHeight="1">
      <c r="A1745" s="8">
        <v>45208</v>
      </c>
      <c r="B1745" s="10">
        <v>1349.4</v>
      </c>
    </row>
    <row r="1746" spans="1:2" ht="16.5" hidden="1" customHeight="1">
      <c r="A1746" s="8">
        <v>45209</v>
      </c>
      <c r="B1746" s="10">
        <v>1348.3</v>
      </c>
    </row>
    <row r="1747" spans="1:2" ht="16.5" hidden="1" customHeight="1">
      <c r="A1747" s="8">
        <v>45210</v>
      </c>
      <c r="B1747" s="10">
        <v>1348.3</v>
      </c>
    </row>
    <row r="1748" spans="1:2" ht="16.5" hidden="1" customHeight="1">
      <c r="A1748" s="8">
        <v>45211</v>
      </c>
      <c r="B1748" s="10">
        <v>1339.6</v>
      </c>
    </row>
    <row r="1749" spans="1:2" ht="16.5" hidden="1" customHeight="1">
      <c r="A1749" s="8">
        <v>45212</v>
      </c>
      <c r="B1749" s="10">
        <v>1339.9</v>
      </c>
    </row>
    <row r="1750" spans="1:2" ht="16.5" hidden="1" customHeight="1">
      <c r="A1750" s="8">
        <v>45213</v>
      </c>
      <c r="B1750" s="10">
        <v>1339.9</v>
      </c>
    </row>
    <row r="1751" spans="1:2" ht="16.5" hidden="1" customHeight="1">
      <c r="A1751" s="8">
        <v>45214</v>
      </c>
      <c r="B1751" s="10">
        <v>1339.9</v>
      </c>
    </row>
    <row r="1752" spans="1:2" ht="16.5" hidden="1" customHeight="1">
      <c r="A1752" s="8">
        <v>45215</v>
      </c>
      <c r="B1752" s="10">
        <v>1349.4</v>
      </c>
    </row>
    <row r="1753" spans="1:2" ht="16.5" hidden="1" customHeight="1">
      <c r="A1753" s="8">
        <v>45216</v>
      </c>
      <c r="B1753" s="10">
        <v>1353.8</v>
      </c>
    </row>
    <row r="1754" spans="1:2" ht="16.5" hidden="1" customHeight="1">
      <c r="A1754" s="8">
        <v>45217</v>
      </c>
      <c r="B1754" s="10">
        <v>1351.9</v>
      </c>
    </row>
    <row r="1755" spans="1:2" ht="16.5" hidden="1" customHeight="1">
      <c r="A1755" s="8">
        <v>45218</v>
      </c>
      <c r="B1755" s="10">
        <v>1351.7</v>
      </c>
    </row>
    <row r="1756" spans="1:2" ht="16.5" hidden="1" customHeight="1">
      <c r="A1756" s="8">
        <v>45219</v>
      </c>
      <c r="B1756" s="10">
        <v>1357.6</v>
      </c>
    </row>
    <row r="1757" spans="1:2" ht="16.5" hidden="1" customHeight="1">
      <c r="A1757" s="8">
        <v>45220</v>
      </c>
      <c r="B1757" s="10">
        <v>1357.6</v>
      </c>
    </row>
    <row r="1758" spans="1:2" ht="16.5" hidden="1" customHeight="1">
      <c r="A1758" s="8">
        <v>45221</v>
      </c>
      <c r="B1758" s="10">
        <v>1357.6</v>
      </c>
    </row>
    <row r="1759" spans="1:2" ht="16.5" hidden="1" customHeight="1">
      <c r="A1759" s="8">
        <v>45222</v>
      </c>
      <c r="B1759" s="10">
        <v>1355.1</v>
      </c>
    </row>
    <row r="1760" spans="1:2" ht="16.5" hidden="1" customHeight="1">
      <c r="A1760" s="8">
        <v>45223</v>
      </c>
      <c r="B1760" s="10">
        <v>1353.2</v>
      </c>
    </row>
    <row r="1761" spans="1:2" ht="16.5" hidden="1" customHeight="1">
      <c r="A1761" s="8">
        <v>45224</v>
      </c>
      <c r="B1761" s="10">
        <v>1343.9</v>
      </c>
    </row>
    <row r="1762" spans="1:2" ht="16.5" hidden="1" customHeight="1">
      <c r="A1762" s="8">
        <v>45225</v>
      </c>
      <c r="B1762" s="10">
        <v>1347</v>
      </c>
    </row>
    <row r="1763" spans="1:2" ht="16.5" hidden="1" customHeight="1">
      <c r="A1763" s="8">
        <v>45226</v>
      </c>
      <c r="B1763" s="10">
        <v>1357.1</v>
      </c>
    </row>
    <row r="1764" spans="1:2" ht="16.5" hidden="1" customHeight="1">
      <c r="A1764" s="8">
        <v>45227</v>
      </c>
      <c r="B1764" s="10">
        <v>1357.1</v>
      </c>
    </row>
    <row r="1765" spans="1:2" ht="16.5" hidden="1" customHeight="1">
      <c r="A1765" s="8">
        <v>45228</v>
      </c>
      <c r="B1765" s="10">
        <v>1357.1</v>
      </c>
    </row>
    <row r="1766" spans="1:2" ht="16.5" hidden="1" customHeight="1">
      <c r="A1766" s="8">
        <v>45229</v>
      </c>
      <c r="B1766" s="10">
        <v>1352.3</v>
      </c>
    </row>
    <row r="1767" spans="1:2" ht="16.5" hidden="1" customHeight="1">
      <c r="A1767" s="8">
        <v>45230</v>
      </c>
      <c r="B1767" s="10">
        <v>1352.8</v>
      </c>
    </row>
    <row r="1768" spans="1:2" ht="16.5" hidden="1" customHeight="1">
      <c r="A1768" s="8">
        <v>45231</v>
      </c>
      <c r="B1768" s="10">
        <v>1349.6</v>
      </c>
    </row>
    <row r="1769" spans="1:2" ht="16.5" hidden="1" customHeight="1">
      <c r="A1769" s="8">
        <v>45232</v>
      </c>
      <c r="B1769" s="10">
        <v>1356.9</v>
      </c>
    </row>
    <row r="1770" spans="1:2" ht="16.5" hidden="1" customHeight="1">
      <c r="A1770" s="8">
        <v>45233</v>
      </c>
      <c r="B1770" s="10">
        <v>1343.2</v>
      </c>
    </row>
    <row r="1771" spans="1:2" ht="16.5" hidden="1" customHeight="1">
      <c r="A1771" s="8">
        <v>45234</v>
      </c>
      <c r="B1771" s="10">
        <v>1343.2</v>
      </c>
    </row>
    <row r="1772" spans="1:2" ht="16.5" hidden="1" customHeight="1">
      <c r="A1772" s="8">
        <v>45235</v>
      </c>
      <c r="B1772" s="10">
        <v>1343.2</v>
      </c>
    </row>
    <row r="1773" spans="1:2" ht="16.5" hidden="1" customHeight="1">
      <c r="A1773" s="8">
        <v>45236</v>
      </c>
      <c r="B1773" s="10">
        <v>1325.8</v>
      </c>
    </row>
    <row r="1774" spans="1:2" ht="16.5" hidden="1" customHeight="1">
      <c r="A1774" s="8">
        <v>45237</v>
      </c>
      <c r="B1774" s="10">
        <v>1303.2</v>
      </c>
    </row>
    <row r="1775" spans="1:2" ht="16.5" hidden="1" customHeight="1">
      <c r="A1775" s="8">
        <v>45238</v>
      </c>
      <c r="B1775" s="10">
        <v>1306.0999999999999</v>
      </c>
    </row>
    <row r="1776" spans="1:2" ht="16.5" hidden="1" customHeight="1">
      <c r="A1776" s="8">
        <v>45239</v>
      </c>
      <c r="B1776" s="10">
        <v>1305.5</v>
      </c>
    </row>
    <row r="1777" spans="1:2" ht="16.5" hidden="1" customHeight="1">
      <c r="A1777" s="8">
        <v>45240</v>
      </c>
      <c r="B1777" s="10">
        <v>1309</v>
      </c>
    </row>
    <row r="1778" spans="1:2" ht="16.5" hidden="1" customHeight="1">
      <c r="A1778" s="8">
        <v>45241</v>
      </c>
      <c r="B1778" s="10">
        <v>1309</v>
      </c>
    </row>
    <row r="1779" spans="1:2" ht="16.5" hidden="1" customHeight="1">
      <c r="A1779" s="8">
        <v>45242</v>
      </c>
      <c r="B1779" s="10">
        <v>1309</v>
      </c>
    </row>
    <row r="1780" spans="1:2" ht="16.5" hidden="1" customHeight="1">
      <c r="A1780" s="8">
        <v>45243</v>
      </c>
      <c r="B1780" s="10">
        <v>1316.7</v>
      </c>
    </row>
    <row r="1781" spans="1:2" ht="16.5" hidden="1" customHeight="1">
      <c r="A1781" s="8">
        <v>45244</v>
      </c>
      <c r="B1781" s="10">
        <v>1322.7</v>
      </c>
    </row>
    <row r="1782" spans="1:2" ht="16.5" hidden="1" customHeight="1">
      <c r="A1782" s="8">
        <v>45245</v>
      </c>
      <c r="B1782" s="10">
        <v>1325.3</v>
      </c>
    </row>
    <row r="1783" spans="1:2" ht="16.5" hidden="1" customHeight="1">
      <c r="A1783" s="8">
        <v>45246</v>
      </c>
      <c r="B1783" s="10">
        <v>1302</v>
      </c>
    </row>
    <row r="1784" spans="1:2" ht="16.5" hidden="1" customHeight="1">
      <c r="A1784" s="8">
        <v>45247</v>
      </c>
      <c r="B1784" s="10">
        <v>1303.9000000000001</v>
      </c>
    </row>
    <row r="1785" spans="1:2" ht="16.5" hidden="1" customHeight="1">
      <c r="A1785" s="8">
        <v>45248</v>
      </c>
      <c r="B1785" s="10">
        <v>1303.9000000000001</v>
      </c>
    </row>
    <row r="1786" spans="1:2" ht="16.5" hidden="1" customHeight="1">
      <c r="A1786" s="8">
        <v>45249</v>
      </c>
      <c r="B1786" s="10">
        <v>1303.9000000000001</v>
      </c>
    </row>
    <row r="1787" spans="1:2" ht="16.5" hidden="1" customHeight="1">
      <c r="A1787" s="8">
        <v>45250</v>
      </c>
      <c r="B1787" s="10">
        <v>1294.4000000000001</v>
      </c>
    </row>
    <row r="1788" spans="1:2" ht="16.5" hidden="1" customHeight="1">
      <c r="A1788" s="8">
        <v>45251</v>
      </c>
      <c r="B1788" s="10">
        <v>1292.4000000000001</v>
      </c>
    </row>
    <row r="1789" spans="1:2" ht="16.5" hidden="1" customHeight="1">
      <c r="A1789" s="8">
        <v>45252</v>
      </c>
      <c r="B1789" s="10">
        <v>1287.7</v>
      </c>
    </row>
    <row r="1790" spans="1:2" ht="16.5" hidden="1" customHeight="1">
      <c r="A1790" s="8">
        <v>45253</v>
      </c>
      <c r="B1790" s="10">
        <v>1295.7</v>
      </c>
    </row>
    <row r="1791" spans="1:2" ht="16.5" hidden="1" customHeight="1">
      <c r="A1791" s="8">
        <v>45254</v>
      </c>
      <c r="B1791" s="10">
        <v>1298.7</v>
      </c>
    </row>
    <row r="1792" spans="1:2" ht="16.5" hidden="1" customHeight="1">
      <c r="A1792" s="8">
        <v>45255</v>
      </c>
      <c r="B1792" s="10">
        <v>1298.7</v>
      </c>
    </row>
    <row r="1793" spans="1:2" ht="16.5" hidden="1" customHeight="1">
      <c r="A1793" s="8">
        <v>45256</v>
      </c>
      <c r="B1793" s="10">
        <v>1298.7</v>
      </c>
    </row>
    <row r="1794" spans="1:2" ht="16.5" hidden="1" customHeight="1">
      <c r="A1794" s="8">
        <v>45257</v>
      </c>
      <c r="B1794" s="10">
        <v>1302.0999999999999</v>
      </c>
    </row>
    <row r="1795" spans="1:2" ht="16.5" hidden="1" customHeight="1">
      <c r="A1795" s="8">
        <v>45258</v>
      </c>
      <c r="B1795" s="10">
        <v>1304.7</v>
      </c>
    </row>
    <row r="1796" spans="1:2" ht="16.5" hidden="1" customHeight="1">
      <c r="A1796" s="8">
        <v>45259</v>
      </c>
      <c r="B1796" s="10">
        <v>1294</v>
      </c>
    </row>
    <row r="1797" spans="1:2" ht="16.5" hidden="1" customHeight="1">
      <c r="A1797" s="8">
        <v>45260</v>
      </c>
      <c r="B1797" s="10">
        <v>1289</v>
      </c>
    </row>
    <row r="1798" spans="1:2" ht="16.5" hidden="1" customHeight="1">
      <c r="A1798" s="8">
        <v>45261</v>
      </c>
      <c r="B1798" s="10">
        <v>1290.4000000000001</v>
      </c>
    </row>
    <row r="1799" spans="1:2" ht="16.5" hidden="1" customHeight="1">
      <c r="A1799" s="8">
        <v>45262</v>
      </c>
      <c r="B1799" s="10">
        <v>1290.4000000000001</v>
      </c>
    </row>
    <row r="1800" spans="1:2" ht="16.5" hidden="1" customHeight="1">
      <c r="A1800" s="8">
        <v>45263</v>
      </c>
      <c r="B1800" s="10">
        <v>1290.4000000000001</v>
      </c>
    </row>
    <row r="1801" spans="1:2" ht="16.5" hidden="1" customHeight="1">
      <c r="A1801" s="8">
        <v>45264</v>
      </c>
      <c r="B1801" s="10">
        <v>1303.2</v>
      </c>
    </row>
    <row r="1802" spans="1:2" ht="16.5" hidden="1" customHeight="1">
      <c r="A1802" s="8">
        <v>45265</v>
      </c>
      <c r="B1802" s="10">
        <v>1301.8</v>
      </c>
    </row>
    <row r="1803" spans="1:2" ht="16.5" hidden="1" customHeight="1">
      <c r="A1803" s="8">
        <v>45266</v>
      </c>
      <c r="B1803" s="10">
        <v>1311.7</v>
      </c>
    </row>
    <row r="1804" spans="1:2" ht="16.5" hidden="1" customHeight="1">
      <c r="A1804" s="8">
        <v>45267</v>
      </c>
      <c r="B1804" s="10">
        <v>1312.4</v>
      </c>
    </row>
    <row r="1805" spans="1:2" ht="16.5" hidden="1" customHeight="1">
      <c r="A1805" s="8">
        <v>45268</v>
      </c>
      <c r="B1805" s="10">
        <v>1322.7</v>
      </c>
    </row>
    <row r="1806" spans="1:2" ht="16.5" hidden="1" customHeight="1">
      <c r="A1806" s="8">
        <v>45269</v>
      </c>
      <c r="B1806" s="10">
        <v>1322.7</v>
      </c>
    </row>
    <row r="1807" spans="1:2" ht="16.5" hidden="1" customHeight="1">
      <c r="A1807" s="8">
        <v>45270</v>
      </c>
      <c r="B1807" s="10">
        <v>1322.7</v>
      </c>
    </row>
    <row r="1808" spans="1:2" ht="16.5" hidden="1" customHeight="1">
      <c r="A1808" s="8">
        <v>45271</v>
      </c>
      <c r="B1808" s="10">
        <v>1307.9000000000001</v>
      </c>
    </row>
    <row r="1809" spans="1:2" ht="16.5" hidden="1" customHeight="1">
      <c r="A1809" s="8">
        <v>45272</v>
      </c>
      <c r="B1809" s="10">
        <v>1318.3</v>
      </c>
    </row>
    <row r="1810" spans="1:2" ht="16.5" hidden="1" customHeight="1">
      <c r="A1810" s="8">
        <v>45273</v>
      </c>
      <c r="B1810" s="10">
        <v>1315.7</v>
      </c>
    </row>
    <row r="1811" spans="1:2" ht="16.5" hidden="1" customHeight="1">
      <c r="A1811" s="8">
        <v>45274</v>
      </c>
      <c r="B1811" s="10">
        <v>1316.5</v>
      </c>
    </row>
    <row r="1812" spans="1:2" ht="16.5" hidden="1" customHeight="1">
      <c r="A1812" s="8">
        <v>45275</v>
      </c>
      <c r="B1812" s="10">
        <v>1295.5999999999999</v>
      </c>
    </row>
    <row r="1813" spans="1:2" ht="16.5" hidden="1" customHeight="1">
      <c r="A1813" s="8">
        <v>45276</v>
      </c>
      <c r="B1813" s="10">
        <v>1295.5999999999999</v>
      </c>
    </row>
    <row r="1814" spans="1:2" ht="16.5" hidden="1" customHeight="1">
      <c r="A1814" s="8">
        <v>45277</v>
      </c>
      <c r="B1814" s="10">
        <v>1295.5999999999999</v>
      </c>
    </row>
    <row r="1815" spans="1:2" ht="16.5" hidden="1" customHeight="1">
      <c r="A1815" s="8">
        <v>45278</v>
      </c>
      <c r="B1815" s="10">
        <v>1294.7</v>
      </c>
    </row>
    <row r="1816" spans="1:2" ht="16.5" hidden="1" customHeight="1">
      <c r="A1816" s="8">
        <v>45279</v>
      </c>
      <c r="B1816" s="10">
        <v>1298.7</v>
      </c>
    </row>
    <row r="1817" spans="1:2" ht="16.5" hidden="1" customHeight="1">
      <c r="A1817" s="8">
        <v>45280</v>
      </c>
      <c r="B1817" s="10">
        <v>1304.7</v>
      </c>
    </row>
    <row r="1818" spans="1:2" ht="16.5" hidden="1" customHeight="1">
      <c r="A1818" s="8">
        <v>45281</v>
      </c>
      <c r="B1818" s="10">
        <v>1300.2</v>
      </c>
    </row>
    <row r="1819" spans="1:2" ht="16.5" hidden="1" customHeight="1">
      <c r="A1819" s="8">
        <v>45282</v>
      </c>
      <c r="B1819" s="10">
        <v>1303.8</v>
      </c>
    </row>
    <row r="1820" spans="1:2" ht="16.5" hidden="1" customHeight="1">
      <c r="A1820" s="8">
        <v>45283</v>
      </c>
      <c r="B1820" s="10">
        <v>1303.8</v>
      </c>
    </row>
    <row r="1821" spans="1:2" ht="16.5" hidden="1" customHeight="1">
      <c r="A1821" s="8">
        <v>45284</v>
      </c>
      <c r="B1821" s="10">
        <v>1303.8</v>
      </c>
    </row>
    <row r="1822" spans="1:2" ht="16.5" hidden="1" customHeight="1">
      <c r="A1822" s="8">
        <v>45285</v>
      </c>
      <c r="B1822" s="10">
        <v>1303.8</v>
      </c>
    </row>
    <row r="1823" spans="1:2" ht="16.5" hidden="1" customHeight="1">
      <c r="A1823" s="8">
        <v>45286</v>
      </c>
      <c r="B1823" s="10">
        <v>1300.7</v>
      </c>
    </row>
    <row r="1824" spans="1:2" ht="16.5" hidden="1" customHeight="1">
      <c r="A1824" s="8">
        <v>45287</v>
      </c>
      <c r="B1824" s="10">
        <v>1296.8</v>
      </c>
    </row>
    <row r="1825" spans="1:2" ht="16.5" hidden="1" customHeight="1">
      <c r="A1825" s="8">
        <v>45288</v>
      </c>
      <c r="B1825" s="10">
        <v>1294.4000000000001</v>
      </c>
    </row>
    <row r="1826" spans="1:2" ht="16.5" hidden="1" customHeight="1">
      <c r="A1826" s="8">
        <v>45289</v>
      </c>
      <c r="B1826" s="10">
        <v>1289.4000000000001</v>
      </c>
    </row>
    <row r="1827" spans="1:2" ht="16.5" hidden="1" customHeight="1">
      <c r="A1827" s="8">
        <v>45290</v>
      </c>
      <c r="B1827" s="10">
        <v>1289.4000000000001</v>
      </c>
    </row>
    <row r="1828" spans="1:2" ht="16.5" hidden="1" customHeight="1">
      <c r="A1828" s="8">
        <v>45291</v>
      </c>
      <c r="B1828" s="10">
        <v>1289.4000000000001</v>
      </c>
    </row>
    <row r="1829" spans="1:2" ht="16.5" hidden="1" customHeight="1">
      <c r="A1829" s="86">
        <v>45292</v>
      </c>
      <c r="B1829" s="10">
        <v>1289.4000000000001</v>
      </c>
    </row>
    <row r="1830" spans="1:2" ht="16.5" hidden="1" customHeight="1">
      <c r="A1830" s="86">
        <v>45293</v>
      </c>
      <c r="B1830" s="10">
        <v>1289.4000000000001</v>
      </c>
    </row>
    <row r="1831" spans="1:2" ht="16.5" hidden="1" customHeight="1">
      <c r="A1831" s="86">
        <v>45294</v>
      </c>
      <c r="B1831" s="10">
        <v>1299.3</v>
      </c>
    </row>
    <row r="1832" spans="1:2" ht="16.5" hidden="1" customHeight="1">
      <c r="A1832" s="86">
        <v>45295</v>
      </c>
      <c r="B1832" s="10">
        <v>1308.8</v>
      </c>
    </row>
    <row r="1833" spans="1:2" ht="16.5" hidden="1" customHeight="1">
      <c r="A1833" s="86">
        <v>45296</v>
      </c>
      <c r="B1833" s="10">
        <v>1310.2</v>
      </c>
    </row>
    <row r="1834" spans="1:2" ht="16.5" hidden="1" customHeight="1">
      <c r="A1834" s="86">
        <v>45297</v>
      </c>
      <c r="B1834" s="10">
        <v>1310.2</v>
      </c>
    </row>
    <row r="1835" spans="1:2" ht="16.5" hidden="1" customHeight="1">
      <c r="A1835" s="86">
        <v>45298</v>
      </c>
      <c r="B1835" s="10">
        <v>1310.2</v>
      </c>
    </row>
    <row r="1836" spans="1:2" ht="16.5" hidden="1" customHeight="1">
      <c r="A1836" s="86">
        <v>45299</v>
      </c>
      <c r="B1836" s="10">
        <v>1313.7</v>
      </c>
    </row>
    <row r="1837" spans="1:2" ht="16.5" hidden="1" customHeight="1">
      <c r="A1837" s="86">
        <v>45300</v>
      </c>
      <c r="B1837" s="10">
        <v>1314.8</v>
      </c>
    </row>
    <row r="1838" spans="1:2" ht="16.5" hidden="1" customHeight="1">
      <c r="A1838" s="86">
        <v>45301</v>
      </c>
      <c r="B1838" s="10">
        <v>1312.1</v>
      </c>
    </row>
    <row r="1839" spans="1:2" ht="16.5" hidden="1" customHeight="1">
      <c r="A1839" s="86">
        <v>45302</v>
      </c>
      <c r="B1839" s="10">
        <v>1320.1</v>
      </c>
    </row>
    <row r="1840" spans="1:2" ht="16.5" hidden="1" customHeight="1">
      <c r="A1840" s="86">
        <v>45303</v>
      </c>
      <c r="B1840" s="10">
        <v>1316</v>
      </c>
    </row>
    <row r="1841" spans="1:2" ht="16.5" hidden="1" customHeight="1">
      <c r="A1841" s="86">
        <v>45304</v>
      </c>
      <c r="B1841" s="10">
        <v>1316</v>
      </c>
    </row>
    <row r="1842" spans="1:2" ht="16.5" hidden="1" customHeight="1">
      <c r="A1842" s="86">
        <v>45305</v>
      </c>
      <c r="B1842" s="10">
        <v>1316</v>
      </c>
    </row>
    <row r="1843" spans="1:2" ht="16.5" hidden="1" customHeight="1">
      <c r="A1843" s="86">
        <v>45306</v>
      </c>
      <c r="B1843" s="10">
        <v>1314.1</v>
      </c>
    </row>
    <row r="1844" spans="1:2" ht="16.5" hidden="1" customHeight="1">
      <c r="A1844" s="86">
        <v>45307</v>
      </c>
      <c r="B1844" s="10">
        <v>1319.3</v>
      </c>
    </row>
    <row r="1845" spans="1:2" ht="16.5" hidden="1" customHeight="1">
      <c r="A1845" s="86">
        <v>45308</v>
      </c>
      <c r="B1845" s="10">
        <v>1329</v>
      </c>
    </row>
    <row r="1846" spans="1:2" ht="16.5" hidden="1" customHeight="1">
      <c r="A1846" s="86">
        <v>45309</v>
      </c>
      <c r="B1846" s="10">
        <v>1343.2</v>
      </c>
    </row>
    <row r="1847" spans="1:2" ht="16.5" hidden="1" customHeight="1">
      <c r="A1847" s="86">
        <v>45310</v>
      </c>
      <c r="B1847" s="10">
        <v>1342.4</v>
      </c>
    </row>
    <row r="1848" spans="1:2" ht="16.5" hidden="1" customHeight="1">
      <c r="A1848" s="86">
        <v>45311</v>
      </c>
      <c r="B1848" s="10">
        <v>1342.4</v>
      </c>
    </row>
    <row r="1849" spans="1:2" ht="16.5" hidden="1" customHeight="1">
      <c r="A1849" s="86">
        <v>45312</v>
      </c>
      <c r="B1849" s="10">
        <v>1342.4</v>
      </c>
    </row>
    <row r="1850" spans="1:2" ht="16.5" hidden="1" customHeight="1">
      <c r="A1850" s="86">
        <v>45313</v>
      </c>
      <c r="B1850" s="10">
        <v>1336.5</v>
      </c>
    </row>
    <row r="1851" spans="1:2" ht="16.5" hidden="1" customHeight="1">
      <c r="A1851" s="86">
        <v>45314</v>
      </c>
      <c r="B1851" s="10">
        <v>1334.7</v>
      </c>
    </row>
    <row r="1852" spans="1:2" ht="16.5" hidden="1" customHeight="1">
      <c r="A1852" s="86">
        <v>45315</v>
      </c>
      <c r="B1852" s="10">
        <v>1336</v>
      </c>
    </row>
    <row r="1853" spans="1:2" ht="16.5" hidden="1" customHeight="1">
      <c r="A1853" s="86">
        <v>45316</v>
      </c>
      <c r="B1853" s="10">
        <v>1339.1</v>
      </c>
    </row>
    <row r="1854" spans="1:2" ht="16.5" hidden="1" customHeight="1">
      <c r="A1854" s="86">
        <v>45317</v>
      </c>
      <c r="B1854" s="10">
        <v>1335.7</v>
      </c>
    </row>
    <row r="1855" spans="1:2" ht="16.5" hidden="1" customHeight="1">
      <c r="A1855" s="86">
        <v>45318</v>
      </c>
      <c r="B1855" s="10">
        <v>1335.7</v>
      </c>
    </row>
    <row r="1856" spans="1:2" ht="16.5" hidden="1" customHeight="1">
      <c r="A1856" s="86">
        <v>45319</v>
      </c>
      <c r="B1856" s="10">
        <v>1335.7</v>
      </c>
    </row>
    <row r="1857" spans="1:2" ht="16.5" hidden="1" customHeight="1">
      <c r="A1857" s="86">
        <v>45320</v>
      </c>
      <c r="B1857" s="10">
        <v>1336.6</v>
      </c>
    </row>
    <row r="1858" spans="1:2" ht="16.5" hidden="1" customHeight="1">
      <c r="A1858" s="86">
        <v>45321</v>
      </c>
      <c r="B1858" s="10">
        <v>1336.9</v>
      </c>
    </row>
    <row r="1859" spans="1:2" ht="16.5" hidden="1" customHeight="1">
      <c r="A1859" s="86">
        <v>45322</v>
      </c>
      <c r="B1859" s="10">
        <v>1330.6</v>
      </c>
    </row>
    <row r="1860" spans="1:2" ht="16.5" hidden="1" customHeight="1">
      <c r="A1860" s="86">
        <v>45323</v>
      </c>
      <c r="B1860" s="10">
        <v>1333.5</v>
      </c>
    </row>
    <row r="1861" spans="1:2" ht="16.5" hidden="1" customHeight="1">
      <c r="A1861" s="86">
        <v>45324</v>
      </c>
      <c r="B1861" s="10">
        <v>1332.5</v>
      </c>
    </row>
    <row r="1862" spans="1:2" ht="16.5" hidden="1" customHeight="1">
      <c r="A1862" s="86">
        <v>45325</v>
      </c>
      <c r="B1862" s="10">
        <v>1332.5</v>
      </c>
    </row>
    <row r="1863" spans="1:2" ht="16.5" hidden="1" customHeight="1">
      <c r="A1863" s="86">
        <v>45326</v>
      </c>
      <c r="B1863" s="10">
        <v>1332.5</v>
      </c>
    </row>
    <row r="1864" spans="1:2" ht="16.5" hidden="1" customHeight="1">
      <c r="A1864" s="86">
        <v>45327</v>
      </c>
      <c r="B1864" s="10">
        <v>1325.1</v>
      </c>
    </row>
    <row r="1865" spans="1:2" ht="16.5" hidden="1" customHeight="1">
      <c r="A1865" s="86">
        <v>45328</v>
      </c>
      <c r="B1865" s="10">
        <v>1334.6</v>
      </c>
    </row>
    <row r="1866" spans="1:2" ht="16.5" hidden="1" customHeight="1">
      <c r="A1866" s="86">
        <v>45329</v>
      </c>
      <c r="B1866" s="10">
        <v>1329.6</v>
      </c>
    </row>
    <row r="1867" spans="1:2" ht="16.5" hidden="1" customHeight="1">
      <c r="A1867" s="86">
        <v>45330</v>
      </c>
      <c r="B1867" s="10">
        <v>1325.3</v>
      </c>
    </row>
    <row r="1868" spans="1:2" ht="16.5" hidden="1" customHeight="1">
      <c r="A1868" s="86">
        <v>45331</v>
      </c>
      <c r="B1868" s="10">
        <v>1325.3</v>
      </c>
    </row>
    <row r="1869" spans="1:2" ht="16.5" hidden="1" customHeight="1">
      <c r="A1869" s="86">
        <v>45332</v>
      </c>
      <c r="B1869" s="10">
        <v>1325.3</v>
      </c>
    </row>
    <row r="1870" spans="1:2" ht="16.5" hidden="1" customHeight="1">
      <c r="A1870" s="86">
        <v>45333</v>
      </c>
      <c r="B1870" s="10">
        <v>1325.3</v>
      </c>
    </row>
    <row r="1871" spans="1:2" ht="16.5" hidden="1" customHeight="1">
      <c r="A1871" s="86">
        <v>45334</v>
      </c>
      <c r="B1871" s="10">
        <v>1325.3</v>
      </c>
    </row>
    <row r="1872" spans="1:2" ht="16.5" hidden="1" customHeight="1">
      <c r="A1872" s="86">
        <v>45335</v>
      </c>
      <c r="B1872" s="10">
        <v>1327.2</v>
      </c>
    </row>
    <row r="1873" spans="1:2" ht="16.5" hidden="1" customHeight="1">
      <c r="A1873" s="86">
        <v>45336</v>
      </c>
      <c r="B1873" s="10">
        <v>1328.4</v>
      </c>
    </row>
    <row r="1874" spans="1:2" ht="16.5" hidden="1" customHeight="1">
      <c r="A1874" s="86">
        <v>45337</v>
      </c>
      <c r="B1874" s="10">
        <v>1336.9</v>
      </c>
    </row>
    <row r="1875" spans="1:2" ht="16.5" hidden="1" customHeight="1">
      <c r="A1875" s="86">
        <v>45338</v>
      </c>
      <c r="B1875" s="10">
        <v>1333.2</v>
      </c>
    </row>
    <row r="1876" spans="1:2" ht="16.5" hidden="1" customHeight="1">
      <c r="A1876" s="86">
        <v>45339</v>
      </c>
      <c r="B1876" s="10">
        <v>1333.2</v>
      </c>
    </row>
    <row r="1877" spans="1:2" ht="16.5" hidden="1" customHeight="1">
      <c r="A1877" s="86">
        <v>45340</v>
      </c>
      <c r="B1877" s="10">
        <v>1333.2</v>
      </c>
    </row>
    <row r="1878" spans="1:2" ht="16.5" hidden="1" customHeight="1">
      <c r="A1878" s="86">
        <v>45341</v>
      </c>
      <c r="B1878" s="10">
        <v>1333</v>
      </c>
    </row>
    <row r="1879" spans="1:2" ht="16.5" hidden="1" customHeight="1">
      <c r="A1879" s="86">
        <v>45342</v>
      </c>
      <c r="B1879" s="10">
        <v>1333.8</v>
      </c>
    </row>
    <row r="1880" spans="1:2" ht="16.5" hidden="1" customHeight="1">
      <c r="A1880" s="86">
        <v>45343</v>
      </c>
      <c r="B1880" s="10">
        <v>1337.9</v>
      </c>
    </row>
    <row r="1881" spans="1:2" ht="16.5" hidden="1" customHeight="1">
      <c r="A1881" s="86">
        <v>45344</v>
      </c>
      <c r="B1881" s="10">
        <v>1335</v>
      </c>
    </row>
    <row r="1882" spans="1:2" ht="16.5" hidden="1" customHeight="1">
      <c r="A1882" s="86">
        <v>45345</v>
      </c>
      <c r="B1882" s="10">
        <v>1331</v>
      </c>
    </row>
    <row r="1883" spans="1:2" ht="16.5" hidden="1" customHeight="1">
      <c r="A1883" s="86">
        <v>45346</v>
      </c>
      <c r="B1883" s="10">
        <v>1331</v>
      </c>
    </row>
    <row r="1884" spans="1:2" ht="16.5" hidden="1" customHeight="1">
      <c r="A1884" s="86">
        <v>45347</v>
      </c>
      <c r="B1884" s="10">
        <v>1331</v>
      </c>
    </row>
    <row r="1885" spans="1:2" ht="16.5" hidden="1" customHeight="1">
      <c r="A1885" s="86">
        <v>45348</v>
      </c>
      <c r="B1885" s="10">
        <v>1329.3</v>
      </c>
    </row>
    <row r="1886" spans="1:2" ht="16.5" hidden="1" customHeight="1">
      <c r="A1886" s="86">
        <v>45349</v>
      </c>
      <c r="B1886" s="10">
        <v>1331.4</v>
      </c>
    </row>
    <row r="1887" spans="1:2" ht="16.5" hidden="1" customHeight="1">
      <c r="A1887" s="86">
        <v>45350</v>
      </c>
      <c r="B1887" s="10">
        <v>1331.3</v>
      </c>
    </row>
    <row r="1888" spans="1:2" ht="16.5" hidden="1" customHeight="1">
      <c r="A1888" s="86">
        <v>45351</v>
      </c>
      <c r="B1888" s="10">
        <v>1334</v>
      </c>
    </row>
    <row r="1889" spans="1:2" ht="16.5" hidden="1" customHeight="1">
      <c r="A1889" s="86">
        <v>45352</v>
      </c>
      <c r="B1889" s="10">
        <v>1334</v>
      </c>
    </row>
    <row r="1890" spans="1:2" ht="16.5" hidden="1" customHeight="1">
      <c r="A1890" s="86">
        <v>45353</v>
      </c>
      <c r="B1890" s="10">
        <v>1334</v>
      </c>
    </row>
    <row r="1891" spans="1:2" ht="16.5" hidden="1" customHeight="1">
      <c r="A1891" s="86">
        <v>45354</v>
      </c>
      <c r="B1891" s="10">
        <v>1334</v>
      </c>
    </row>
    <row r="1892" spans="1:2" ht="16.5" hidden="1" customHeight="1">
      <c r="A1892" s="86">
        <v>45355</v>
      </c>
      <c r="B1892" s="10">
        <v>1334.1</v>
      </c>
    </row>
    <row r="1893" spans="1:2" ht="16.5" hidden="1" customHeight="1">
      <c r="A1893" s="86">
        <v>45356</v>
      </c>
      <c r="B1893" s="10">
        <v>1330.1</v>
      </c>
    </row>
    <row r="1894" spans="1:2" ht="16.5" hidden="1" customHeight="1">
      <c r="A1894" s="86">
        <v>45357</v>
      </c>
      <c r="B1894" s="10">
        <v>1333.2</v>
      </c>
    </row>
    <row r="1895" spans="1:2" ht="16.5" hidden="1" customHeight="1">
      <c r="A1895" s="86">
        <v>45358</v>
      </c>
      <c r="B1895" s="10">
        <v>1335.7</v>
      </c>
    </row>
    <row r="1896" spans="1:2" ht="16.5" hidden="1" customHeight="1">
      <c r="A1896" s="86">
        <v>45359</v>
      </c>
      <c r="B1896" s="10">
        <v>1329.6</v>
      </c>
    </row>
    <row r="1897" spans="1:2" ht="16.5" hidden="1" customHeight="1">
      <c r="A1897" s="86">
        <v>45360</v>
      </c>
      <c r="B1897" s="10">
        <v>1329.6</v>
      </c>
    </row>
    <row r="1898" spans="1:2" ht="16.5" hidden="1" customHeight="1">
      <c r="A1898" s="86">
        <v>45361</v>
      </c>
      <c r="B1898" s="10">
        <v>1329.6</v>
      </c>
    </row>
    <row r="1899" spans="1:2" ht="16.5" hidden="1" customHeight="1">
      <c r="A1899" s="86">
        <v>45362</v>
      </c>
      <c r="B1899" s="10">
        <v>1323.1</v>
      </c>
    </row>
    <row r="1900" spans="1:2" ht="16.5" hidden="1" customHeight="1">
      <c r="A1900" s="86">
        <v>45363</v>
      </c>
      <c r="B1900" s="10">
        <v>1314.4</v>
      </c>
    </row>
    <row r="1901" spans="1:2" ht="16.5" hidden="1" customHeight="1">
      <c r="A1901" s="86">
        <v>45364</v>
      </c>
      <c r="B1901" s="10">
        <v>1311.1</v>
      </c>
    </row>
    <row r="1902" spans="1:2" ht="16.5" hidden="1" customHeight="1">
      <c r="A1902" s="86">
        <v>45365</v>
      </c>
      <c r="B1902" s="10">
        <v>1312.8</v>
      </c>
    </row>
    <row r="1903" spans="1:2" ht="16.5" hidden="1" customHeight="1">
      <c r="A1903" s="86">
        <v>45366</v>
      </c>
      <c r="B1903" s="10">
        <v>1316.9</v>
      </c>
    </row>
    <row r="1904" spans="1:2" ht="16.5" hidden="1" customHeight="1">
      <c r="A1904" s="86">
        <v>45367</v>
      </c>
      <c r="B1904" s="10">
        <v>1316.9</v>
      </c>
    </row>
    <row r="1905" spans="1:2" ht="16.5" hidden="1" customHeight="1">
      <c r="A1905" s="86">
        <v>45368</v>
      </c>
      <c r="B1905" s="10">
        <v>1316.9</v>
      </c>
    </row>
    <row r="1906" spans="1:2" ht="16.5" hidden="1" customHeight="1">
      <c r="A1906" s="86">
        <v>45369</v>
      </c>
      <c r="B1906" s="10">
        <v>1328.4</v>
      </c>
    </row>
    <row r="1907" spans="1:2" ht="16.5" hidden="1" customHeight="1">
      <c r="A1907" s="86">
        <v>45370</v>
      </c>
      <c r="B1907" s="10">
        <v>1333</v>
      </c>
    </row>
    <row r="1908" spans="1:2" ht="16.5" hidden="1" customHeight="1">
      <c r="A1908" s="86">
        <v>45371</v>
      </c>
      <c r="B1908" s="10">
        <v>1338.5</v>
      </c>
    </row>
    <row r="1909" spans="1:2" ht="16.5" hidden="1" customHeight="1">
      <c r="A1909" s="86">
        <v>45372</v>
      </c>
      <c r="B1909" s="10">
        <v>1338.7</v>
      </c>
    </row>
    <row r="1910" spans="1:2" ht="16.5" hidden="1" customHeight="1">
      <c r="A1910" s="86">
        <v>45373</v>
      </c>
      <c r="B1910" s="10">
        <v>1326.3</v>
      </c>
    </row>
    <row r="1911" spans="1:2" ht="16.5" hidden="1" customHeight="1">
      <c r="A1911" s="86">
        <v>45374</v>
      </c>
      <c r="B1911" s="10">
        <v>1326.3</v>
      </c>
    </row>
    <row r="1912" spans="1:2" ht="16.5" hidden="1" customHeight="1">
      <c r="A1912" s="86">
        <v>45375</v>
      </c>
      <c r="B1912" s="10">
        <v>1326.3</v>
      </c>
    </row>
    <row r="1913" spans="1:2" ht="16.5" hidden="1" customHeight="1">
      <c r="A1913" s="86">
        <v>45376</v>
      </c>
      <c r="B1913" s="10">
        <v>1336.1</v>
      </c>
    </row>
    <row r="1914" spans="1:2" ht="16.5" hidden="1" customHeight="1">
      <c r="A1914" s="86">
        <v>45377</v>
      </c>
      <c r="B1914" s="10">
        <v>1340.7</v>
      </c>
    </row>
    <row r="1915" spans="1:2" ht="16.5" hidden="1" customHeight="1">
      <c r="A1915" s="86">
        <v>45378</v>
      </c>
      <c r="B1915" s="10">
        <v>1338.6</v>
      </c>
    </row>
    <row r="1916" spans="1:2" ht="16.5" hidden="1" customHeight="1">
      <c r="A1916" s="86">
        <v>45379</v>
      </c>
      <c r="B1916" s="10">
        <v>1345.8</v>
      </c>
    </row>
    <row r="1917" spans="1:2" ht="16.5" hidden="1" customHeight="1">
      <c r="A1917" s="86">
        <v>45380</v>
      </c>
      <c r="B1917" s="10">
        <v>1346.8</v>
      </c>
    </row>
    <row r="1918" spans="1:2" ht="16.5" hidden="1" customHeight="1">
      <c r="A1918" s="86">
        <v>45381</v>
      </c>
      <c r="B1918" s="10">
        <v>1346.8</v>
      </c>
    </row>
    <row r="1919" spans="1:2" ht="16.5" hidden="1" customHeight="1">
      <c r="A1919" s="86">
        <v>45382</v>
      </c>
      <c r="B1919" s="10">
        <v>1346.8</v>
      </c>
    </row>
    <row r="1920" spans="1:2" ht="16.5" hidden="1" customHeight="1">
      <c r="A1920" s="86">
        <v>45383</v>
      </c>
      <c r="B1920" s="10">
        <v>1347.4</v>
      </c>
    </row>
    <row r="1921" spans="1:2" ht="16.5" hidden="1" customHeight="1">
      <c r="A1921" s="86">
        <v>45384</v>
      </c>
      <c r="B1921" s="10">
        <v>1347.1</v>
      </c>
    </row>
    <row r="1922" spans="1:2" ht="16.5" hidden="1" customHeight="1">
      <c r="A1922" s="86">
        <v>45385</v>
      </c>
      <c r="B1922" s="10">
        <v>1353</v>
      </c>
    </row>
    <row r="1923" spans="1:2" ht="16.5" hidden="1" customHeight="1">
      <c r="A1923" s="86">
        <v>45386</v>
      </c>
      <c r="B1923" s="10">
        <v>1349.1</v>
      </c>
    </row>
    <row r="1924" spans="1:2" ht="16.5" hidden="1" customHeight="1">
      <c r="A1924" s="86">
        <v>45387</v>
      </c>
      <c r="B1924" s="10">
        <v>1346.8</v>
      </c>
    </row>
    <row r="1925" spans="1:2" ht="16.5" hidden="1" customHeight="1">
      <c r="A1925" s="86">
        <v>45388</v>
      </c>
      <c r="B1925" s="10">
        <v>1346.8</v>
      </c>
    </row>
    <row r="1926" spans="1:2" ht="16.5" hidden="1" customHeight="1">
      <c r="A1926" s="86">
        <v>45389</v>
      </c>
      <c r="B1926" s="10">
        <v>1346.8</v>
      </c>
    </row>
    <row r="1927" spans="1:2" ht="16.5" hidden="1" customHeight="1">
      <c r="A1927" s="86">
        <v>45390</v>
      </c>
      <c r="B1927" s="10">
        <v>1351.8</v>
      </c>
    </row>
    <row r="1928" spans="1:2" ht="16.5" hidden="1" customHeight="1">
      <c r="A1928" s="86">
        <v>45391</v>
      </c>
      <c r="B1928" s="10">
        <v>1353.6</v>
      </c>
    </row>
    <row r="1929" spans="1:2" ht="16.5" hidden="1" customHeight="1">
      <c r="A1929" s="86">
        <v>45392</v>
      </c>
      <c r="B1929" s="10">
        <v>1353.6</v>
      </c>
    </row>
    <row r="1930" spans="1:2" ht="16.5" hidden="1" customHeight="1">
      <c r="A1930" s="86">
        <v>45393</v>
      </c>
      <c r="B1930" s="10">
        <v>1354.4</v>
      </c>
    </row>
    <row r="1931" spans="1:2" ht="16.5" hidden="1" customHeight="1">
      <c r="A1931" s="86">
        <v>45394</v>
      </c>
      <c r="B1931" s="10">
        <v>1363.7</v>
      </c>
    </row>
    <row r="1932" spans="1:2" ht="16.5" hidden="1" customHeight="1">
      <c r="A1932" s="86">
        <v>45395</v>
      </c>
      <c r="B1932" s="10">
        <v>1363.7</v>
      </c>
    </row>
    <row r="1933" spans="1:2" ht="16.5" hidden="1" customHeight="1">
      <c r="A1933" s="86">
        <v>45396</v>
      </c>
      <c r="B1933" s="10">
        <v>1363.7</v>
      </c>
    </row>
    <row r="1934" spans="1:2" ht="16.5" hidden="1" customHeight="1">
      <c r="A1934" s="86">
        <v>45397</v>
      </c>
      <c r="B1934" s="10">
        <v>1371.6</v>
      </c>
    </row>
    <row r="1935" spans="1:2" ht="16.5" hidden="1" customHeight="1">
      <c r="A1935" s="86">
        <v>45398</v>
      </c>
      <c r="B1935" s="10">
        <v>1383.7</v>
      </c>
    </row>
    <row r="1936" spans="1:2" ht="16.5" hidden="1" customHeight="1">
      <c r="A1936" s="86">
        <v>45399</v>
      </c>
      <c r="B1936" s="10">
        <v>1395.3</v>
      </c>
    </row>
    <row r="1937" spans="1:2" ht="16.5" hidden="1" customHeight="1">
      <c r="A1937" s="86">
        <v>45400</v>
      </c>
      <c r="B1937" s="10">
        <v>1386.3</v>
      </c>
    </row>
    <row r="1938" spans="1:2" ht="16.5" hidden="1" customHeight="1">
      <c r="A1938" s="86">
        <v>45401</v>
      </c>
      <c r="B1938" s="10">
        <v>1375.9</v>
      </c>
    </row>
    <row r="1939" spans="1:2" ht="16.5" hidden="1" customHeight="1">
      <c r="A1939" s="86">
        <v>45402</v>
      </c>
      <c r="B1939" s="10">
        <v>1375.9</v>
      </c>
    </row>
    <row r="1940" spans="1:2" ht="16.5" hidden="1" customHeight="1">
      <c r="A1940" s="86">
        <v>45403</v>
      </c>
      <c r="B1940" s="10">
        <v>1375.9</v>
      </c>
    </row>
    <row r="1941" spans="1:2" ht="16.5" hidden="1" customHeight="1">
      <c r="A1941" s="86">
        <v>45404</v>
      </c>
      <c r="B1941" s="10">
        <v>1385</v>
      </c>
    </row>
    <row r="1942" spans="1:2" ht="16.5" hidden="1" customHeight="1">
      <c r="A1942" s="86">
        <v>45405</v>
      </c>
      <c r="B1942" s="10">
        <v>1380.6</v>
      </c>
    </row>
    <row r="1943" spans="1:2" ht="16.5" hidden="1" customHeight="1">
      <c r="A1943" s="86">
        <v>45406</v>
      </c>
      <c r="B1943" s="10">
        <v>1377.9</v>
      </c>
    </row>
    <row r="1944" spans="1:2" ht="16.5" hidden="1" customHeight="1">
      <c r="A1944" s="86">
        <v>45407</v>
      </c>
      <c r="B1944" s="10">
        <v>1370</v>
      </c>
    </row>
    <row r="1945" spans="1:2" ht="16.5" hidden="1" customHeight="1">
      <c r="A1945" s="86">
        <v>45408</v>
      </c>
      <c r="B1945" s="10">
        <v>1376.6</v>
      </c>
    </row>
    <row r="1946" spans="1:2" ht="16.5" hidden="1" customHeight="1">
      <c r="A1946" s="86">
        <v>45409</v>
      </c>
      <c r="B1946" s="10">
        <v>1376.6</v>
      </c>
    </row>
    <row r="1947" spans="1:2" ht="16.5" hidden="1" customHeight="1">
      <c r="A1947" s="86">
        <v>45410</v>
      </c>
      <c r="B1947" s="10">
        <v>1376.6</v>
      </c>
    </row>
    <row r="1948" spans="1:2" ht="16.5" hidden="1" customHeight="1">
      <c r="A1948" s="86">
        <v>45411</v>
      </c>
      <c r="B1948" s="10">
        <v>1375.9</v>
      </c>
    </row>
    <row r="1949" spans="1:2" ht="16.5" hidden="1" customHeight="1">
      <c r="A1949" s="86">
        <v>45412</v>
      </c>
      <c r="B1949" s="10">
        <v>1378.7</v>
      </c>
    </row>
    <row r="1950" spans="1:2" ht="16.5" hidden="1" customHeight="1">
      <c r="A1950" s="86">
        <v>45413</v>
      </c>
      <c r="B1950" s="10">
        <v>1378.7</v>
      </c>
    </row>
    <row r="1951" spans="1:2" ht="16.5" hidden="1" customHeight="1">
      <c r="A1951" s="86">
        <v>45414</v>
      </c>
      <c r="B1951" s="10">
        <v>1378</v>
      </c>
    </row>
    <row r="1952" spans="1:2" ht="16.5" hidden="1" customHeight="1">
      <c r="A1952" s="86">
        <v>45415</v>
      </c>
      <c r="B1952" s="10">
        <v>1378.5</v>
      </c>
    </row>
    <row r="1953" spans="1:2" ht="16.5" hidden="1" customHeight="1">
      <c r="A1953" s="86">
        <v>45416</v>
      </c>
      <c r="B1953" s="10">
        <v>1378.5</v>
      </c>
    </row>
    <row r="1954" spans="1:2" ht="16.5" hidden="1" customHeight="1">
      <c r="A1954" s="86">
        <v>45417</v>
      </c>
      <c r="B1954" s="10">
        <v>1378.5</v>
      </c>
    </row>
    <row r="1955" spans="1:2" ht="16.5" hidden="1" customHeight="1">
      <c r="A1955" s="86">
        <v>45418</v>
      </c>
      <c r="B1955" s="10">
        <v>1378.5</v>
      </c>
    </row>
    <row r="1956" spans="1:2" ht="16.5" hidden="1" customHeight="1">
      <c r="A1956" s="86">
        <v>45419</v>
      </c>
      <c r="B1956" s="10">
        <v>1365.2</v>
      </c>
    </row>
    <row r="1957" spans="1:2" ht="16.5" hidden="1" customHeight="1">
      <c r="A1957" s="86">
        <v>45420</v>
      </c>
      <c r="B1957" s="10">
        <v>1357.8</v>
      </c>
    </row>
    <row r="1958" spans="1:2" ht="16.5" hidden="1" customHeight="1">
      <c r="A1958" s="86">
        <v>45421</v>
      </c>
      <c r="B1958" s="10">
        <v>1364.4</v>
      </c>
    </row>
    <row r="1959" spans="1:2" ht="16.5" hidden="1" customHeight="1">
      <c r="A1959" s="86">
        <v>45422</v>
      </c>
      <c r="B1959" s="10">
        <v>1367.9</v>
      </c>
    </row>
    <row r="1960" spans="1:2" ht="16.5" hidden="1" customHeight="1">
      <c r="A1960" s="86">
        <v>45423</v>
      </c>
      <c r="B1960" s="10">
        <v>1367.9</v>
      </c>
    </row>
    <row r="1961" spans="1:2" ht="16.5" hidden="1" customHeight="1">
      <c r="A1961" s="86">
        <v>45424</v>
      </c>
      <c r="B1961" s="10">
        <v>1367.9</v>
      </c>
    </row>
    <row r="1962" spans="1:2" ht="16.5" hidden="1" customHeight="1">
      <c r="A1962" s="86">
        <v>45425</v>
      </c>
      <c r="B1962" s="10">
        <v>1367.9</v>
      </c>
    </row>
    <row r="1963" spans="1:2" ht="16.5" hidden="1" customHeight="1">
      <c r="A1963" s="86">
        <v>45426</v>
      </c>
      <c r="B1963" s="10">
        <v>1370.1</v>
      </c>
    </row>
    <row r="1964" spans="1:2" ht="16.5" hidden="1" customHeight="1">
      <c r="A1964" s="86">
        <v>45427</v>
      </c>
      <c r="B1964" s="10">
        <v>1370.1</v>
      </c>
    </row>
    <row r="1965" spans="1:2" ht="16.5" hidden="1" customHeight="1">
      <c r="A1965" s="86">
        <v>45428</v>
      </c>
      <c r="B1965" s="10">
        <v>1369</v>
      </c>
    </row>
    <row r="1966" spans="1:2" ht="16.5" hidden="1" customHeight="1">
      <c r="A1966" s="86">
        <v>45429</v>
      </c>
      <c r="B1966" s="10">
        <v>1349.4</v>
      </c>
    </row>
    <row r="1967" spans="1:2" ht="16.5" hidden="1" customHeight="1">
      <c r="A1967" s="86">
        <v>45430</v>
      </c>
      <c r="B1967" s="10">
        <v>1349.4</v>
      </c>
    </row>
    <row r="1968" spans="1:2" ht="16.5" hidden="1" customHeight="1">
      <c r="A1968" s="86">
        <v>45431</v>
      </c>
      <c r="B1968" s="10">
        <v>1349.4</v>
      </c>
    </row>
    <row r="1969" spans="1:2" ht="16.5" hidden="1" customHeight="1">
      <c r="A1969" s="86">
        <v>45432</v>
      </c>
      <c r="B1969" s="10">
        <v>1355.2</v>
      </c>
    </row>
    <row r="1970" spans="1:2" ht="16.5" hidden="1" customHeight="1">
      <c r="A1970" s="86">
        <v>45433</v>
      </c>
      <c r="B1970" s="10">
        <v>1356.2</v>
      </c>
    </row>
    <row r="1971" spans="1:2" ht="16.5" hidden="1" customHeight="1">
      <c r="A1971" s="86">
        <v>45434</v>
      </c>
      <c r="B1971" s="10">
        <v>1364.4</v>
      </c>
    </row>
    <row r="1972" spans="1:2" ht="16.5" hidden="1" customHeight="1">
      <c r="A1972" s="86">
        <v>45435</v>
      </c>
      <c r="B1972" s="10">
        <v>1363.1</v>
      </c>
    </row>
    <row r="1973" spans="1:2" ht="16.5" hidden="1" customHeight="1">
      <c r="A1973" s="86">
        <v>45436</v>
      </c>
      <c r="B1973" s="10">
        <v>1364.5</v>
      </c>
    </row>
    <row r="1974" spans="1:2" ht="16.5" hidden="1" customHeight="1">
      <c r="A1974" s="86">
        <v>45437</v>
      </c>
      <c r="B1974" s="10">
        <v>1364.5</v>
      </c>
    </row>
    <row r="1975" spans="1:2" ht="16.5" hidden="1" customHeight="1">
      <c r="A1975" s="86">
        <v>45438</v>
      </c>
      <c r="B1975" s="10">
        <v>1364.5</v>
      </c>
    </row>
    <row r="1976" spans="1:2" ht="16.5" hidden="1" customHeight="1">
      <c r="A1976" s="86">
        <v>45439</v>
      </c>
      <c r="B1976" s="10">
        <v>1370</v>
      </c>
    </row>
    <row r="1977" spans="1:2" ht="16.5" hidden="1" customHeight="1">
      <c r="A1977" s="86">
        <v>45440</v>
      </c>
      <c r="B1977" s="10">
        <v>1365.4</v>
      </c>
    </row>
    <row r="1978" spans="1:2" ht="16.5" hidden="1" customHeight="1">
      <c r="A1978" s="86">
        <v>45441</v>
      </c>
      <c r="B1978" s="10">
        <v>1359.5</v>
      </c>
    </row>
    <row r="1979" spans="1:2" ht="16.5" hidden="1" customHeight="1">
      <c r="A1979" s="86">
        <v>45442</v>
      </c>
      <c r="B1979" s="10">
        <v>1364.8</v>
      </c>
    </row>
    <row r="1980" spans="1:2" ht="16.5" hidden="1" customHeight="1">
      <c r="A1980" s="86">
        <v>45443</v>
      </c>
      <c r="B1980" s="10">
        <v>1376.5</v>
      </c>
    </row>
    <row r="1981" spans="1:2">
      <c r="A1981" s="86">
        <v>45444</v>
      </c>
      <c r="B1981" s="10">
        <v>1376.5</v>
      </c>
    </row>
    <row r="1982" spans="1:2">
      <c r="A1982" s="86">
        <v>45445</v>
      </c>
      <c r="B1982" s="10">
        <v>1376.5</v>
      </c>
    </row>
    <row r="1983" spans="1:2">
      <c r="A1983" s="86">
        <v>45446</v>
      </c>
      <c r="B1983" s="10">
        <v>1381.6</v>
      </c>
    </row>
    <row r="1984" spans="1:2">
      <c r="A1984" s="86">
        <v>45447</v>
      </c>
      <c r="B1984" s="10">
        <v>1377.6</v>
      </c>
    </row>
    <row r="1985" spans="1:2">
      <c r="A1985" s="86">
        <v>45448</v>
      </c>
      <c r="B1985" s="10">
        <v>1373.1</v>
      </c>
    </row>
    <row r="1986" spans="1:2">
      <c r="A1986" s="86">
        <v>45449</v>
      </c>
      <c r="B1986" s="10">
        <v>1373.1</v>
      </c>
    </row>
    <row r="1987" spans="1:2">
      <c r="A1987" s="86">
        <v>45450</v>
      </c>
      <c r="B1987" s="10">
        <v>1371.5</v>
      </c>
    </row>
    <row r="1988" spans="1:2">
      <c r="A1988" s="86">
        <v>45451</v>
      </c>
      <c r="B1988" s="10">
        <v>1371.5</v>
      </c>
    </row>
    <row r="1989" spans="1:2">
      <c r="A1989" s="86">
        <v>45452</v>
      </c>
      <c r="B1989" s="10">
        <v>1371.5</v>
      </c>
    </row>
    <row r="1990" spans="1:2">
      <c r="A1990" s="86">
        <v>45453</v>
      </c>
      <c r="B1990" s="10">
        <v>1366.9</v>
      </c>
    </row>
    <row r="1991" spans="1:2">
      <c r="A1991" s="86">
        <v>45454</v>
      </c>
      <c r="B1991" s="10">
        <v>1377.9</v>
      </c>
    </row>
    <row r="1992" spans="1:2">
      <c r="A1992" s="86">
        <v>45455</v>
      </c>
      <c r="B1992" s="10">
        <v>1377.4</v>
      </c>
    </row>
    <row r="1993" spans="1:2">
      <c r="A1993" s="86">
        <v>45456</v>
      </c>
      <c r="B1993" s="10">
        <v>1377.8</v>
      </c>
    </row>
    <row r="1994" spans="1:2">
      <c r="A1994" s="86">
        <v>45457</v>
      </c>
      <c r="B1994" s="10">
        <v>1371</v>
      </c>
    </row>
    <row r="1995" spans="1:2">
      <c r="A1995" s="86">
        <v>45458</v>
      </c>
      <c r="B1995" s="10">
        <v>1371</v>
      </c>
    </row>
    <row r="1996" spans="1:2">
      <c r="A1996" s="86">
        <v>45459</v>
      </c>
      <c r="B1996" s="10">
        <v>1371</v>
      </c>
    </row>
    <row r="1997" spans="1:2">
      <c r="A1997" s="86">
        <v>45460</v>
      </c>
      <c r="B1997" s="10">
        <v>1377.7</v>
      </c>
    </row>
    <row r="1998" spans="1:2">
      <c r="A1998" s="86">
        <v>45461</v>
      </c>
      <c r="B1998" s="10">
        <v>1380.4</v>
      </c>
    </row>
    <row r="1999" spans="1:2">
      <c r="A1999" s="86">
        <v>45462</v>
      </c>
      <c r="B1999" s="10">
        <v>1380.5</v>
      </c>
    </row>
    <row r="2000" spans="1:2">
      <c r="A2000" s="86">
        <v>45463</v>
      </c>
      <c r="B2000" s="10">
        <v>1380.5</v>
      </c>
    </row>
    <row r="2001" spans="1:2">
      <c r="A2001" s="86">
        <v>45464</v>
      </c>
      <c r="B2001" s="10">
        <v>1383.8</v>
      </c>
    </row>
    <row r="2002" spans="1:2">
      <c r="A2002" s="86">
        <v>45465</v>
      </c>
      <c r="B2002" s="10">
        <v>1383.8</v>
      </c>
    </row>
    <row r="2003" spans="1:2">
      <c r="A2003" s="86">
        <v>45466</v>
      </c>
      <c r="B2003" s="10">
        <v>1383.8</v>
      </c>
    </row>
    <row r="2004" spans="1:2">
      <c r="A2004" s="86">
        <v>45467</v>
      </c>
      <c r="B2004" s="10">
        <v>1389.1</v>
      </c>
    </row>
    <row r="2005" spans="1:2">
      <c r="A2005" s="86">
        <v>45468</v>
      </c>
      <c r="B2005" s="10">
        <v>1389.7</v>
      </c>
    </row>
    <row r="2006" spans="1:2">
      <c r="A2006" s="86">
        <v>45469</v>
      </c>
      <c r="B2006" s="10">
        <v>1386.4</v>
      </c>
    </row>
    <row r="2007" spans="1:2">
      <c r="A2007" s="86">
        <v>45470</v>
      </c>
      <c r="B2007" s="10">
        <v>1390.1</v>
      </c>
    </row>
    <row r="2008" spans="1:2">
      <c r="A2008" s="86">
        <v>45471</v>
      </c>
      <c r="B2008" s="10">
        <v>1389.2</v>
      </c>
    </row>
    <row r="2009" spans="1:2">
      <c r="A2009" s="86">
        <v>45472</v>
      </c>
      <c r="B2009" s="10">
        <v>1389.2</v>
      </c>
    </row>
    <row r="2010" spans="1:2">
      <c r="A2010" s="86">
        <v>45473</v>
      </c>
      <c r="B2010" s="10">
        <v>1389.2</v>
      </c>
    </row>
    <row r="2011" spans="1:2">
      <c r="A2011" s="86">
        <v>45474</v>
      </c>
      <c r="B2011" s="10">
        <v>1382.4</v>
      </c>
    </row>
    <row r="2012" spans="1:2">
      <c r="A2012" s="86">
        <v>45475</v>
      </c>
      <c r="B2012" s="10">
        <v>1380.8</v>
      </c>
    </row>
    <row r="2013" spans="1:2">
      <c r="A2013" s="86">
        <v>45476</v>
      </c>
      <c r="B2013" s="10">
        <v>1387.4</v>
      </c>
    </row>
    <row r="2014" spans="1:2">
      <c r="A2014" s="86">
        <v>45477</v>
      </c>
      <c r="B2014" s="10">
        <v>1389.4</v>
      </c>
    </row>
    <row r="2015" spans="1:2">
      <c r="A2015" s="86">
        <v>45478</v>
      </c>
      <c r="B2015" s="10">
        <v>1381.9</v>
      </c>
    </row>
    <row r="2016" spans="1:2">
      <c r="A2016" s="86">
        <v>45479</v>
      </c>
      <c r="B2016" s="10">
        <v>1381.9</v>
      </c>
    </row>
    <row r="2017" spans="1:2">
      <c r="A2017" s="86">
        <v>45480</v>
      </c>
      <c r="B2017" s="10">
        <v>1381.9</v>
      </c>
    </row>
    <row r="2018" spans="1:2">
      <c r="A2018" s="86">
        <v>45481</v>
      </c>
      <c r="B2018" s="10">
        <v>1379</v>
      </c>
    </row>
    <row r="2019" spans="1:2">
      <c r="A2019" s="86">
        <v>45482</v>
      </c>
      <c r="B2019" s="10">
        <v>1379.4</v>
      </c>
    </row>
    <row r="2020" spans="1:2">
      <c r="A2020" s="86">
        <v>45483</v>
      </c>
      <c r="B2020" s="10">
        <v>1383.4</v>
      </c>
    </row>
    <row r="2021" spans="1:2">
      <c r="A2021" s="86">
        <v>45484</v>
      </c>
      <c r="B2021" s="10">
        <v>1385.6</v>
      </c>
    </row>
    <row r="2022" spans="1:2">
      <c r="A2022" s="86">
        <v>45485</v>
      </c>
      <c r="B2022" s="10">
        <v>1380.1</v>
      </c>
    </row>
    <row r="2023" spans="1:2">
      <c r="A2023" s="86">
        <v>45486</v>
      </c>
      <c r="B2023" s="10">
        <v>1380.1</v>
      </c>
    </row>
    <row r="2024" spans="1:2">
      <c r="A2024" s="86">
        <v>45487</v>
      </c>
      <c r="B2024" s="10">
        <v>1380.1</v>
      </c>
    </row>
    <row r="2025" spans="1:2">
      <c r="A2025" s="86">
        <v>45488</v>
      </c>
      <c r="B2025" s="10">
        <v>1376.3</v>
      </c>
    </row>
    <row r="2026" spans="1:2">
      <c r="A2026" s="86">
        <v>45489</v>
      </c>
      <c r="B2026" s="10">
        <v>1381.9</v>
      </c>
    </row>
    <row r="2027" spans="1:2">
      <c r="A2027" s="86">
        <v>45490</v>
      </c>
      <c r="B2027" s="10">
        <v>1386</v>
      </c>
    </row>
    <row r="2028" spans="1:2">
      <c r="A2028" s="86">
        <v>45491</v>
      </c>
      <c r="B2028" s="10">
        <v>1381.5</v>
      </c>
    </row>
    <row r="2029" spans="1:2">
      <c r="A2029" s="86">
        <v>45492</v>
      </c>
      <c r="B2029" s="10">
        <v>1379.9</v>
      </c>
    </row>
    <row r="2030" spans="1:2">
      <c r="A2030" s="86">
        <v>45493</v>
      </c>
      <c r="B2030" s="10">
        <v>1379.9</v>
      </c>
    </row>
    <row r="2031" spans="1:2">
      <c r="A2031" s="86">
        <v>45494</v>
      </c>
      <c r="B2031" s="10">
        <v>1379.9</v>
      </c>
    </row>
    <row r="2032" spans="1:2">
      <c r="A2032" s="86">
        <v>45495</v>
      </c>
      <c r="B2032" s="10">
        <v>1386.6</v>
      </c>
    </row>
    <row r="2033" spans="1:2">
      <c r="A2033" s="86">
        <v>45496</v>
      </c>
      <c r="B2033" s="10">
        <v>1388.6</v>
      </c>
    </row>
    <row r="2034" spans="1:2">
      <c r="A2034" s="86">
        <v>45497</v>
      </c>
      <c r="B2034" s="10">
        <v>1385.1</v>
      </c>
    </row>
    <row r="2035" spans="1:2">
      <c r="A2035" s="86">
        <v>45498</v>
      </c>
      <c r="B2035" s="10">
        <v>1385.1</v>
      </c>
    </row>
    <row r="2036" spans="1:2">
      <c r="A2036" s="86">
        <v>45499</v>
      </c>
      <c r="B2036" s="10">
        <v>1385.4</v>
      </c>
    </row>
    <row r="2037" spans="1:2">
      <c r="A2037" s="86">
        <v>45500</v>
      </c>
      <c r="B2037" s="10">
        <v>1385.4</v>
      </c>
    </row>
    <row r="2038" spans="1:2">
      <c r="A2038" s="86">
        <v>45501</v>
      </c>
      <c r="B2038" s="10">
        <v>1385.4</v>
      </c>
    </row>
    <row r="2039" spans="1:2">
      <c r="A2039" s="86">
        <v>45502</v>
      </c>
      <c r="B2039" s="10">
        <v>1385.4</v>
      </c>
    </row>
    <row r="2040" spans="1:2">
      <c r="A2040" s="86">
        <v>45503</v>
      </c>
      <c r="B2040" s="10">
        <v>1382</v>
      </c>
    </row>
    <row r="2041" spans="1:2">
      <c r="A2041" s="86">
        <v>45504</v>
      </c>
      <c r="B2041" s="10">
        <v>1384.6</v>
      </c>
    </row>
    <row r="2042" spans="1:2">
      <c r="A2042" s="86">
        <v>45505</v>
      </c>
      <c r="B2042" s="10">
        <v>1380.1</v>
      </c>
    </row>
    <row r="2043" spans="1:2">
      <c r="A2043" s="86">
        <v>45506</v>
      </c>
      <c r="B2043" s="10">
        <v>1365.9</v>
      </c>
    </row>
    <row r="2044" spans="1:2">
      <c r="A2044" s="86">
        <v>45507</v>
      </c>
      <c r="B2044" s="10">
        <v>1365.9</v>
      </c>
    </row>
    <row r="2045" spans="1:2">
      <c r="A2045" s="86">
        <v>45508</v>
      </c>
      <c r="B2045" s="10">
        <v>1365.9</v>
      </c>
    </row>
    <row r="2046" spans="1:2">
      <c r="A2046" s="86">
        <v>45509</v>
      </c>
      <c r="B2046" s="10">
        <v>1372.8</v>
      </c>
    </row>
    <row r="2047" spans="1:2">
      <c r="A2047" s="86">
        <v>45510</v>
      </c>
      <c r="B2047" s="10">
        <v>1360.6</v>
      </c>
    </row>
    <row r="2048" spans="1:2">
      <c r="A2048" s="86">
        <v>45511</v>
      </c>
      <c r="B2048" s="10">
        <v>1372.2</v>
      </c>
    </row>
    <row r="2049" spans="1:2">
      <c r="A2049" s="86">
        <v>45512</v>
      </c>
      <c r="B2049" s="10">
        <v>1376.4</v>
      </c>
    </row>
    <row r="2050" spans="1:2">
      <c r="A2050" s="86">
        <v>45513</v>
      </c>
      <c r="B2050" s="10">
        <v>1377.7</v>
      </c>
    </row>
    <row r="2051" spans="1:2">
      <c r="A2051" s="86">
        <v>45514</v>
      </c>
      <c r="B2051" s="10">
        <v>1377.7</v>
      </c>
    </row>
    <row r="2052" spans="1:2">
      <c r="A2052" s="86">
        <v>45515</v>
      </c>
      <c r="B2052" s="10">
        <v>1377.7</v>
      </c>
    </row>
    <row r="2053" spans="1:2">
      <c r="A2053" s="86">
        <v>45516</v>
      </c>
      <c r="B2053" s="10">
        <v>1369.4</v>
      </c>
    </row>
    <row r="2054" spans="1:2">
      <c r="A2054" s="86">
        <v>45517</v>
      </c>
      <c r="B2054" s="10">
        <v>1367.7</v>
      </c>
    </row>
    <row r="2055" spans="1:2">
      <c r="A2055" s="86">
        <v>45518</v>
      </c>
      <c r="B2055" s="10">
        <v>1370.3</v>
      </c>
    </row>
    <row r="2056" spans="1:2">
      <c r="A2056" s="86">
        <v>45519</v>
      </c>
      <c r="B2056" s="10">
        <v>1370.3</v>
      </c>
    </row>
    <row r="2057" spans="1:2">
      <c r="A2057" s="86">
        <v>45520</v>
      </c>
      <c r="B2057" s="10">
        <v>1361.4</v>
      </c>
    </row>
    <row r="2058" spans="1:2">
      <c r="A2058" s="86">
        <v>45521</v>
      </c>
      <c r="B2058" s="10">
        <v>1361.4</v>
      </c>
    </row>
    <row r="2059" spans="1:2">
      <c r="A2059" s="86">
        <v>45522</v>
      </c>
      <c r="B2059" s="10">
        <v>1361.4</v>
      </c>
    </row>
    <row r="2060" spans="1:2">
      <c r="A2060" s="86">
        <v>45523</v>
      </c>
      <c r="B2060" s="10">
        <v>1360.1</v>
      </c>
    </row>
    <row r="2061" spans="1:2">
      <c r="A2061" s="86">
        <v>45524</v>
      </c>
      <c r="B2061" s="10">
        <v>1337.8</v>
      </c>
    </row>
    <row r="2062" spans="1:2">
      <c r="A2062" s="86">
        <v>45525</v>
      </c>
      <c r="B2062" s="10">
        <v>1332</v>
      </c>
    </row>
    <row r="2063" spans="1:2">
      <c r="A2063" s="86">
        <v>45526</v>
      </c>
      <c r="B2063" s="10">
        <v>1332.4</v>
      </c>
    </row>
    <row r="2064" spans="1:2">
      <c r="A2064" s="86">
        <v>45527</v>
      </c>
      <c r="B2064" s="10">
        <v>1335.9</v>
      </c>
    </row>
    <row r="2065" spans="1:2">
      <c r="A2065" s="86">
        <v>45528</v>
      </c>
      <c r="B2065" s="10">
        <v>1335.9</v>
      </c>
    </row>
    <row r="2066" spans="1:2">
      <c r="A2066" s="86">
        <v>45529</v>
      </c>
      <c r="B2066" s="10">
        <v>1335.9</v>
      </c>
    </row>
    <row r="2067" spans="1:2">
      <c r="A2067" s="86">
        <v>45530</v>
      </c>
      <c r="B2067" s="10">
        <v>1340.1</v>
      </c>
    </row>
    <row r="2068" spans="1:2">
      <c r="A2068" s="86">
        <v>45531</v>
      </c>
      <c r="B2068" s="10">
        <v>1323.9</v>
      </c>
    </row>
    <row r="2069" spans="1:2">
      <c r="A2069" s="86">
        <v>45532</v>
      </c>
      <c r="B2069" s="10">
        <v>1330.4</v>
      </c>
    </row>
    <row r="2070" spans="1:2">
      <c r="A2070" s="86">
        <v>45533</v>
      </c>
      <c r="B2070" s="10">
        <v>1334.7</v>
      </c>
    </row>
    <row r="2071" spans="1:2">
      <c r="A2071" s="86">
        <v>45534</v>
      </c>
      <c r="B2071" s="10">
        <v>1335.3</v>
      </c>
    </row>
    <row r="2072" spans="1:2">
      <c r="A2072" s="86">
        <v>45535</v>
      </c>
      <c r="B2072" s="10">
        <v>1335.3</v>
      </c>
    </row>
    <row r="2073" spans="1:2">
      <c r="A2073" s="86">
        <v>45536</v>
      </c>
      <c r="B2073" s="10">
        <v>1335.3</v>
      </c>
    </row>
    <row r="2074" spans="1:2">
      <c r="A2074" s="86">
        <v>45537</v>
      </c>
      <c r="B2074" s="10">
        <v>1334.8</v>
      </c>
    </row>
    <row r="2075" spans="1:2">
      <c r="A2075" s="86">
        <v>45538</v>
      </c>
      <c r="B2075" s="10">
        <v>1338.8</v>
      </c>
    </row>
    <row r="2076" spans="1:2">
      <c r="A2076" s="86">
        <v>45539</v>
      </c>
      <c r="B2076" s="10">
        <v>1341</v>
      </c>
    </row>
    <row r="2077" spans="1:2">
      <c r="A2077" s="86">
        <v>45540</v>
      </c>
      <c r="B2077" s="10">
        <v>1342</v>
      </c>
    </row>
    <row r="2078" spans="1:2">
      <c r="A2078" s="86">
        <v>45541</v>
      </c>
      <c r="B2078" s="10">
        <v>1335.8</v>
      </c>
    </row>
    <row r="2079" spans="1:2">
      <c r="A2079" s="86">
        <v>45542</v>
      </c>
      <c r="B2079" s="10">
        <v>1335.8</v>
      </c>
    </row>
    <row r="2080" spans="1:2">
      <c r="A2080" s="86">
        <v>45543</v>
      </c>
      <c r="B2080" s="10">
        <v>1335.8</v>
      </c>
    </row>
    <row r="2081" spans="1:2">
      <c r="A2081" s="86">
        <v>45544</v>
      </c>
      <c r="B2081" s="10">
        <v>1330.4</v>
      </c>
    </row>
    <row r="2082" spans="1:2">
      <c r="A2082" s="86">
        <v>45545</v>
      </c>
      <c r="B2082" s="10">
        <v>1339.5</v>
      </c>
    </row>
    <row r="2083" spans="1:2">
      <c r="A2083" s="86">
        <v>45546</v>
      </c>
      <c r="B2083" s="10">
        <v>1344.3</v>
      </c>
    </row>
    <row r="2084" spans="1:2">
      <c r="A2084" s="86">
        <v>45547</v>
      </c>
      <c r="B2084" s="10">
        <v>1340.3</v>
      </c>
    </row>
    <row r="2085" spans="1:2">
      <c r="A2085" s="86">
        <v>45548</v>
      </c>
      <c r="B2085" s="10">
        <v>1339.6</v>
      </c>
    </row>
    <row r="2086" spans="1:2">
      <c r="A2086" s="86">
        <v>45549</v>
      </c>
      <c r="B2086" s="10">
        <v>1339.6</v>
      </c>
    </row>
    <row r="2087" spans="1:2">
      <c r="A2087" s="86">
        <v>45550</v>
      </c>
      <c r="B2087" s="10">
        <v>1339.6</v>
      </c>
    </row>
    <row r="2088" spans="1:2">
      <c r="A2088" s="86">
        <v>45551</v>
      </c>
      <c r="B2088" s="10">
        <v>1339.6</v>
      </c>
    </row>
    <row r="2089" spans="1:2">
      <c r="A2089" s="86">
        <v>45552</v>
      </c>
      <c r="B2089" s="10">
        <v>1339.6</v>
      </c>
    </row>
    <row r="2090" spans="1:2">
      <c r="A2090" s="86">
        <v>45553</v>
      </c>
      <c r="B2090" s="10">
        <v>1339.6</v>
      </c>
    </row>
    <row r="2091" spans="1:2">
      <c r="A2091" s="86">
        <v>45554</v>
      </c>
      <c r="B2091" s="10">
        <v>1331</v>
      </c>
    </row>
    <row r="2092" spans="1:2">
      <c r="A2092" s="86">
        <v>45555</v>
      </c>
      <c r="B2092" s="10">
        <v>1331.8</v>
      </c>
    </row>
    <row r="2093" spans="1:2">
      <c r="A2093" s="86">
        <v>45556</v>
      </c>
      <c r="B2093" s="10">
        <v>1331.8</v>
      </c>
    </row>
    <row r="2094" spans="1:2">
      <c r="A2094" s="86">
        <v>45557</v>
      </c>
      <c r="B2094" s="10">
        <v>1331.8</v>
      </c>
    </row>
    <row r="2095" spans="1:2">
      <c r="A2095" s="86">
        <v>45558</v>
      </c>
      <c r="B2095" s="10">
        <v>1329.9</v>
      </c>
    </row>
    <row r="2096" spans="1:2">
      <c r="A2096" s="86">
        <v>45559</v>
      </c>
      <c r="B2096" s="10">
        <v>1335.5</v>
      </c>
    </row>
    <row r="2097" spans="1:2">
      <c r="A2097" s="86">
        <v>45560</v>
      </c>
      <c r="B2097" s="10">
        <v>1334.3</v>
      </c>
    </row>
    <row r="2098" spans="1:2">
      <c r="A2098" s="86">
        <v>45561</v>
      </c>
      <c r="B2098" s="10">
        <v>1328.4</v>
      </c>
    </row>
    <row r="2099" spans="1:2">
      <c r="A2099" s="86">
        <v>45562</v>
      </c>
      <c r="B2099" s="10">
        <v>1329.7</v>
      </c>
    </row>
    <row r="2100" spans="1:2">
      <c r="A2100" s="86">
        <v>45563</v>
      </c>
      <c r="B2100" s="10">
        <v>1329.7</v>
      </c>
    </row>
    <row r="2101" spans="1:2">
      <c r="A2101" s="86">
        <v>45564</v>
      </c>
      <c r="B2101" s="10">
        <v>1329.7</v>
      </c>
    </row>
    <row r="2102" spans="1:2">
      <c r="A2102" s="86">
        <v>45565</v>
      </c>
      <c r="B2102" s="10">
        <v>1319.6</v>
      </c>
    </row>
    <row r="2103" spans="1:2">
      <c r="A2103" s="86">
        <v>45566</v>
      </c>
      <c r="B2103" s="10">
        <v>1319.6</v>
      </c>
    </row>
    <row r="2104" spans="1:2">
      <c r="A2104" s="86">
        <v>45567</v>
      </c>
      <c r="B2104" s="10">
        <v>1306.9000000000001</v>
      </c>
    </row>
    <row r="2105" spans="1:2">
      <c r="A2105" s="86">
        <v>45568</v>
      </c>
      <c r="B2105" s="10">
        <v>1306.9000000000001</v>
      </c>
    </row>
    <row r="2106" spans="1:2">
      <c r="A2106" s="86">
        <v>45569</v>
      </c>
      <c r="B2106" s="10">
        <v>1320.1</v>
      </c>
    </row>
    <row r="2107" spans="1:2">
      <c r="A2107" s="86">
        <v>45570</v>
      </c>
      <c r="B2107" s="10">
        <v>1320.1</v>
      </c>
    </row>
    <row r="2108" spans="1:2">
      <c r="A2108" s="86">
        <v>45571</v>
      </c>
      <c r="B2108" s="10">
        <v>1320.1</v>
      </c>
    </row>
    <row r="2109" spans="1:2">
      <c r="A2109" s="86">
        <v>45572</v>
      </c>
      <c r="B2109" s="10">
        <v>1333.3</v>
      </c>
    </row>
    <row r="2110" spans="1:2">
      <c r="A2110" s="86">
        <v>45573</v>
      </c>
      <c r="B2110" s="10">
        <v>1346.5</v>
      </c>
    </row>
    <row r="2111" spans="1:2">
      <c r="A2111" s="86">
        <v>45574</v>
      </c>
      <c r="B2111" s="10">
        <v>1346.5</v>
      </c>
    </row>
    <row r="2112" spans="1:2">
      <c r="A2112" s="86">
        <v>45575</v>
      </c>
      <c r="B2112" s="10">
        <v>1347.8</v>
      </c>
    </row>
    <row r="2113" spans="1:2">
      <c r="A2113" s="86">
        <v>45576</v>
      </c>
      <c r="B2113" s="10">
        <v>1349.4</v>
      </c>
    </row>
    <row r="2114" spans="1:2">
      <c r="A2114" s="86">
        <v>45577</v>
      </c>
      <c r="B2114" s="10">
        <v>1349.4</v>
      </c>
    </row>
    <row r="2115" spans="1:2">
      <c r="A2115" s="86">
        <v>45578</v>
      </c>
      <c r="B2115" s="10">
        <v>1349.4</v>
      </c>
    </row>
    <row r="2116" spans="1:2">
      <c r="A2116" s="86">
        <v>45579</v>
      </c>
      <c r="B2116" s="10">
        <v>1348.6</v>
      </c>
    </row>
    <row r="2117" spans="1:2">
      <c r="A2117" s="86">
        <v>45580</v>
      </c>
      <c r="B2117" s="10">
        <v>1354.9</v>
      </c>
    </row>
    <row r="2118" spans="1:2">
      <c r="A2118" s="86">
        <v>45581</v>
      </c>
      <c r="B2118" s="10">
        <v>1360.4</v>
      </c>
    </row>
    <row r="2119" spans="1:2">
      <c r="A2119" s="86">
        <v>45582</v>
      </c>
      <c r="B2119" s="10">
        <v>1363.7</v>
      </c>
    </row>
    <row r="2120" spans="1:2">
      <c r="A2120" s="86">
        <v>45583</v>
      </c>
      <c r="B2120" s="10">
        <v>1366.5</v>
      </c>
    </row>
    <row r="2121" spans="1:2">
      <c r="A2121" s="86">
        <v>45584</v>
      </c>
      <c r="B2121" s="10">
        <v>1366.5</v>
      </c>
    </row>
    <row r="2122" spans="1:2">
      <c r="A2122" s="86">
        <v>45585</v>
      </c>
      <c r="B2122" s="10">
        <v>1366.5</v>
      </c>
    </row>
    <row r="2123" spans="1:2">
      <c r="A2123" s="86">
        <v>45586</v>
      </c>
      <c r="B2123" s="10">
        <v>1371.1</v>
      </c>
    </row>
    <row r="2124" spans="1:2">
      <c r="A2124" s="86">
        <v>45587</v>
      </c>
      <c r="B2124" s="10">
        <v>1370.4</v>
      </c>
    </row>
    <row r="2125" spans="1:2">
      <c r="A2125" s="86">
        <v>45588</v>
      </c>
      <c r="B2125" s="10">
        <v>1380.1</v>
      </c>
    </row>
    <row r="2126" spans="1:2">
      <c r="A2126" s="86">
        <v>45589</v>
      </c>
      <c r="B2126" s="10">
        <v>1382</v>
      </c>
    </row>
    <row r="2127" spans="1:2">
      <c r="A2127" s="86">
        <v>45590</v>
      </c>
      <c r="B2127" s="10">
        <v>1380.5</v>
      </c>
    </row>
    <row r="2128" spans="1:2">
      <c r="A2128" s="86">
        <v>45591</v>
      </c>
      <c r="B2128" s="10">
        <v>1380.5</v>
      </c>
    </row>
    <row r="2129" spans="1:2">
      <c r="A2129" s="86">
        <v>45592</v>
      </c>
      <c r="B2129" s="10">
        <v>1380.5</v>
      </c>
    </row>
    <row r="2130" spans="1:2">
      <c r="A2130" s="86">
        <v>45593</v>
      </c>
      <c r="B2130" s="10">
        <v>1384.4</v>
      </c>
    </row>
    <row r="2131" spans="1:2">
      <c r="A2131" s="86">
        <v>45594</v>
      </c>
      <c r="B2131" s="10">
        <v>1387</v>
      </c>
    </row>
    <row r="2132" spans="1:2">
      <c r="A2132" s="86">
        <v>45595</v>
      </c>
      <c r="B2132" s="10">
        <v>1383.1</v>
      </c>
    </row>
    <row r="2133" spans="1:2">
      <c r="A2133" s="86">
        <v>45596</v>
      </c>
      <c r="B2133" s="10">
        <v>1383.3</v>
      </c>
    </row>
    <row r="2134" spans="1:2">
      <c r="A2134" s="86">
        <v>45597</v>
      </c>
      <c r="B2134" s="10">
        <v>1379.3</v>
      </c>
    </row>
    <row r="2135" spans="1:2">
      <c r="A2135" s="86">
        <v>45598</v>
      </c>
      <c r="B2135" s="10">
        <v>1379.3</v>
      </c>
    </row>
    <row r="2136" spans="1:2">
      <c r="A2136" s="86">
        <v>45599</v>
      </c>
      <c r="B2136" s="10">
        <v>1379.3</v>
      </c>
    </row>
    <row r="2137" spans="1:2">
      <c r="A2137" s="86">
        <v>45600</v>
      </c>
      <c r="B2137" s="10">
        <v>1377.9</v>
      </c>
    </row>
    <row r="2138" spans="1:2">
      <c r="A2138" s="86">
        <v>45601</v>
      </c>
      <c r="B2138" s="10">
        <v>1371.3</v>
      </c>
    </row>
    <row r="2139" spans="1:2">
      <c r="A2139" s="86">
        <v>45602</v>
      </c>
      <c r="B2139" s="10">
        <v>1377.8</v>
      </c>
    </row>
    <row r="2140" spans="1:2">
      <c r="A2140" s="86">
        <v>45603</v>
      </c>
      <c r="B2140" s="10">
        <v>1391.5</v>
      </c>
    </row>
    <row r="2141" spans="1:2">
      <c r="A2141" s="86">
        <v>45604</v>
      </c>
      <c r="B2141" s="10">
        <v>1399.1</v>
      </c>
    </row>
    <row r="2142" spans="1:2">
      <c r="A2142" s="86">
        <v>45605</v>
      </c>
      <c r="B2142" s="10">
        <v>1399.1</v>
      </c>
    </row>
    <row r="2143" spans="1:2">
      <c r="A2143" s="86">
        <v>45606</v>
      </c>
      <c r="B2143" s="10">
        <v>1399.1</v>
      </c>
    </row>
    <row r="2144" spans="1:2">
      <c r="A2144" s="86">
        <v>45607</v>
      </c>
      <c r="B2144" s="10">
        <v>1385.4</v>
      </c>
    </row>
    <row r="2145" spans="1:2">
      <c r="A2145" s="86">
        <v>45608</v>
      </c>
      <c r="B2145" s="10">
        <v>1395.3</v>
      </c>
    </row>
    <row r="2146" spans="1:2">
      <c r="A2146" s="86">
        <v>45609</v>
      </c>
      <c r="B2146" s="10">
        <v>1401.1</v>
      </c>
    </row>
    <row r="2147" spans="1:2">
      <c r="A2147" s="86">
        <v>45610</v>
      </c>
      <c r="B2147" s="10">
        <v>1407.3</v>
      </c>
    </row>
    <row r="2148" spans="1:2">
      <c r="A2148" s="86">
        <v>45611</v>
      </c>
      <c r="B2148" s="10">
        <v>1406.4</v>
      </c>
    </row>
    <row r="2149" spans="1:2">
      <c r="A2149" s="86">
        <v>45612</v>
      </c>
      <c r="B2149" s="10">
        <v>1406.4</v>
      </c>
    </row>
    <row r="2150" spans="1:2">
      <c r="A2150" s="86">
        <v>45613</v>
      </c>
      <c r="B2150" s="10">
        <v>1406.4</v>
      </c>
    </row>
    <row r="2151" spans="1:2">
      <c r="A2151" s="86">
        <v>45614</v>
      </c>
      <c r="B2151" s="10">
        <v>1402.8</v>
      </c>
    </row>
    <row r="2152" spans="1:2">
      <c r="A2152" s="86">
        <v>45615</v>
      </c>
      <c r="B2152" s="10">
        <v>1392.6</v>
      </c>
    </row>
    <row r="2153" spans="1:2">
      <c r="A2153" s="86">
        <v>45616</v>
      </c>
      <c r="B2153" s="10">
        <v>1392</v>
      </c>
    </row>
    <row r="2154" spans="1:2">
      <c r="A2154" s="86">
        <v>45617</v>
      </c>
      <c r="B2154" s="10">
        <v>1391.6</v>
      </c>
    </row>
    <row r="2155" spans="1:2">
      <c r="A2155" s="86">
        <v>45618</v>
      </c>
      <c r="B2155" s="10">
        <v>1398.1</v>
      </c>
    </row>
    <row r="2156" spans="1:2">
      <c r="A2156" s="86">
        <v>45619</v>
      </c>
      <c r="B2156" s="10">
        <v>1398.1</v>
      </c>
    </row>
    <row r="2157" spans="1:2">
      <c r="A2157" s="86">
        <v>45620</v>
      </c>
      <c r="B2157" s="10">
        <v>1398.1</v>
      </c>
    </row>
    <row r="2158" spans="1:2">
      <c r="A2158" s="86">
        <v>45621</v>
      </c>
      <c r="B2158" s="10">
        <v>1400.5</v>
      </c>
    </row>
    <row r="2159" spans="1:2">
      <c r="A2159" s="86">
        <v>45622</v>
      </c>
      <c r="B2159" s="10">
        <v>1398.2</v>
      </c>
    </row>
    <row r="2160" spans="1:2">
      <c r="A2160" s="86">
        <v>45623</v>
      </c>
      <c r="B2160" s="10">
        <v>1401.2</v>
      </c>
    </row>
    <row r="2161" spans="1:2">
      <c r="A2161" s="86">
        <v>45624</v>
      </c>
      <c r="B2161" s="10">
        <v>1396.8</v>
      </c>
    </row>
    <row r="2162" spans="1:2">
      <c r="A2162" s="86">
        <v>45625</v>
      </c>
      <c r="B2162" s="10">
        <v>1394.7</v>
      </c>
    </row>
    <row r="2163" spans="1:2">
      <c r="A2163" s="86">
        <v>45626</v>
      </c>
      <c r="B2163" s="10">
        <v>1394.7</v>
      </c>
    </row>
    <row r="2164" spans="1:2">
      <c r="A2164" s="86">
        <v>45627</v>
      </c>
      <c r="B2164" s="10">
        <v>1394.7</v>
      </c>
    </row>
    <row r="2165" spans="1:2">
      <c r="A2165" s="86">
        <v>45628</v>
      </c>
      <c r="B2165" s="10">
        <v>1395.1</v>
      </c>
    </row>
    <row r="2166" spans="1:2">
      <c r="A2166" s="86">
        <v>45629</v>
      </c>
      <c r="B2166" s="10">
        <v>1402</v>
      </c>
    </row>
    <row r="2167" spans="1:2">
      <c r="A2167" s="86">
        <v>45630</v>
      </c>
      <c r="B2167" s="10">
        <v>1403.4</v>
      </c>
    </row>
    <row r="2168" spans="1:2">
      <c r="A2168" s="86">
        <v>45631</v>
      </c>
      <c r="B2168" s="10">
        <v>1413</v>
      </c>
    </row>
    <row r="2169" spans="1:2">
      <c r="A2169" s="86">
        <v>45632</v>
      </c>
      <c r="B2169" s="10">
        <v>1414.9</v>
      </c>
    </row>
    <row r="2170" spans="1:2">
      <c r="A2170" s="86">
        <v>45633</v>
      </c>
      <c r="B2170" s="10">
        <v>1414.9</v>
      </c>
    </row>
    <row r="2171" spans="1:2">
      <c r="A2171" s="86">
        <v>45634</v>
      </c>
      <c r="B2171" s="10">
        <v>1414.9</v>
      </c>
    </row>
    <row r="2172" spans="1:2">
      <c r="A2172" s="86">
        <v>45635</v>
      </c>
      <c r="B2172" s="10">
        <v>1419.4</v>
      </c>
    </row>
    <row r="2173" spans="1:2">
      <c r="A2173" s="86">
        <v>45636</v>
      </c>
      <c r="B2173" s="10">
        <v>1433.2</v>
      </c>
    </row>
    <row r="2174" spans="1:2">
      <c r="A2174" s="86">
        <v>45637</v>
      </c>
      <c r="B2174" s="10">
        <v>1428.1</v>
      </c>
    </row>
    <row r="2175" spans="1:2">
      <c r="A2175" s="86">
        <v>45638</v>
      </c>
      <c r="B2175" s="10">
        <v>1431.4</v>
      </c>
    </row>
    <row r="2176" spans="1:2">
      <c r="A2176" s="86">
        <v>45639</v>
      </c>
      <c r="B2176" s="10">
        <v>1431.5</v>
      </c>
    </row>
    <row r="2177" spans="1:2">
      <c r="A2177" s="86">
        <v>45640</v>
      </c>
      <c r="B2177" s="10">
        <v>1431.5</v>
      </c>
    </row>
    <row r="2178" spans="1:2">
      <c r="A2178" s="86">
        <v>45641</v>
      </c>
      <c r="B2178" s="10">
        <v>1431.5</v>
      </c>
    </row>
    <row r="2179" spans="1:2">
      <c r="A2179" s="86">
        <v>45642</v>
      </c>
      <c r="B2179" s="10">
        <v>1432.7</v>
      </c>
    </row>
    <row r="2180" spans="1:2">
      <c r="A2180" s="86">
        <v>45643</v>
      </c>
      <c r="B2180" s="10">
        <v>1434.9</v>
      </c>
    </row>
    <row r="2181" spans="1:2">
      <c r="A2181" s="86">
        <v>45644</v>
      </c>
      <c r="B2181" s="10">
        <v>1436.6</v>
      </c>
    </row>
    <row r="2182" spans="1:2">
      <c r="A2182" s="86">
        <v>45645</v>
      </c>
      <c r="B2182" s="10">
        <v>1436.8</v>
      </c>
    </row>
    <row r="2183" spans="1:2">
      <c r="A2183" s="86">
        <v>45646</v>
      </c>
      <c r="B2183" s="10">
        <v>1449.7</v>
      </c>
    </row>
    <row r="2184" spans="1:2">
      <c r="A2184" s="86">
        <v>45647</v>
      </c>
      <c r="B2184" s="10">
        <v>1449.7</v>
      </c>
    </row>
    <row r="2185" spans="1:2">
      <c r="A2185" s="86">
        <v>45648</v>
      </c>
      <c r="B2185" s="10">
        <v>1449.7</v>
      </c>
    </row>
    <row r="2186" spans="1:2">
      <c r="A2186" s="86">
        <v>45649</v>
      </c>
      <c r="B2186" s="10">
        <v>1450.3</v>
      </c>
    </row>
    <row r="2187" spans="1:2">
      <c r="A2187" s="86">
        <v>45650</v>
      </c>
      <c r="B2187" s="10">
        <v>1449.3</v>
      </c>
    </row>
    <row r="2188" spans="1:2">
      <c r="A2188" s="86">
        <v>45651</v>
      </c>
      <c r="B2188" s="10">
        <v>1449.3</v>
      </c>
    </row>
    <row r="2189" spans="1:2">
      <c r="A2189" s="86">
        <v>45652</v>
      </c>
      <c r="B2189" s="10">
        <v>1453.6</v>
      </c>
    </row>
    <row r="2190" spans="1:2">
      <c r="A2190" s="86">
        <v>45653</v>
      </c>
      <c r="B2190" s="10">
        <v>1462.9</v>
      </c>
    </row>
    <row r="2191" spans="1:2">
      <c r="A2191" s="86">
        <v>45654</v>
      </c>
      <c r="B2191" s="10">
        <v>1462.9</v>
      </c>
    </row>
    <row r="2192" spans="1:2">
      <c r="A2192" s="86">
        <v>45655</v>
      </c>
      <c r="B2192" s="10">
        <v>1462.9</v>
      </c>
    </row>
    <row r="2193" spans="1:2">
      <c r="A2193" s="86">
        <v>45656</v>
      </c>
      <c r="B2193" s="10">
        <v>1474.1</v>
      </c>
    </row>
    <row r="2194" spans="1:2">
      <c r="A2194" s="86">
        <v>45657</v>
      </c>
      <c r="B2194" s="10">
        <v>1470</v>
      </c>
    </row>
    <row r="2195" spans="1:2">
      <c r="A2195" s="86">
        <v>45658</v>
      </c>
      <c r="B2195" s="10">
        <v>1470</v>
      </c>
    </row>
    <row r="2196" spans="1:2">
      <c r="A2196" s="86">
        <v>45659</v>
      </c>
      <c r="B2196" s="10">
        <v>1470</v>
      </c>
    </row>
    <row r="2197" spans="1:2">
      <c r="A2197" s="86">
        <v>45660</v>
      </c>
      <c r="B2197" s="10">
        <v>1468.3</v>
      </c>
    </row>
    <row r="2198" spans="1:2">
      <c r="A2198" s="86">
        <v>45661</v>
      </c>
      <c r="B2198" s="10">
        <v>1468.3</v>
      </c>
    </row>
    <row r="2199" spans="1:2">
      <c r="A2199" s="86">
        <v>45662</v>
      </c>
      <c r="B2199" s="10">
        <v>1468.3</v>
      </c>
    </row>
    <row r="2200" spans="1:2">
      <c r="A2200" s="86">
        <v>45663</v>
      </c>
      <c r="B2200" s="10">
        <v>1466.8</v>
      </c>
    </row>
    <row r="2201" spans="1:2">
      <c r="A2201" s="86">
        <v>45664</v>
      </c>
      <c r="B2201" s="10">
        <v>1470.8</v>
      </c>
    </row>
    <row r="2202" spans="1:2">
      <c r="A2202" s="86">
        <v>45665</v>
      </c>
      <c r="B2202" s="10">
        <v>1455.4</v>
      </c>
    </row>
    <row r="2203" spans="1:2">
      <c r="A2203" s="86">
        <v>45666</v>
      </c>
      <c r="B2203" s="10">
        <v>1453.2</v>
      </c>
    </row>
    <row r="2204" spans="1:2">
      <c r="A2204" s="86">
        <v>45667</v>
      </c>
      <c r="B2204" s="10">
        <v>1458.2</v>
      </c>
    </row>
    <row r="2205" spans="1:2">
      <c r="A2205" s="86">
        <v>45668</v>
      </c>
      <c r="B2205" s="10">
        <v>1458.2</v>
      </c>
    </row>
    <row r="2206" spans="1:2">
      <c r="A2206" s="86">
        <v>45669</v>
      </c>
      <c r="B2206" s="10">
        <v>1458.2</v>
      </c>
    </row>
    <row r="2207" spans="1:2">
      <c r="A2207" s="86">
        <v>45670</v>
      </c>
      <c r="B2207" s="10">
        <v>1460.7</v>
      </c>
    </row>
    <row r="2208" spans="1:2">
      <c r="A2208" s="86">
        <v>45671</v>
      </c>
      <c r="B2208" s="10">
        <v>1471.3</v>
      </c>
    </row>
    <row r="2209" spans="1:2">
      <c r="A2209" s="86">
        <v>45672</v>
      </c>
      <c r="B2209" s="10">
        <v>1463.3</v>
      </c>
    </row>
    <row r="2210" spans="1:2">
      <c r="A2210" s="86">
        <v>45673</v>
      </c>
      <c r="B2210" s="10">
        <v>1460.2</v>
      </c>
    </row>
    <row r="2211" spans="1:2">
      <c r="A2211" s="86">
        <v>45674</v>
      </c>
      <c r="B2211" s="10">
        <v>1454.7</v>
      </c>
    </row>
    <row r="2212" spans="1:2">
      <c r="A2212" s="86">
        <v>45675</v>
      </c>
      <c r="B2212" s="10">
        <v>1454.7</v>
      </c>
    </row>
    <row r="2213" spans="1:2">
      <c r="A2213" s="86">
        <v>45676</v>
      </c>
      <c r="B2213" s="10">
        <v>1454.7</v>
      </c>
    </row>
    <row r="2214" spans="1:2">
      <c r="A2214" s="86">
        <v>45677</v>
      </c>
      <c r="B2214" s="10">
        <v>1455.8</v>
      </c>
    </row>
    <row r="2215" spans="1:2">
      <c r="A2215" s="86">
        <v>45678</v>
      </c>
      <c r="B2215" s="10">
        <v>1453</v>
      </c>
    </row>
    <row r="2216" spans="1:2">
      <c r="A2216" s="86">
        <v>45679</v>
      </c>
      <c r="B2216" s="10">
        <v>1437.9</v>
      </c>
    </row>
    <row r="2217" spans="1:2">
      <c r="A2217" s="86">
        <v>45680</v>
      </c>
      <c r="B2217" s="10">
        <v>1434.3</v>
      </c>
    </row>
    <row r="2218" spans="1:2">
      <c r="A2218" s="86">
        <v>45681</v>
      </c>
      <c r="B2218" s="10">
        <v>1437.1</v>
      </c>
    </row>
    <row r="2219" spans="1:2">
      <c r="A2219" s="86">
        <v>45682</v>
      </c>
      <c r="B2219" s="10">
        <v>1437.1</v>
      </c>
    </row>
    <row r="2220" spans="1:2">
      <c r="A2220" s="86">
        <v>45683</v>
      </c>
      <c r="B2220" s="10">
        <v>1437.1</v>
      </c>
    </row>
    <row r="2221" spans="1:2">
      <c r="A2221" s="86">
        <v>45684</v>
      </c>
      <c r="B2221" s="10">
        <v>1437.1</v>
      </c>
    </row>
    <row r="2222" spans="1:2">
      <c r="A2222" s="86">
        <v>45685</v>
      </c>
      <c r="B2222" s="10">
        <v>1437.1</v>
      </c>
    </row>
    <row r="2223" spans="1:2">
      <c r="A2223" s="86">
        <v>45686</v>
      </c>
      <c r="B2223" s="10">
        <v>1437.1</v>
      </c>
    </row>
    <row r="2224" spans="1:2">
      <c r="A2224" s="86">
        <v>45687</v>
      </c>
      <c r="B2224" s="10">
        <v>1437.1</v>
      </c>
    </row>
    <row r="2225" spans="1:7">
      <c r="A2225" s="86">
        <v>45688</v>
      </c>
      <c r="B2225" s="10">
        <v>1433.3</v>
      </c>
    </row>
    <row r="2226" spans="1:7">
      <c r="A2226" s="86">
        <v>45689</v>
      </c>
      <c r="B2226" s="79">
        <v>1433.3</v>
      </c>
      <c r="E2226" s="13"/>
      <c r="G2226"/>
    </row>
    <row r="2227" spans="1:7">
      <c r="A2227" s="86">
        <v>45690</v>
      </c>
      <c r="B2227" s="79">
        <v>1433.3</v>
      </c>
      <c r="E2227" s="13"/>
      <c r="G2227"/>
    </row>
    <row r="2228" spans="1:7">
      <c r="A2228" s="86">
        <v>45691</v>
      </c>
      <c r="B2228" s="79">
        <v>1453</v>
      </c>
      <c r="D2228" s="451"/>
      <c r="E2228" s="13"/>
      <c r="F2228" s="452"/>
      <c r="G2228"/>
    </row>
    <row r="2229" spans="1:7">
      <c r="A2229" s="86">
        <v>45692</v>
      </c>
      <c r="B2229" s="79">
        <v>1469.2</v>
      </c>
      <c r="D2229" s="451"/>
      <c r="E2229" s="13"/>
      <c r="F2229" s="452"/>
      <c r="G2229"/>
    </row>
    <row r="2230" spans="1:7">
      <c r="A2230" s="86">
        <v>45693</v>
      </c>
      <c r="B2230" s="79">
        <v>1460.8</v>
      </c>
      <c r="D2230" s="451"/>
      <c r="E2230" s="13"/>
      <c r="F2230" s="452"/>
      <c r="G2230"/>
    </row>
    <row r="2231" spans="1:7">
      <c r="A2231" s="86">
        <v>45694</v>
      </c>
      <c r="B2231" s="79">
        <v>1450</v>
      </c>
      <c r="D2231" s="451"/>
      <c r="E2231" s="13"/>
      <c r="F2231" s="452"/>
      <c r="G2231"/>
    </row>
    <row r="2232" spans="1:7">
      <c r="A2232" s="86">
        <v>45695</v>
      </c>
      <c r="B2232" s="79">
        <v>1447.1</v>
      </c>
      <c r="D2232" s="451"/>
      <c r="E2232" s="13"/>
      <c r="F2232" s="452"/>
      <c r="G2232"/>
    </row>
    <row r="2233" spans="1:7">
      <c r="A2233" s="86">
        <v>45696</v>
      </c>
      <c r="B2233" s="79">
        <v>1447.1</v>
      </c>
      <c r="D2233" s="451"/>
      <c r="E2233" s="13"/>
      <c r="F2233" s="452"/>
      <c r="G2233"/>
    </row>
    <row r="2234" spans="1:7">
      <c r="A2234" s="86">
        <v>45697</v>
      </c>
      <c r="B2234" s="79">
        <v>1447.1</v>
      </c>
      <c r="D2234" s="451"/>
      <c r="E2234" s="13"/>
      <c r="F2234" s="452"/>
      <c r="G2234"/>
    </row>
    <row r="2235" spans="1:7">
      <c r="A2235" s="86">
        <v>45698</v>
      </c>
      <c r="B2235" s="79">
        <v>1447.4</v>
      </c>
      <c r="D2235" s="451"/>
      <c r="E2235" s="13"/>
      <c r="F2235" s="452"/>
      <c r="G2235"/>
    </row>
    <row r="2236" spans="1:7">
      <c r="A2236" s="86">
        <v>45699</v>
      </c>
      <c r="B2236" s="79">
        <v>1453.4</v>
      </c>
      <c r="D2236" s="451"/>
      <c r="E2236" s="13"/>
      <c r="F2236" s="452"/>
      <c r="G2236"/>
    </row>
    <row r="2237" spans="1:7">
      <c r="A2237" s="86">
        <v>45700</v>
      </c>
      <c r="B2237" s="79">
        <v>1453.5</v>
      </c>
      <c r="D2237" s="451"/>
      <c r="E2237" s="13"/>
      <c r="F2237" s="452"/>
      <c r="G2237"/>
    </row>
    <row r="2238" spans="1:7">
      <c r="A2238" s="86">
        <v>45701</v>
      </c>
      <c r="B2238" s="79">
        <v>1452.6</v>
      </c>
      <c r="D2238" s="451"/>
      <c r="E2238" s="13"/>
      <c r="F2238" s="452"/>
      <c r="G2238"/>
    </row>
    <row r="2239" spans="1:7">
      <c r="A2239" s="86">
        <v>45702</v>
      </c>
      <c r="B2239" s="79">
        <v>1450.5</v>
      </c>
      <c r="D2239" s="451"/>
      <c r="E2239" s="13"/>
      <c r="F2239" s="452"/>
      <c r="G2239"/>
    </row>
    <row r="2240" spans="1:7">
      <c r="A2240" s="86">
        <v>45703</v>
      </c>
      <c r="B2240" s="79">
        <v>1450.5</v>
      </c>
      <c r="D2240" s="451"/>
      <c r="E2240" s="13"/>
      <c r="F2240" s="452"/>
      <c r="G2240"/>
    </row>
    <row r="2241" spans="1:7">
      <c r="A2241" s="86">
        <v>45704</v>
      </c>
      <c r="B2241" s="79">
        <v>1450.5</v>
      </c>
      <c r="D2241" s="451"/>
      <c r="E2241" s="13"/>
      <c r="F2241" s="452"/>
      <c r="G2241"/>
    </row>
    <row r="2242" spans="1:7">
      <c r="A2242" s="86">
        <v>45705</v>
      </c>
      <c r="B2242" s="79">
        <v>1443.3</v>
      </c>
      <c r="D2242" s="451"/>
      <c r="E2242" s="13"/>
      <c r="F2242" s="452"/>
      <c r="G2242"/>
    </row>
    <row r="2243" spans="1:7">
      <c r="A2243" s="86">
        <v>45706</v>
      </c>
      <c r="B2243" s="79">
        <v>1441.1</v>
      </c>
      <c r="D2243" s="451"/>
      <c r="E2243" s="13"/>
      <c r="F2243" s="452"/>
      <c r="G2243"/>
    </row>
    <row r="2244" spans="1:7">
      <c r="A2244" s="86">
        <v>45707</v>
      </c>
      <c r="B2244" s="79">
        <v>1443.9</v>
      </c>
      <c r="D2244" s="451"/>
      <c r="E2244" s="13"/>
      <c r="F2244" s="452"/>
      <c r="G2244"/>
    </row>
    <row r="2245" spans="1:7">
      <c r="A2245" s="86">
        <v>45708</v>
      </c>
      <c r="B2245" s="79">
        <v>1440.6</v>
      </c>
      <c r="D2245" s="451"/>
      <c r="E2245" s="13"/>
      <c r="F2245" s="452"/>
      <c r="G2245"/>
    </row>
    <row r="2246" spans="1:7">
      <c r="A2246" s="86">
        <v>45709</v>
      </c>
      <c r="B2246" s="79">
        <v>1439.4</v>
      </c>
      <c r="D2246" s="451"/>
      <c r="E2246" s="13"/>
      <c r="F2246" s="452"/>
      <c r="G2246"/>
    </row>
    <row r="2247" spans="1:7">
      <c r="A2247" s="86">
        <v>45710</v>
      </c>
      <c r="B2247" s="79">
        <v>1439.4</v>
      </c>
      <c r="D2247" s="451"/>
      <c r="E2247" s="13"/>
      <c r="F2247" s="452"/>
      <c r="G2247"/>
    </row>
    <row r="2248" spans="1:7">
      <c r="A2248" s="86">
        <v>45711</v>
      </c>
      <c r="B2248" s="79">
        <v>1439.4</v>
      </c>
      <c r="D2248" s="451"/>
      <c r="E2248" s="13"/>
      <c r="F2248" s="452"/>
      <c r="G2248"/>
    </row>
    <row r="2249" spans="1:7">
      <c r="A2249" s="86">
        <v>45712</v>
      </c>
      <c r="B2249" s="79">
        <v>1434.1</v>
      </c>
      <c r="D2249" s="451"/>
      <c r="E2249" s="13"/>
      <c r="F2249" s="452"/>
      <c r="G2249"/>
    </row>
    <row r="2250" spans="1:7">
      <c r="A2250" s="86">
        <v>45713</v>
      </c>
      <c r="B2250" s="79">
        <v>1429.2</v>
      </c>
      <c r="D2250" s="451"/>
      <c r="E2250" s="13"/>
      <c r="F2250" s="452"/>
      <c r="G2250"/>
    </row>
    <row r="2251" spans="1:7">
      <c r="A2251" s="86">
        <v>45714</v>
      </c>
      <c r="B2251" s="79">
        <v>1430.7</v>
      </c>
      <c r="D2251" s="451"/>
      <c r="E2251" s="13"/>
      <c r="F2251" s="452"/>
      <c r="G2251"/>
    </row>
    <row r="2252" spans="1:7">
      <c r="A2252" s="86">
        <v>45715</v>
      </c>
      <c r="B2252" s="79">
        <v>1431.8</v>
      </c>
      <c r="D2252" s="451"/>
      <c r="E2252" s="13"/>
      <c r="F2252" s="452"/>
      <c r="G2252"/>
    </row>
    <row r="2253" spans="1:7">
      <c r="A2253" s="86">
        <v>45716</v>
      </c>
      <c r="B2253" s="79">
        <v>1439.6</v>
      </c>
      <c r="D2253" s="451"/>
      <c r="E2253" s="13"/>
      <c r="F2253" s="452"/>
      <c r="G2253"/>
    </row>
    <row r="2254" spans="1:7">
      <c r="A2254" s="544" t="s">
        <v>2493</v>
      </c>
      <c r="B2254" s="545"/>
      <c r="D2254" s="516"/>
      <c r="E2254" s="13"/>
      <c r="F2254" s="516"/>
      <c r="G2254"/>
    </row>
    <row r="2255" spans="1:7">
      <c r="A2255" s="86">
        <v>45717</v>
      </c>
      <c r="B2255" s="10">
        <v>1439.6</v>
      </c>
      <c r="E2255" s="13"/>
      <c r="G2255"/>
    </row>
    <row r="2256" spans="1:7">
      <c r="A2256" s="86">
        <v>45718</v>
      </c>
      <c r="B2256" s="10">
        <v>1439.6</v>
      </c>
    </row>
    <row r="2257" spans="1:2">
      <c r="A2257" s="86">
        <v>45719</v>
      </c>
      <c r="B2257" s="10">
        <v>1439.6</v>
      </c>
    </row>
    <row r="2258" spans="1:2">
      <c r="A2258" s="86">
        <v>45720</v>
      </c>
      <c r="B2258" s="10">
        <v>1458.7</v>
      </c>
    </row>
    <row r="2259" spans="1:2">
      <c r="A2259" s="86">
        <v>45721</v>
      </c>
      <c r="B2259" s="10">
        <v>1459.6</v>
      </c>
    </row>
    <row r="2260" spans="1:2">
      <c r="A2260" s="86">
        <v>45722</v>
      </c>
      <c r="B2260" s="10">
        <v>1456</v>
      </c>
    </row>
    <row r="2261" spans="1:2">
      <c r="A2261" s="86">
        <v>45723</v>
      </c>
      <c r="B2261" s="10">
        <v>1441.6</v>
      </c>
    </row>
    <row r="2262" spans="1:2">
      <c r="A2262" s="86">
        <v>45724</v>
      </c>
      <c r="B2262" s="10">
        <v>1441.6</v>
      </c>
    </row>
    <row r="2263" spans="1:2">
      <c r="A2263" s="86">
        <v>45725</v>
      </c>
      <c r="B2263" s="10">
        <v>1441.6</v>
      </c>
    </row>
    <row r="2264" spans="1:2">
      <c r="A2264" s="86">
        <v>45726</v>
      </c>
      <c r="B2264" s="10">
        <v>1446.3</v>
      </c>
    </row>
    <row r="2265" spans="1:2">
      <c r="A2265" s="86">
        <v>45727</v>
      </c>
      <c r="B2265" s="10">
        <v>1451.5</v>
      </c>
    </row>
    <row r="2266" spans="1:2">
      <c r="A2266" s="86">
        <v>45728</v>
      </c>
      <c r="B2266" s="10">
        <v>1457.9</v>
      </c>
    </row>
    <row r="2267" spans="1:2">
      <c r="A2267" s="86">
        <v>45729</v>
      </c>
      <c r="B2267" s="10">
        <v>1452</v>
      </c>
    </row>
    <row r="2268" spans="1:2">
      <c r="A2268" s="86">
        <v>45730</v>
      </c>
      <c r="B2268" s="10">
        <v>1451.9</v>
      </c>
    </row>
    <row r="2269" spans="1:2">
      <c r="A2269" s="86">
        <v>45731</v>
      </c>
      <c r="B2269" s="10">
        <v>1451.9</v>
      </c>
    </row>
    <row r="2270" spans="1:2">
      <c r="A2270" s="86">
        <v>45732</v>
      </c>
      <c r="B2270" s="10">
        <v>1451.9</v>
      </c>
    </row>
    <row r="2271" spans="1:2">
      <c r="A2271" s="86">
        <v>45733</v>
      </c>
      <c r="B2271" s="10">
        <v>1454.8</v>
      </c>
    </row>
    <row r="2272" spans="1:2">
      <c r="A2272" s="86">
        <v>45734</v>
      </c>
      <c r="B2272" s="10">
        <v>1448</v>
      </c>
    </row>
    <row r="2273" spans="1:2">
      <c r="A2273" s="86">
        <v>45735</v>
      </c>
      <c r="B2273" s="10">
        <v>1447.1</v>
      </c>
    </row>
    <row r="2274" spans="1:2">
      <c r="A2274" s="86">
        <v>45736</v>
      </c>
      <c r="B2274" s="10">
        <v>1452.3</v>
      </c>
    </row>
    <row r="2275" spans="1:2">
      <c r="A2275" s="86">
        <v>45737</v>
      </c>
      <c r="B2275" s="10">
        <v>1459.2</v>
      </c>
    </row>
    <row r="2276" spans="1:2">
      <c r="A2276" s="86">
        <v>45738</v>
      </c>
      <c r="B2276" s="10">
        <v>1459.2</v>
      </c>
    </row>
    <row r="2277" spans="1:2">
      <c r="A2277" s="86">
        <v>45739</v>
      </c>
      <c r="B2277" s="10">
        <v>1459.2</v>
      </c>
    </row>
    <row r="2278" spans="1:2">
      <c r="A2278" s="86">
        <v>45740</v>
      </c>
      <c r="B2278" s="10">
        <v>1466.9</v>
      </c>
    </row>
    <row r="2279" spans="1:2">
      <c r="A2279" s="86">
        <v>45741</v>
      </c>
      <c r="B2279" s="10">
        <v>1466.9</v>
      </c>
    </row>
    <row r="2280" spans="1:2">
      <c r="A2280" s="86">
        <v>45742</v>
      </c>
      <c r="B2280" s="10">
        <v>1469.6</v>
      </c>
    </row>
    <row r="2281" spans="1:2">
      <c r="A2281" s="86">
        <v>45743</v>
      </c>
      <c r="B2281" s="10">
        <v>1465.3</v>
      </c>
    </row>
    <row r="2282" spans="1:2">
      <c r="A2282" s="86">
        <v>45744</v>
      </c>
      <c r="B2282" s="10">
        <v>1466.8</v>
      </c>
    </row>
    <row r="2283" spans="1:2">
      <c r="A2283" s="86">
        <v>45745</v>
      </c>
      <c r="B2283" s="10">
        <v>1466.8</v>
      </c>
    </row>
    <row r="2284" spans="1:2">
      <c r="A2284" s="86">
        <v>45746</v>
      </c>
      <c r="B2284" s="10">
        <v>1466.8</v>
      </c>
    </row>
    <row r="2285" spans="1:2">
      <c r="A2285" s="86">
        <v>45747</v>
      </c>
      <c r="B2285" s="10">
        <v>1466.5</v>
      </c>
    </row>
    <row r="2286" spans="1:2">
      <c r="A2286" s="86">
        <v>45748</v>
      </c>
      <c r="B2286" s="10">
        <v>1470.6</v>
      </c>
    </row>
    <row r="2287" spans="1:2">
      <c r="A2287" s="86">
        <v>45749</v>
      </c>
      <c r="B2287" s="10">
        <v>1471.7</v>
      </c>
    </row>
    <row r="2288" spans="1:2">
      <c r="A2288" s="86">
        <v>45750</v>
      </c>
      <c r="B2288" s="10">
        <v>1467.8</v>
      </c>
    </row>
    <row r="2289" spans="1:2">
      <c r="A2289" s="86">
        <v>45751</v>
      </c>
      <c r="B2289" s="10">
        <v>1467</v>
      </c>
    </row>
    <row r="2290" spans="1:2">
      <c r="A2290" s="86">
        <v>45752</v>
      </c>
      <c r="B2290" s="10">
        <v>1467</v>
      </c>
    </row>
    <row r="2291" spans="1:2">
      <c r="A2291" s="86">
        <v>45753</v>
      </c>
      <c r="B2291" s="10">
        <v>1467</v>
      </c>
    </row>
    <row r="2292" spans="1:2">
      <c r="A2292" s="86">
        <v>45754</v>
      </c>
      <c r="B2292" s="10">
        <v>1439.3</v>
      </c>
    </row>
    <row r="2293" spans="1:2">
      <c r="A2293" s="86">
        <v>45755</v>
      </c>
      <c r="B2293" s="10">
        <v>1465.9</v>
      </c>
    </row>
    <row r="2294" spans="1:2">
      <c r="A2294" s="86">
        <v>45756</v>
      </c>
      <c r="B2294" s="10">
        <v>1470.2</v>
      </c>
    </row>
    <row r="2295" spans="1:2">
      <c r="A2295" s="86">
        <v>45757</v>
      </c>
      <c r="B2295" s="10">
        <v>1482.9</v>
      </c>
    </row>
    <row r="2296" spans="1:2">
      <c r="A2296" s="86">
        <v>45758</v>
      </c>
      <c r="B2296" s="10">
        <v>1458.5</v>
      </c>
    </row>
    <row r="2297" spans="1:2">
      <c r="A2297" s="86">
        <v>45759</v>
      </c>
      <c r="B2297" s="10">
        <v>1458.5</v>
      </c>
    </row>
    <row r="2298" spans="1:2">
      <c r="A2298" s="86">
        <v>45760</v>
      </c>
      <c r="B2298" s="10">
        <v>1458.5</v>
      </c>
    </row>
    <row r="2299" spans="1:2">
      <c r="A2299" s="86">
        <v>45761</v>
      </c>
      <c r="B2299" s="10">
        <v>1450.8</v>
      </c>
    </row>
    <row r="2300" spans="1:2">
      <c r="A2300" s="86">
        <v>45762</v>
      </c>
      <c r="B2300" s="10">
        <v>1427.4</v>
      </c>
    </row>
    <row r="2301" spans="1:2">
      <c r="A2301" s="86">
        <v>45763</v>
      </c>
      <c r="B2301" s="10">
        <v>1423.3</v>
      </c>
    </row>
    <row r="2302" spans="1:2">
      <c r="A2302" s="86">
        <v>45764</v>
      </c>
      <c r="B2302" s="10">
        <v>1427.3</v>
      </c>
    </row>
    <row r="2303" spans="1:2">
      <c r="A2303" s="86">
        <v>45765</v>
      </c>
      <c r="B2303" s="10">
        <v>1419.9</v>
      </c>
    </row>
    <row r="2304" spans="1:2">
      <c r="A2304" s="86">
        <v>45766</v>
      </c>
      <c r="B2304" s="10">
        <v>1419.9</v>
      </c>
    </row>
    <row r="2305" spans="1:2">
      <c r="A2305" s="86">
        <v>45767</v>
      </c>
      <c r="B2305" s="10">
        <v>1419.9</v>
      </c>
    </row>
    <row r="2306" spans="1:2">
      <c r="A2306" s="86">
        <v>45768</v>
      </c>
      <c r="B2306" s="10">
        <v>1421.5</v>
      </c>
    </row>
    <row r="2307" spans="1:2">
      <c r="A2307" s="86">
        <v>45769</v>
      </c>
      <c r="B2307" s="10">
        <v>1418.9</v>
      </c>
    </row>
    <row r="2308" spans="1:2">
      <c r="A2308" s="86">
        <v>45770</v>
      </c>
      <c r="B2308" s="10">
        <v>1422.6</v>
      </c>
    </row>
    <row r="2309" spans="1:2">
      <c r="A2309" s="86">
        <v>45771</v>
      </c>
      <c r="B2309" s="10">
        <v>1426.6</v>
      </c>
    </row>
    <row r="2310" spans="1:2">
      <c r="A2310" s="86">
        <v>45772</v>
      </c>
      <c r="B2310" s="10">
        <v>1430.2</v>
      </c>
    </row>
    <row r="2311" spans="1:2">
      <c r="A2311" s="86">
        <v>45773</v>
      </c>
      <c r="B2311" s="10">
        <v>1430.2</v>
      </c>
    </row>
    <row r="2312" spans="1:2">
      <c r="A2312" s="86">
        <v>45774</v>
      </c>
      <c r="B2312" s="10">
        <v>1430.2</v>
      </c>
    </row>
    <row r="2313" spans="1:2">
      <c r="A2313" s="86">
        <v>45775</v>
      </c>
      <c r="B2313" s="10">
        <v>1434.6</v>
      </c>
    </row>
    <row r="2314" spans="1:2">
      <c r="A2314" s="86">
        <v>45776</v>
      </c>
      <c r="B2314" s="10">
        <v>1439.3</v>
      </c>
    </row>
    <row r="2315" spans="1:2">
      <c r="A2315" s="86">
        <v>45777</v>
      </c>
      <c r="B2315" s="10">
        <v>1438.5</v>
      </c>
    </row>
    <row r="2316" spans="1:2">
      <c r="A2316" s="86">
        <v>45778</v>
      </c>
      <c r="B2316" s="10">
        <v>1438.5</v>
      </c>
    </row>
    <row r="2317" spans="1:2">
      <c r="A2317" s="86">
        <v>45779</v>
      </c>
      <c r="B2317" s="10">
        <v>1426.9</v>
      </c>
    </row>
    <row r="2318" spans="1:2">
      <c r="A2318" s="86">
        <v>45780</v>
      </c>
      <c r="B2318" s="10">
        <v>1426.9</v>
      </c>
    </row>
    <row r="2319" spans="1:2">
      <c r="A2319" s="86">
        <v>45781</v>
      </c>
      <c r="B2319" s="10">
        <v>1426.9</v>
      </c>
    </row>
    <row r="2320" spans="1:2">
      <c r="A2320" s="86">
        <v>45782</v>
      </c>
      <c r="B2320" s="10">
        <v>1426.9</v>
      </c>
    </row>
    <row r="2321" spans="1:2">
      <c r="A2321" s="86">
        <v>45783</v>
      </c>
      <c r="B2321" s="10">
        <v>1426.9</v>
      </c>
    </row>
    <row r="2322" spans="1:2">
      <c r="A2322" s="86">
        <v>45784</v>
      </c>
      <c r="B2322" s="10">
        <v>1426.6</v>
      </c>
    </row>
    <row r="2323" spans="1:2">
      <c r="A2323" s="86">
        <v>45785</v>
      </c>
      <c r="B2323" s="10">
        <v>1394.1</v>
      </c>
    </row>
    <row r="2324" spans="1:2">
      <c r="A2324" s="86">
        <v>45786</v>
      </c>
      <c r="B2324" s="10">
        <v>1396</v>
      </c>
    </row>
    <row r="2325" spans="1:2">
      <c r="A2325" s="86">
        <v>45787</v>
      </c>
      <c r="B2325" s="10">
        <v>1396</v>
      </c>
    </row>
    <row r="2326" spans="1:2">
      <c r="A2326" s="86">
        <v>45788</v>
      </c>
      <c r="B2326" s="10">
        <v>1396</v>
      </c>
    </row>
    <row r="2327" spans="1:2">
      <c r="A2327" s="86">
        <v>45789</v>
      </c>
      <c r="B2327" s="10">
        <v>1405.6</v>
      </c>
    </row>
    <row r="2328" spans="1:2">
      <c r="A2328" s="86">
        <v>45790</v>
      </c>
      <c r="B2328" s="10">
        <v>1400.4</v>
      </c>
    </row>
    <row r="2329" spans="1:2">
      <c r="A2329" s="86">
        <v>45791</v>
      </c>
      <c r="B2329" s="10">
        <v>1413.7</v>
      </c>
    </row>
    <row r="2330" spans="1:2">
      <c r="A2330" s="86">
        <v>45792</v>
      </c>
      <c r="B2330" s="10">
        <v>1415.8</v>
      </c>
    </row>
    <row r="2331" spans="1:2">
      <c r="A2331" s="86">
        <v>45793</v>
      </c>
      <c r="B2331" s="10">
        <v>1399.6</v>
      </c>
    </row>
    <row r="2332" spans="1:2">
      <c r="A2332" s="86">
        <v>45794</v>
      </c>
      <c r="B2332" s="10">
        <v>1399.6</v>
      </c>
    </row>
    <row r="2333" spans="1:2">
      <c r="A2333" s="86">
        <v>45795</v>
      </c>
      <c r="B2333" s="10">
        <v>1399.6</v>
      </c>
    </row>
    <row r="2334" spans="1:2">
      <c r="A2334" s="86">
        <v>45796</v>
      </c>
      <c r="B2334" s="10">
        <v>1394.3</v>
      </c>
    </row>
    <row r="2335" spans="1:2">
      <c r="A2335" s="86">
        <v>45797</v>
      </c>
      <c r="B2335" s="10">
        <v>1398</v>
      </c>
    </row>
    <row r="2336" spans="1:2">
      <c r="A2336" s="86">
        <v>45798</v>
      </c>
      <c r="B2336" s="10">
        <v>1392.6</v>
      </c>
    </row>
    <row r="2337" spans="1:3">
      <c r="A2337" s="86">
        <v>45799</v>
      </c>
      <c r="B2337" s="10">
        <v>1387.1</v>
      </c>
    </row>
    <row r="2338" spans="1:3">
      <c r="A2338" s="86">
        <v>45800</v>
      </c>
      <c r="B2338" s="10">
        <v>1378.4</v>
      </c>
    </row>
    <row r="2339" spans="1:3">
      <c r="A2339" s="86">
        <v>45801</v>
      </c>
      <c r="B2339" s="10">
        <v>1378.4</v>
      </c>
    </row>
    <row r="2340" spans="1:3">
      <c r="A2340" s="86">
        <v>45802</v>
      </c>
      <c r="B2340" s="10">
        <v>1378.4</v>
      </c>
    </row>
    <row r="2341" spans="1:3">
      <c r="A2341" s="86">
        <v>45803</v>
      </c>
      <c r="B2341" s="10">
        <v>1376.9</v>
      </c>
    </row>
    <row r="2342" spans="1:3">
      <c r="A2342" s="86">
        <v>45804</v>
      </c>
      <c r="B2342" s="10">
        <v>1365</v>
      </c>
    </row>
    <row r="2343" spans="1:3">
      <c r="A2343" s="86">
        <v>45805</v>
      </c>
      <c r="B2343" s="10">
        <v>1368.3</v>
      </c>
    </row>
    <row r="2344" spans="1:3">
      <c r="A2344" s="86">
        <v>45806</v>
      </c>
      <c r="B2344" s="10">
        <v>1374.6</v>
      </c>
      <c r="C2344" s="23"/>
    </row>
    <row r="2345" spans="1:3">
      <c r="A2345" s="86">
        <v>45807</v>
      </c>
      <c r="B2345" s="10">
        <v>1381.4</v>
      </c>
    </row>
    <row r="2346" spans="1:3">
      <c r="A2346" s="86">
        <v>45808</v>
      </c>
      <c r="B2346" s="10">
        <f>B2345</f>
        <v>1381.4</v>
      </c>
    </row>
    <row r="2347" spans="1:3">
      <c r="A2347" s="86">
        <v>45809</v>
      </c>
      <c r="B2347" s="10">
        <f>B2345</f>
        <v>1381.4</v>
      </c>
    </row>
    <row r="2348" spans="1:3">
      <c r="A2348" s="86">
        <v>45810</v>
      </c>
      <c r="B2348" s="10">
        <v>1375.7</v>
      </c>
    </row>
    <row r="2349" spans="1:3">
      <c r="A2349" s="86">
        <v>45811</v>
      </c>
      <c r="B2349" s="10">
        <v>1375.7</v>
      </c>
    </row>
    <row r="2350" spans="1:3">
      <c r="A2350" s="86">
        <v>45812</v>
      </c>
      <c r="B2350" s="10">
        <v>1376.9</v>
      </c>
    </row>
    <row r="2351" spans="1:3">
      <c r="A2351" s="86">
        <v>45813</v>
      </c>
      <c r="B2351" s="10">
        <v>1373.8</v>
      </c>
    </row>
    <row r="2352" spans="1:3">
      <c r="A2352" s="86">
        <v>45814</v>
      </c>
      <c r="B2352" s="10">
        <v>1373.8</v>
      </c>
    </row>
    <row r="2353" spans="1:2">
      <c r="A2353" s="86">
        <v>45815</v>
      </c>
      <c r="B2353" s="10">
        <v>1373.8</v>
      </c>
    </row>
    <row r="2354" spans="1:2">
      <c r="A2354" s="86">
        <v>45816</v>
      </c>
      <c r="B2354" s="10">
        <v>1373.8</v>
      </c>
    </row>
    <row r="2355" spans="1:2">
      <c r="A2355" s="86">
        <v>45817</v>
      </c>
      <c r="B2355" s="10">
        <v>1359</v>
      </c>
    </row>
    <row r="2356" spans="1:2">
      <c r="A2356" s="86">
        <v>45818</v>
      </c>
      <c r="B2356" s="10">
        <v>1358.9</v>
      </c>
    </row>
    <row r="2357" spans="1:2">
      <c r="A2357" s="86">
        <v>45819</v>
      </c>
      <c r="B2357" s="10">
        <v>1359.9</v>
      </c>
    </row>
    <row r="2358" spans="1:2">
      <c r="A2358" s="86">
        <v>45820</v>
      </c>
      <c r="B2358" s="10">
        <v>1368.8</v>
      </c>
    </row>
    <row r="2359" spans="1:2">
      <c r="A2359" s="86">
        <v>45821</v>
      </c>
      <c r="B2359" s="10">
        <v>1362.9</v>
      </c>
    </row>
    <row r="2360" spans="1:2">
      <c r="A2360" s="86">
        <v>45822</v>
      </c>
      <c r="B2360" s="10">
        <v>1362.9</v>
      </c>
    </row>
    <row r="2361" spans="1:2">
      <c r="A2361" s="86">
        <v>45823</v>
      </c>
      <c r="B2361" s="10">
        <v>1362.9</v>
      </c>
    </row>
    <row r="2362" spans="1:2">
      <c r="A2362" s="86">
        <v>45824</v>
      </c>
      <c r="B2362" s="10">
        <v>1366.8</v>
      </c>
    </row>
    <row r="2363" spans="1:2">
      <c r="A2363" s="86">
        <v>45825</v>
      </c>
      <c r="B2363" s="10">
        <v>1363.6</v>
      </c>
    </row>
    <row r="2364" spans="1:2">
      <c r="A2364" s="86">
        <v>45826</v>
      </c>
      <c r="B2364" s="10">
        <v>1361.7</v>
      </c>
    </row>
    <row r="2365" spans="1:2">
      <c r="A2365" s="86">
        <v>45827</v>
      </c>
      <c r="B2365" s="10">
        <v>1373.2</v>
      </c>
    </row>
    <row r="2366" spans="1:2">
      <c r="A2366" s="86">
        <v>45828</v>
      </c>
      <c r="B2366" s="10">
        <v>1379.6</v>
      </c>
    </row>
    <row r="2367" spans="1:2">
      <c r="A2367" s="86">
        <v>45829</v>
      </c>
      <c r="B2367" s="10">
        <v>1379.6</v>
      </c>
    </row>
    <row r="2368" spans="1:2">
      <c r="A2368" s="86">
        <v>45830</v>
      </c>
      <c r="B2368" s="10">
        <v>1379.6</v>
      </c>
    </row>
    <row r="2369" spans="1:7">
      <c r="A2369" s="86">
        <v>45831</v>
      </c>
      <c r="B2369" s="10">
        <v>1369.4</v>
      </c>
    </row>
    <row r="2370" spans="1:7">
      <c r="A2370" s="86">
        <v>45832</v>
      </c>
      <c r="B2370" s="10">
        <v>1381.9</v>
      </c>
    </row>
    <row r="2371" spans="1:7">
      <c r="A2371" s="86">
        <v>45833</v>
      </c>
      <c r="B2371" s="10">
        <v>1365</v>
      </c>
    </row>
    <row r="2372" spans="1:7">
      <c r="A2372" s="86">
        <v>45834</v>
      </c>
      <c r="B2372" s="10">
        <v>1360.9</v>
      </c>
    </row>
    <row r="2373" spans="1:7">
      <c r="A2373" s="86">
        <v>45835</v>
      </c>
      <c r="B2373" s="10">
        <v>1357.6</v>
      </c>
    </row>
    <row r="2374" spans="1:7">
      <c r="A2374" s="86">
        <v>45836</v>
      </c>
      <c r="B2374" s="10">
        <v>1357.6</v>
      </c>
    </row>
    <row r="2375" spans="1:7">
      <c r="A2375" s="86">
        <v>45837</v>
      </c>
      <c r="B2375" s="10">
        <v>1357.6</v>
      </c>
    </row>
    <row r="2376" spans="1:7">
      <c r="A2376" s="86">
        <v>45838</v>
      </c>
      <c r="B2376" s="10">
        <v>1356.4</v>
      </c>
      <c r="G2376" s="621"/>
    </row>
    <row r="2377" spans="1:7">
      <c r="A2377" s="86">
        <v>45839</v>
      </c>
      <c r="B2377" s="10">
        <v>1353.6</v>
      </c>
      <c r="G2377" s="621"/>
    </row>
    <row r="2378" spans="1:7">
      <c r="A2378" s="86">
        <v>45840</v>
      </c>
      <c r="B2378" s="10">
        <v>1352.6</v>
      </c>
      <c r="G2378" s="621"/>
    </row>
    <row r="2379" spans="1:7">
      <c r="A2379" s="86">
        <v>45841</v>
      </c>
      <c r="B2379" s="10">
        <v>1359.4</v>
      </c>
      <c r="G2379" s="621"/>
    </row>
    <row r="2380" spans="1:7">
      <c r="A2380" s="86">
        <v>45842</v>
      </c>
      <c r="B2380" s="10">
        <v>1358.1</v>
      </c>
      <c r="G2380" s="621"/>
    </row>
    <row r="2381" spans="1:7">
      <c r="A2381" s="86">
        <v>45843</v>
      </c>
      <c r="B2381" s="10">
        <v>1358.1</v>
      </c>
      <c r="G2381" s="621"/>
    </row>
    <row r="2382" spans="1:7">
      <c r="A2382" s="86">
        <v>45844</v>
      </c>
      <c r="B2382" s="10">
        <v>1358.1</v>
      </c>
      <c r="G2382" s="621"/>
    </row>
    <row r="2383" spans="1:7">
      <c r="A2383" s="86">
        <v>45845</v>
      </c>
      <c r="B2383" s="10">
        <v>1364.2</v>
      </c>
    </row>
    <row r="2384" spans="1:7">
      <c r="A2384" s="86">
        <v>45846</v>
      </c>
      <c r="B2384" s="10">
        <v>1366.6</v>
      </c>
    </row>
    <row r="2385" spans="1:2">
      <c r="A2385" s="86">
        <v>45847</v>
      </c>
      <c r="B2385" s="10">
        <v>1368</v>
      </c>
    </row>
    <row r="2386" spans="1:2">
      <c r="A2386" s="86">
        <v>45848</v>
      </c>
      <c r="B2386" s="10">
        <v>1373.8</v>
      </c>
    </row>
    <row r="2387" spans="1:2">
      <c r="A2387" s="86">
        <v>45849</v>
      </c>
      <c r="B2387" s="10">
        <v>1373</v>
      </c>
    </row>
    <row r="2388" spans="1:2">
      <c r="A2388" s="86">
        <v>45850</v>
      </c>
      <c r="B2388" s="10">
        <v>1373</v>
      </c>
    </row>
    <row r="2389" spans="1:2">
      <c r="A2389" s="86">
        <v>45851</v>
      </c>
      <c r="B2389" s="10">
        <v>1373</v>
      </c>
    </row>
    <row r="2390" spans="1:2">
      <c r="A2390" s="86">
        <v>45852</v>
      </c>
      <c r="B2390" s="10">
        <v>1374.7</v>
      </c>
    </row>
    <row r="2391" spans="1:2">
      <c r="A2391" s="86">
        <v>45853</v>
      </c>
      <c r="B2391" s="10">
        <v>1378.5</v>
      </c>
    </row>
    <row r="2392" spans="1:2">
      <c r="A2392" s="86">
        <v>45854</v>
      </c>
      <c r="B2392" s="10">
        <v>1382.7</v>
      </c>
    </row>
    <row r="2393" spans="1:2">
      <c r="A2393" s="86">
        <v>45855</v>
      </c>
      <c r="B2393" s="10">
        <v>1387.1</v>
      </c>
    </row>
    <row r="2394" spans="1:2">
      <c r="A2394" s="86">
        <v>45856</v>
      </c>
      <c r="B2394" s="10">
        <v>1390.8</v>
      </c>
    </row>
    <row r="2395" spans="1:2">
      <c r="A2395" s="86">
        <v>45857</v>
      </c>
      <c r="B2395" s="10">
        <v>1390.8</v>
      </c>
    </row>
    <row r="2396" spans="1:2">
      <c r="A2396" s="86">
        <v>45858</v>
      </c>
      <c r="B2396" s="10">
        <v>1390.8</v>
      </c>
    </row>
    <row r="2397" spans="1:2">
      <c r="A2397" s="86">
        <v>45859</v>
      </c>
      <c r="B2397" s="10">
        <v>1391.9</v>
      </c>
    </row>
    <row r="2398" spans="1:2">
      <c r="A2398" s="86">
        <v>45860</v>
      </c>
      <c r="B2398" s="10">
        <v>1391.1</v>
      </c>
    </row>
    <row r="2399" spans="1:2">
      <c r="A2399" s="86">
        <v>45861</v>
      </c>
      <c r="B2399" s="10">
        <v>1386.3</v>
      </c>
    </row>
    <row r="2400" spans="1:2">
      <c r="A2400" s="86">
        <v>45862</v>
      </c>
      <c r="B2400" s="10">
        <v>1379.1</v>
      </c>
    </row>
    <row r="2401" spans="1:2">
      <c r="A2401" s="86">
        <v>45863</v>
      </c>
      <c r="B2401" s="10">
        <v>1368.7</v>
      </c>
    </row>
    <row r="2402" spans="1:2">
      <c r="A2402" s="86">
        <v>45864</v>
      </c>
      <c r="B2402" s="10">
        <v>1368.7</v>
      </c>
    </row>
    <row r="2403" spans="1:2">
      <c r="A2403" s="86">
        <v>45865</v>
      </c>
      <c r="B2403" s="10">
        <v>1368.7</v>
      </c>
    </row>
    <row r="2404" spans="1:2">
      <c r="A2404" s="86">
        <v>45866</v>
      </c>
      <c r="B2404" s="10">
        <v>1376</v>
      </c>
    </row>
    <row r="2405" spans="1:2">
      <c r="A2405" s="86">
        <v>45867</v>
      </c>
      <c r="B2405" s="10">
        <v>1379.6</v>
      </c>
    </row>
    <row r="2406" spans="1:2">
      <c r="A2406" s="86">
        <v>45868</v>
      </c>
      <c r="B2406" s="10">
        <v>1391.4</v>
      </c>
    </row>
    <row r="2407" spans="1:2">
      <c r="A2407" s="86">
        <v>45869</v>
      </c>
      <c r="B2407" s="10">
        <v>1382.9</v>
      </c>
    </row>
    <row r="2408" spans="1:2">
      <c r="A2408" s="86">
        <v>45870</v>
      </c>
      <c r="B2408" s="10">
        <v>1390.4</v>
      </c>
    </row>
    <row r="2409" spans="1:2">
      <c r="A2409" s="86">
        <v>45871</v>
      </c>
      <c r="B2409" s="10">
        <v>1390.4</v>
      </c>
    </row>
    <row r="2410" spans="1:2">
      <c r="A2410" s="86">
        <v>45872</v>
      </c>
      <c r="B2410" s="10">
        <v>1390.4</v>
      </c>
    </row>
    <row r="2411" spans="1:2">
      <c r="A2411" s="86">
        <v>45873</v>
      </c>
      <c r="B2411" s="10">
        <v>1399.3</v>
      </c>
    </row>
    <row r="2412" spans="1:2">
      <c r="A2412" s="86">
        <v>45874</v>
      </c>
      <c r="B2412" s="10">
        <v>1384.9</v>
      </c>
    </row>
    <row r="2413" spans="1:2">
      <c r="A2413" s="86">
        <v>45875</v>
      </c>
      <c r="B2413" s="10">
        <v>1386.7</v>
      </c>
    </row>
    <row r="2414" spans="1:2">
      <c r="A2414" s="86">
        <v>45876</v>
      </c>
      <c r="B2414" s="10">
        <v>1389.5</v>
      </c>
    </row>
    <row r="2415" spans="1:2">
      <c r="A2415" s="86">
        <v>45877</v>
      </c>
      <c r="B2415" s="10">
        <v>1384.2</v>
      </c>
    </row>
    <row r="2416" spans="1:2">
      <c r="A2416" s="86">
        <v>45878</v>
      </c>
      <c r="B2416" s="10">
        <v>1384.2</v>
      </c>
    </row>
    <row r="2417" spans="1:2">
      <c r="A2417" s="86">
        <v>45879</v>
      </c>
      <c r="B2417" s="10">
        <v>1384.2</v>
      </c>
    </row>
    <row r="2418" spans="1:2">
      <c r="A2418" s="86">
        <v>45880</v>
      </c>
      <c r="B2418" s="10">
        <v>1386</v>
      </c>
    </row>
    <row r="2419" spans="1:2">
      <c r="A2419" s="86">
        <v>45881</v>
      </c>
      <c r="B2419" s="10">
        <v>1388.3</v>
      </c>
    </row>
    <row r="2420" spans="1:2">
      <c r="A2420" s="86">
        <v>45882</v>
      </c>
      <c r="B2420" s="10">
        <v>1390.2</v>
      </c>
    </row>
    <row r="2421" spans="1:2">
      <c r="A2421" s="86">
        <v>45883</v>
      </c>
      <c r="B2421" s="10">
        <v>1383.8</v>
      </c>
    </row>
    <row r="2422" spans="1:2">
      <c r="A2422" s="86">
        <v>45884</v>
      </c>
      <c r="B2422" s="10">
        <v>1383.8</v>
      </c>
    </row>
    <row r="2423" spans="1:2">
      <c r="A2423" s="86">
        <v>45885</v>
      </c>
      <c r="B2423" s="10">
        <v>1383.8</v>
      </c>
    </row>
    <row r="2424" spans="1:2">
      <c r="A2424" s="86">
        <v>45886</v>
      </c>
      <c r="B2424" s="10">
        <v>1383.8</v>
      </c>
    </row>
    <row r="2425" spans="1:2">
      <c r="A2425" s="86">
        <v>45887</v>
      </c>
      <c r="B2425" s="10">
        <v>1382.2</v>
      </c>
    </row>
    <row r="2426" spans="1:2">
      <c r="A2426" s="86">
        <v>45888</v>
      </c>
      <c r="B2426" s="10">
        <v>1385.3</v>
      </c>
    </row>
    <row r="2427" spans="1:2">
      <c r="A2427" s="86">
        <v>45889</v>
      </c>
      <c r="B2427" s="10">
        <v>1389.4</v>
      </c>
    </row>
    <row r="2428" spans="1:2">
      <c r="A2428" s="86">
        <v>45890</v>
      </c>
      <c r="B2428" s="10">
        <v>1397.5</v>
      </c>
    </row>
    <row r="2429" spans="1:2">
      <c r="A2429" s="86">
        <v>45891</v>
      </c>
      <c r="B2429" s="10">
        <v>1398.1</v>
      </c>
    </row>
    <row r="2430" spans="1:2">
      <c r="A2430" s="86">
        <v>45892</v>
      </c>
      <c r="B2430" s="10">
        <v>1398.1</v>
      </c>
    </row>
    <row r="2431" spans="1:2">
      <c r="A2431" s="86">
        <v>45893</v>
      </c>
      <c r="B2431" s="10">
        <v>1398.1</v>
      </c>
    </row>
    <row r="2432" spans="1:2">
      <c r="A2432" s="86">
        <v>45894</v>
      </c>
      <c r="B2432" s="10">
        <v>1395.6</v>
      </c>
    </row>
    <row r="2433" spans="1:2">
      <c r="A2433" s="86">
        <v>45895</v>
      </c>
      <c r="B2433" s="10">
        <v>1386.3</v>
      </c>
    </row>
    <row r="2434" spans="1:2">
      <c r="A2434" s="86">
        <v>45896</v>
      </c>
      <c r="B2434" s="10">
        <v>1391.2</v>
      </c>
    </row>
    <row r="2435" spans="1:2">
      <c r="A2435" s="86">
        <v>45897</v>
      </c>
      <c r="B2435" s="10">
        <v>1395.7</v>
      </c>
    </row>
    <row r="2436" spans="1:2">
      <c r="A2436" s="86">
        <v>45898</v>
      </c>
      <c r="B2436" s="10">
        <v>1388.6</v>
      </c>
    </row>
    <row r="2437" spans="1:2">
      <c r="A2437" s="86">
        <v>45899</v>
      </c>
      <c r="B2437" s="10">
        <v>1388.6</v>
      </c>
    </row>
    <row r="2438" spans="1:2">
      <c r="A2438" s="86">
        <v>45900</v>
      </c>
      <c r="B2438" s="10">
        <v>1388.6</v>
      </c>
    </row>
    <row r="2439" spans="1:2">
      <c r="A2439" s="86">
        <v>45901</v>
      </c>
      <c r="B2439" s="10">
        <v>1387.7</v>
      </c>
    </row>
    <row r="2440" spans="1:2">
      <c r="A2440" s="86">
        <v>45902</v>
      </c>
      <c r="B2440" s="10">
        <v>1392.4</v>
      </c>
    </row>
    <row r="2441" spans="1:2">
      <c r="A2441" s="86">
        <v>45903</v>
      </c>
      <c r="B2441" s="10">
        <v>1392.2</v>
      </c>
    </row>
    <row r="2442" spans="1:2">
      <c r="A2442" s="86">
        <v>45904</v>
      </c>
      <c r="B2442" s="10">
        <v>1393.8</v>
      </c>
    </row>
    <row r="2443" spans="1:2">
      <c r="A2443" s="86">
        <v>45905</v>
      </c>
      <c r="B2443" s="10">
        <v>1392.7</v>
      </c>
    </row>
    <row r="2444" spans="1:2">
      <c r="A2444" s="86">
        <v>45906</v>
      </c>
      <c r="B2444" s="10">
        <v>1392.7</v>
      </c>
    </row>
    <row r="2445" spans="1:2">
      <c r="A2445" s="86">
        <v>45907</v>
      </c>
      <c r="B2445" s="10">
        <v>1392.7</v>
      </c>
    </row>
    <row r="2446" spans="1:2">
      <c r="A2446" s="86">
        <v>45908</v>
      </c>
      <c r="B2446" s="10">
        <v>1391.8</v>
      </c>
    </row>
    <row r="2447" spans="1:2">
      <c r="A2447" s="86">
        <v>45909</v>
      </c>
      <c r="B2447" s="10">
        <v>1390.4</v>
      </c>
    </row>
    <row r="2448" spans="1:2">
      <c r="A2448" s="86">
        <v>45910</v>
      </c>
      <c r="B2448" s="10">
        <v>1386.6</v>
      </c>
    </row>
    <row r="2449" spans="1:2">
      <c r="A2449" s="86">
        <v>45911</v>
      </c>
      <c r="B2449" s="10">
        <v>1387.6</v>
      </c>
    </row>
    <row r="2450" spans="1:2">
      <c r="A2450" s="86">
        <v>45912</v>
      </c>
      <c r="B2450" s="10">
        <v>1389.4</v>
      </c>
    </row>
    <row r="2451" spans="1:2">
      <c r="A2451" s="86">
        <v>45913</v>
      </c>
      <c r="B2451" s="10">
        <v>1389.4</v>
      </c>
    </row>
    <row r="2452" spans="1:2">
      <c r="A2452" s="86">
        <v>45914</v>
      </c>
      <c r="B2452" s="10">
        <v>1389.4</v>
      </c>
    </row>
    <row r="2453" spans="1:2">
      <c r="A2453" s="86">
        <v>45915</v>
      </c>
      <c r="B2453" s="10">
        <v>1388.7</v>
      </c>
    </row>
    <row r="2454" spans="1:2">
      <c r="A2454" s="86">
        <v>45916</v>
      </c>
      <c r="B2454" s="10">
        <v>1389.5</v>
      </c>
    </row>
    <row r="2455" spans="1:2">
      <c r="A2455" s="86">
        <v>45917</v>
      </c>
      <c r="B2455" s="10">
        <v>1382.3</v>
      </c>
    </row>
    <row r="2456" spans="1:2">
      <c r="A2456" s="86">
        <v>45918</v>
      </c>
      <c r="B2456" s="10">
        <v>1380</v>
      </c>
    </row>
    <row r="2457" spans="1:2">
      <c r="A2457" s="86">
        <v>45919</v>
      </c>
      <c r="B2457" s="10">
        <v>1384.6</v>
      </c>
    </row>
    <row r="2458" spans="1:2">
      <c r="A2458" s="86">
        <v>45920</v>
      </c>
      <c r="B2458" s="10">
        <v>1384.6</v>
      </c>
    </row>
    <row r="2459" spans="1:2">
      <c r="A2459" s="86">
        <v>45921</v>
      </c>
      <c r="B2459" s="10">
        <v>1384.6</v>
      </c>
    </row>
    <row r="2460" spans="1:2">
      <c r="A2460" s="86">
        <v>45922</v>
      </c>
      <c r="B2460" s="10">
        <v>1393.6</v>
      </c>
    </row>
    <row r="2461" spans="1:2">
      <c r="A2461" s="86">
        <v>45923</v>
      </c>
      <c r="B2461" s="10">
        <v>1394</v>
      </c>
    </row>
    <row r="2462" spans="1:2">
      <c r="A2462" s="86">
        <v>45924</v>
      </c>
      <c r="B2462" s="10">
        <v>1393.8</v>
      </c>
    </row>
    <row r="2463" spans="1:2">
      <c r="A2463" s="86">
        <v>45925</v>
      </c>
      <c r="B2463" s="10">
        <v>1394.9</v>
      </c>
    </row>
    <row r="2464" spans="1:2">
      <c r="A2464" s="86">
        <v>45926</v>
      </c>
      <c r="B2464" s="10">
        <v>1400.4</v>
      </c>
    </row>
    <row r="2465" spans="1:2">
      <c r="A2465" s="86">
        <v>45927</v>
      </c>
      <c r="B2465" s="10">
        <v>1400.4</v>
      </c>
    </row>
    <row r="2466" spans="1:2">
      <c r="A2466" s="86">
        <v>45928</v>
      </c>
      <c r="B2466" s="10">
        <v>1400.4</v>
      </c>
    </row>
    <row r="2467" spans="1:2">
      <c r="A2467" s="86">
        <v>45929</v>
      </c>
      <c r="B2467" s="10">
        <v>1411.6</v>
      </c>
    </row>
    <row r="2468" spans="1:2">
      <c r="A2468" s="86">
        <v>45930</v>
      </c>
      <c r="B2468" s="10">
        <v>1402.2</v>
      </c>
    </row>
    <row r="2469" spans="1:2">
      <c r="A2469" s="86">
        <v>45931</v>
      </c>
      <c r="B2469" s="10">
        <v>1403.2</v>
      </c>
    </row>
    <row r="2470" spans="1:2">
      <c r="A2470" s="86">
        <v>45932</v>
      </c>
      <c r="B2470" s="10">
        <v>1406</v>
      </c>
    </row>
    <row r="2471" spans="1:2">
      <c r="A2471" s="86">
        <v>45933</v>
      </c>
      <c r="B2471" s="10">
        <v>1406</v>
      </c>
    </row>
    <row r="2472" spans="1:2">
      <c r="A2472" s="86">
        <v>45934</v>
      </c>
      <c r="B2472" s="10">
        <v>1406</v>
      </c>
    </row>
    <row r="2473" spans="1:2">
      <c r="A2473" s="86">
        <v>45935</v>
      </c>
      <c r="B2473" s="10">
        <v>1406</v>
      </c>
    </row>
    <row r="2474" spans="1:2">
      <c r="A2474" s="86">
        <v>45936</v>
      </c>
      <c r="B2474" s="10">
        <v>1406</v>
      </c>
    </row>
    <row r="2475" spans="1:2">
      <c r="A2475" s="86">
        <v>45937</v>
      </c>
      <c r="B2475" s="10">
        <v>1406</v>
      </c>
    </row>
    <row r="2476" spans="1:2">
      <c r="A2476" s="86">
        <v>45938</v>
      </c>
      <c r="B2476" s="10">
        <v>1406</v>
      </c>
    </row>
    <row r="2477" spans="1:2">
      <c r="A2477" s="86">
        <v>45939</v>
      </c>
      <c r="B2477" s="10">
        <v>1406</v>
      </c>
    </row>
    <row r="2478" spans="1:2">
      <c r="A2478" s="86">
        <v>45940</v>
      </c>
      <c r="B2478" s="10">
        <v>1401.9</v>
      </c>
    </row>
    <row r="2479" spans="1:2">
      <c r="A2479" s="86">
        <v>45941</v>
      </c>
      <c r="B2479" s="10">
        <v>1401.9</v>
      </c>
    </row>
    <row r="2480" spans="1:2">
      <c r="A2480" s="86">
        <v>45942</v>
      </c>
      <c r="B2480" s="10">
        <v>1401.9</v>
      </c>
    </row>
    <row r="2481" spans="1:2">
      <c r="A2481" s="86">
        <v>45943</v>
      </c>
      <c r="B2481" s="10">
        <v>1420.5</v>
      </c>
    </row>
    <row r="2482" spans="1:2">
      <c r="A2482" s="86">
        <v>45944</v>
      </c>
      <c r="B2482" s="10">
        <v>1427.7</v>
      </c>
    </row>
    <row r="2483" spans="1:2">
      <c r="A2483" s="86">
        <v>45945</v>
      </c>
      <c r="B2483" s="10">
        <v>1428.4</v>
      </c>
    </row>
    <row r="2484" spans="1:2">
      <c r="A2484" s="86">
        <v>45946</v>
      </c>
      <c r="B2484" s="10">
        <v>1424.4</v>
      </c>
    </row>
    <row r="2485" spans="1:2">
      <c r="A2485" s="86">
        <v>45947</v>
      </c>
      <c r="B2485" s="10">
        <v>1419.1</v>
      </c>
    </row>
    <row r="2486" spans="1:2">
      <c r="A2486" s="86">
        <v>45948</v>
      </c>
      <c r="B2486" s="10">
        <v>1419.1</v>
      </c>
    </row>
    <row r="2487" spans="1:2">
      <c r="A2487" s="86">
        <v>45949</v>
      </c>
      <c r="B2487" s="10">
        <v>1419.1</v>
      </c>
    </row>
    <row r="2488" spans="1:2">
      <c r="A2488" s="86">
        <v>45950</v>
      </c>
      <c r="B2488" s="10">
        <v>1419.5</v>
      </c>
    </row>
    <row r="2489" spans="1:2">
      <c r="A2489" s="86">
        <v>45951</v>
      </c>
      <c r="B2489" s="10">
        <v>1420.2</v>
      </c>
    </row>
    <row r="2490" spans="1:2">
      <c r="A2490" s="86">
        <v>45952</v>
      </c>
      <c r="B2490" s="10">
        <v>1423.7</v>
      </c>
    </row>
    <row r="2491" spans="1:2">
      <c r="A2491" s="86">
        <v>45953</v>
      </c>
      <c r="B2491" s="10">
        <v>1430.1</v>
      </c>
    </row>
    <row r="2492" spans="1:2">
      <c r="A2492" s="86">
        <v>45954</v>
      </c>
      <c r="B2492" s="10">
        <v>1436.6</v>
      </c>
    </row>
    <row r="2493" spans="1:2">
      <c r="A2493" s="86">
        <v>45955</v>
      </c>
      <c r="B2493" s="10">
        <v>1436.6</v>
      </c>
    </row>
    <row r="2494" spans="1:2">
      <c r="A2494" s="86">
        <v>45956</v>
      </c>
      <c r="B2494" s="10">
        <v>1436.6</v>
      </c>
    </row>
    <row r="2495" spans="1:2">
      <c r="A2495" s="86">
        <v>45957</v>
      </c>
      <c r="B2495" s="10">
        <v>1436.1</v>
      </c>
    </row>
    <row r="2496" spans="1:2">
      <c r="A2496" s="86">
        <v>45958</v>
      </c>
      <c r="B2496" s="10">
        <v>1432.5</v>
      </c>
    </row>
    <row r="2497" spans="1:2">
      <c r="A2497" s="86">
        <v>45959</v>
      </c>
      <c r="B2497" s="10">
        <v>1434.3</v>
      </c>
    </row>
    <row r="2498" spans="1:2">
      <c r="A2498" s="86">
        <v>45960</v>
      </c>
      <c r="B2498" s="10">
        <v>1433</v>
      </c>
    </row>
    <row r="2499" spans="1:2">
      <c r="A2499" s="86">
        <v>45961</v>
      </c>
      <c r="B2499" s="10">
        <v>1423.2</v>
      </c>
    </row>
    <row r="2500" spans="1:2">
      <c r="A2500" s="86">
        <v>45962</v>
      </c>
      <c r="B2500" s="10">
        <v>1423.2</v>
      </c>
    </row>
    <row r="2501" spans="1:2">
      <c r="A2501" s="86">
        <v>45963</v>
      </c>
      <c r="B2501" s="10">
        <v>1423.2</v>
      </c>
    </row>
    <row r="2502" spans="1:2">
      <c r="A2502" s="86">
        <v>45964</v>
      </c>
      <c r="B2502" s="10">
        <v>1427.4</v>
      </c>
    </row>
    <row r="2503" spans="1:2">
      <c r="A2503" s="86">
        <v>45965</v>
      </c>
      <c r="B2503" s="10">
        <v>1429</v>
      </c>
    </row>
    <row r="2504" spans="1:2">
      <c r="A2504" s="86">
        <v>45966</v>
      </c>
      <c r="B2504" s="10">
        <v>1437.7</v>
      </c>
    </row>
    <row r="2505" spans="1:2">
      <c r="A2505" s="86">
        <v>45967</v>
      </c>
      <c r="B2505" s="10">
        <v>1447</v>
      </c>
    </row>
    <row r="2506" spans="1:2">
      <c r="A2506" s="86">
        <v>45968</v>
      </c>
      <c r="B2506" s="10">
        <v>1445.6</v>
      </c>
    </row>
    <row r="2507" spans="1:2">
      <c r="A2507" s="86">
        <v>45969</v>
      </c>
      <c r="B2507" s="10">
        <v>1445.6</v>
      </c>
    </row>
    <row r="2508" spans="1:2">
      <c r="A2508" s="86">
        <v>45970</v>
      </c>
      <c r="B2508" s="10">
        <v>1445.6</v>
      </c>
    </row>
    <row r="2509" spans="1:2">
      <c r="A2509" s="86">
        <v>45971</v>
      </c>
      <c r="B2509" s="10">
        <v>1454</v>
      </c>
    </row>
    <row r="2510" spans="1:2">
      <c r="A2510" s="86">
        <v>45972</v>
      </c>
      <c r="B2510" s="10">
        <v>1453.7</v>
      </c>
    </row>
    <row r="2511" spans="1:2">
      <c r="A2511" s="86">
        <v>45973</v>
      </c>
      <c r="B2511" s="10">
        <v>1463.2</v>
      </c>
    </row>
    <row r="2512" spans="1:2">
      <c r="A2512" s="86">
        <v>45974</v>
      </c>
      <c r="B2512" s="10">
        <v>1466.4</v>
      </c>
    </row>
    <row r="2513" spans="1:2">
      <c r="A2513" s="86">
        <v>45975</v>
      </c>
      <c r="B2513" s="10">
        <v>1469.5</v>
      </c>
    </row>
    <row r="2514" spans="1:2">
      <c r="A2514" s="86">
        <v>45976</v>
      </c>
      <c r="B2514" s="10">
        <v>1469.5</v>
      </c>
    </row>
    <row r="2515" spans="1:2">
      <c r="A2515" s="86">
        <v>45977</v>
      </c>
      <c r="B2515" s="10">
        <v>1469.5</v>
      </c>
    </row>
    <row r="2516" spans="1:2">
      <c r="A2516" s="86">
        <v>45978</v>
      </c>
      <c r="B2516" s="10">
        <v>1458.5</v>
      </c>
    </row>
    <row r="2517" spans="1:2">
      <c r="A2517" s="86">
        <v>45979</v>
      </c>
      <c r="B2517" s="10">
        <v>1458.3</v>
      </c>
    </row>
    <row r="2518" spans="1:2">
      <c r="A2518" s="86">
        <v>45980</v>
      </c>
      <c r="B2518" s="10">
        <v>1465.2</v>
      </c>
    </row>
    <row r="2519" spans="1:2">
      <c r="A2519" s="86">
        <v>45981</v>
      </c>
      <c r="B2519" s="10">
        <v>1465</v>
      </c>
    </row>
    <row r="2520" spans="1:2">
      <c r="A2520" s="86">
        <v>45982</v>
      </c>
      <c r="B2520" s="10">
        <v>1468.4</v>
      </c>
    </row>
    <row r="2521" spans="1:2">
      <c r="A2521" s="86">
        <v>45983</v>
      </c>
      <c r="B2521" s="10">
        <v>1468.4</v>
      </c>
    </row>
    <row r="2522" spans="1:2">
      <c r="A2522" s="86">
        <v>45984</v>
      </c>
      <c r="B2522" s="10">
        <v>1468.4</v>
      </c>
    </row>
    <row r="2523" spans="1:2">
      <c r="A2523" s="86">
        <v>45985</v>
      </c>
      <c r="B2523" s="10">
        <v>1472</v>
      </c>
    </row>
    <row r="2524" spans="1:2">
      <c r="A2524" s="86">
        <v>45986</v>
      </c>
      <c r="B2524" s="10">
        <v>1473.5</v>
      </c>
    </row>
    <row r="2525" spans="1:2">
      <c r="A2525" s="86">
        <v>45987</v>
      </c>
      <c r="B2525" s="10">
        <v>1473.5</v>
      </c>
    </row>
    <row r="2526" spans="1:2">
      <c r="A2526" s="86">
        <v>45988</v>
      </c>
      <c r="B2526" s="10">
        <v>1462.7</v>
      </c>
    </row>
    <row r="2527" spans="1:2">
      <c r="A2527" s="86">
        <v>45989</v>
      </c>
      <c r="B2527" s="10">
        <v>1464.8</v>
      </c>
    </row>
    <row r="2528" spans="1:2">
      <c r="A2528" s="86">
        <v>45990</v>
      </c>
      <c r="B2528" s="10">
        <v>1464.8</v>
      </c>
    </row>
    <row r="2529" spans="1:2">
      <c r="A2529" s="86">
        <v>45991</v>
      </c>
      <c r="B2529" s="10">
        <v>1464.8</v>
      </c>
    </row>
    <row r="2530" spans="1:2">
      <c r="A2530" s="86">
        <v>45992</v>
      </c>
      <c r="B2530" s="10">
        <v>1465.9</v>
      </c>
    </row>
    <row r="2531" spans="1:2">
      <c r="A2531" s="86">
        <v>45993</v>
      </c>
      <c r="B2531" s="10">
        <v>1469.1</v>
      </c>
    </row>
    <row r="2532" spans="1:2">
      <c r="A2532" s="86">
        <v>45994</v>
      </c>
      <c r="B2532" s="10">
        <v>1469.6</v>
      </c>
    </row>
    <row r="2533" spans="1:2">
      <c r="A2533" s="86">
        <v>45995</v>
      </c>
      <c r="B2533" s="10">
        <v>1468.7</v>
      </c>
    </row>
    <row r="2534" spans="1:2">
      <c r="A2534" s="86">
        <v>45996</v>
      </c>
      <c r="B2534" s="10">
        <v>1471.5</v>
      </c>
    </row>
    <row r="2535" spans="1:2">
      <c r="A2535" s="86">
        <v>45997</v>
      </c>
      <c r="B2535" s="10">
        <v>1471.5</v>
      </c>
    </row>
    <row r="2536" spans="1:2">
      <c r="A2536" s="86">
        <v>45998</v>
      </c>
      <c r="B2536" s="10">
        <v>1471.5</v>
      </c>
    </row>
    <row r="2537" spans="1:2">
      <c r="A2537" s="86">
        <v>45999</v>
      </c>
      <c r="B2537" s="10">
        <v>1472.1</v>
      </c>
    </row>
    <row r="2538" spans="1:2">
      <c r="A2538" s="86">
        <v>46000</v>
      </c>
      <c r="B2538" s="10">
        <v>1469</v>
      </c>
    </row>
    <row r="2539" spans="1:2">
      <c r="A2539" s="86">
        <v>46001</v>
      </c>
      <c r="B2539" s="10">
        <v>1470.4</v>
      </c>
    </row>
    <row r="2540" spans="1:2">
      <c r="A2540" s="86">
        <v>46002</v>
      </c>
      <c r="B2540" s="10">
        <v>1470.4</v>
      </c>
    </row>
    <row r="2541" spans="1:2">
      <c r="A2541" s="86">
        <v>46003</v>
      </c>
      <c r="B2541" s="10">
        <v>1469.5</v>
      </c>
    </row>
    <row r="2542" spans="1:2">
      <c r="A2542" s="86">
        <v>46004</v>
      </c>
      <c r="B2542" s="10">
        <v>1469.5</v>
      </c>
    </row>
    <row r="2543" spans="1:2">
      <c r="A2543" s="86">
        <v>46005</v>
      </c>
      <c r="B2543" s="10">
        <v>1469.5</v>
      </c>
    </row>
    <row r="2544" spans="1:2">
      <c r="A2544" s="86">
        <v>46006</v>
      </c>
      <c r="B2544" s="10">
        <v>1472.5</v>
      </c>
    </row>
    <row r="2545" spans="1:2">
      <c r="A2545" s="86">
        <v>46007</v>
      </c>
      <c r="B2545" s="10">
        <v>1474.1</v>
      </c>
    </row>
    <row r="2546" spans="1:2">
      <c r="A2546" s="86">
        <v>46008</v>
      </c>
      <c r="B2546" s="10">
        <v>1472.4</v>
      </c>
    </row>
    <row r="2547" spans="1:2">
      <c r="A2547" s="86">
        <v>46009</v>
      </c>
      <c r="B2547" s="10">
        <v>1478.6</v>
      </c>
    </row>
    <row r="2548" spans="1:2">
      <c r="A2548" s="86">
        <v>46010</v>
      </c>
      <c r="B2548" s="10">
        <v>1477.2</v>
      </c>
    </row>
    <row r="2549" spans="1:2">
      <c r="A2549" s="86">
        <v>46011</v>
      </c>
      <c r="B2549" s="10">
        <v>1477.2</v>
      </c>
    </row>
    <row r="2550" spans="1:2">
      <c r="A2550" s="86">
        <v>46012</v>
      </c>
      <c r="B2550" s="10">
        <v>1477.2</v>
      </c>
    </row>
    <row r="2551" spans="1:2">
      <c r="A2551" s="86">
        <v>46013</v>
      </c>
      <c r="B2551" s="10">
        <v>1477.8</v>
      </c>
    </row>
    <row r="2552" spans="1:2">
      <c r="A2552" s="86">
        <v>46014</v>
      </c>
      <c r="B2552" s="10">
        <v>1478.9</v>
      </c>
    </row>
    <row r="2553" spans="1:2">
      <c r="A2553" s="86">
        <v>46015</v>
      </c>
      <c r="B2553" s="10">
        <v>1483.4</v>
      </c>
    </row>
    <row r="2554" spans="1:2">
      <c r="A2554" s="86">
        <v>46016</v>
      </c>
      <c r="B2554" s="10">
        <v>1483.4</v>
      </c>
    </row>
    <row r="2555" spans="1:2">
      <c r="A2555" s="86">
        <v>46017</v>
      </c>
      <c r="B2555" s="10">
        <v>1460.6</v>
      </c>
    </row>
    <row r="2556" spans="1:2">
      <c r="A2556" s="86">
        <v>46018</v>
      </c>
      <c r="B2556" s="10">
        <v>1460.6</v>
      </c>
    </row>
    <row r="2557" spans="1:2">
      <c r="A2557" s="86">
        <v>46019</v>
      </c>
      <c r="B2557" s="10">
        <v>1460.6</v>
      </c>
    </row>
    <row r="2558" spans="1:2">
      <c r="A2558" s="86">
        <v>46020</v>
      </c>
      <c r="B2558" s="10">
        <v>1442.3</v>
      </c>
    </row>
    <row r="2559" spans="1:2">
      <c r="A2559" s="86">
        <v>46021</v>
      </c>
      <c r="B2559" s="10">
        <v>1433.9</v>
      </c>
    </row>
    <row r="2560" spans="1:2">
      <c r="A2560" s="86">
        <v>46022</v>
      </c>
      <c r="B2560" s="10">
        <v>1434.9</v>
      </c>
    </row>
    <row r="2561" spans="1:2">
      <c r="A2561" s="86">
        <v>46023</v>
      </c>
      <c r="B2561" s="10">
        <v>1434.9</v>
      </c>
    </row>
    <row r="2562" spans="1:2">
      <c r="A2562" s="86">
        <v>46024</v>
      </c>
      <c r="B2562" s="10">
        <v>1434.9</v>
      </c>
    </row>
    <row r="2563" spans="1:2">
      <c r="A2563" s="86">
        <v>46025</v>
      </c>
      <c r="B2563" s="10">
        <v>1434.9</v>
      </c>
    </row>
    <row r="2564" spans="1:2">
      <c r="A2564" s="86">
        <v>46026</v>
      </c>
      <c r="B2564" s="10">
        <v>1434.9</v>
      </c>
    </row>
    <row r="2565" spans="1:2">
      <c r="A2565" s="86">
        <v>46027</v>
      </c>
      <c r="B2565" s="10">
        <v>1442.1</v>
      </c>
    </row>
    <row r="2566" spans="1:2">
      <c r="A2566" s="86">
        <v>46028</v>
      </c>
      <c r="B2566" s="10">
        <v>1446.8</v>
      </c>
    </row>
    <row r="2567" spans="1:2">
      <c r="A2567" s="86">
        <v>46029</v>
      </c>
      <c r="B2567" s="10">
        <v>1445.7</v>
      </c>
    </row>
    <row r="2568" spans="1:2">
      <c r="A2568" s="86">
        <v>46030</v>
      </c>
      <c r="B2568" s="10">
        <v>1448.3</v>
      </c>
    </row>
    <row r="2569" spans="1:2">
      <c r="A2569" s="86">
        <v>46031</v>
      </c>
      <c r="B2569" s="10">
        <v>1449.4</v>
      </c>
    </row>
    <row r="2570" spans="1:2">
      <c r="A2570" s="86">
        <v>46032</v>
      </c>
      <c r="B2570" s="10">
        <v>1449.4</v>
      </c>
    </row>
    <row r="2571" spans="1:2">
      <c r="A2571" s="86">
        <v>46033</v>
      </c>
      <c r="B2571" s="10">
        <v>1449.4</v>
      </c>
    </row>
    <row r="2572" spans="1:2">
      <c r="A2572" s="86">
        <v>46034</v>
      </c>
      <c r="B2572" s="10">
        <v>1455.7</v>
      </c>
    </row>
    <row r="2573" spans="1:2">
      <c r="A2573" s="86">
        <v>46035</v>
      </c>
      <c r="B2573" s="10">
        <v>1464.1</v>
      </c>
    </row>
    <row r="2574" spans="1:2">
      <c r="A2574" s="86">
        <v>46036</v>
      </c>
      <c r="B2574" s="10">
        <v>1472.8</v>
      </c>
    </row>
    <row r="2575" spans="1:2">
      <c r="A2575" s="86">
        <v>46037</v>
      </c>
      <c r="B2575" s="10">
        <v>1477.5</v>
      </c>
    </row>
    <row r="2576" spans="1:2">
      <c r="A2576" s="86">
        <v>46038</v>
      </c>
      <c r="B2576" s="10">
        <v>1469.7</v>
      </c>
    </row>
    <row r="2577" spans="1:2">
      <c r="A2577" s="86">
        <v>46039</v>
      </c>
      <c r="B2577" s="10">
        <v>1469.7</v>
      </c>
    </row>
    <row r="2578" spans="1:2">
      <c r="A2578" s="86">
        <v>46040</v>
      </c>
      <c r="B2578" s="10">
        <v>1469.7</v>
      </c>
    </row>
    <row r="2579" spans="1:2">
      <c r="A2579" s="86">
        <v>46041</v>
      </c>
      <c r="B2579" s="10">
        <v>1473.5</v>
      </c>
    </row>
    <row r="2580" spans="1:2">
      <c r="A2580" s="86">
        <v>46042</v>
      </c>
      <c r="B2580" s="10">
        <v>1473.6</v>
      </c>
    </row>
    <row r="2581" spans="1:2">
      <c r="A2581" s="86">
        <v>46043</v>
      </c>
      <c r="B2581" s="10">
        <v>1477</v>
      </c>
    </row>
    <row r="2582" spans="1:2">
      <c r="A2582" s="86">
        <v>46044</v>
      </c>
      <c r="B2582" s="10">
        <v>1472.8</v>
      </c>
    </row>
    <row r="2583" spans="1:2">
      <c r="A2583" s="86">
        <v>46045</v>
      </c>
      <c r="B2583" s="10">
        <v>1468.4</v>
      </c>
    </row>
    <row r="2584" spans="1:2">
      <c r="A2584" s="86">
        <v>46046</v>
      </c>
      <c r="B2584" s="10">
        <v>1468.4</v>
      </c>
    </row>
    <row r="2585" spans="1:2">
      <c r="A2585" s="86">
        <v>46047</v>
      </c>
      <c r="B2585" s="10">
        <v>1468.4</v>
      </c>
    </row>
    <row r="2586" spans="1:2">
      <c r="A2586" s="86">
        <v>46048</v>
      </c>
      <c r="B2586" s="10">
        <v>1467.2</v>
      </c>
    </row>
    <row r="2587" spans="1:2">
      <c r="A2587" s="86">
        <v>46049</v>
      </c>
      <c r="B2587" s="10">
        <v>1442.8</v>
      </c>
    </row>
    <row r="2588" spans="1:2">
      <c r="A2588" s="86">
        <v>46050</v>
      </c>
      <c r="B2588" s="10">
        <v>1448.8</v>
      </c>
    </row>
    <row r="2589" spans="1:2">
      <c r="A2589" s="86">
        <v>46051</v>
      </c>
      <c r="B2589" s="10">
        <v>1428.6</v>
      </c>
    </row>
    <row r="2590" spans="1:2">
      <c r="A2590" s="86">
        <v>46052</v>
      </c>
      <c r="B2590" s="10">
        <v>1427</v>
      </c>
    </row>
    <row r="2591" spans="1:2">
      <c r="A2591" s="86">
        <v>46053</v>
      </c>
      <c r="B2591" s="10">
        <v>1427</v>
      </c>
    </row>
    <row r="2592" spans="1:2">
      <c r="A2592" s="86">
        <v>46054</v>
      </c>
      <c r="B2592" s="10">
        <v>1427</v>
      </c>
    </row>
    <row r="2593" spans="1:2">
      <c r="A2593" s="86">
        <v>46055</v>
      </c>
      <c r="B2593" s="10">
        <v>1436.7</v>
      </c>
    </row>
    <row r="2594" spans="1:2">
      <c r="A2594" s="86">
        <v>46056</v>
      </c>
      <c r="B2594" s="10">
        <v>1457.3</v>
      </c>
    </row>
    <row r="2595" spans="1:2">
      <c r="A2595" s="86">
        <v>46057</v>
      </c>
      <c r="B2595" s="10">
        <v>1449</v>
      </c>
    </row>
    <row r="2596" spans="1:2">
      <c r="A2596" s="86">
        <v>46058</v>
      </c>
      <c r="B2596" s="10">
        <v>1451.2</v>
      </c>
    </row>
    <row r="2597" spans="1:2">
      <c r="A2597" s="86">
        <v>46059</v>
      </c>
      <c r="B2597" s="10">
        <v>1464.1</v>
      </c>
    </row>
    <row r="2598" spans="1:2">
      <c r="A2598" s="86">
        <v>46060</v>
      </c>
      <c r="B2598" s="10">
        <v>1464.1</v>
      </c>
    </row>
    <row r="2599" spans="1:2">
      <c r="A2599" s="86">
        <v>46061</v>
      </c>
      <c r="B2599" s="10">
        <v>1464.1</v>
      </c>
    </row>
    <row r="2600" spans="1:2">
      <c r="A2600" s="86">
        <v>46062</v>
      </c>
      <c r="B2600" s="10">
        <v>1470.3</v>
      </c>
    </row>
    <row r="2601" spans="1:2">
      <c r="A2601" s="86">
        <v>46063</v>
      </c>
      <c r="B2601" s="10">
        <v>1464.3</v>
      </c>
    </row>
    <row r="2602" spans="1:2">
      <c r="A2602" s="86">
        <v>46064</v>
      </c>
      <c r="B2602" s="10">
        <v>1457.7</v>
      </c>
    </row>
    <row r="2603" spans="1:2">
      <c r="A2603" s="86">
        <v>46065</v>
      </c>
      <c r="B2603" s="10">
        <v>1454.4</v>
      </c>
    </row>
    <row r="2604" spans="1:2">
      <c r="A2604" s="86">
        <v>46066</v>
      </c>
      <c r="B2604" s="10">
        <v>1443.4</v>
      </c>
    </row>
    <row r="2605" spans="1:2">
      <c r="A2605" s="86">
        <v>46067</v>
      </c>
      <c r="B2605" s="10">
        <v>1443.4</v>
      </c>
    </row>
    <row r="2606" spans="1:2">
      <c r="A2606" s="86">
        <v>46068</v>
      </c>
      <c r="B2606" s="10">
        <v>1443.4</v>
      </c>
    </row>
    <row r="2607" spans="1:2">
      <c r="A2607" s="86">
        <v>46069</v>
      </c>
      <c r="B2607" s="10">
        <v>1443.4</v>
      </c>
    </row>
    <row r="2608" spans="1:2">
      <c r="A2608" s="86">
        <v>46070</v>
      </c>
      <c r="B2608" s="10">
        <v>1443.4</v>
      </c>
    </row>
    <row r="2609" spans="1:3">
      <c r="A2609" s="86">
        <v>46071</v>
      </c>
      <c r="B2609" s="10">
        <v>1443.4</v>
      </c>
    </row>
    <row r="2610" spans="1:3">
      <c r="A2610" s="86">
        <v>46072</v>
      </c>
      <c r="B2610" s="10">
        <v>1443.1</v>
      </c>
    </row>
    <row r="2611" spans="1:3">
      <c r="A2611" s="86">
        <v>46073</v>
      </c>
      <c r="B2611" s="10">
        <v>1450.7</v>
      </c>
    </row>
    <row r="2612" spans="1:3">
      <c r="A2612" s="86">
        <v>46074</v>
      </c>
      <c r="B2612" s="10">
        <v>1450.7</v>
      </c>
    </row>
    <row r="2613" spans="1:3">
      <c r="A2613" s="86">
        <v>46075</v>
      </c>
      <c r="B2613" s="10">
        <v>1450.7</v>
      </c>
    </row>
    <row r="2614" spans="1:3">
      <c r="A2614" s="86">
        <v>46076</v>
      </c>
      <c r="B2614" s="10">
        <v>1448.7</v>
      </c>
    </row>
    <row r="2615" spans="1:3">
      <c r="A2615" s="86">
        <v>46077</v>
      </c>
      <c r="B2615" s="10">
        <v>1442</v>
      </c>
    </row>
    <row r="2616" spans="1:3">
      <c r="A2616" s="86">
        <v>46078</v>
      </c>
      <c r="B2616" s="10">
        <v>1445.8</v>
      </c>
    </row>
    <row r="2617" spans="1:3">
      <c r="A2617" s="86">
        <v>46079</v>
      </c>
      <c r="B2617" s="10">
        <v>1435.3</v>
      </c>
    </row>
    <row r="2618" spans="1:3">
      <c r="A2618" s="86">
        <v>46080</v>
      </c>
      <c r="B2618" s="10">
        <v>1424.5</v>
      </c>
    </row>
    <row r="2619" spans="1:3">
      <c r="A2619" s="86">
        <v>46081</v>
      </c>
      <c r="B2619" s="10">
        <v>1424.5</v>
      </c>
    </row>
    <row r="2620" spans="1:3">
      <c r="A2620" s="86">
        <v>46082</v>
      </c>
      <c r="B2620" s="10">
        <v>1424.5</v>
      </c>
    </row>
    <row r="2621" spans="1:3">
      <c r="A2621" s="86">
        <v>46083</v>
      </c>
      <c r="B2621" s="10">
        <v>1424.5</v>
      </c>
    </row>
    <row r="2622" spans="1:3">
      <c r="A2622" s="86">
        <v>46084</v>
      </c>
      <c r="B2622" s="10">
        <v>1435.4</v>
      </c>
      <c r="C2622" s="23"/>
    </row>
    <row r="2623" spans="1:3">
      <c r="A2623" s="86">
        <v>46085</v>
      </c>
      <c r="B2623" s="10">
        <v>1464.5</v>
      </c>
    </row>
    <row r="2624" spans="1:3">
      <c r="A2624" s="86">
        <v>46086</v>
      </c>
      <c r="B2624" s="10">
        <v>1478.8</v>
      </c>
    </row>
    <row r="2625" spans="1:2">
      <c r="A2625" s="86">
        <v>46087</v>
      </c>
      <c r="B2625" s="10">
        <v>1464.3</v>
      </c>
    </row>
    <row r="2626" spans="1:2">
      <c r="A2626" s="86">
        <v>46088</v>
      </c>
      <c r="B2626" s="10">
        <v>1464.3</v>
      </c>
    </row>
    <row r="2627" spans="1:2">
      <c r="A2627" s="86">
        <v>46089</v>
      </c>
      <c r="B2627" s="10">
        <v>1464.3</v>
      </c>
    </row>
    <row r="2628" spans="1:2">
      <c r="A2628" s="86">
        <v>46090</v>
      </c>
      <c r="B2628" s="10">
        <v>1474.5</v>
      </c>
    </row>
    <row r="2629" spans="1:2">
      <c r="A2629" s="86">
        <v>46091</v>
      </c>
      <c r="B2629" s="10">
        <v>1493.1</v>
      </c>
    </row>
    <row r="2630" spans="1:2">
      <c r="A2630" s="86">
        <v>46092</v>
      </c>
      <c r="B2630" s="10">
        <v>1472.8</v>
      </c>
    </row>
    <row r="2631" spans="1:2">
      <c r="A2631" s="86">
        <v>46093</v>
      </c>
      <c r="B2631" s="10">
        <v>1467.3</v>
      </c>
    </row>
    <row r="2632" spans="1:2">
      <c r="A2632" s="86">
        <v>46094</v>
      </c>
      <c r="B2632" s="10">
        <v>1479.8</v>
      </c>
    </row>
    <row r="2633" spans="1:2">
      <c r="A2633" s="86">
        <v>46095</v>
      </c>
      <c r="B2633" s="10">
        <v>1479.8</v>
      </c>
    </row>
    <row r="2634" spans="1:2">
      <c r="A2634" s="86">
        <v>46096</v>
      </c>
      <c r="B2634" s="10">
        <v>1479.8</v>
      </c>
    </row>
    <row r="2635" spans="1:2">
      <c r="A2635" s="86">
        <v>46097</v>
      </c>
      <c r="B2635" s="10">
        <v>1489.5</v>
      </c>
    </row>
    <row r="2636" spans="1:2">
      <c r="A2636" s="86">
        <v>46098</v>
      </c>
      <c r="B2636" s="10">
        <v>1496</v>
      </c>
    </row>
    <row r="2637" spans="1:2">
      <c r="A2637" s="86">
        <v>46099</v>
      </c>
      <c r="B2637" s="10">
        <v>1491.6</v>
      </c>
    </row>
    <row r="2638" spans="1:2">
      <c r="A2638" s="86">
        <v>46100</v>
      </c>
      <c r="B2638" s="10">
        <v>1486</v>
      </c>
    </row>
    <row r="2639" spans="1:2">
      <c r="A2639" s="86">
        <v>46101</v>
      </c>
      <c r="B2639" s="10">
        <v>1499.7</v>
      </c>
    </row>
    <row r="2640" spans="1:2">
      <c r="A2640" s="86">
        <v>46102</v>
      </c>
      <c r="B2640" s="10">
        <v>1499.7</v>
      </c>
    </row>
    <row r="2641" spans="1:2">
      <c r="A2641" s="86">
        <v>46103</v>
      </c>
      <c r="B2641" s="10">
        <v>1499.7</v>
      </c>
    </row>
    <row r="2642" spans="1:2">
      <c r="A2642" s="86">
        <v>46104</v>
      </c>
      <c r="B2642" s="10">
        <v>1494.9</v>
      </c>
    </row>
    <row r="2643" spans="1:2">
      <c r="A2643" s="86">
        <v>46105</v>
      </c>
      <c r="B2643" s="10">
        <v>1509.6</v>
      </c>
    </row>
    <row r="2644" spans="1:2">
      <c r="A2644" s="86">
        <v>46106</v>
      </c>
      <c r="B2644" s="10">
        <v>1498.3</v>
      </c>
    </row>
    <row r="2645" spans="1:2">
      <c r="A2645" s="86">
        <v>46107</v>
      </c>
      <c r="B2645" s="10">
        <v>1495.6</v>
      </c>
    </row>
    <row r="2646" spans="1:2">
      <c r="A2646" s="86">
        <v>46108</v>
      </c>
      <c r="B2646" s="10">
        <v>1506.2</v>
      </c>
    </row>
    <row r="2647" spans="1:2">
      <c r="A2647" s="1167">
        <v>46109</v>
      </c>
      <c r="B2647" s="1168">
        <v>1506.2</v>
      </c>
    </row>
    <row r="2648" spans="1:2">
      <c r="A2648" s="1167">
        <v>46110</v>
      </c>
      <c r="B2648" s="1168">
        <v>1506.2</v>
      </c>
    </row>
    <row r="2649" spans="1:2">
      <c r="A2649" s="86">
        <v>46111</v>
      </c>
      <c r="B2649" s="10">
        <v>1508.1</v>
      </c>
    </row>
    <row r="2650" spans="1:2">
      <c r="A2650" s="86">
        <v>46112</v>
      </c>
      <c r="B2650" s="10">
        <v>1513.4</v>
      </c>
    </row>
    <row r="2651" spans="1:2">
      <c r="A2651" s="86">
        <v>46113</v>
      </c>
      <c r="B2651" s="10">
        <v>1530.5</v>
      </c>
    </row>
    <row r="2652" spans="1:2">
      <c r="A2652" s="86">
        <v>46114</v>
      </c>
      <c r="B2652" s="10">
        <v>1507.8</v>
      </c>
    </row>
    <row r="2653" spans="1:2">
      <c r="A2653" s="86">
        <v>46115</v>
      </c>
      <c r="B2653" s="10">
        <v>1518.8</v>
      </c>
    </row>
    <row r="2654" spans="1:2">
      <c r="A2654" s="1167">
        <v>46116</v>
      </c>
      <c r="B2654" s="1168">
        <v>1518.8</v>
      </c>
    </row>
    <row r="2655" spans="1:2">
      <c r="A2655" s="1167">
        <v>46117</v>
      </c>
      <c r="B2655" s="1168">
        <v>1518.8</v>
      </c>
    </row>
    <row r="2656" spans="1:2">
      <c r="A2656" s="1275">
        <v>46118</v>
      </c>
      <c r="B2656" s="1276">
        <v>1507.6</v>
      </c>
    </row>
    <row r="2657" spans="1:2">
      <c r="A2657" s="1275">
        <v>46119</v>
      </c>
      <c r="B2657" s="1276">
        <v>1507.2</v>
      </c>
    </row>
    <row r="2658" spans="1:2">
      <c r="A2658" s="86">
        <v>46120</v>
      </c>
      <c r="B2658" s="10">
        <v>1506.8</v>
      </c>
    </row>
    <row r="2659" spans="1:2">
      <c r="A2659" s="86">
        <v>46121</v>
      </c>
      <c r="B2659" s="10">
        <v>1476.1</v>
      </c>
    </row>
    <row r="2660" spans="1:2">
      <c r="A2660" s="86">
        <v>46122</v>
      </c>
      <c r="B2660" s="10">
        <v>1481.1</v>
      </c>
    </row>
    <row r="2661" spans="1:2">
      <c r="A2661" s="1167">
        <v>46123</v>
      </c>
      <c r="B2661" s="1168">
        <v>1481.1</v>
      </c>
    </row>
    <row r="2662" spans="1:2">
      <c r="A2662" s="1167">
        <v>46124</v>
      </c>
      <c r="B2662" s="1168">
        <v>1481.1</v>
      </c>
    </row>
    <row r="2663" spans="1:2">
      <c r="A2663" s="86">
        <v>46125</v>
      </c>
      <c r="B2663" s="10">
        <v>1479.8</v>
      </c>
    </row>
    <row r="2664" spans="1:2">
      <c r="A2664" s="86">
        <v>46126</v>
      </c>
      <c r="B2664" s="10">
        <v>1489.8</v>
      </c>
    </row>
    <row r="2665" spans="1:2">
      <c r="A2665" s="86">
        <v>46127</v>
      </c>
      <c r="B2665" s="10">
        <v>1481.4</v>
      </c>
    </row>
    <row r="2666" spans="1:2">
      <c r="A2666" s="86">
        <v>46128</v>
      </c>
      <c r="B2666" s="10">
        <v>1473.1</v>
      </c>
    </row>
    <row r="2667" spans="1:2">
      <c r="A2667" s="86">
        <v>46129</v>
      </c>
      <c r="B2667" s="10">
        <v>1472.6</v>
      </c>
    </row>
    <row r="2668" spans="1:2">
      <c r="A2668" s="1167">
        <v>46130</v>
      </c>
      <c r="B2668" s="1168">
        <v>1472.6</v>
      </c>
    </row>
    <row r="2669" spans="1:2">
      <c r="A2669" s="1167">
        <v>46131</v>
      </c>
      <c r="B2669" s="1168">
        <v>1472.6</v>
      </c>
    </row>
    <row r="2670" spans="1:2">
      <c r="A2670" s="86">
        <v>46132</v>
      </c>
      <c r="B2670" s="10">
        <v>1480</v>
      </c>
    </row>
    <row r="2671" spans="1:2">
      <c r="A2671" s="86">
        <v>46133</v>
      </c>
      <c r="B2671" s="10">
        <v>1475.6</v>
      </c>
    </row>
    <row r="2672" spans="1:2">
      <c r="A2672" s="86">
        <v>46134</v>
      </c>
      <c r="B2672" s="10">
        <v>1470.8</v>
      </c>
    </row>
    <row r="2673" spans="1:2">
      <c r="A2673" s="86">
        <v>46135</v>
      </c>
      <c r="B2673" s="10">
        <v>1477.6</v>
      </c>
    </row>
    <row r="2674" spans="1:2">
      <c r="A2674" s="86">
        <v>46136</v>
      </c>
      <c r="B2674" s="10">
        <v>1480.6</v>
      </c>
    </row>
    <row r="2675" spans="1:2">
      <c r="A2675" s="1167">
        <v>46137</v>
      </c>
      <c r="B2675" s="1168">
        <v>1480.6</v>
      </c>
    </row>
    <row r="2676" spans="1:2">
      <c r="A2676" s="1167">
        <v>46138</v>
      </c>
      <c r="B2676" s="1168">
        <v>1480.6</v>
      </c>
    </row>
    <row r="2677" spans="1:2">
      <c r="A2677" s="86">
        <v>46139</v>
      </c>
      <c r="B2677" s="10">
        <v>1482.9</v>
      </c>
    </row>
    <row r="2678" spans="1:2">
      <c r="A2678" s="86">
        <v>46140</v>
      </c>
      <c r="B2678" s="10">
        <v>1473.1</v>
      </c>
    </row>
    <row r="2679" spans="1:2">
      <c r="A2679" s="86">
        <v>46141</v>
      </c>
      <c r="B2679" s="10">
        <v>1473.3</v>
      </c>
    </row>
    <row r="2680" spans="1:2">
      <c r="A2680" s="86">
        <v>46142</v>
      </c>
      <c r="B2680" s="10">
        <v>1476.1</v>
      </c>
    </row>
    <row r="2681" spans="1:2">
      <c r="A2681" s="86">
        <v>46143</v>
      </c>
      <c r="B2681" s="10">
        <v>1476.1</v>
      </c>
    </row>
    <row r="2682" spans="1:2">
      <c r="A2682" s="86">
        <v>46144</v>
      </c>
      <c r="B2682" s="10">
        <v>1476.1</v>
      </c>
    </row>
    <row r="2683" spans="1:2">
      <c r="A2683" s="86">
        <v>46145</v>
      </c>
      <c r="B2683" s="10">
        <v>1476.1</v>
      </c>
    </row>
    <row r="2684" spans="1:2">
      <c r="A2684" s="86">
        <v>46146</v>
      </c>
      <c r="B2684" s="10">
        <v>1484.8</v>
      </c>
    </row>
    <row r="2685" spans="1:2">
      <c r="A2685" s="86">
        <v>46147</v>
      </c>
      <c r="B2685" s="10">
        <v>1484.8</v>
      </c>
    </row>
    <row r="2686" spans="1:2">
      <c r="A2686" s="86">
        <v>46148</v>
      </c>
      <c r="B2686" s="10">
        <v>1470.5</v>
      </c>
    </row>
    <row r="2687" spans="1:2">
      <c r="A2687" s="86">
        <v>46149</v>
      </c>
      <c r="B2687" s="10">
        <v>1456.8</v>
      </c>
    </row>
    <row r="2688" spans="1:2">
      <c r="A2688" s="86">
        <v>46150</v>
      </c>
      <c r="B2688" s="10">
        <v>1450.8</v>
      </c>
    </row>
    <row r="2689" spans="1:2">
      <c r="A2689" s="1167">
        <v>46151</v>
      </c>
      <c r="B2689" s="1168">
        <v>1450.8</v>
      </c>
    </row>
    <row r="2690" spans="1:2">
      <c r="A2690" s="1167">
        <v>46152</v>
      </c>
      <c r="B2690" s="1168">
        <v>1450.8</v>
      </c>
    </row>
    <row r="2691" spans="1:2">
      <c r="A2691" s="86">
        <v>46153</v>
      </c>
      <c r="B2691" s="10">
        <v>1466</v>
      </c>
    </row>
    <row r="2692" spans="1:2">
      <c r="A2692" s="86">
        <v>46154</v>
      </c>
      <c r="B2692" s="10">
        <v>1473</v>
      </c>
    </row>
    <row r="2693" spans="1:2">
      <c r="A2693" s="86">
        <v>46155</v>
      </c>
      <c r="B2693" s="10">
        <v>1484.3</v>
      </c>
    </row>
    <row r="2694" spans="1:2">
      <c r="A2694" s="86">
        <v>46156</v>
      </c>
      <c r="B2694" s="10">
        <v>1495.1</v>
      </c>
    </row>
    <row r="2695" spans="1:2">
      <c r="A2695" s="86">
        <v>46157</v>
      </c>
      <c r="B2695" s="10">
        <v>1491.8</v>
      </c>
    </row>
    <row r="2696" spans="1:2">
      <c r="A2696" s="1167">
        <v>46158</v>
      </c>
      <c r="B2696" s="1168">
        <v>1491.8</v>
      </c>
    </row>
    <row r="2697" spans="1:2">
      <c r="A2697" s="1167">
        <v>46159</v>
      </c>
      <c r="B2697" s="1168">
        <v>1491.8</v>
      </c>
    </row>
    <row r="2698" spans="1:2">
      <c r="A2698" s="86">
        <v>46160</v>
      </c>
      <c r="B2698" s="10">
        <v>1499.8</v>
      </c>
    </row>
    <row r="2699" spans="1:2">
      <c r="A2699" s="86">
        <v>46161</v>
      </c>
      <c r="B2699" s="10">
        <v>1503.4</v>
      </c>
    </row>
    <row r="2700" spans="1:2">
      <c r="A2700" s="86">
        <v>46162</v>
      </c>
      <c r="B2700" s="10">
        <v>1503.8</v>
      </c>
    </row>
    <row r="2701" spans="1:2">
      <c r="A2701" s="86">
        <v>46163</v>
      </c>
      <c r="B2701" s="10">
        <v>1509.7</v>
      </c>
    </row>
    <row r="2702" spans="1:2">
      <c r="A2702" s="86">
        <v>46164</v>
      </c>
      <c r="B2702" s="10">
        <v>1503.5</v>
      </c>
    </row>
    <row r="2703" spans="1:2">
      <c r="A2703" s="1167">
        <v>46165</v>
      </c>
      <c r="B2703" s="1168">
        <v>1503.5</v>
      </c>
    </row>
    <row r="2704" spans="1:2">
      <c r="A2704" s="1167">
        <v>46166</v>
      </c>
      <c r="B2704" s="1168">
        <v>1503.5</v>
      </c>
    </row>
    <row r="2705" spans="1:2">
      <c r="A2705" s="1167">
        <v>46167</v>
      </c>
      <c r="B2705" s="1168">
        <v>1503.5</v>
      </c>
    </row>
    <row r="2706" spans="1:2">
      <c r="A2706" s="86">
        <v>46168</v>
      </c>
      <c r="B2706" s="10">
        <v>1513.3</v>
      </c>
    </row>
    <row r="2707" spans="1:2">
      <c r="A2707" s="86">
        <v>46169</v>
      </c>
      <c r="B2707" s="10">
        <v>1507.9</v>
      </c>
    </row>
    <row r="2708" spans="1:2">
      <c r="A2708" s="86">
        <v>46170</v>
      </c>
      <c r="B2708" s="10">
        <v>1501.6</v>
      </c>
    </row>
    <row r="2709" spans="1:2">
      <c r="A2709" s="86">
        <v>46171</v>
      </c>
      <c r="B2709" s="10">
        <v>1505.8</v>
      </c>
    </row>
    <row r="2710" spans="1:2">
      <c r="A2710" s="1167">
        <v>46172</v>
      </c>
      <c r="B2710" s="1168">
        <v>1505.8</v>
      </c>
    </row>
    <row r="2711" spans="1:2">
      <c r="A2711" s="1167">
        <v>46173</v>
      </c>
      <c r="B2711" s="1168">
        <v>1505.8</v>
      </c>
    </row>
    <row r="2712" spans="1:2">
      <c r="A2712" s="86">
        <v>46174</v>
      </c>
      <c r="B2712" s="10">
        <v>1503.2</v>
      </c>
    </row>
    <row r="2713" spans="1:2">
      <c r="A2713" s="86">
        <v>46175</v>
      </c>
      <c r="B2713" s="10">
        <v>1511.3</v>
      </c>
    </row>
    <row r="2714" spans="1:2">
      <c r="A2714" s="86">
        <v>46176</v>
      </c>
      <c r="B2714" s="10">
        <v>1515.6</v>
      </c>
    </row>
    <row r="2715" spans="1:2">
      <c r="A2715" s="86">
        <v>46177</v>
      </c>
      <c r="B2715" s="10">
        <v>1515.6</v>
      </c>
    </row>
    <row r="2716" spans="1:2">
      <c r="A2716" s="86">
        <v>46178</v>
      </c>
      <c r="B2716" s="10">
        <v>1528.6</v>
      </c>
    </row>
    <row r="2717" spans="1:2">
      <c r="A2717" s="1167">
        <v>46179</v>
      </c>
      <c r="B2717" s="1168">
        <v>1528.6</v>
      </c>
    </row>
    <row r="2718" spans="1:2">
      <c r="A2718" s="1167">
        <v>46180</v>
      </c>
      <c r="B2718" s="1168">
        <v>1528.6</v>
      </c>
    </row>
    <row r="2719" spans="1:2">
      <c r="A2719" s="86">
        <v>46181</v>
      </c>
      <c r="B2719" s="10">
        <v>1543</v>
      </c>
    </row>
    <row r="2720" spans="1:2">
      <c r="A2720" s="86">
        <v>46182</v>
      </c>
      <c r="B2720" s="10">
        <v>1546.5</v>
      </c>
    </row>
    <row r="2721" spans="1:2">
      <c r="A2721" s="86">
        <v>46183</v>
      </c>
      <c r="B2721" s="10">
        <v>1518.4</v>
      </c>
    </row>
    <row r="2722" spans="1:2">
      <c r="A2722" s="86">
        <v>46184</v>
      </c>
      <c r="B2722" s="10">
        <v>1522.4</v>
      </c>
    </row>
    <row r="2723" spans="1:2">
      <c r="A2723" s="86">
        <v>46185</v>
      </c>
      <c r="B2723" s="10">
        <v>1527</v>
      </c>
    </row>
    <row r="2724" spans="1:2">
      <c r="A2724" s="1167">
        <v>46186</v>
      </c>
      <c r="B2724" s="1168">
        <v>1527</v>
      </c>
    </row>
    <row r="2725" spans="1:2">
      <c r="A2725" s="1167">
        <v>46187</v>
      </c>
      <c r="B2725" s="1168">
        <v>1527</v>
      </c>
    </row>
    <row r="2726" spans="1:2">
      <c r="A2726" s="86">
        <v>46188</v>
      </c>
      <c r="B2726" s="10">
        <v>1520.4</v>
      </c>
    </row>
    <row r="2727" spans="1:2">
      <c r="A2727" s="86">
        <v>46189</v>
      </c>
      <c r="B2727" s="10">
        <v>1510</v>
      </c>
    </row>
    <row r="2728" spans="1:2">
      <c r="A2728" s="86">
        <v>46190</v>
      </c>
      <c r="B2728" s="10">
        <v>1513.5</v>
      </c>
    </row>
    <row r="2729" spans="1:2">
      <c r="A2729" s="86">
        <v>46191</v>
      </c>
      <c r="B2729" s="10">
        <v>1512.8</v>
      </c>
    </row>
    <row r="2730" spans="1:2">
      <c r="A2730" s="86">
        <v>46192</v>
      </c>
      <c r="B2730" s="10">
        <v>1523.4</v>
      </c>
    </row>
    <row r="2731" spans="1:2">
      <c r="A2731" s="1167">
        <v>46193</v>
      </c>
      <c r="B2731" s="1168">
        <v>1523.4</v>
      </c>
    </row>
    <row r="2732" spans="1:2">
      <c r="A2732" s="1167">
        <v>46194</v>
      </c>
      <c r="B2732" s="1168">
        <v>1523.4</v>
      </c>
    </row>
    <row r="2733" spans="1:2">
      <c r="A2733" s="86">
        <v>46195</v>
      </c>
      <c r="B2733" s="10">
        <v>1535</v>
      </c>
    </row>
    <row r="2734" spans="1:2">
      <c r="A2734" s="86">
        <v>46196</v>
      </c>
      <c r="B2734" s="10">
        <v>1535.7</v>
      </c>
    </row>
    <row r="2735" spans="1:2">
      <c r="A2735" s="86">
        <v>46197</v>
      </c>
      <c r="B2735" s="10">
        <v>1537.2</v>
      </c>
    </row>
    <row r="2736" spans="1:2">
      <c r="A2736" s="86">
        <v>46198</v>
      </c>
      <c r="B2736" s="10">
        <v>1538.3</v>
      </c>
    </row>
    <row r="2737" spans="1:2">
      <c r="A2737" s="86">
        <v>46199</v>
      </c>
      <c r="B2737" s="10">
        <v>1545.3</v>
      </c>
    </row>
    <row r="2738" spans="1:2">
      <c r="A2738" s="1167">
        <v>46200</v>
      </c>
      <c r="B2738" s="1168">
        <v>1545.3</v>
      </c>
    </row>
    <row r="2739" spans="1:2">
      <c r="A2739" s="1167">
        <v>46201</v>
      </c>
      <c r="B2739" s="1168">
        <v>1545.3</v>
      </c>
    </row>
    <row r="2740" spans="1:2">
      <c r="A2740" s="86">
        <v>46202</v>
      </c>
      <c r="B2740" s="10">
        <v>1544.2</v>
      </c>
    </row>
    <row r="2741" spans="1:2">
      <c r="A2741" s="86">
        <v>46203</v>
      </c>
      <c r="B2741" s="10">
        <v>1541.5</v>
      </c>
    </row>
    <row r="2742" spans="1:2">
      <c r="A2742" s="86">
        <v>46204</v>
      </c>
      <c r="B2742" s="10">
        <v>1548.4</v>
      </c>
    </row>
    <row r="2743" spans="1:2">
      <c r="A2743" s="86">
        <v>46205</v>
      </c>
      <c r="B2743" s="10">
        <v>1554.4</v>
      </c>
    </row>
    <row r="2744" spans="1:2">
      <c r="A2744" s="86">
        <v>46206</v>
      </c>
      <c r="B2744" s="10">
        <v>1554.1</v>
      </c>
    </row>
    <row r="2745" spans="1:2">
      <c r="A2745" s="86">
        <v>46207</v>
      </c>
      <c r="B2745" s="10">
        <v>1554.1</v>
      </c>
    </row>
    <row r="2746" spans="1:2">
      <c r="A2746" s="86">
        <v>46208</v>
      </c>
      <c r="B2746" s="10">
        <v>1554.1</v>
      </c>
    </row>
    <row r="2747" spans="1:2">
      <c r="A2747" s="86">
        <v>46209</v>
      </c>
      <c r="B2747" s="10">
        <v>1539.7</v>
      </c>
    </row>
    <row r="2748" spans="1:2">
      <c r="A2748" s="86">
        <v>46210</v>
      </c>
      <c r="B2748" s="10">
        <v>1531.8</v>
      </c>
    </row>
    <row r="2749" spans="1:2">
      <c r="A2749" s="86">
        <v>46211</v>
      </c>
      <c r="B2749" s="10">
        <v>1526.6</v>
      </c>
    </row>
    <row r="2750" spans="1:2">
      <c r="A2750" s="86">
        <v>46212</v>
      </c>
      <c r="B2750" s="10">
        <v>1509.9</v>
      </c>
    </row>
    <row r="2751" spans="1:2">
      <c r="A2751" s="86">
        <v>46213</v>
      </c>
      <c r="B2751" s="10">
        <v>1504.2</v>
      </c>
    </row>
    <row r="2752" spans="1:2">
      <c r="A2752" s="86">
        <v>46214</v>
      </c>
      <c r="B2752" s="10">
        <v>1504.2</v>
      </c>
    </row>
    <row r="2753" spans="1:2">
      <c r="A2753" s="86">
        <v>46215</v>
      </c>
      <c r="B2753" s="10">
        <v>1504.2</v>
      </c>
    </row>
    <row r="2754" spans="1:2">
      <c r="A2754" s="86">
        <v>46216</v>
      </c>
      <c r="B2754" s="10">
        <v>1507.1</v>
      </c>
    </row>
    <row r="2755" spans="1:2">
      <c r="A2755" s="86">
        <v>46217</v>
      </c>
      <c r="B2755" s="10">
        <v>1504.9</v>
      </c>
    </row>
    <row r="2756" spans="1:2">
      <c r="A2756" s="86">
        <v>46218</v>
      </c>
      <c r="B2756" s="10">
        <v>1492.2</v>
      </c>
    </row>
    <row r="2757" spans="1:2">
      <c r="A2757" s="86">
        <v>46219</v>
      </c>
      <c r="B2757" s="10">
        <v>1488.8</v>
      </c>
    </row>
    <row r="2758" spans="1:2">
      <c r="A2758" s="86">
        <v>46220</v>
      </c>
      <c r="B2758" s="10">
        <v>1488.8</v>
      </c>
    </row>
    <row r="2759" spans="1:2">
      <c r="A2759" s="86">
        <v>46221</v>
      </c>
      <c r="B2759" s="10">
        <v>1488.8</v>
      </c>
    </row>
    <row r="2760" spans="1:2">
      <c r="A2760" s="86">
        <v>46222</v>
      </c>
      <c r="B2760" s="10">
        <v>1488.8</v>
      </c>
    </row>
    <row r="2761" spans="1:2">
      <c r="A2761" s="86">
        <v>46223</v>
      </c>
      <c r="B2761" s="10">
        <v>1484.3</v>
      </c>
    </row>
    <row r="2762" spans="1:2">
      <c r="A2762" s="86">
        <v>46224</v>
      </c>
      <c r="B2762" s="10">
        <v>1482</v>
      </c>
    </row>
    <row r="2763" spans="1:2">
      <c r="A2763" s="86">
        <v>46225</v>
      </c>
      <c r="B2763" s="10">
        <v>1475.6</v>
      </c>
    </row>
    <row r="2764" spans="1:2">
      <c r="A2764" s="86">
        <v>46226</v>
      </c>
      <c r="B2764" s="10">
        <v>1480.9</v>
      </c>
    </row>
    <row r="2765" spans="1:2">
      <c r="A2765" s="86">
        <v>46227</v>
      </c>
      <c r="B2765" s="10">
        <v>1469.4</v>
      </c>
    </row>
    <row r="2766" spans="1:2">
      <c r="A2766" s="86">
        <v>46228</v>
      </c>
      <c r="B2766" s="10">
        <v>1469.4</v>
      </c>
    </row>
    <row r="2767" spans="1:2">
      <c r="A2767" s="86">
        <v>46229</v>
      </c>
      <c r="B2767" s="10">
        <v>1469.4</v>
      </c>
    </row>
    <row r="2768" spans="1:2">
      <c r="A2768" s="86">
        <v>46230</v>
      </c>
      <c r="B2768" s="10">
        <v>1466.3</v>
      </c>
    </row>
    <row r="2769" spans="1:2">
      <c r="A2769" s="86">
        <v>46231</v>
      </c>
      <c r="B2769" s="10">
        <v>1465.4</v>
      </c>
    </row>
    <row r="2770" spans="1:2">
      <c r="A2770" s="86">
        <v>46232</v>
      </c>
      <c r="B2770" s="10">
        <v>1466.2</v>
      </c>
    </row>
    <row r="2771" spans="1:2">
      <c r="A2771" s="86">
        <v>46233</v>
      </c>
      <c r="B2771" s="10">
        <v>1450.1</v>
      </c>
    </row>
    <row r="2772" spans="1:2">
      <c r="A2772" s="86">
        <v>46234</v>
      </c>
      <c r="B2772" s="10">
        <v>1441.1</v>
      </c>
    </row>
    <row r="2773" spans="1:2">
      <c r="A2773" s="86">
        <v>46235</v>
      </c>
      <c r="B2773" s="10">
        <v>1441.1</v>
      </c>
    </row>
    <row r="2774" spans="1:2">
      <c r="A2774" s="86">
        <v>46236</v>
      </c>
      <c r="B2774" s="10">
        <v>1441.1</v>
      </c>
    </row>
    <row r="2775" spans="1:2">
      <c r="A2775" s="86">
        <v>46237</v>
      </c>
      <c r="B2775" s="10">
        <v>1433.6</v>
      </c>
    </row>
    <row r="2776" spans="1:2">
      <c r="A2776" s="86">
        <v>46238</v>
      </c>
      <c r="B2776" s="10">
        <v>1429.9</v>
      </c>
    </row>
    <row r="2777" spans="1:2">
      <c r="A2777" s="86">
        <v>46239</v>
      </c>
      <c r="B2777" s="10">
        <v>1428.2</v>
      </c>
    </row>
    <row r="2778" spans="1:2">
      <c r="A2778" s="86">
        <v>46240</v>
      </c>
      <c r="B2778" s="10">
        <v>1424.8</v>
      </c>
    </row>
    <row r="2779" spans="1:2">
      <c r="A2779" s="86">
        <v>46241</v>
      </c>
      <c r="B2779" s="10">
        <v>1418.8</v>
      </c>
    </row>
    <row r="2780" spans="1:2">
      <c r="A2780" s="86">
        <v>46242</v>
      </c>
      <c r="B2780" s="10">
        <v>1418.8</v>
      </c>
    </row>
    <row r="2781" spans="1:2">
      <c r="A2781" s="86">
        <v>46243</v>
      </c>
      <c r="B2781" s="10">
        <v>1418.8</v>
      </c>
    </row>
    <row r="2782" spans="1:2">
      <c r="A2782" s="86">
        <v>46244</v>
      </c>
      <c r="B2782" s="10">
        <v>1420.1</v>
      </c>
    </row>
    <row r="2783" spans="1:2">
      <c r="A2783" s="86">
        <v>46245</v>
      </c>
      <c r="B2783" s="10">
        <v>1415.3</v>
      </c>
    </row>
    <row r="2784" spans="1:2">
      <c r="A2784" s="86">
        <v>46246</v>
      </c>
      <c r="B2784" s="10">
        <v>1415</v>
      </c>
    </row>
    <row r="2785" spans="1:2">
      <c r="A2785" s="86">
        <v>46247</v>
      </c>
      <c r="B2785" s="10">
        <v>1415</v>
      </c>
    </row>
    <row r="2786" spans="1:2">
      <c r="A2786" s="86">
        <v>46248</v>
      </c>
      <c r="B2786" s="10">
        <v>1414.9</v>
      </c>
    </row>
    <row r="2787" spans="1:2">
      <c r="A2787" s="86">
        <v>46249</v>
      </c>
      <c r="B2787" s="10">
        <v>1414.9</v>
      </c>
    </row>
    <row r="2788" spans="1:2">
      <c r="A2788" s="86">
        <v>46250</v>
      </c>
      <c r="B2788" s="10">
        <v>1414.9</v>
      </c>
    </row>
    <row r="2789" spans="1:2">
      <c r="A2789" s="86">
        <v>46251</v>
      </c>
      <c r="B2789" s="10">
        <v>1414.9</v>
      </c>
    </row>
    <row r="2790" spans="1:2">
      <c r="A2790" s="86">
        <v>46252</v>
      </c>
      <c r="B2790" s="10">
        <v>1415.2</v>
      </c>
    </row>
    <row r="2791" spans="1:2">
      <c r="A2791" s="86">
        <v>46253</v>
      </c>
      <c r="B2791" s="10">
        <v>1411</v>
      </c>
    </row>
    <row r="2792" spans="1:2">
      <c r="A2792" s="86">
        <v>46254</v>
      </c>
      <c r="B2792" s="10">
        <v>1402.5</v>
      </c>
    </row>
    <row r="2793" spans="1:2">
      <c r="A2793" s="86">
        <v>46255</v>
      </c>
      <c r="B2793" s="10">
        <v>1393</v>
      </c>
    </row>
    <row r="2794" spans="1:2">
      <c r="A2794" s="86">
        <v>46256</v>
      </c>
      <c r="B2794" s="10">
        <v>1393</v>
      </c>
    </row>
    <row r="2795" spans="1:2">
      <c r="A2795" s="86">
        <v>46257</v>
      </c>
      <c r="B2795" s="10">
        <v>1393</v>
      </c>
    </row>
    <row r="2796" spans="1:2">
      <c r="A2796" s="86">
        <v>46258</v>
      </c>
      <c r="B2796" s="10">
        <v>1383.6</v>
      </c>
    </row>
    <row r="2797" spans="1:2">
      <c r="A2797" s="86">
        <v>46259</v>
      </c>
      <c r="B2797" s="10">
        <v>1380.6</v>
      </c>
    </row>
    <row r="2798" spans="1:2">
      <c r="A2798" s="86">
        <v>46260</v>
      </c>
      <c r="B2798" s="10">
        <v>1383.1</v>
      </c>
    </row>
    <row r="2799" spans="1:2">
      <c r="A2799" s="86">
        <v>46261</v>
      </c>
      <c r="B2799" s="10">
        <v>1384.6</v>
      </c>
    </row>
    <row r="2800" spans="1:2">
      <c r="A2800" s="86">
        <v>46262</v>
      </c>
      <c r="B2800" s="10">
        <v>1380.3</v>
      </c>
    </row>
    <row r="2801" spans="1:2">
      <c r="A2801" s="86">
        <v>46263</v>
      </c>
      <c r="B2801" s="10">
        <v>1380.3</v>
      </c>
    </row>
    <row r="2802" spans="1:2">
      <c r="A2802" s="86">
        <v>46264</v>
      </c>
      <c r="B2802" s="10">
        <v>1380.3</v>
      </c>
    </row>
    <row r="2803" spans="1:2">
      <c r="A2803" s="86">
        <v>46265</v>
      </c>
      <c r="B2803" s="10">
        <v>1376.5</v>
      </c>
    </row>
    <row r="2804" spans="1:2">
      <c r="A2804" s="86">
        <v>46266</v>
      </c>
      <c r="B2804" s="10">
        <v>1373.6</v>
      </c>
    </row>
    <row r="2805" spans="1:2">
      <c r="A2805" s="86">
        <v>46267</v>
      </c>
      <c r="B2805" s="10">
        <v>1370.3</v>
      </c>
    </row>
    <row r="2806" spans="1:2">
      <c r="A2806" s="86">
        <v>46268</v>
      </c>
      <c r="B2806" s="10">
        <v>1369.4</v>
      </c>
    </row>
    <row r="2807" spans="1:2">
      <c r="A2807" s="86">
        <v>46269</v>
      </c>
      <c r="B2807" s="10">
        <v>1359.5</v>
      </c>
    </row>
    <row r="2808" spans="1:2">
      <c r="A2808" s="86">
        <v>46270</v>
      </c>
      <c r="B2808" s="10">
        <v>1359.5</v>
      </c>
    </row>
    <row r="2809" spans="1:2">
      <c r="A2809" s="86">
        <v>46271</v>
      </c>
      <c r="B2809" s="10">
        <v>1359.5</v>
      </c>
    </row>
    <row r="2810" spans="1:2">
      <c r="A2810" s="86">
        <v>46272</v>
      </c>
      <c r="B2810" s="10">
        <v>1355.2</v>
      </c>
    </row>
    <row r="2811" spans="1:2">
      <c r="A2811" s="86">
        <v>46273</v>
      </c>
      <c r="B2811" s="10">
        <v>1342.6</v>
      </c>
    </row>
    <row r="2812" spans="1:2">
      <c r="A2812" s="86">
        <v>46274</v>
      </c>
      <c r="B2812" s="10">
        <v>1341.1</v>
      </c>
    </row>
    <row r="2813" spans="1:2">
      <c r="A2813" s="86">
        <v>46275</v>
      </c>
      <c r="B2813" s="10">
        <v>1337.9</v>
      </c>
    </row>
    <row r="2814" spans="1:2">
      <c r="A2814" s="86">
        <v>46276</v>
      </c>
      <c r="B2814" s="10">
        <v>1338.2</v>
      </c>
    </row>
    <row r="2815" spans="1:2">
      <c r="A2815" s="86">
        <v>46277</v>
      </c>
      <c r="B2815" s="10">
        <v>1338.2</v>
      </c>
    </row>
    <row r="2816" spans="1:2">
      <c r="A2816" s="86">
        <v>46278</v>
      </c>
      <c r="B2816" s="10">
        <v>1338.2</v>
      </c>
    </row>
    <row r="2817" spans="1:2">
      <c r="A2817" s="86">
        <v>46279</v>
      </c>
      <c r="B2817" s="10">
        <v>1346.4</v>
      </c>
    </row>
    <row r="2818" spans="1:2">
      <c r="A2818" s="86">
        <v>46280</v>
      </c>
      <c r="B2818" s="10">
        <v>1345.3</v>
      </c>
    </row>
    <row r="2819" spans="1:2">
      <c r="A2819" s="86">
        <v>46281</v>
      </c>
      <c r="B2819" s="10">
        <v>1353.3</v>
      </c>
    </row>
    <row r="2820" spans="1:2">
      <c r="A2820" s="86">
        <v>46282</v>
      </c>
      <c r="B2820" s="10">
        <v>1368.3</v>
      </c>
    </row>
    <row r="2821" spans="1:2">
      <c r="A2821" s="86">
        <v>46283</v>
      </c>
      <c r="B2821" s="10">
        <v>1380.3</v>
      </c>
    </row>
    <row r="2822" spans="1:2">
      <c r="A2822" s="86">
        <v>46284</v>
      </c>
      <c r="B2822" s="10">
        <v>1380.3</v>
      </c>
    </row>
    <row r="2823" spans="1:2">
      <c r="A2823" s="86">
        <v>46285</v>
      </c>
      <c r="B2823" s="10">
        <v>1380.3</v>
      </c>
    </row>
    <row r="2824" spans="1:2">
      <c r="A2824" s="86">
        <v>46286</v>
      </c>
      <c r="B2824" s="10">
        <v>1383.8</v>
      </c>
    </row>
    <row r="2825" spans="1:2">
      <c r="A2825" s="86">
        <v>46287</v>
      </c>
      <c r="B2825" s="10">
        <v>1384.3</v>
      </c>
    </row>
    <row r="2826" spans="1:2">
      <c r="A2826" s="86">
        <v>46288</v>
      </c>
      <c r="B2826" s="10">
        <v>1360</v>
      </c>
    </row>
    <row r="2827" spans="1:2">
      <c r="A2827" s="86">
        <v>46289</v>
      </c>
      <c r="B2827" s="10">
        <v>1360</v>
      </c>
    </row>
    <row r="2828" spans="1:2">
      <c r="A2828" s="86">
        <v>46290</v>
      </c>
      <c r="B2828" s="10">
        <v>1360</v>
      </c>
    </row>
    <row r="2829" spans="1:2">
      <c r="A2829" s="86">
        <v>46291</v>
      </c>
      <c r="B2829" s="10">
        <v>1360</v>
      </c>
    </row>
    <row r="2830" spans="1:2">
      <c r="A2830" s="86">
        <v>46292</v>
      </c>
      <c r="B2830" s="10">
        <v>1360</v>
      </c>
    </row>
    <row r="2831" spans="1:2">
      <c r="A2831" s="86">
        <v>46293</v>
      </c>
      <c r="B2831" s="10">
        <v>1352</v>
      </c>
    </row>
    <row r="2832" spans="1:2">
      <c r="A2832" s="86">
        <v>46294</v>
      </c>
      <c r="B2832" s="10">
        <v>1360</v>
      </c>
    </row>
    <row r="2833" spans="1:2">
      <c r="A2833" s="86">
        <v>46295</v>
      </c>
      <c r="B2833" s="10">
        <v>1358.4</v>
      </c>
    </row>
    <row r="2834" spans="1:2">
      <c r="A2834" s="86">
        <v>46296</v>
      </c>
      <c r="B2834" s="10">
        <v>1355.7</v>
      </c>
    </row>
    <row r="2835" spans="1:2">
      <c r="A2835" s="86">
        <v>46297</v>
      </c>
    </row>
    <row r="2836" spans="1:2">
      <c r="A2836" s="86">
        <v>46298</v>
      </c>
    </row>
    <row r="2837" spans="1:2">
      <c r="A2837" s="86">
        <v>46299</v>
      </c>
    </row>
    <row r="2838" spans="1:2">
      <c r="A2838" s="86">
        <v>46300</v>
      </c>
    </row>
    <row r="2839" spans="1:2">
      <c r="A2839" s="86">
        <v>46301</v>
      </c>
    </row>
    <row r="2840" spans="1:2">
      <c r="A2840" s="86">
        <v>46302</v>
      </c>
    </row>
    <row r="2841" spans="1:2">
      <c r="A2841" s="86">
        <v>46303</v>
      </c>
    </row>
    <row r="2842" spans="1:2">
      <c r="A2842" s="86">
        <v>46304</v>
      </c>
    </row>
    <row r="2843" spans="1:2">
      <c r="A2843" s="86">
        <v>46305</v>
      </c>
    </row>
    <row r="2844" spans="1:2">
      <c r="A2844" s="86">
        <v>46306</v>
      </c>
    </row>
    <row r="2845" spans="1:2">
      <c r="A2845" s="86">
        <v>46307</v>
      </c>
    </row>
    <row r="2846" spans="1:2">
      <c r="A2846" s="86">
        <v>46308</v>
      </c>
    </row>
    <row r="2847" spans="1:2">
      <c r="A2847" s="86">
        <v>46309</v>
      </c>
    </row>
    <row r="2848" spans="1:2">
      <c r="A2848" s="86">
        <v>46310</v>
      </c>
    </row>
    <row r="2849" spans="1:1">
      <c r="A2849" s="86">
        <v>46311</v>
      </c>
    </row>
    <row r="2850" spans="1:1">
      <c r="A2850" s="86">
        <v>46312</v>
      </c>
    </row>
    <row r="2851" spans="1:1">
      <c r="A2851" s="86">
        <v>46313</v>
      </c>
    </row>
    <row r="2852" spans="1:1">
      <c r="A2852" s="86">
        <v>46314</v>
      </c>
    </row>
    <row r="2853" spans="1:1">
      <c r="A2853" s="86">
        <v>46315</v>
      </c>
    </row>
    <row r="2854" spans="1:1">
      <c r="A2854" s="86">
        <v>46316</v>
      </c>
    </row>
    <row r="2855" spans="1:1">
      <c r="A2855" s="86">
        <v>46317</v>
      </c>
    </row>
    <row r="2856" spans="1:1">
      <c r="A2856" s="86">
        <v>46318</v>
      </c>
    </row>
    <row r="2857" spans="1:1">
      <c r="A2857" s="86">
        <v>46319</v>
      </c>
    </row>
    <row r="2858" spans="1:1">
      <c r="A2858" s="86">
        <v>46320</v>
      </c>
    </row>
    <row r="2859" spans="1:1">
      <c r="A2859" s="86">
        <v>46321</v>
      </c>
    </row>
    <row r="2860" spans="1:1">
      <c r="A2860" s="86">
        <v>46322</v>
      </c>
    </row>
    <row r="2861" spans="1:1">
      <c r="A2861" s="86">
        <v>46323</v>
      </c>
    </row>
    <row r="2862" spans="1:1">
      <c r="A2862" s="86">
        <v>46324</v>
      </c>
    </row>
    <row r="2863" spans="1:1">
      <c r="A2863" s="86">
        <v>46325</v>
      </c>
    </row>
    <row r="2864" spans="1:1">
      <c r="A2864" s="86">
        <v>46326</v>
      </c>
    </row>
    <row r="2865" spans="1:1">
      <c r="A2865" s="86">
        <v>46327</v>
      </c>
    </row>
    <row r="2866" spans="1:1">
      <c r="A2866" s="86">
        <v>46328</v>
      </c>
    </row>
    <row r="2867" spans="1:1">
      <c r="A2867" s="86">
        <v>46329</v>
      </c>
    </row>
    <row r="2868" spans="1:1">
      <c r="A2868" s="86">
        <v>46330</v>
      </c>
    </row>
    <row r="2869" spans="1:1">
      <c r="A2869" s="86">
        <v>46331</v>
      </c>
    </row>
    <row r="2870" spans="1:1">
      <c r="A2870" s="86">
        <v>46332</v>
      </c>
    </row>
    <row r="2871" spans="1:1">
      <c r="A2871" s="86">
        <v>46333</v>
      </c>
    </row>
    <row r="2872" spans="1:1">
      <c r="A2872" s="86">
        <v>46334</v>
      </c>
    </row>
    <row r="2873" spans="1:1">
      <c r="A2873" s="86">
        <v>46335</v>
      </c>
    </row>
    <row r="2874" spans="1:1">
      <c r="A2874" s="86">
        <v>46336</v>
      </c>
    </row>
    <row r="2875" spans="1:1">
      <c r="A2875" s="86">
        <v>46337</v>
      </c>
    </row>
    <row r="2876" spans="1:1">
      <c r="A2876" s="86">
        <v>46338</v>
      </c>
    </row>
    <row r="2877" spans="1:1">
      <c r="A2877" s="86">
        <v>46339</v>
      </c>
    </row>
    <row r="2878" spans="1:1">
      <c r="A2878" s="86">
        <v>46340</v>
      </c>
    </row>
    <row r="2879" spans="1:1">
      <c r="A2879" s="86">
        <v>46341</v>
      </c>
    </row>
    <row r="2880" spans="1:1">
      <c r="A2880" s="86">
        <v>46342</v>
      </c>
    </row>
    <row r="2881" spans="1:1">
      <c r="A2881" s="86">
        <v>46343</v>
      </c>
    </row>
    <row r="2882" spans="1:1">
      <c r="A2882" s="86">
        <v>46344</v>
      </c>
    </row>
    <row r="2883" spans="1:1">
      <c r="A2883" s="86">
        <v>46345</v>
      </c>
    </row>
    <row r="2884" spans="1:1">
      <c r="A2884" s="86">
        <v>46346</v>
      </c>
    </row>
    <row r="2885" spans="1:1">
      <c r="A2885" s="86">
        <v>46347</v>
      </c>
    </row>
    <row r="2886" spans="1:1">
      <c r="A2886" s="86">
        <v>46348</v>
      </c>
    </row>
    <row r="2887" spans="1:1">
      <c r="A2887" s="86">
        <v>46349</v>
      </c>
    </row>
    <row r="2888" spans="1:1">
      <c r="A2888" s="86">
        <v>46350</v>
      </c>
    </row>
    <row r="2889" spans="1:1">
      <c r="A2889" s="86">
        <v>46351</v>
      </c>
    </row>
    <row r="2890" spans="1:1">
      <c r="A2890" s="86">
        <v>46352</v>
      </c>
    </row>
    <row r="2891" spans="1:1">
      <c r="A2891" s="86">
        <v>46353</v>
      </c>
    </row>
    <row r="2892" spans="1:1">
      <c r="A2892" s="86">
        <v>46354</v>
      </c>
    </row>
    <row r="2893" spans="1:1">
      <c r="A2893" s="86">
        <v>46355</v>
      </c>
    </row>
    <row r="2894" spans="1:1">
      <c r="A2894" s="86">
        <v>46356</v>
      </c>
    </row>
    <row r="2895" spans="1:1">
      <c r="A2895" s="86">
        <v>46357</v>
      </c>
    </row>
    <row r="2896" spans="1:1">
      <c r="A2896" s="86">
        <v>46358</v>
      </c>
    </row>
    <row r="2897" spans="1:1">
      <c r="A2897" s="86">
        <v>46359</v>
      </c>
    </row>
    <row r="2898" spans="1:1">
      <c r="A2898" s="86">
        <v>46360</v>
      </c>
    </row>
    <row r="2899" spans="1:1">
      <c r="A2899" s="86">
        <v>46361</v>
      </c>
    </row>
    <row r="2900" spans="1:1">
      <c r="A2900" s="86">
        <v>46362</v>
      </c>
    </row>
    <row r="2901" spans="1:1">
      <c r="A2901" s="86">
        <v>46363</v>
      </c>
    </row>
    <row r="2902" spans="1:1">
      <c r="A2902" s="86">
        <v>46364</v>
      </c>
    </row>
    <row r="2903" spans="1:1">
      <c r="A2903" s="86">
        <v>46365</v>
      </c>
    </row>
    <row r="2904" spans="1:1">
      <c r="A2904" s="86">
        <v>46366</v>
      </c>
    </row>
    <row r="2905" spans="1:1">
      <c r="A2905" s="86">
        <v>46367</v>
      </c>
    </row>
    <row r="2906" spans="1:1">
      <c r="A2906" s="86">
        <v>46368</v>
      </c>
    </row>
    <row r="2907" spans="1:1">
      <c r="A2907" s="86">
        <v>46369</v>
      </c>
    </row>
    <row r="2908" spans="1:1">
      <c r="A2908" s="86">
        <v>46370</v>
      </c>
    </row>
    <row r="2909" spans="1:1">
      <c r="A2909" s="86">
        <v>46371</v>
      </c>
    </row>
    <row r="2910" spans="1:1">
      <c r="A2910" s="86">
        <v>46372</v>
      </c>
    </row>
    <row r="2911" spans="1:1">
      <c r="A2911" s="86">
        <v>46373</v>
      </c>
    </row>
    <row r="2912" spans="1:1">
      <c r="A2912" s="86">
        <v>46374</v>
      </c>
    </row>
    <row r="2913" spans="1:1">
      <c r="A2913" s="86">
        <v>46375</v>
      </c>
    </row>
    <row r="2914" spans="1:1">
      <c r="A2914" s="86">
        <v>46376</v>
      </c>
    </row>
    <row r="2915" spans="1:1">
      <c r="A2915" s="86">
        <v>46377</v>
      </c>
    </row>
    <row r="2916" spans="1:1">
      <c r="A2916" s="86">
        <v>46378</v>
      </c>
    </row>
    <row r="2917" spans="1:1">
      <c r="A2917" s="86">
        <v>46379</v>
      </c>
    </row>
    <row r="2918" spans="1:1">
      <c r="A2918" s="86">
        <v>46380</v>
      </c>
    </row>
    <row r="2919" spans="1:1">
      <c r="A2919" s="86">
        <v>46381</v>
      </c>
    </row>
    <row r="2920" spans="1:1">
      <c r="A2920" s="86">
        <v>46382</v>
      </c>
    </row>
    <row r="2921" spans="1:1">
      <c r="A2921" s="86">
        <v>46383</v>
      </c>
    </row>
    <row r="2922" spans="1:1">
      <c r="A2922" s="86">
        <v>46384</v>
      </c>
    </row>
    <row r="2923" spans="1:1">
      <c r="A2923" s="86">
        <v>46385</v>
      </c>
    </row>
    <row r="2924" spans="1:1">
      <c r="A2924" s="86">
        <v>46386</v>
      </c>
    </row>
    <row r="2925" spans="1:1">
      <c r="A2925" s="86">
        <v>46387</v>
      </c>
    </row>
    <row r="2926" spans="1:1">
      <c r="A2926" s="86">
        <v>46388</v>
      </c>
    </row>
    <row r="2927" spans="1:1">
      <c r="A2927" s="86">
        <v>46389</v>
      </c>
    </row>
    <row r="2928" spans="1:1">
      <c r="A2928" s="86">
        <v>46390</v>
      </c>
    </row>
    <row r="2929" spans="1:1">
      <c r="A2929" s="86">
        <v>46391</v>
      </c>
    </row>
    <row r="2930" spans="1:1">
      <c r="A2930" s="86">
        <v>46392</v>
      </c>
    </row>
    <row r="2931" spans="1:1">
      <c r="A2931" s="86">
        <v>46393</v>
      </c>
    </row>
    <row r="2932" spans="1:1">
      <c r="A2932" s="86">
        <v>46394</v>
      </c>
    </row>
    <row r="2933" spans="1:1">
      <c r="A2933" s="86">
        <v>46395</v>
      </c>
    </row>
    <row r="2934" spans="1:1">
      <c r="A2934" s="86">
        <v>46396</v>
      </c>
    </row>
    <row r="2935" spans="1:1">
      <c r="A2935" s="86">
        <v>46397</v>
      </c>
    </row>
    <row r="2936" spans="1:1">
      <c r="A2936" s="86">
        <v>46398</v>
      </c>
    </row>
    <row r="2937" spans="1:1">
      <c r="A2937" s="86">
        <v>46399</v>
      </c>
    </row>
    <row r="2938" spans="1:1">
      <c r="A2938" s="86">
        <v>46400</v>
      </c>
    </row>
    <row r="2939" spans="1:1">
      <c r="A2939" s="86">
        <v>46401</v>
      </c>
    </row>
    <row r="2940" spans="1:1">
      <c r="A2940" s="86">
        <v>46402</v>
      </c>
    </row>
    <row r="2941" spans="1:1">
      <c r="A2941" s="86">
        <v>46403</v>
      </c>
    </row>
    <row r="2942" spans="1:1">
      <c r="A2942" s="86">
        <v>46404</v>
      </c>
    </row>
    <row r="2943" spans="1:1">
      <c r="A2943" s="86">
        <v>46405</v>
      </c>
    </row>
    <row r="2944" spans="1:1">
      <c r="A2944" s="86">
        <v>46406</v>
      </c>
    </row>
    <row r="2945" spans="1:1">
      <c r="A2945" s="86">
        <v>46407</v>
      </c>
    </row>
    <row r="2946" spans="1:1">
      <c r="A2946" s="86">
        <v>46408</v>
      </c>
    </row>
    <row r="2947" spans="1:1">
      <c r="A2947" s="86">
        <v>46409</v>
      </c>
    </row>
    <row r="2948" spans="1:1">
      <c r="A2948" s="86">
        <v>46410</v>
      </c>
    </row>
    <row r="2949" spans="1:1">
      <c r="A2949" s="86">
        <v>46411</v>
      </c>
    </row>
    <row r="2950" spans="1:1">
      <c r="A2950" s="86">
        <v>46412</v>
      </c>
    </row>
    <row r="2951" spans="1:1">
      <c r="A2951" s="86">
        <v>46413</v>
      </c>
    </row>
    <row r="2952" spans="1:1">
      <c r="A2952" s="86">
        <v>46414</v>
      </c>
    </row>
    <row r="2953" spans="1:1">
      <c r="A2953" s="86">
        <v>46415</v>
      </c>
    </row>
    <row r="2954" spans="1:1">
      <c r="A2954" s="86">
        <v>46416</v>
      </c>
    </row>
    <row r="2955" spans="1:1">
      <c r="A2955" s="86">
        <v>46417</v>
      </c>
    </row>
    <row r="2956" spans="1:1">
      <c r="A2956" s="86">
        <v>46418</v>
      </c>
    </row>
    <row r="2957" spans="1:1">
      <c r="A2957" s="86">
        <v>46419</v>
      </c>
    </row>
    <row r="2958" spans="1:1">
      <c r="A2958" s="86">
        <v>46420</v>
      </c>
    </row>
    <row r="2959" spans="1:1">
      <c r="A2959" s="86">
        <v>46421</v>
      </c>
    </row>
    <row r="2960" spans="1:1">
      <c r="A2960" s="86">
        <v>46422</v>
      </c>
    </row>
    <row r="2961" spans="1:1">
      <c r="A2961" s="86">
        <v>46423</v>
      </c>
    </row>
    <row r="2962" spans="1:1">
      <c r="A2962" s="86">
        <v>46424</v>
      </c>
    </row>
    <row r="2963" spans="1:1">
      <c r="A2963" s="86">
        <v>46425</v>
      </c>
    </row>
    <row r="2964" spans="1:1">
      <c r="A2964" s="86">
        <v>46426</v>
      </c>
    </row>
    <row r="2965" spans="1:1">
      <c r="A2965" s="86">
        <v>46427</v>
      </c>
    </row>
    <row r="2966" spans="1:1">
      <c r="A2966" s="86">
        <v>46428</v>
      </c>
    </row>
    <row r="2967" spans="1:1">
      <c r="A2967" s="86">
        <v>46429</v>
      </c>
    </row>
    <row r="2968" spans="1:1">
      <c r="A2968" s="86">
        <v>46430</v>
      </c>
    </row>
    <row r="2969" spans="1:1">
      <c r="A2969" s="86">
        <v>46431</v>
      </c>
    </row>
    <row r="2970" spans="1:1">
      <c r="A2970" s="86">
        <v>46432</v>
      </c>
    </row>
    <row r="2971" spans="1:1">
      <c r="A2971" s="86">
        <v>46433</v>
      </c>
    </row>
    <row r="2972" spans="1:1">
      <c r="A2972" s="86">
        <v>46434</v>
      </c>
    </row>
    <row r="2973" spans="1:1">
      <c r="A2973" s="86">
        <v>46435</v>
      </c>
    </row>
    <row r="2974" spans="1:1">
      <c r="A2974" s="86">
        <v>46436</v>
      </c>
    </row>
    <row r="2975" spans="1:1">
      <c r="A2975" s="86">
        <v>46437</v>
      </c>
    </row>
    <row r="2976" spans="1:1">
      <c r="A2976" s="86">
        <v>46438</v>
      </c>
    </row>
    <row r="2977" spans="1:1">
      <c r="A2977" s="86">
        <v>46439</v>
      </c>
    </row>
    <row r="2978" spans="1:1">
      <c r="A2978" s="86">
        <v>46440</v>
      </c>
    </row>
    <row r="2979" spans="1:1">
      <c r="A2979" s="86">
        <v>46441</v>
      </c>
    </row>
    <row r="2980" spans="1:1">
      <c r="A2980" s="86">
        <v>46442</v>
      </c>
    </row>
    <row r="2981" spans="1:1">
      <c r="A2981" s="86">
        <v>46443</v>
      </c>
    </row>
    <row r="2982" spans="1:1">
      <c r="A2982" s="86">
        <v>46444</v>
      </c>
    </row>
    <row r="2983" spans="1:1">
      <c r="A2983" s="86">
        <v>46445</v>
      </c>
    </row>
    <row r="2984" spans="1:1">
      <c r="A2984" s="86">
        <v>46446</v>
      </c>
    </row>
    <row r="2985" spans="1:1">
      <c r="A2985" s="86">
        <v>46447</v>
      </c>
    </row>
    <row r="2986" spans="1:1">
      <c r="A2986" s="86">
        <v>46448</v>
      </c>
    </row>
    <row r="2987" spans="1:1">
      <c r="A2987" s="86">
        <v>46449</v>
      </c>
    </row>
    <row r="2988" spans="1:1">
      <c r="A2988" s="86">
        <v>46450</v>
      </c>
    </row>
    <row r="2989" spans="1:1">
      <c r="A2989" s="86">
        <v>46451</v>
      </c>
    </row>
    <row r="2990" spans="1:1">
      <c r="A2990" s="86">
        <v>46452</v>
      </c>
    </row>
    <row r="2991" spans="1:1">
      <c r="A2991" s="86">
        <v>46453</v>
      </c>
    </row>
    <row r="2992" spans="1:1">
      <c r="A2992" s="86">
        <v>46454</v>
      </c>
    </row>
    <row r="2993" spans="1:1">
      <c r="A2993" s="86">
        <v>46455</v>
      </c>
    </row>
    <row r="2994" spans="1:1">
      <c r="A2994" s="86">
        <v>46456</v>
      </c>
    </row>
    <row r="2995" spans="1:1">
      <c r="A2995" s="86">
        <v>46457</v>
      </c>
    </row>
    <row r="2996" spans="1:1">
      <c r="A2996" s="86">
        <v>46458</v>
      </c>
    </row>
    <row r="2997" spans="1:1">
      <c r="A2997" s="86">
        <v>46459</v>
      </c>
    </row>
    <row r="2998" spans="1:1">
      <c r="A2998" s="86">
        <v>46460</v>
      </c>
    </row>
    <row r="2999" spans="1:1">
      <c r="A2999" s="86">
        <v>46461</v>
      </c>
    </row>
    <row r="3000" spans="1:1">
      <c r="A3000" s="86">
        <v>46462</v>
      </c>
    </row>
    <row r="3001" spans="1:1">
      <c r="A3001" s="86">
        <v>46463</v>
      </c>
    </row>
    <row r="3002" spans="1:1">
      <c r="A3002" s="86">
        <v>46464</v>
      </c>
    </row>
    <row r="3003" spans="1:1">
      <c r="A3003" s="86">
        <v>46465</v>
      </c>
    </row>
    <row r="3004" spans="1:1">
      <c r="A3004" s="86">
        <v>46466</v>
      </c>
    </row>
    <row r="3005" spans="1:1">
      <c r="A3005" s="86">
        <v>46467</v>
      </c>
    </row>
    <row r="3006" spans="1:1">
      <c r="A3006" s="86">
        <v>46468</v>
      </c>
    </row>
    <row r="3007" spans="1:1">
      <c r="A3007" s="86">
        <v>46469</v>
      </c>
    </row>
    <row r="3008" spans="1:1">
      <c r="A3008" s="86">
        <v>46470</v>
      </c>
    </row>
    <row r="3009" spans="1:1">
      <c r="A3009" s="86">
        <v>46471</v>
      </c>
    </row>
    <row r="3010" spans="1:1">
      <c r="A3010" s="86">
        <v>46472</v>
      </c>
    </row>
    <row r="3011" spans="1:1">
      <c r="A3011" s="86">
        <v>46473</v>
      </c>
    </row>
    <row r="3012" spans="1:1">
      <c r="A3012" s="86">
        <v>46474</v>
      </c>
    </row>
    <row r="3013" spans="1:1">
      <c r="A3013" s="86">
        <v>46475</v>
      </c>
    </row>
    <row r="3014" spans="1:1">
      <c r="A3014" s="86">
        <v>46476</v>
      </c>
    </row>
    <row r="3015" spans="1:1">
      <c r="A3015" s="86">
        <v>46477</v>
      </c>
    </row>
    <row r="3016" spans="1:1">
      <c r="A3016" s="86">
        <v>46478</v>
      </c>
    </row>
    <row r="3017" spans="1:1">
      <c r="A3017" s="86">
        <v>46479</v>
      </c>
    </row>
    <row r="3018" spans="1:1">
      <c r="A3018" s="86">
        <v>46480</v>
      </c>
    </row>
    <row r="3019" spans="1:1">
      <c r="A3019" s="86">
        <v>46481</v>
      </c>
    </row>
    <row r="3020" spans="1:1">
      <c r="A3020" s="86">
        <v>46482</v>
      </c>
    </row>
    <row r="3021" spans="1:1">
      <c r="A3021" s="86">
        <v>46483</v>
      </c>
    </row>
    <row r="3022" spans="1:1">
      <c r="A3022" s="86">
        <v>46484</v>
      </c>
    </row>
    <row r="3023" spans="1:1">
      <c r="A3023" s="86">
        <v>46485</v>
      </c>
    </row>
    <row r="3024" spans="1:1">
      <c r="A3024" s="86">
        <v>46486</v>
      </c>
    </row>
    <row r="3025" spans="1:1">
      <c r="A3025" s="86">
        <v>46487</v>
      </c>
    </row>
    <row r="3026" spans="1:1">
      <c r="A3026" s="86">
        <v>46488</v>
      </c>
    </row>
    <row r="3027" spans="1:1">
      <c r="A3027" s="86">
        <v>46489</v>
      </c>
    </row>
    <row r="3028" spans="1:1">
      <c r="A3028" s="86">
        <v>46490</v>
      </c>
    </row>
    <row r="3029" spans="1:1">
      <c r="A3029" s="86">
        <v>46491</v>
      </c>
    </row>
    <row r="3030" spans="1:1">
      <c r="A3030" s="86">
        <v>46492</v>
      </c>
    </row>
    <row r="3031" spans="1:1">
      <c r="A3031" s="86">
        <v>46493</v>
      </c>
    </row>
    <row r="3032" spans="1:1">
      <c r="A3032" s="86">
        <v>46494</v>
      </c>
    </row>
    <row r="3033" spans="1:1">
      <c r="A3033" s="86">
        <v>46495</v>
      </c>
    </row>
    <row r="3034" spans="1:1">
      <c r="A3034" s="86">
        <v>46496</v>
      </c>
    </row>
    <row r="3035" spans="1:1">
      <c r="A3035" s="86">
        <v>46497</v>
      </c>
    </row>
    <row r="3036" spans="1:1">
      <c r="A3036" s="86">
        <v>46498</v>
      </c>
    </row>
    <row r="3037" spans="1:1">
      <c r="A3037" s="86">
        <v>46499</v>
      </c>
    </row>
    <row r="3038" spans="1:1">
      <c r="A3038" s="86">
        <v>46500</v>
      </c>
    </row>
    <row r="3039" spans="1:1">
      <c r="A3039" s="86">
        <v>46501</v>
      </c>
    </row>
    <row r="3040" spans="1:1">
      <c r="A3040" s="86">
        <v>46502</v>
      </c>
    </row>
  </sheetData>
  <mergeCells count="1">
    <mergeCell ref="J334:J335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H4"/>
  <sheetViews>
    <sheetView workbookViewId="0">
      <selection activeCell="A5" sqref="A5"/>
    </sheetView>
  </sheetViews>
  <sheetFormatPr defaultRowHeight="17.399999999999999"/>
  <cols>
    <col min="7" max="7" width="12.59765625" bestFit="1" customWidth="1"/>
    <col min="8" max="8" width="11.8984375" style="21" bestFit="1" customWidth="1"/>
  </cols>
  <sheetData>
    <row r="1" spans="1:6">
      <c r="C1">
        <v>201</v>
      </c>
      <c r="E1">
        <v>402</v>
      </c>
    </row>
    <row r="2" spans="1:6">
      <c r="A2" t="s">
        <v>4218</v>
      </c>
      <c r="B2" t="s">
        <v>4219</v>
      </c>
      <c r="C2" t="s">
        <v>4792</v>
      </c>
      <c r="D2" t="s">
        <v>4222</v>
      </c>
      <c r="E2" t="s">
        <v>4793</v>
      </c>
      <c r="F2" t="s">
        <v>4794</v>
      </c>
    </row>
    <row r="3" spans="1:6">
      <c r="A3" t="s">
        <v>5144</v>
      </c>
      <c r="F3" t="s">
        <v>5144</v>
      </c>
    </row>
    <row r="4" spans="1:6">
      <c r="A4" t="s">
        <v>5145</v>
      </c>
      <c r="F4" t="s">
        <v>5145</v>
      </c>
    </row>
  </sheetData>
  <phoneticPr fontId="2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B13:K102"/>
  <sheetViews>
    <sheetView workbookViewId="0">
      <selection activeCell="A5" sqref="A5:H9"/>
    </sheetView>
  </sheetViews>
  <sheetFormatPr defaultRowHeight="17.399999999999999"/>
  <cols>
    <col min="3" max="3" width="9" customWidth="1"/>
    <col min="5" max="5" width="0" hidden="1" customWidth="1"/>
  </cols>
  <sheetData>
    <row r="13" spans="3:3">
      <c r="C13" t="s">
        <v>3741</v>
      </c>
    </row>
    <row r="15" spans="3:3">
      <c r="C15" t="s">
        <v>3741</v>
      </c>
    </row>
    <row r="17" spans="2:3">
      <c r="C17" t="s">
        <v>3741</v>
      </c>
    </row>
    <row r="18" spans="2:3">
      <c r="B18" t="s">
        <v>3742</v>
      </c>
    </row>
    <row r="19" spans="2:3">
      <c r="B19" t="s">
        <v>3743</v>
      </c>
      <c r="C19" t="s">
        <v>3741</v>
      </c>
    </row>
    <row r="33" spans="3:3">
      <c r="C33" t="s">
        <v>3741</v>
      </c>
    </row>
    <row r="41" spans="3:3">
      <c r="C41" t="s">
        <v>3741</v>
      </c>
    </row>
    <row r="42" spans="3:3">
      <c r="C42" t="s">
        <v>3741</v>
      </c>
    </row>
    <row r="43" spans="3:3">
      <c r="C43" t="s">
        <v>3741</v>
      </c>
    </row>
    <row r="44" spans="3:3">
      <c r="C44" t="s">
        <v>3741</v>
      </c>
    </row>
    <row r="45" spans="3:3">
      <c r="C45" t="s">
        <v>3741</v>
      </c>
    </row>
    <row r="46" spans="3:3">
      <c r="C46" t="s">
        <v>3741</v>
      </c>
    </row>
    <row r="47" spans="3:3">
      <c r="C47" t="s">
        <v>3741</v>
      </c>
    </row>
    <row r="48" spans="3:3">
      <c r="C48" t="s">
        <v>3741</v>
      </c>
    </row>
    <row r="49" spans="3:3">
      <c r="C49" t="s">
        <v>3741</v>
      </c>
    </row>
    <row r="50" spans="3:3">
      <c r="C50" t="s">
        <v>3741</v>
      </c>
    </row>
    <row r="51" spans="3:3">
      <c r="C51" t="s">
        <v>3741</v>
      </c>
    </row>
    <row r="52" spans="3:3">
      <c r="C52" t="s">
        <v>3741</v>
      </c>
    </row>
    <row r="53" spans="3:3">
      <c r="C53" t="s">
        <v>3741</v>
      </c>
    </row>
    <row r="54" spans="3:3">
      <c r="C54" t="s">
        <v>3741</v>
      </c>
    </row>
    <row r="55" spans="3:3">
      <c r="C55" t="s">
        <v>3741</v>
      </c>
    </row>
    <row r="56" spans="3:3">
      <c r="C56" t="s">
        <v>3741</v>
      </c>
    </row>
    <row r="64" spans="3:3">
      <c r="C64" t="s">
        <v>3741</v>
      </c>
    </row>
    <row r="66" spans="3:3">
      <c r="C66" s="507" t="s">
        <v>3741</v>
      </c>
    </row>
    <row r="70" spans="3:3">
      <c r="C70" t="s">
        <v>3741</v>
      </c>
    </row>
    <row r="71" spans="3:3">
      <c r="C71" t="s">
        <v>3741</v>
      </c>
    </row>
    <row r="72" spans="3:3">
      <c r="C72" t="s">
        <v>3741</v>
      </c>
    </row>
    <row r="73" spans="3:3">
      <c r="C73" t="s">
        <v>3741</v>
      </c>
    </row>
    <row r="79" spans="3:3">
      <c r="C79" t="s">
        <v>3741</v>
      </c>
    </row>
    <row r="87" spans="3:3">
      <c r="C87" t="s">
        <v>3741</v>
      </c>
    </row>
    <row r="88" spans="3:3">
      <c r="C88" t="s">
        <v>3741</v>
      </c>
    </row>
    <row r="92" spans="3:3">
      <c r="C92" t="s">
        <v>3741</v>
      </c>
    </row>
    <row r="93" spans="3:3">
      <c r="C93" t="s">
        <v>3741</v>
      </c>
    </row>
    <row r="94" spans="3:3">
      <c r="C94" t="s">
        <v>3741</v>
      </c>
    </row>
    <row r="95" spans="3:3">
      <c r="C95" t="s">
        <v>3741</v>
      </c>
    </row>
    <row r="102" spans="11:11">
      <c r="K102">
        <f>SUM(H102:I102)</f>
        <v>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tabColor rgb="FFFFFF00"/>
  </sheetPr>
  <dimension ref="A1:S103"/>
  <sheetViews>
    <sheetView topLeftCell="A37" workbookViewId="0">
      <selection activeCell="P13" sqref="P13"/>
    </sheetView>
  </sheetViews>
  <sheetFormatPr defaultColWidth="9" defaultRowHeight="17.399999999999999"/>
  <cols>
    <col min="1" max="1" width="15" style="55" bestFit="1" customWidth="1"/>
    <col min="2" max="2" width="16.19921875" style="34" bestFit="1" customWidth="1"/>
    <col min="3" max="3" width="13" style="42" bestFit="1" customWidth="1"/>
    <col min="4" max="7" width="13" style="40" bestFit="1" customWidth="1"/>
    <col min="8" max="8" width="9.19921875" style="34" bestFit="1" customWidth="1"/>
    <col min="9" max="9" width="22.59765625" style="34" bestFit="1" customWidth="1"/>
    <col min="10" max="10" width="9.19921875" style="40" bestFit="1" customWidth="1"/>
    <col min="11" max="11" width="15" style="55" bestFit="1" customWidth="1"/>
    <col min="12" max="12" width="17.19921875" style="34" bestFit="1" customWidth="1"/>
    <col min="13" max="13" width="16" style="34" bestFit="1" customWidth="1"/>
    <col min="14" max="14" width="9.8984375" style="34" bestFit="1" customWidth="1"/>
    <col min="15" max="15" width="9" style="34"/>
    <col min="16" max="16" width="11.3984375" style="34" customWidth="1"/>
    <col min="17" max="17" width="4.69921875" style="34" customWidth="1"/>
    <col min="18" max="16384" width="9" style="34"/>
  </cols>
  <sheetData>
    <row r="1" spans="1:19">
      <c r="A1" s="33" t="s">
        <v>235</v>
      </c>
      <c r="B1" s="32" t="s">
        <v>48</v>
      </c>
      <c r="C1" s="41" t="s">
        <v>50</v>
      </c>
      <c r="D1" s="32" t="s">
        <v>146</v>
      </c>
      <c r="E1" s="32" t="s">
        <v>54</v>
      </c>
      <c r="F1" s="32" t="s">
        <v>51</v>
      </c>
      <c r="G1" s="32" t="s">
        <v>57</v>
      </c>
      <c r="H1" s="32" t="s">
        <v>86</v>
      </c>
      <c r="I1" s="32" t="s">
        <v>87</v>
      </c>
      <c r="J1" s="33" t="s">
        <v>232</v>
      </c>
      <c r="K1" s="33" t="s">
        <v>324</v>
      </c>
      <c r="L1" s="33" t="s">
        <v>236</v>
      </c>
      <c r="P1" s="35"/>
    </row>
    <row r="2" spans="1:19" ht="16.5" customHeight="1">
      <c r="A2" s="56" t="s">
        <v>288</v>
      </c>
      <c r="B2" s="48" t="s">
        <v>303</v>
      </c>
      <c r="C2" s="48">
        <v>674.41</v>
      </c>
      <c r="D2" s="48" t="s">
        <v>52</v>
      </c>
      <c r="E2" s="48" t="s">
        <v>304</v>
      </c>
      <c r="F2" s="48" t="s">
        <v>304</v>
      </c>
      <c r="G2" s="48" t="s">
        <v>275</v>
      </c>
      <c r="H2" s="48" t="s">
        <v>88</v>
      </c>
      <c r="I2" s="48" t="s">
        <v>126</v>
      </c>
      <c r="J2" s="44" t="s">
        <v>674</v>
      </c>
      <c r="K2" s="56" t="str">
        <f>VLOOKUP(B2,'Sheet1 (2)'!$A$2:$C$103,3,FALSE)</f>
        <v>2204P14</v>
      </c>
      <c r="L2" s="43" t="s">
        <v>699</v>
      </c>
      <c r="N2" s="39"/>
      <c r="P2" s="36">
        <v>41072</v>
      </c>
      <c r="Q2" s="34">
        <v>21</v>
      </c>
      <c r="R2" s="34" t="s">
        <v>164</v>
      </c>
      <c r="S2" s="34" t="str">
        <f t="shared" ref="S2:S17" si="0">P2&amp;"-"&amp;Q2&amp;"-"&amp;R2</f>
        <v>41072-21-503188X</v>
      </c>
    </row>
    <row r="3" spans="1:19" ht="16.5" customHeight="1">
      <c r="A3" s="56" t="s">
        <v>289</v>
      </c>
      <c r="B3" s="48" t="s">
        <v>306</v>
      </c>
      <c r="C3" s="74">
        <v>3379</v>
      </c>
      <c r="D3" s="48" t="s">
        <v>52</v>
      </c>
      <c r="E3" s="48" t="s">
        <v>304</v>
      </c>
      <c r="F3" s="48" t="s">
        <v>304</v>
      </c>
      <c r="G3" s="48" t="s">
        <v>275</v>
      </c>
      <c r="H3" s="48" t="s">
        <v>88</v>
      </c>
      <c r="I3" s="48" t="s">
        <v>126</v>
      </c>
      <c r="J3" s="44" t="s">
        <v>674</v>
      </c>
      <c r="K3" s="56" t="str">
        <f>VLOOKUP(B3,'Sheet1 (2)'!$A$2:$C$103,3,FALSE)</f>
        <v>2204P15</v>
      </c>
      <c r="L3" s="43" t="s">
        <v>699</v>
      </c>
      <c r="N3" s="39"/>
      <c r="P3" s="36">
        <v>41072</v>
      </c>
      <c r="Q3" s="34">
        <v>21</v>
      </c>
      <c r="R3" s="34" t="s">
        <v>218</v>
      </c>
      <c r="S3" s="34" t="str">
        <f t="shared" si="0"/>
        <v>41072-21-503529X</v>
      </c>
    </row>
    <row r="4" spans="1:19">
      <c r="A4" s="75" t="s">
        <v>290</v>
      </c>
      <c r="B4" s="48" t="s">
        <v>308</v>
      </c>
      <c r="C4" s="49">
        <v>1586.12</v>
      </c>
      <c r="D4" s="48" t="s">
        <v>52</v>
      </c>
      <c r="E4" s="48" t="s">
        <v>304</v>
      </c>
      <c r="F4" s="48" t="s">
        <v>304</v>
      </c>
      <c r="G4" s="48" t="s">
        <v>275</v>
      </c>
      <c r="H4" s="48" t="s">
        <v>88</v>
      </c>
      <c r="I4" s="48" t="s">
        <v>126</v>
      </c>
      <c r="J4" s="44" t="s">
        <v>674</v>
      </c>
      <c r="K4" s="75" t="str">
        <f>VLOOKUP(B4,'Sheet1 (2)'!$A$2:$C$103,3,FALSE)</f>
        <v>2204P16</v>
      </c>
      <c r="L4" s="43" t="s">
        <v>699</v>
      </c>
      <c r="N4" s="39"/>
      <c r="P4" s="36">
        <v>41072</v>
      </c>
      <c r="Q4" s="34">
        <v>21</v>
      </c>
      <c r="R4" s="34" t="s">
        <v>179</v>
      </c>
      <c r="S4" s="34" t="str">
        <f t="shared" si="0"/>
        <v>41072-21-503227X</v>
      </c>
    </row>
    <row r="5" spans="1:19">
      <c r="A5" s="56" t="s">
        <v>291</v>
      </c>
      <c r="B5" s="48" t="s">
        <v>310</v>
      </c>
      <c r="C5" s="49">
        <v>33252.9</v>
      </c>
      <c r="D5" s="48" t="s">
        <v>52</v>
      </c>
      <c r="E5" s="48" t="s">
        <v>304</v>
      </c>
      <c r="F5" s="48" t="s">
        <v>304</v>
      </c>
      <c r="G5" s="48" t="s">
        <v>275</v>
      </c>
      <c r="H5" s="48" t="s">
        <v>88</v>
      </c>
      <c r="I5" s="48" t="s">
        <v>126</v>
      </c>
      <c r="J5" s="44" t="s">
        <v>674</v>
      </c>
      <c r="K5" s="56" t="str">
        <f>VLOOKUP(B5,'Sheet1 (2)'!$A$2:$C$103,3,FALSE)</f>
        <v>2204P17</v>
      </c>
      <c r="L5" s="43" t="s">
        <v>699</v>
      </c>
      <c r="N5" s="39"/>
      <c r="P5" s="36">
        <v>41072</v>
      </c>
      <c r="Q5" s="34">
        <v>21</v>
      </c>
      <c r="R5" s="34" t="s">
        <v>225</v>
      </c>
      <c r="S5" s="34" t="str">
        <f t="shared" si="0"/>
        <v>41072-21-503390X</v>
      </c>
    </row>
    <row r="6" spans="1:19" ht="16.5" customHeight="1">
      <c r="A6" s="56" t="s">
        <v>292</v>
      </c>
      <c r="B6" s="48" t="s">
        <v>312</v>
      </c>
      <c r="C6" s="49">
        <v>18438.72</v>
      </c>
      <c r="D6" s="48" t="s">
        <v>52</v>
      </c>
      <c r="E6" s="48" t="s">
        <v>304</v>
      </c>
      <c r="F6" s="48" t="s">
        <v>304</v>
      </c>
      <c r="G6" s="48" t="s">
        <v>275</v>
      </c>
      <c r="H6" s="48" t="s">
        <v>88</v>
      </c>
      <c r="I6" s="48" t="s">
        <v>126</v>
      </c>
      <c r="J6" s="44" t="s">
        <v>674</v>
      </c>
      <c r="K6" s="56" t="str">
        <f>VLOOKUP(B6,'Sheet1 (2)'!$A$2:$C$103,3,FALSE)</f>
        <v>2204P18</v>
      </c>
      <c r="L6" s="43" t="s">
        <v>699</v>
      </c>
      <c r="N6" s="39"/>
      <c r="P6" s="36">
        <v>41072</v>
      </c>
      <c r="Q6" s="34">
        <v>21</v>
      </c>
      <c r="R6" s="34" t="s">
        <v>181</v>
      </c>
      <c r="S6" s="34" t="str">
        <f t="shared" si="0"/>
        <v>41072-21-503243X</v>
      </c>
    </row>
    <row r="7" spans="1:19">
      <c r="A7" s="56" t="s">
        <v>293</v>
      </c>
      <c r="B7" s="48" t="s">
        <v>325</v>
      </c>
      <c r="C7" s="74">
        <v>23184</v>
      </c>
      <c r="D7" s="48" t="s">
        <v>52</v>
      </c>
      <c r="E7" s="48" t="s">
        <v>273</v>
      </c>
      <c r="F7" s="48" t="s">
        <v>273</v>
      </c>
      <c r="G7" s="48" t="s">
        <v>349</v>
      </c>
      <c r="H7" s="48" t="s">
        <v>239</v>
      </c>
      <c r="I7" s="48" t="s">
        <v>240</v>
      </c>
      <c r="J7" s="44" t="s">
        <v>674</v>
      </c>
      <c r="K7" s="56" t="str">
        <f>VLOOKUP(B7,'Sheet1 (2)'!$A$2:$C$103,3,FALSE)</f>
        <v>2204P22</v>
      </c>
      <c r="L7" s="43" t="s">
        <v>699</v>
      </c>
      <c r="N7" s="39"/>
      <c r="P7" s="36">
        <v>41072</v>
      </c>
      <c r="Q7" s="34">
        <v>21</v>
      </c>
      <c r="R7" s="34" t="s">
        <v>187</v>
      </c>
      <c r="S7" s="34" t="str">
        <f>P7&amp;"-"&amp;Q7&amp;"-"&amp;R7</f>
        <v>41072-21-503317X</v>
      </c>
    </row>
    <row r="8" spans="1:19" ht="16.5" customHeight="1">
      <c r="A8" s="76" t="s">
        <v>301</v>
      </c>
      <c r="B8" s="48" t="s">
        <v>300</v>
      </c>
      <c r="C8" s="49">
        <v>106359.8</v>
      </c>
      <c r="D8" s="48" t="s">
        <v>52</v>
      </c>
      <c r="E8" s="48" t="s">
        <v>269</v>
      </c>
      <c r="F8" s="48" t="s">
        <v>269</v>
      </c>
      <c r="G8" s="48" t="s">
        <v>273</v>
      </c>
      <c r="H8" s="48" t="s">
        <v>89</v>
      </c>
      <c r="I8" s="48" t="s">
        <v>152</v>
      </c>
      <c r="J8" s="44" t="s">
        <v>674</v>
      </c>
      <c r="K8" s="56" t="str">
        <f>VLOOKUP(B8,'Sheet1 (2)'!$A$2:$C$103,3,FALSE)</f>
        <v>DSM2204-AM02</v>
      </c>
      <c r="L8" s="43" t="s">
        <v>700</v>
      </c>
      <c r="N8" s="39"/>
      <c r="P8" s="36"/>
    </row>
    <row r="9" spans="1:19" ht="16.5" customHeight="1">
      <c r="A9" s="56" t="s">
        <v>369</v>
      </c>
      <c r="B9" s="48" t="s">
        <v>426</v>
      </c>
      <c r="C9" s="74">
        <v>59320440</v>
      </c>
      <c r="D9" s="48" t="s">
        <v>256</v>
      </c>
      <c r="E9" s="48" t="s">
        <v>275</v>
      </c>
      <c r="F9" s="48" t="s">
        <v>275</v>
      </c>
      <c r="G9" s="48" t="s">
        <v>671</v>
      </c>
      <c r="H9" s="48" t="s">
        <v>88</v>
      </c>
      <c r="I9" s="48" t="s">
        <v>126</v>
      </c>
      <c r="J9" s="44" t="s">
        <v>674</v>
      </c>
      <c r="K9" s="56" t="str">
        <f>VLOOKUP(B9,'Sheet1 (2)'!$A$2:$C$103,3,FALSE)</f>
        <v>DSM2204-R01</v>
      </c>
      <c r="L9" s="43" t="s">
        <v>701</v>
      </c>
      <c r="N9" s="39"/>
      <c r="P9" s="36">
        <v>41072</v>
      </c>
      <c r="Q9" s="34">
        <v>21</v>
      </c>
      <c r="R9" s="34" t="s">
        <v>163</v>
      </c>
      <c r="S9" s="34" t="str">
        <f>P9&amp;"-"&amp;Q9&amp;"-"&amp;R9</f>
        <v>41072-21-503172X</v>
      </c>
    </row>
    <row r="10" spans="1:19">
      <c r="A10" s="56" t="s">
        <v>320</v>
      </c>
      <c r="B10" s="48" t="s">
        <v>319</v>
      </c>
      <c r="C10" s="74">
        <v>26052784</v>
      </c>
      <c r="D10" s="48" t="s">
        <v>256</v>
      </c>
      <c r="E10" s="48" t="s">
        <v>304</v>
      </c>
      <c r="F10" s="48" t="s">
        <v>304</v>
      </c>
      <c r="G10" s="48" t="s">
        <v>272</v>
      </c>
      <c r="H10" s="48" t="s">
        <v>88</v>
      </c>
      <c r="I10" s="48" t="s">
        <v>126</v>
      </c>
      <c r="J10" s="44" t="s">
        <v>674</v>
      </c>
      <c r="K10" s="56" t="str">
        <f>VLOOKUP(B10,'Sheet1 (2)'!$A$2:$C$103,3,FALSE)</f>
        <v>DSM2204-R02</v>
      </c>
      <c r="L10" s="43" t="s">
        <v>701</v>
      </c>
      <c r="P10" s="36">
        <v>41072</v>
      </c>
      <c r="Q10" s="34">
        <v>21</v>
      </c>
      <c r="R10" s="34" t="s">
        <v>198</v>
      </c>
      <c r="S10" s="34" t="str">
        <f>P10&amp;"-"&amp;Q10&amp;"-"&amp;R10</f>
        <v>41072-21-503232X</v>
      </c>
    </row>
    <row r="11" spans="1:19" ht="16.5" customHeight="1">
      <c r="A11" s="56" t="s">
        <v>317</v>
      </c>
      <c r="B11" s="48" t="s">
        <v>316</v>
      </c>
      <c r="C11" s="74">
        <v>88488766</v>
      </c>
      <c r="D11" s="48" t="s">
        <v>256</v>
      </c>
      <c r="E11" s="48" t="s">
        <v>304</v>
      </c>
      <c r="F11" s="48" t="s">
        <v>304</v>
      </c>
      <c r="G11" s="48" t="s">
        <v>671</v>
      </c>
      <c r="H11" s="48" t="s">
        <v>88</v>
      </c>
      <c r="I11" s="48" t="s">
        <v>126</v>
      </c>
      <c r="J11" s="44" t="s">
        <v>674</v>
      </c>
      <c r="K11" s="56" t="str">
        <f>VLOOKUP(B11,'Sheet1 (2)'!$A$2:$C$103,3,FALSE)</f>
        <v>DSM2204-R03</v>
      </c>
      <c r="L11" s="43" t="s">
        <v>701</v>
      </c>
      <c r="N11" s="39"/>
      <c r="P11" s="36">
        <v>41072</v>
      </c>
      <c r="Q11" s="34">
        <v>21</v>
      </c>
      <c r="R11" s="34" t="s">
        <v>166</v>
      </c>
      <c r="S11" s="34" t="str">
        <f>P11&amp;"-"&amp;Q11&amp;"-"&amp;R11</f>
        <v>41072-21-503211X</v>
      </c>
    </row>
    <row r="12" spans="1:19">
      <c r="A12" s="60" t="s">
        <v>441</v>
      </c>
      <c r="B12" s="57" t="s">
        <v>440</v>
      </c>
      <c r="C12" s="58">
        <v>18401.759999999998</v>
      </c>
      <c r="D12" s="57" t="s">
        <v>52</v>
      </c>
      <c r="E12" s="57" t="s">
        <v>274</v>
      </c>
      <c r="F12" s="57" t="s">
        <v>274</v>
      </c>
      <c r="G12" s="57" t="s">
        <v>435</v>
      </c>
      <c r="H12" s="57" t="s">
        <v>239</v>
      </c>
      <c r="I12" s="57" t="s">
        <v>240</v>
      </c>
      <c r="J12" s="53" t="s">
        <v>674</v>
      </c>
      <c r="K12" s="60" t="str">
        <f>VLOOKUP(B12,'Sheet1 (2)'!$A$2:$C$103,3,FALSE)</f>
        <v>2205P01</v>
      </c>
      <c r="L12" s="52" t="s">
        <v>698</v>
      </c>
      <c r="N12" s="39"/>
      <c r="P12" s="36"/>
    </row>
    <row r="13" spans="1:19">
      <c r="A13" s="60" t="s">
        <v>438</v>
      </c>
      <c r="B13" s="57" t="s">
        <v>437</v>
      </c>
      <c r="C13" s="58">
        <v>19817.28</v>
      </c>
      <c r="D13" s="57" t="s">
        <v>52</v>
      </c>
      <c r="E13" s="57" t="s">
        <v>274</v>
      </c>
      <c r="F13" s="57" t="s">
        <v>274</v>
      </c>
      <c r="G13" s="57" t="s">
        <v>435</v>
      </c>
      <c r="H13" s="57" t="s">
        <v>239</v>
      </c>
      <c r="I13" s="57" t="s">
        <v>240</v>
      </c>
      <c r="J13" s="53" t="s">
        <v>674</v>
      </c>
      <c r="K13" s="60" t="str">
        <f>VLOOKUP(B13,'Sheet1 (2)'!$A$2:$C$103,3,FALSE)</f>
        <v>2205P02</v>
      </c>
      <c r="L13" s="52" t="s">
        <v>698</v>
      </c>
      <c r="N13" s="39"/>
      <c r="P13" s="36">
        <v>41072</v>
      </c>
      <c r="Q13" s="34">
        <v>21</v>
      </c>
      <c r="R13" s="34" t="s">
        <v>175</v>
      </c>
      <c r="S13" s="34" t="str">
        <f>P13&amp;"-"&amp;Q13&amp;"-"&amp;R13</f>
        <v>41072-21-503254X</v>
      </c>
    </row>
    <row r="14" spans="1:19">
      <c r="A14" s="60" t="s">
        <v>434</v>
      </c>
      <c r="B14" s="57" t="s">
        <v>433</v>
      </c>
      <c r="C14" s="58">
        <v>40536.21</v>
      </c>
      <c r="D14" s="57" t="s">
        <v>52</v>
      </c>
      <c r="E14" s="57" t="s">
        <v>274</v>
      </c>
      <c r="F14" s="57" t="s">
        <v>274</v>
      </c>
      <c r="G14" s="57" t="s">
        <v>435</v>
      </c>
      <c r="H14" s="57" t="s">
        <v>239</v>
      </c>
      <c r="I14" s="57" t="s">
        <v>240</v>
      </c>
      <c r="J14" s="53" t="s">
        <v>674</v>
      </c>
      <c r="K14" s="60" t="str">
        <f>VLOOKUP(B14,'Sheet1 (2)'!$A$2:$C$103,3,FALSE)</f>
        <v>2205P03</v>
      </c>
      <c r="L14" s="52" t="s">
        <v>698</v>
      </c>
      <c r="N14" s="39"/>
      <c r="P14" s="36"/>
    </row>
    <row r="15" spans="1:19" ht="16.5" customHeight="1">
      <c r="A15" s="60" t="s">
        <v>480</v>
      </c>
      <c r="B15" s="57" t="s">
        <v>479</v>
      </c>
      <c r="C15" s="58">
        <v>50215.68</v>
      </c>
      <c r="D15" s="57" t="s">
        <v>52</v>
      </c>
      <c r="E15" s="57" t="s">
        <v>280</v>
      </c>
      <c r="F15" s="57" t="s">
        <v>280</v>
      </c>
      <c r="G15" s="57" t="s">
        <v>445</v>
      </c>
      <c r="H15" s="57" t="s">
        <v>88</v>
      </c>
      <c r="I15" s="57" t="s">
        <v>126</v>
      </c>
      <c r="J15" s="53" t="s">
        <v>674</v>
      </c>
      <c r="K15" s="60" t="str">
        <f>VLOOKUP(B15,'Sheet1 (2)'!$A$2:$C$103,3,FALSE)</f>
        <v>2205P04</v>
      </c>
      <c r="L15" s="52" t="s">
        <v>698</v>
      </c>
      <c r="N15" s="39"/>
      <c r="P15" s="36">
        <v>41072</v>
      </c>
      <c r="Q15" s="34">
        <v>21</v>
      </c>
      <c r="R15" s="34" t="s">
        <v>241</v>
      </c>
      <c r="S15" s="34" t="str">
        <f t="shared" si="0"/>
        <v>41072-21-503244X</v>
      </c>
    </row>
    <row r="16" spans="1:19" ht="16.5" customHeight="1">
      <c r="A16" s="60" t="s">
        <v>495</v>
      </c>
      <c r="B16" s="57" t="s">
        <v>494</v>
      </c>
      <c r="C16" s="58">
        <v>96312.960000000006</v>
      </c>
      <c r="D16" s="57" t="s">
        <v>52</v>
      </c>
      <c r="E16" s="57" t="s">
        <v>284</v>
      </c>
      <c r="F16" s="57" t="s">
        <v>284</v>
      </c>
      <c r="G16" s="57" t="s">
        <v>671</v>
      </c>
      <c r="H16" s="57" t="s">
        <v>88</v>
      </c>
      <c r="I16" s="57" t="s">
        <v>126</v>
      </c>
      <c r="J16" s="53" t="s">
        <v>674</v>
      </c>
      <c r="K16" s="60" t="str">
        <f>VLOOKUP(B16,'Sheet1 (2)'!$A$2:$C$103,3,FALSE)</f>
        <v>2205P05</v>
      </c>
      <c r="L16" s="52" t="s">
        <v>698</v>
      </c>
      <c r="N16" s="39"/>
      <c r="P16" s="36">
        <v>41072</v>
      </c>
      <c r="Q16" s="34">
        <v>21</v>
      </c>
      <c r="R16" s="34" t="s">
        <v>242</v>
      </c>
      <c r="S16" s="34" t="str">
        <f t="shared" si="0"/>
        <v>41072-21-503245X</v>
      </c>
    </row>
    <row r="17" spans="1:19" ht="16.5" customHeight="1">
      <c r="A17" s="60" t="s">
        <v>503</v>
      </c>
      <c r="B17" s="57" t="s">
        <v>502</v>
      </c>
      <c r="C17" s="58">
        <v>82178.720000000001</v>
      </c>
      <c r="D17" s="57" t="s">
        <v>52</v>
      </c>
      <c r="E17" s="57" t="s">
        <v>284</v>
      </c>
      <c r="F17" s="57" t="s">
        <v>284</v>
      </c>
      <c r="G17" s="57" t="s">
        <v>299</v>
      </c>
      <c r="H17" s="57" t="s">
        <v>88</v>
      </c>
      <c r="I17" s="57" t="s">
        <v>126</v>
      </c>
      <c r="J17" s="53" t="s">
        <v>674</v>
      </c>
      <c r="K17" s="60" t="str">
        <f>VLOOKUP(B17,'Sheet1 (2)'!$A$2:$C$103,3,FALSE)</f>
        <v>2205P06</v>
      </c>
      <c r="L17" s="52" t="s">
        <v>698</v>
      </c>
      <c r="N17" s="39"/>
      <c r="P17" s="36">
        <v>41072</v>
      </c>
      <c r="Q17" s="34">
        <v>21</v>
      </c>
      <c r="R17" s="34" t="s">
        <v>180</v>
      </c>
      <c r="S17" s="34" t="str">
        <f t="shared" si="0"/>
        <v>41072-21-503255X</v>
      </c>
    </row>
    <row r="18" spans="1:19" ht="16.5" customHeight="1">
      <c r="A18" s="77" t="s">
        <v>473</v>
      </c>
      <c r="B18" s="57" t="s">
        <v>472</v>
      </c>
      <c r="C18" s="58">
        <v>11882.58</v>
      </c>
      <c r="D18" s="57" t="s">
        <v>52</v>
      </c>
      <c r="E18" s="57" t="s">
        <v>277</v>
      </c>
      <c r="F18" s="57" t="s">
        <v>277</v>
      </c>
      <c r="G18" s="57" t="s">
        <v>373</v>
      </c>
      <c r="H18" s="57" t="s">
        <v>239</v>
      </c>
      <c r="I18" s="57" t="s">
        <v>240</v>
      </c>
      <c r="J18" s="53" t="s">
        <v>674</v>
      </c>
      <c r="K18" s="77" t="str">
        <f>VLOOKUP(B18,'Sheet1 (2)'!$A$2:$C$103,3,FALSE)</f>
        <v>2205P07</v>
      </c>
      <c r="L18" s="52" t="s">
        <v>698</v>
      </c>
      <c r="N18" s="39"/>
      <c r="P18" s="36"/>
    </row>
    <row r="19" spans="1:19" ht="16.5" customHeight="1">
      <c r="A19" s="60" t="s">
        <v>499</v>
      </c>
      <c r="B19" s="57" t="s">
        <v>498</v>
      </c>
      <c r="C19" s="58">
        <v>1066.8</v>
      </c>
      <c r="D19" s="57" t="s">
        <v>52</v>
      </c>
      <c r="E19" s="57" t="s">
        <v>284</v>
      </c>
      <c r="F19" s="57" t="s">
        <v>284</v>
      </c>
      <c r="G19" s="57" t="s">
        <v>299</v>
      </c>
      <c r="H19" s="57" t="s">
        <v>88</v>
      </c>
      <c r="I19" s="57" t="s">
        <v>126</v>
      </c>
      <c r="J19" s="53" t="s">
        <v>674</v>
      </c>
      <c r="K19" s="60" t="str">
        <f>VLOOKUP(B19,'Sheet1 (2)'!$A$2:$C$103,3,FALSE)</f>
        <v>2205P08</v>
      </c>
      <c r="L19" s="52" t="s">
        <v>698</v>
      </c>
      <c r="N19" s="39"/>
      <c r="P19" s="36">
        <v>41072</v>
      </c>
      <c r="Q19" s="34">
        <v>21</v>
      </c>
      <c r="R19" s="34" t="s">
        <v>203</v>
      </c>
      <c r="S19" s="34" t="str">
        <f t="shared" ref="S19:S26" si="1">P19&amp;"-"&amp;Q19&amp;"-"&amp;R19</f>
        <v>41072-21-503264X</v>
      </c>
    </row>
    <row r="20" spans="1:19" ht="16.5" customHeight="1">
      <c r="A20" s="60" t="s">
        <v>507</v>
      </c>
      <c r="B20" s="57" t="s">
        <v>506</v>
      </c>
      <c r="C20" s="57">
        <v>533.4</v>
      </c>
      <c r="D20" s="57" t="s">
        <v>52</v>
      </c>
      <c r="E20" s="57" t="s">
        <v>284</v>
      </c>
      <c r="F20" s="57" t="s">
        <v>284</v>
      </c>
      <c r="G20" s="57" t="s">
        <v>671</v>
      </c>
      <c r="H20" s="57" t="s">
        <v>88</v>
      </c>
      <c r="I20" s="57" t="s">
        <v>126</v>
      </c>
      <c r="J20" s="53" t="s">
        <v>674</v>
      </c>
      <c r="K20" s="60" t="str">
        <f>VLOOKUP(B20,'Sheet1 (2)'!$A$2:$C$103,3,FALSE)</f>
        <v>2205P09</v>
      </c>
      <c r="L20" s="52" t="s">
        <v>698</v>
      </c>
      <c r="N20" s="39"/>
      <c r="P20" s="36">
        <v>41072</v>
      </c>
      <c r="Q20" s="34">
        <v>21</v>
      </c>
      <c r="R20" s="34" t="s">
        <v>228</v>
      </c>
      <c r="S20" s="34" t="str">
        <f t="shared" si="1"/>
        <v>41072-21-503249X</v>
      </c>
    </row>
    <row r="21" spans="1:19" ht="16.5" customHeight="1">
      <c r="A21" s="60" t="s">
        <v>510</v>
      </c>
      <c r="B21" s="57" t="s">
        <v>509</v>
      </c>
      <c r="C21" s="58">
        <v>1066.8</v>
      </c>
      <c r="D21" s="57" t="s">
        <v>52</v>
      </c>
      <c r="E21" s="57" t="s">
        <v>284</v>
      </c>
      <c r="F21" s="57" t="s">
        <v>284</v>
      </c>
      <c r="G21" s="57" t="s">
        <v>671</v>
      </c>
      <c r="H21" s="57" t="s">
        <v>88</v>
      </c>
      <c r="I21" s="57" t="s">
        <v>126</v>
      </c>
      <c r="J21" s="53" t="s">
        <v>674</v>
      </c>
      <c r="K21" s="60" t="str">
        <f>VLOOKUP(B21,'Sheet1 (2)'!$A$2:$C$103,3,FALSE)</f>
        <v>2205P10</v>
      </c>
      <c r="L21" s="52" t="s">
        <v>698</v>
      </c>
      <c r="N21" s="39"/>
      <c r="P21" s="36">
        <v>41072</v>
      </c>
      <c r="Q21" s="34">
        <v>21</v>
      </c>
      <c r="R21" s="34" t="s">
        <v>217</v>
      </c>
      <c r="S21" s="34" t="str">
        <f t="shared" si="1"/>
        <v>41072-21-503528X</v>
      </c>
    </row>
    <row r="22" spans="1:19" ht="16.5" customHeight="1">
      <c r="A22" s="60" t="s">
        <v>536</v>
      </c>
      <c r="B22" s="57" t="s">
        <v>535</v>
      </c>
      <c r="C22" s="58">
        <v>10523.52</v>
      </c>
      <c r="D22" s="57" t="s">
        <v>52</v>
      </c>
      <c r="E22" s="57" t="s">
        <v>517</v>
      </c>
      <c r="F22" s="57" t="s">
        <v>517</v>
      </c>
      <c r="G22" s="57" t="s">
        <v>294</v>
      </c>
      <c r="H22" s="57" t="s">
        <v>88</v>
      </c>
      <c r="I22" s="57" t="s">
        <v>126</v>
      </c>
      <c r="J22" s="53" t="s">
        <v>674</v>
      </c>
      <c r="K22" s="60" t="str">
        <f>VLOOKUP(B22,'Sheet1 (2)'!$A$2:$C$103,3,FALSE)</f>
        <v>2205P11</v>
      </c>
      <c r="L22" s="52" t="s">
        <v>698</v>
      </c>
      <c r="N22" s="39"/>
      <c r="P22" s="36">
        <v>41072</v>
      </c>
      <c r="Q22" s="34">
        <v>21</v>
      </c>
      <c r="R22" s="34" t="s">
        <v>222</v>
      </c>
      <c r="S22" s="34" t="str">
        <f t="shared" si="1"/>
        <v>41072-21-503535X</v>
      </c>
    </row>
    <row r="23" spans="1:19">
      <c r="A23" s="60" t="s">
        <v>597</v>
      </c>
      <c r="B23" s="57" t="s">
        <v>596</v>
      </c>
      <c r="C23" s="58">
        <v>96825.75</v>
      </c>
      <c r="D23" s="57" t="s">
        <v>52</v>
      </c>
      <c r="E23" s="57" t="s">
        <v>348</v>
      </c>
      <c r="F23" s="57" t="s">
        <v>348</v>
      </c>
      <c r="G23" s="57" t="s">
        <v>78</v>
      </c>
      <c r="H23" s="57" t="s">
        <v>88</v>
      </c>
      <c r="I23" s="57" t="s">
        <v>126</v>
      </c>
      <c r="J23" s="53" t="s">
        <v>674</v>
      </c>
      <c r="K23" s="60" t="str">
        <f>VLOOKUP(B23,'Sheet1 (2)'!$A$2:$C$103,3,FALSE)</f>
        <v>2205P12</v>
      </c>
      <c r="L23" s="52" t="s">
        <v>698</v>
      </c>
      <c r="P23" s="36">
        <v>41072</v>
      </c>
      <c r="Q23" s="34">
        <v>21</v>
      </c>
      <c r="R23" s="34" t="s">
        <v>250</v>
      </c>
      <c r="S23" s="34" t="str">
        <f t="shared" si="1"/>
        <v>41072-21-503391X</v>
      </c>
    </row>
    <row r="24" spans="1:19">
      <c r="A24" s="60" t="s">
        <v>521</v>
      </c>
      <c r="B24" s="57" t="s">
        <v>520</v>
      </c>
      <c r="C24" s="58">
        <v>35400.36</v>
      </c>
      <c r="D24" s="57" t="s">
        <v>52</v>
      </c>
      <c r="E24" s="57" t="s">
        <v>284</v>
      </c>
      <c r="F24" s="57" t="s">
        <v>284</v>
      </c>
      <c r="G24" s="57" t="s">
        <v>522</v>
      </c>
      <c r="H24" s="57" t="s">
        <v>88</v>
      </c>
      <c r="I24" s="57" t="s">
        <v>126</v>
      </c>
      <c r="J24" s="53" t="s">
        <v>674</v>
      </c>
      <c r="K24" s="60" t="str">
        <f>VLOOKUP(B24,'Sheet1 (2)'!$A$2:$C$103,3,FALSE)</f>
        <v>2205P13</v>
      </c>
      <c r="L24" s="52" t="s">
        <v>698</v>
      </c>
      <c r="P24" s="36">
        <v>41072</v>
      </c>
      <c r="Q24" s="34">
        <v>21</v>
      </c>
      <c r="R24" s="34" t="s">
        <v>249</v>
      </c>
      <c r="S24" s="34" t="str">
        <f t="shared" si="1"/>
        <v>41072-21-503537X</v>
      </c>
    </row>
    <row r="25" spans="1:19" ht="16.5" customHeight="1">
      <c r="A25" s="60" t="s">
        <v>595</v>
      </c>
      <c r="B25" s="57" t="s">
        <v>594</v>
      </c>
      <c r="C25" s="58">
        <v>44186.62</v>
      </c>
      <c r="D25" s="57" t="s">
        <v>52</v>
      </c>
      <c r="E25" s="57" t="s">
        <v>348</v>
      </c>
      <c r="F25" s="57" t="s">
        <v>348</v>
      </c>
      <c r="G25" s="57" t="s">
        <v>78</v>
      </c>
      <c r="H25" s="57" t="s">
        <v>89</v>
      </c>
      <c r="I25" s="57" t="s">
        <v>125</v>
      </c>
      <c r="J25" s="53" t="s">
        <v>674</v>
      </c>
      <c r="K25" s="60" t="str">
        <f>VLOOKUP(B25,'Sheet1 (2)'!$A$2:$C$103,3,FALSE)</f>
        <v>2205P14</v>
      </c>
      <c r="L25" s="52" t="s">
        <v>698</v>
      </c>
      <c r="N25" s="39"/>
      <c r="P25" s="36">
        <v>41072</v>
      </c>
      <c r="Q25" s="34">
        <v>21</v>
      </c>
      <c r="R25" s="34" t="s">
        <v>169</v>
      </c>
      <c r="S25" s="34" t="str">
        <f t="shared" si="1"/>
        <v>41072-21-503242X</v>
      </c>
    </row>
    <row r="26" spans="1:19" ht="16.5" customHeight="1">
      <c r="A26" s="60" t="s">
        <v>600</v>
      </c>
      <c r="B26" s="57" t="s">
        <v>599</v>
      </c>
      <c r="C26" s="58">
        <v>104217.36</v>
      </c>
      <c r="D26" s="57" t="s">
        <v>52</v>
      </c>
      <c r="E26" s="57" t="s">
        <v>348</v>
      </c>
      <c r="F26" s="57" t="s">
        <v>348</v>
      </c>
      <c r="G26" s="57" t="s">
        <v>78</v>
      </c>
      <c r="H26" s="57" t="s">
        <v>88</v>
      </c>
      <c r="I26" s="57" t="s">
        <v>126</v>
      </c>
      <c r="J26" s="53" t="s">
        <v>674</v>
      </c>
      <c r="K26" s="60" t="str">
        <f>VLOOKUP(B26,'Sheet1 (2)'!$A$2:$C$103,3,FALSE)</f>
        <v>2205P15</v>
      </c>
      <c r="L26" s="52" t="s">
        <v>698</v>
      </c>
      <c r="N26" s="39"/>
      <c r="P26" s="36">
        <v>41072</v>
      </c>
      <c r="Q26" s="34">
        <v>21</v>
      </c>
      <c r="R26" s="34" t="s">
        <v>181</v>
      </c>
      <c r="S26" s="34" t="str">
        <f t="shared" si="1"/>
        <v>41072-21-503243X</v>
      </c>
    </row>
    <row r="27" spans="1:19">
      <c r="A27" s="60" t="s">
        <v>314</v>
      </c>
      <c r="B27" s="57" t="s">
        <v>313</v>
      </c>
      <c r="C27" s="58">
        <v>2057.44</v>
      </c>
      <c r="D27" s="57" t="s">
        <v>52</v>
      </c>
      <c r="E27" s="57" t="s">
        <v>304</v>
      </c>
      <c r="F27" s="57" t="s">
        <v>304</v>
      </c>
      <c r="G27" s="57" t="s">
        <v>272</v>
      </c>
      <c r="H27" s="57" t="s">
        <v>88</v>
      </c>
      <c r="I27" s="57" t="s">
        <v>126</v>
      </c>
      <c r="J27" s="53" t="s">
        <v>674</v>
      </c>
      <c r="K27" s="60" t="str">
        <f>VLOOKUP(B27,'Sheet1 (2)'!$A$2:$C$103,3,FALSE)</f>
        <v>DSM2205-01</v>
      </c>
      <c r="L27" s="52" t="s">
        <v>702</v>
      </c>
      <c r="P27" s="36">
        <v>41072</v>
      </c>
      <c r="Q27" s="34">
        <v>21</v>
      </c>
      <c r="R27" s="34" t="s">
        <v>165</v>
      </c>
      <c r="S27" s="34" t="str">
        <f t="shared" ref="S27:S74" si="2">P27&amp;"-"&amp;Q27&amp;"-"&amp;R27</f>
        <v>41072-21-503209X</v>
      </c>
    </row>
    <row r="28" spans="1:19">
      <c r="A28" s="60" t="s">
        <v>330</v>
      </c>
      <c r="B28" s="57" t="s">
        <v>329</v>
      </c>
      <c r="C28" s="58">
        <v>95594.559999999998</v>
      </c>
      <c r="D28" s="57" t="s">
        <v>52</v>
      </c>
      <c r="E28" s="57" t="s">
        <v>272</v>
      </c>
      <c r="F28" s="57" t="s">
        <v>272</v>
      </c>
      <c r="G28" s="57" t="s">
        <v>283</v>
      </c>
      <c r="H28" s="57" t="s">
        <v>88</v>
      </c>
      <c r="I28" s="57" t="s">
        <v>126</v>
      </c>
      <c r="J28" s="53" t="s">
        <v>674</v>
      </c>
      <c r="K28" s="60" t="str">
        <f>VLOOKUP(B28,'Sheet1 (2)'!$A$2:$C$103,3,FALSE)</f>
        <v>DSM2205-02</v>
      </c>
      <c r="L28" s="52" t="s">
        <v>702</v>
      </c>
      <c r="P28" s="36">
        <v>41072</v>
      </c>
      <c r="Q28" s="34">
        <v>21</v>
      </c>
      <c r="R28" s="34" t="s">
        <v>167</v>
      </c>
      <c r="S28" s="34" t="str">
        <f t="shared" si="2"/>
        <v>41072-21-503210X</v>
      </c>
    </row>
    <row r="29" spans="1:19">
      <c r="A29" s="60" t="s">
        <v>332</v>
      </c>
      <c r="B29" s="57" t="s">
        <v>331</v>
      </c>
      <c r="C29" s="58">
        <v>68440.600000000006</v>
      </c>
      <c r="D29" s="57" t="s">
        <v>52</v>
      </c>
      <c r="E29" s="57" t="s">
        <v>272</v>
      </c>
      <c r="F29" s="57" t="s">
        <v>272</v>
      </c>
      <c r="G29" s="57" t="s">
        <v>373</v>
      </c>
      <c r="H29" s="57" t="s">
        <v>88</v>
      </c>
      <c r="I29" s="57" t="s">
        <v>126</v>
      </c>
      <c r="J29" s="53" t="s">
        <v>674</v>
      </c>
      <c r="K29" s="60" t="str">
        <f>VLOOKUP(B29,'Sheet1 (2)'!$A$2:$C$103,3,FALSE)</f>
        <v>DSM2205-03</v>
      </c>
      <c r="L29" s="52" t="s">
        <v>702</v>
      </c>
      <c r="P29" s="36">
        <v>41072</v>
      </c>
      <c r="Q29" s="34">
        <v>21</v>
      </c>
      <c r="R29" s="34" t="s">
        <v>202</v>
      </c>
      <c r="S29" s="34" t="str">
        <f t="shared" si="2"/>
        <v>41072-21-503230X</v>
      </c>
    </row>
    <row r="30" spans="1:19">
      <c r="A30" s="60" t="s">
        <v>337</v>
      </c>
      <c r="B30" s="57" t="s">
        <v>336</v>
      </c>
      <c r="C30" s="59">
        <v>15012</v>
      </c>
      <c r="D30" s="57" t="s">
        <v>52</v>
      </c>
      <c r="E30" s="57" t="s">
        <v>272</v>
      </c>
      <c r="F30" s="57" t="s">
        <v>272</v>
      </c>
      <c r="G30" s="57" t="s">
        <v>275</v>
      </c>
      <c r="H30" s="57" t="s">
        <v>88</v>
      </c>
      <c r="I30" s="57" t="s">
        <v>126</v>
      </c>
      <c r="J30" s="53" t="s">
        <v>674</v>
      </c>
      <c r="K30" s="60" t="str">
        <f>VLOOKUP(B30,'Sheet1 (2)'!$A$2:$C$103,3,FALSE)</f>
        <v>DSM2205-04</v>
      </c>
      <c r="L30" s="52" t="s">
        <v>702</v>
      </c>
      <c r="P30" s="36">
        <v>41072</v>
      </c>
      <c r="Q30" s="34">
        <v>21</v>
      </c>
      <c r="R30" s="34" t="s">
        <v>199</v>
      </c>
      <c r="S30" s="34" t="str">
        <f t="shared" si="2"/>
        <v>41072-21-503233X</v>
      </c>
    </row>
    <row r="31" spans="1:19">
      <c r="A31" s="60" t="s">
        <v>402</v>
      </c>
      <c r="B31" s="57" t="s">
        <v>401</v>
      </c>
      <c r="C31" s="58">
        <v>1272.1199999999999</v>
      </c>
      <c r="D31" s="57" t="s">
        <v>52</v>
      </c>
      <c r="E31" s="57" t="s">
        <v>272</v>
      </c>
      <c r="F31" s="57" t="s">
        <v>272</v>
      </c>
      <c r="G31" s="57" t="s">
        <v>399</v>
      </c>
      <c r="H31" s="57" t="s">
        <v>88</v>
      </c>
      <c r="I31" s="57" t="s">
        <v>126</v>
      </c>
      <c r="J31" s="53" t="s">
        <v>674</v>
      </c>
      <c r="K31" s="60" t="str">
        <f>VLOOKUP(B31,'Sheet1 (2)'!$A$2:$C$103,3,FALSE)</f>
        <v>DSM2205-05</v>
      </c>
      <c r="L31" s="52" t="s">
        <v>702</v>
      </c>
      <c r="N31" s="39"/>
      <c r="P31" s="36">
        <v>41072</v>
      </c>
      <c r="Q31" s="34">
        <v>21</v>
      </c>
      <c r="R31" s="34" t="s">
        <v>200</v>
      </c>
      <c r="S31" s="34" t="str">
        <f t="shared" si="2"/>
        <v>41072-21-503229X</v>
      </c>
    </row>
    <row r="32" spans="1:19">
      <c r="A32" s="60" t="s">
        <v>408</v>
      </c>
      <c r="B32" s="57" t="s">
        <v>407</v>
      </c>
      <c r="C32" s="58">
        <v>2638.31</v>
      </c>
      <c r="D32" s="57" t="s">
        <v>52</v>
      </c>
      <c r="E32" s="57" t="s">
        <v>272</v>
      </c>
      <c r="F32" s="57" t="s">
        <v>272</v>
      </c>
      <c r="G32" s="57" t="s">
        <v>399</v>
      </c>
      <c r="H32" s="57" t="s">
        <v>88</v>
      </c>
      <c r="I32" s="57" t="s">
        <v>126</v>
      </c>
      <c r="J32" s="53" t="s">
        <v>674</v>
      </c>
      <c r="K32" s="60" t="str">
        <f>VLOOKUP(B32,'Sheet1 (2)'!$A$2:$C$103,3,FALSE)</f>
        <v>DSM2205-06</v>
      </c>
      <c r="L32" s="52" t="s">
        <v>702</v>
      </c>
      <c r="N32" s="39"/>
      <c r="P32" s="36">
        <v>41072</v>
      </c>
      <c r="Q32" s="34">
        <v>21</v>
      </c>
      <c r="R32" s="34" t="s">
        <v>176</v>
      </c>
      <c r="S32" s="34" t="str">
        <f t="shared" si="2"/>
        <v>41072-21-503247X</v>
      </c>
    </row>
    <row r="33" spans="1:19" ht="16.5" customHeight="1">
      <c r="A33" s="60" t="s">
        <v>444</v>
      </c>
      <c r="B33" s="57" t="s">
        <v>443</v>
      </c>
      <c r="C33" s="58">
        <v>163789.48000000001</v>
      </c>
      <c r="D33" s="57" t="s">
        <v>52</v>
      </c>
      <c r="E33" s="57" t="s">
        <v>277</v>
      </c>
      <c r="F33" s="57" t="s">
        <v>277</v>
      </c>
      <c r="G33" s="57" t="s">
        <v>445</v>
      </c>
      <c r="H33" s="57" t="s">
        <v>88</v>
      </c>
      <c r="I33" s="57" t="s">
        <v>126</v>
      </c>
      <c r="J33" s="53" t="s">
        <v>674</v>
      </c>
      <c r="K33" s="60" t="str">
        <f>VLOOKUP(B33,'Sheet1 (2)'!$A$2:$C$103,3,FALSE)</f>
        <v>DSM2205-07</v>
      </c>
      <c r="L33" s="52" t="s">
        <v>702</v>
      </c>
      <c r="N33" s="39"/>
      <c r="P33" s="36">
        <v>41072</v>
      </c>
      <c r="Q33" s="34">
        <v>21</v>
      </c>
      <c r="R33" s="34" t="s">
        <v>219</v>
      </c>
      <c r="S33" s="34" t="str">
        <f t="shared" si="2"/>
        <v>41072-21-503530X</v>
      </c>
    </row>
    <row r="34" spans="1:19" ht="16.5" customHeight="1">
      <c r="A34" s="60" t="s">
        <v>448</v>
      </c>
      <c r="B34" s="57" t="s">
        <v>447</v>
      </c>
      <c r="C34" s="59">
        <v>4176</v>
      </c>
      <c r="D34" s="57" t="s">
        <v>52</v>
      </c>
      <c r="E34" s="57" t="s">
        <v>277</v>
      </c>
      <c r="F34" s="57" t="s">
        <v>277</v>
      </c>
      <c r="G34" s="57" t="s">
        <v>445</v>
      </c>
      <c r="H34" s="57" t="s">
        <v>88</v>
      </c>
      <c r="I34" s="57" t="s">
        <v>126</v>
      </c>
      <c r="J34" s="53" t="s">
        <v>674</v>
      </c>
      <c r="K34" s="60" t="str">
        <f>VLOOKUP(B34,'Sheet1 (2)'!$A$2:$C$103,3,FALSE)</f>
        <v>DSM2205-08</v>
      </c>
      <c r="L34" s="52" t="s">
        <v>702</v>
      </c>
      <c r="N34" s="39"/>
      <c r="P34" s="36">
        <v>41072</v>
      </c>
      <c r="Q34" s="34">
        <v>21</v>
      </c>
      <c r="R34" s="34" t="s">
        <v>174</v>
      </c>
      <c r="S34" s="34" t="str">
        <f t="shared" si="2"/>
        <v>41072-21-503253X</v>
      </c>
    </row>
    <row r="35" spans="1:19" ht="16.5" customHeight="1">
      <c r="A35" s="60" t="s">
        <v>476</v>
      </c>
      <c r="B35" s="57" t="s">
        <v>475</v>
      </c>
      <c r="C35" s="59">
        <v>15012</v>
      </c>
      <c r="D35" s="57" t="s">
        <v>52</v>
      </c>
      <c r="E35" s="57" t="s">
        <v>279</v>
      </c>
      <c r="F35" s="57" t="s">
        <v>279</v>
      </c>
      <c r="G35" s="57" t="s">
        <v>280</v>
      </c>
      <c r="H35" s="57" t="s">
        <v>88</v>
      </c>
      <c r="I35" s="57" t="s">
        <v>126</v>
      </c>
      <c r="J35" s="53" t="s">
        <v>674</v>
      </c>
      <c r="K35" s="60" t="str">
        <f>VLOOKUP(B35,'Sheet1 (2)'!$A$2:$C$103,3,FALSE)</f>
        <v>DSM2205-09</v>
      </c>
      <c r="L35" s="52" t="s">
        <v>702</v>
      </c>
      <c r="N35" s="39"/>
      <c r="P35" s="36">
        <v>41072</v>
      </c>
      <c r="Q35" s="34">
        <v>21</v>
      </c>
      <c r="R35" s="34" t="s">
        <v>243</v>
      </c>
      <c r="S35" s="34" t="str">
        <f t="shared" ref="S35" si="3">P35&amp;"-"&amp;Q35&amp;"-"&amp;R35</f>
        <v>41072-21-503246X</v>
      </c>
    </row>
    <row r="36" spans="1:19" ht="16.5" customHeight="1">
      <c r="A36" s="60" t="s">
        <v>452</v>
      </c>
      <c r="B36" s="57" t="s">
        <v>451</v>
      </c>
      <c r="C36" s="59">
        <v>1670</v>
      </c>
      <c r="D36" s="57" t="s">
        <v>52</v>
      </c>
      <c r="E36" s="57" t="s">
        <v>277</v>
      </c>
      <c r="F36" s="57" t="s">
        <v>277</v>
      </c>
      <c r="G36" s="57" t="s">
        <v>283</v>
      </c>
      <c r="H36" s="57" t="s">
        <v>88</v>
      </c>
      <c r="I36" s="57" t="s">
        <v>126</v>
      </c>
      <c r="J36" s="53" t="s">
        <v>674</v>
      </c>
      <c r="K36" s="60" t="str">
        <f>VLOOKUP(B36,'Sheet1 (2)'!$A$2:$C$103,3,FALSE)</f>
        <v>DSM2205-10</v>
      </c>
      <c r="L36" s="52" t="s">
        <v>702</v>
      </c>
      <c r="N36" s="39"/>
      <c r="P36" s="36">
        <v>41072</v>
      </c>
      <c r="Q36" s="34">
        <v>21</v>
      </c>
      <c r="R36" s="34" t="s">
        <v>201</v>
      </c>
      <c r="S36" s="34" t="str">
        <f>P36&amp;"-"&amp;Q36&amp;"-"&amp;R36</f>
        <v>41072-21-503234X</v>
      </c>
    </row>
    <row r="37" spans="1:19" ht="16.5" customHeight="1">
      <c r="A37" s="60" t="s">
        <v>455</v>
      </c>
      <c r="B37" s="57" t="s">
        <v>454</v>
      </c>
      <c r="C37" s="58">
        <v>2632.77</v>
      </c>
      <c r="D37" s="57" t="s">
        <v>52</v>
      </c>
      <c r="E37" s="57" t="s">
        <v>277</v>
      </c>
      <c r="F37" s="57" t="s">
        <v>277</v>
      </c>
      <c r="G37" s="57" t="s">
        <v>435</v>
      </c>
      <c r="H37" s="57" t="s">
        <v>88</v>
      </c>
      <c r="I37" s="57" t="s">
        <v>126</v>
      </c>
      <c r="J37" s="53" t="s">
        <v>674</v>
      </c>
      <c r="K37" s="60" t="str">
        <f>VLOOKUP(B37,'Sheet1 (2)'!$A$2:$C$103,3,FALSE)</f>
        <v>DSM2205-11</v>
      </c>
      <c r="L37" s="52" t="s">
        <v>702</v>
      </c>
      <c r="N37" s="39"/>
      <c r="P37" s="36">
        <v>41072</v>
      </c>
      <c r="Q37" s="34">
        <v>21</v>
      </c>
      <c r="R37" s="34" t="s">
        <v>188</v>
      </c>
      <c r="S37" s="34" t="str">
        <f t="shared" si="2"/>
        <v>41072-21-503318X</v>
      </c>
    </row>
    <row r="38" spans="1:19" ht="16.5" customHeight="1">
      <c r="A38" s="60" t="s">
        <v>540</v>
      </c>
      <c r="B38" s="57" t="s">
        <v>539</v>
      </c>
      <c r="C38" s="59">
        <v>3480</v>
      </c>
      <c r="D38" s="57" t="s">
        <v>52</v>
      </c>
      <c r="E38" s="57" t="s">
        <v>517</v>
      </c>
      <c r="F38" s="57" t="s">
        <v>517</v>
      </c>
      <c r="G38" s="57" t="s">
        <v>348</v>
      </c>
      <c r="H38" s="57" t="s">
        <v>88</v>
      </c>
      <c r="I38" s="57" t="s">
        <v>126</v>
      </c>
      <c r="J38" s="53" t="s">
        <v>674</v>
      </c>
      <c r="K38" s="60" t="str">
        <f>VLOOKUP(B38,'Sheet1 (2)'!$A$2:$C$103,3,FALSE)</f>
        <v>DSM2205-12</v>
      </c>
      <c r="L38" s="52" t="s">
        <v>702</v>
      </c>
      <c r="N38" s="39"/>
      <c r="P38" s="36">
        <v>41129</v>
      </c>
      <c r="Q38" s="34">
        <v>21</v>
      </c>
      <c r="R38" s="34" t="s">
        <v>226</v>
      </c>
      <c r="S38" s="34" t="str">
        <f t="shared" si="2"/>
        <v>41129-21-090060X</v>
      </c>
    </row>
    <row r="39" spans="1:19" ht="16.5" customHeight="1">
      <c r="A39" s="60" t="s">
        <v>547</v>
      </c>
      <c r="B39" s="57" t="s">
        <v>546</v>
      </c>
      <c r="C39" s="58">
        <v>22546.080000000002</v>
      </c>
      <c r="D39" s="57" t="s">
        <v>52</v>
      </c>
      <c r="E39" s="57" t="s">
        <v>517</v>
      </c>
      <c r="F39" s="57" t="s">
        <v>517</v>
      </c>
      <c r="G39" s="57" t="s">
        <v>348</v>
      </c>
      <c r="H39" s="57" t="s">
        <v>88</v>
      </c>
      <c r="I39" s="57" t="s">
        <v>126</v>
      </c>
      <c r="J39" s="53" t="s">
        <v>674</v>
      </c>
      <c r="K39" s="60" t="str">
        <f>VLOOKUP(B39,'Sheet1 (2)'!$A$2:$C$103,3,FALSE)</f>
        <v>DSM2205-13</v>
      </c>
      <c r="L39" s="52" t="s">
        <v>702</v>
      </c>
      <c r="N39" s="39"/>
      <c r="P39" s="36">
        <v>41072</v>
      </c>
      <c r="Q39" s="34">
        <v>21</v>
      </c>
      <c r="R39" s="34" t="s">
        <v>189</v>
      </c>
      <c r="S39" s="34" t="str">
        <f t="shared" si="2"/>
        <v>41072-21-503319X</v>
      </c>
    </row>
    <row r="40" spans="1:19" ht="16.5" customHeight="1">
      <c r="A40" s="60" t="s">
        <v>542</v>
      </c>
      <c r="B40" s="57" t="s">
        <v>541</v>
      </c>
      <c r="C40" s="59">
        <v>40348</v>
      </c>
      <c r="D40" s="57" t="s">
        <v>52</v>
      </c>
      <c r="E40" s="57" t="s">
        <v>517</v>
      </c>
      <c r="F40" s="57" t="s">
        <v>517</v>
      </c>
      <c r="G40" s="57" t="s">
        <v>677</v>
      </c>
      <c r="H40" s="57" t="s">
        <v>88</v>
      </c>
      <c r="I40" s="57" t="s">
        <v>126</v>
      </c>
      <c r="J40" s="53" t="s">
        <v>674</v>
      </c>
      <c r="K40" s="60" t="str">
        <f>VLOOKUP(B40,'Sheet1 (2)'!$A$2:$C$103,3,FALSE)</f>
        <v>DSM2205-14</v>
      </c>
      <c r="L40" s="52" t="s">
        <v>702</v>
      </c>
      <c r="N40" s="39"/>
      <c r="P40" s="36">
        <v>41072</v>
      </c>
      <c r="Q40" s="34">
        <v>21</v>
      </c>
      <c r="R40" s="34" t="s">
        <v>177</v>
      </c>
      <c r="S40" s="34" t="str">
        <f t="shared" si="2"/>
        <v>41072-21-503341X</v>
      </c>
    </row>
    <row r="41" spans="1:19" ht="16.5" customHeight="1">
      <c r="A41" s="60" t="s">
        <v>549</v>
      </c>
      <c r="B41" s="57" t="s">
        <v>548</v>
      </c>
      <c r="C41" s="58">
        <v>181817.17</v>
      </c>
      <c r="D41" s="57" t="s">
        <v>52</v>
      </c>
      <c r="E41" s="57" t="s">
        <v>517</v>
      </c>
      <c r="F41" s="57" t="s">
        <v>517</v>
      </c>
      <c r="G41" s="57" t="s">
        <v>348</v>
      </c>
      <c r="H41" s="57" t="s">
        <v>88</v>
      </c>
      <c r="I41" s="57" t="s">
        <v>126</v>
      </c>
      <c r="J41" s="53" t="s">
        <v>674</v>
      </c>
      <c r="K41" s="60" t="str">
        <f>VLOOKUP(B41,'Sheet1 (2)'!$A$2:$C$103,3,FALSE)</f>
        <v>DSM2205-15</v>
      </c>
      <c r="L41" s="52" t="s">
        <v>702</v>
      </c>
      <c r="N41" s="39"/>
      <c r="P41" s="36">
        <v>41072</v>
      </c>
      <c r="Q41" s="34">
        <v>21</v>
      </c>
      <c r="R41" s="34" t="s">
        <v>204</v>
      </c>
      <c r="S41" s="34" t="str">
        <f t="shared" si="2"/>
        <v>41072-21-503290X</v>
      </c>
    </row>
    <row r="42" spans="1:19" ht="16.5" customHeight="1">
      <c r="A42" s="60" t="s">
        <v>545</v>
      </c>
      <c r="B42" s="57" t="s">
        <v>544</v>
      </c>
      <c r="C42" s="58">
        <v>6631.2</v>
      </c>
      <c r="D42" s="57" t="s">
        <v>52</v>
      </c>
      <c r="E42" s="57" t="s">
        <v>517</v>
      </c>
      <c r="F42" s="57" t="s">
        <v>517</v>
      </c>
      <c r="G42" s="57" t="s">
        <v>677</v>
      </c>
      <c r="H42" s="57" t="s">
        <v>88</v>
      </c>
      <c r="I42" s="57" t="s">
        <v>126</v>
      </c>
      <c r="J42" s="53" t="s">
        <v>674</v>
      </c>
      <c r="K42" s="60" t="str">
        <f>VLOOKUP(B42,'Sheet1 (2)'!$A$2:$C$103,3,FALSE)</f>
        <v>DSM2205-16</v>
      </c>
      <c r="L42" s="52" t="s">
        <v>702</v>
      </c>
      <c r="N42" s="39"/>
      <c r="P42" s="36">
        <v>41072</v>
      </c>
      <c r="Q42" s="34">
        <v>21</v>
      </c>
      <c r="R42" s="34" t="s">
        <v>220</v>
      </c>
      <c r="S42" s="34" t="str">
        <f t="shared" si="2"/>
        <v>41072-21-503325X</v>
      </c>
    </row>
    <row r="43" spans="1:19" ht="16.5" customHeight="1">
      <c r="A43" s="60" t="s">
        <v>526</v>
      </c>
      <c r="B43" s="57" t="s">
        <v>525</v>
      </c>
      <c r="C43" s="57">
        <v>172.16</v>
      </c>
      <c r="D43" s="57" t="s">
        <v>52</v>
      </c>
      <c r="E43" s="57" t="s">
        <v>276</v>
      </c>
      <c r="F43" s="57" t="s">
        <v>276</v>
      </c>
      <c r="G43" s="57" t="s">
        <v>517</v>
      </c>
      <c r="H43" s="57" t="s">
        <v>88</v>
      </c>
      <c r="I43" s="57" t="s">
        <v>126</v>
      </c>
      <c r="J43" s="53" t="s">
        <v>674</v>
      </c>
      <c r="K43" s="60" t="str">
        <f>VLOOKUP(B43,'Sheet1 (2)'!$A$2:$C$103,3,FALSE)</f>
        <v>DSM2205-18</v>
      </c>
      <c r="L43" s="52" t="s">
        <v>702</v>
      </c>
      <c r="N43" s="39"/>
      <c r="P43" s="36">
        <v>41072</v>
      </c>
      <c r="Q43" s="34">
        <v>21</v>
      </c>
      <c r="R43" s="34" t="s">
        <v>190</v>
      </c>
      <c r="S43" s="34" t="str">
        <f t="shared" si="2"/>
        <v>41072-21-503362X</v>
      </c>
    </row>
    <row r="44" spans="1:19" ht="16.5" customHeight="1">
      <c r="A44" s="60" t="s">
        <v>563</v>
      </c>
      <c r="B44" s="57" t="s">
        <v>562</v>
      </c>
      <c r="C44" s="59">
        <v>1614</v>
      </c>
      <c r="D44" s="57" t="s">
        <v>52</v>
      </c>
      <c r="E44" s="57" t="s">
        <v>295</v>
      </c>
      <c r="F44" s="57" t="s">
        <v>295</v>
      </c>
      <c r="G44" s="57" t="s">
        <v>522</v>
      </c>
      <c r="H44" s="57" t="s">
        <v>88</v>
      </c>
      <c r="I44" s="57" t="s">
        <v>126</v>
      </c>
      <c r="J44" s="53" t="s">
        <v>674</v>
      </c>
      <c r="K44" s="60" t="str">
        <f>VLOOKUP(B44,'Sheet1 (2)'!$A$2:$C$103,3,FALSE)</f>
        <v>DSM2205-20</v>
      </c>
      <c r="L44" s="52" t="s">
        <v>702</v>
      </c>
      <c r="N44" s="39"/>
      <c r="P44" s="36">
        <v>41072</v>
      </c>
      <c r="Q44" s="34">
        <v>21</v>
      </c>
      <c r="R44" s="34" t="s">
        <v>194</v>
      </c>
      <c r="S44" s="34" t="str">
        <f t="shared" si="2"/>
        <v>41072-21-503388X</v>
      </c>
    </row>
    <row r="45" spans="1:19" ht="16.5" customHeight="1">
      <c r="A45" s="60" t="s">
        <v>560</v>
      </c>
      <c r="B45" s="57" t="s">
        <v>559</v>
      </c>
      <c r="C45" s="58">
        <v>1152.1199999999999</v>
      </c>
      <c r="D45" s="57" t="s">
        <v>52</v>
      </c>
      <c r="E45" s="57" t="s">
        <v>295</v>
      </c>
      <c r="F45" s="57" t="s">
        <v>295</v>
      </c>
      <c r="G45" s="57" t="s">
        <v>522</v>
      </c>
      <c r="H45" s="57" t="s">
        <v>88</v>
      </c>
      <c r="I45" s="57" t="s">
        <v>126</v>
      </c>
      <c r="J45" s="53" t="s">
        <v>674</v>
      </c>
      <c r="K45" s="60" t="str">
        <f>VLOOKUP(B45,'Sheet1 (2)'!$A$2:$C$103,3,FALSE)</f>
        <v>DSM2205-21</v>
      </c>
      <c r="L45" s="52" t="s">
        <v>702</v>
      </c>
      <c r="N45" s="39"/>
      <c r="P45" s="36">
        <v>41072</v>
      </c>
      <c r="Q45" s="34">
        <v>21</v>
      </c>
      <c r="R45" s="34" t="s">
        <v>191</v>
      </c>
      <c r="S45" s="34" t="str">
        <f t="shared" si="2"/>
        <v>41072-21-503363X</v>
      </c>
    </row>
    <row r="46" spans="1:19" ht="16.5" customHeight="1">
      <c r="A46" s="60" t="s">
        <v>556</v>
      </c>
      <c r="B46" s="57" t="s">
        <v>555</v>
      </c>
      <c r="C46" s="57">
        <v>307.60000000000002</v>
      </c>
      <c r="D46" s="57" t="s">
        <v>52</v>
      </c>
      <c r="E46" s="57" t="s">
        <v>295</v>
      </c>
      <c r="F46" s="57" t="s">
        <v>295</v>
      </c>
      <c r="G46" s="57" t="s">
        <v>522</v>
      </c>
      <c r="H46" s="57" t="s">
        <v>88</v>
      </c>
      <c r="I46" s="57" t="s">
        <v>126</v>
      </c>
      <c r="J46" s="53" t="s">
        <v>674</v>
      </c>
      <c r="K46" s="60" t="str">
        <f>VLOOKUP(B46,'Sheet1 (2)'!$A$2:$C$103,3,FALSE)</f>
        <v>DSM2205-22</v>
      </c>
      <c r="L46" s="52" t="s">
        <v>702</v>
      </c>
      <c r="N46" s="39"/>
      <c r="P46" s="36">
        <v>41072</v>
      </c>
      <c r="Q46" s="34">
        <v>21</v>
      </c>
      <c r="R46" s="34" t="s">
        <v>192</v>
      </c>
      <c r="S46" s="34" t="str">
        <f t="shared" si="2"/>
        <v>41072-21-503407X</v>
      </c>
    </row>
    <row r="47" spans="1:19" ht="16.5" customHeight="1">
      <c r="A47" s="60" t="s">
        <v>582</v>
      </c>
      <c r="B47" s="57" t="s">
        <v>581</v>
      </c>
      <c r="C47" s="58">
        <v>67638.240000000005</v>
      </c>
      <c r="D47" s="57" t="s">
        <v>52</v>
      </c>
      <c r="E47" s="57" t="s">
        <v>299</v>
      </c>
      <c r="F47" s="57" t="s">
        <v>299</v>
      </c>
      <c r="G47" s="57" t="s">
        <v>677</v>
      </c>
      <c r="H47" s="57" t="s">
        <v>88</v>
      </c>
      <c r="I47" s="57" t="s">
        <v>126</v>
      </c>
      <c r="J47" s="53" t="s">
        <v>674</v>
      </c>
      <c r="K47" s="60" t="str">
        <f>VLOOKUP(B47,'Sheet1 (2)'!$A$2:$C$103,3,FALSE)</f>
        <v>DSM2205-23</v>
      </c>
      <c r="L47" s="52" t="s">
        <v>702</v>
      </c>
      <c r="N47" s="39"/>
      <c r="P47" s="36">
        <v>41072</v>
      </c>
      <c r="Q47" s="34">
        <v>21</v>
      </c>
      <c r="R47" s="34" t="s">
        <v>178</v>
      </c>
      <c r="S47" s="34" t="str">
        <f t="shared" si="2"/>
        <v>41072-21-503400X</v>
      </c>
    </row>
    <row r="48" spans="1:19" ht="16.5" customHeight="1">
      <c r="A48" s="60" t="s">
        <v>323</v>
      </c>
      <c r="B48" s="57" t="s">
        <v>322</v>
      </c>
      <c r="C48" s="58">
        <v>5575.35</v>
      </c>
      <c r="D48" s="57" t="s">
        <v>52</v>
      </c>
      <c r="E48" s="57" t="s">
        <v>269</v>
      </c>
      <c r="F48" s="57" t="s">
        <v>269</v>
      </c>
      <c r="G48" s="57" t="s">
        <v>304</v>
      </c>
      <c r="H48" s="57" t="s">
        <v>88</v>
      </c>
      <c r="I48" s="57" t="s">
        <v>126</v>
      </c>
      <c r="J48" s="53" t="s">
        <v>697</v>
      </c>
      <c r="K48" s="60" t="str">
        <f>VLOOKUP(B48,'Sheet1 (2)'!$A$2:$C$103,3,FALSE)</f>
        <v>DSM2205-AL01</v>
      </c>
      <c r="L48" s="52" t="s">
        <v>703</v>
      </c>
      <c r="N48" s="39"/>
      <c r="P48" s="36">
        <v>41072</v>
      </c>
      <c r="Q48" s="34">
        <v>21</v>
      </c>
      <c r="R48" s="34" t="s">
        <v>229</v>
      </c>
      <c r="S48" s="34" t="str">
        <f t="shared" si="2"/>
        <v>41072-21-503375X</v>
      </c>
    </row>
    <row r="49" spans="1:19" ht="16.5" customHeight="1">
      <c r="A49" s="60" t="s">
        <v>359</v>
      </c>
      <c r="B49" s="57" t="s">
        <v>358</v>
      </c>
      <c r="C49" s="58">
        <v>4975.04</v>
      </c>
      <c r="D49" s="57" t="s">
        <v>52</v>
      </c>
      <c r="E49" s="57" t="s">
        <v>273</v>
      </c>
      <c r="F49" s="57" t="s">
        <v>273</v>
      </c>
      <c r="G49" s="57" t="s">
        <v>273</v>
      </c>
      <c r="H49" s="57" t="s">
        <v>88</v>
      </c>
      <c r="I49" s="57" t="s">
        <v>126</v>
      </c>
      <c r="J49" s="53" t="s">
        <v>697</v>
      </c>
      <c r="K49" s="60" t="str">
        <f>VLOOKUP(B49,'Sheet1 (2)'!$A$2:$C$103,3,FALSE)</f>
        <v>DSM2205-AL02</v>
      </c>
      <c r="L49" s="52" t="s">
        <v>703</v>
      </c>
      <c r="N49" s="39"/>
      <c r="P49" s="36">
        <v>41072</v>
      </c>
      <c r="Q49" s="34">
        <v>21</v>
      </c>
      <c r="R49" s="34" t="s">
        <v>193</v>
      </c>
      <c r="S49" s="34" t="str">
        <f t="shared" si="2"/>
        <v>41072-21-503408X</v>
      </c>
    </row>
    <row r="50" spans="1:19" ht="16.5" customHeight="1">
      <c r="A50" s="60" t="s">
        <v>362</v>
      </c>
      <c r="B50" s="57" t="s">
        <v>361</v>
      </c>
      <c r="C50" s="58">
        <v>29393.99</v>
      </c>
      <c r="D50" s="57" t="s">
        <v>52</v>
      </c>
      <c r="E50" s="57" t="s">
        <v>273</v>
      </c>
      <c r="F50" s="57" t="s">
        <v>273</v>
      </c>
      <c r="G50" s="57" t="s">
        <v>349</v>
      </c>
      <c r="H50" s="57" t="s">
        <v>88</v>
      </c>
      <c r="I50" s="57" t="s">
        <v>126</v>
      </c>
      <c r="J50" s="53" t="s">
        <v>697</v>
      </c>
      <c r="K50" s="60" t="str">
        <f>VLOOKUP(B50,'Sheet1 (2)'!$A$2:$C$103,3,FALSE)</f>
        <v>DSM2205-AL03</v>
      </c>
      <c r="L50" s="52" t="s">
        <v>703</v>
      </c>
      <c r="N50" s="39"/>
      <c r="P50" s="36">
        <v>41072</v>
      </c>
      <c r="Q50" s="34">
        <v>21</v>
      </c>
      <c r="R50" s="34" t="s">
        <v>205</v>
      </c>
      <c r="S50" s="34" t="str">
        <f t="shared" si="2"/>
        <v>41072-21-503411X</v>
      </c>
    </row>
    <row r="51" spans="1:19" ht="16.5" customHeight="1">
      <c r="A51" s="60" t="s">
        <v>365</v>
      </c>
      <c r="B51" s="57" t="s">
        <v>364</v>
      </c>
      <c r="C51" s="58">
        <v>28618.240000000002</v>
      </c>
      <c r="D51" s="57" t="s">
        <v>52</v>
      </c>
      <c r="E51" s="57" t="s">
        <v>273</v>
      </c>
      <c r="F51" s="57" t="s">
        <v>273</v>
      </c>
      <c r="G51" s="57" t="s">
        <v>349</v>
      </c>
      <c r="H51" s="57" t="s">
        <v>88</v>
      </c>
      <c r="I51" s="57" t="s">
        <v>126</v>
      </c>
      <c r="J51" s="53" t="s">
        <v>697</v>
      </c>
      <c r="K51" s="60" t="str">
        <f>VLOOKUP(B51,'Sheet1 (2)'!$A$2:$C$103,3,FALSE)</f>
        <v>DSM2205-AL04</v>
      </c>
      <c r="L51" s="52" t="s">
        <v>703</v>
      </c>
      <c r="N51" s="39"/>
      <c r="P51" s="36">
        <v>41072</v>
      </c>
      <c r="Q51" s="34">
        <v>21</v>
      </c>
      <c r="R51" s="34" t="s">
        <v>185</v>
      </c>
      <c r="S51" s="34" t="str">
        <f t="shared" si="2"/>
        <v>41072-21-503432X</v>
      </c>
    </row>
    <row r="52" spans="1:19" ht="16.5" customHeight="1">
      <c r="A52" s="60" t="s">
        <v>368</v>
      </c>
      <c r="B52" s="57" t="s">
        <v>367</v>
      </c>
      <c r="C52" s="58">
        <v>13485.31</v>
      </c>
      <c r="D52" s="57" t="s">
        <v>52</v>
      </c>
      <c r="E52" s="57" t="s">
        <v>272</v>
      </c>
      <c r="F52" s="57" t="s">
        <v>272</v>
      </c>
      <c r="G52" s="57" t="s">
        <v>399</v>
      </c>
      <c r="H52" s="57" t="s">
        <v>88</v>
      </c>
      <c r="I52" s="57" t="s">
        <v>126</v>
      </c>
      <c r="J52" s="53" t="s">
        <v>697</v>
      </c>
      <c r="K52" s="60" t="str">
        <f>VLOOKUP(B52,'Sheet1 (2)'!$A$2:$C$103,3,FALSE)</f>
        <v>DSM2205-AL05</v>
      </c>
      <c r="L52" s="52" t="s">
        <v>703</v>
      </c>
      <c r="N52" s="39"/>
      <c r="P52" s="36">
        <v>41072</v>
      </c>
      <c r="Q52" s="34">
        <v>21</v>
      </c>
      <c r="R52" s="34" t="s">
        <v>223</v>
      </c>
      <c r="S52" s="34" t="str">
        <f t="shared" si="2"/>
        <v>41072-21-503389X</v>
      </c>
    </row>
    <row r="53" spans="1:19" ht="16.5" customHeight="1">
      <c r="A53" s="60" t="s">
        <v>610</v>
      </c>
      <c r="B53" s="57" t="s">
        <v>609</v>
      </c>
      <c r="C53" s="58">
        <v>304854.44</v>
      </c>
      <c r="D53" s="57" t="s">
        <v>52</v>
      </c>
      <c r="E53" s="57" t="s">
        <v>275</v>
      </c>
      <c r="F53" s="57" t="s">
        <v>275</v>
      </c>
      <c r="G53" s="57" t="s">
        <v>279</v>
      </c>
      <c r="H53" s="57" t="s">
        <v>88</v>
      </c>
      <c r="I53" s="57" t="s">
        <v>126</v>
      </c>
      <c r="J53" s="53" t="s">
        <v>697</v>
      </c>
      <c r="K53" s="60" t="str">
        <f>VLOOKUP(B53,'Sheet1 (2)'!$A$2:$C$103,3,FALSE)</f>
        <v>DSM2205-AL06</v>
      </c>
      <c r="L53" s="52" t="s">
        <v>703</v>
      </c>
      <c r="N53" s="39"/>
      <c r="P53" s="36">
        <v>41072</v>
      </c>
      <c r="Q53" s="34">
        <v>21</v>
      </c>
      <c r="R53" s="34" t="s">
        <v>206</v>
      </c>
      <c r="S53" s="34" t="str">
        <f t="shared" si="2"/>
        <v>41072-21-503412X</v>
      </c>
    </row>
    <row r="54" spans="1:19" ht="16.5" customHeight="1">
      <c r="A54" s="60" t="s">
        <v>613</v>
      </c>
      <c r="B54" s="57" t="s">
        <v>612</v>
      </c>
      <c r="C54" s="58">
        <v>13755.04</v>
      </c>
      <c r="D54" s="57" t="s">
        <v>52</v>
      </c>
      <c r="E54" s="57" t="s">
        <v>614</v>
      </c>
      <c r="F54" s="57" t="s">
        <v>614</v>
      </c>
      <c r="G54" s="57" t="s">
        <v>274</v>
      </c>
      <c r="H54" s="57" t="s">
        <v>88</v>
      </c>
      <c r="I54" s="57" t="s">
        <v>126</v>
      </c>
      <c r="J54" s="53" t="s">
        <v>697</v>
      </c>
      <c r="K54" s="60" t="str">
        <f>VLOOKUP(B54,'Sheet1 (2)'!$A$2:$C$103,3,FALSE)</f>
        <v>DSM2205-AL07</v>
      </c>
      <c r="L54" s="52" t="s">
        <v>703</v>
      </c>
      <c r="N54" s="39"/>
      <c r="P54" s="36">
        <v>41072</v>
      </c>
      <c r="Q54" s="34">
        <v>21</v>
      </c>
      <c r="R54" s="34" t="s">
        <v>207</v>
      </c>
      <c r="S54" s="34" t="str">
        <f t="shared" si="2"/>
        <v>41072-21-503413X</v>
      </c>
    </row>
    <row r="55" spans="1:19" ht="16.5" customHeight="1">
      <c r="A55" s="60" t="s">
        <v>618</v>
      </c>
      <c r="B55" s="57" t="s">
        <v>617</v>
      </c>
      <c r="C55" s="58">
        <v>27510.080000000002</v>
      </c>
      <c r="D55" s="57" t="s">
        <v>52</v>
      </c>
      <c r="E55" s="57" t="s">
        <v>274</v>
      </c>
      <c r="F55" s="57" t="s">
        <v>274</v>
      </c>
      <c r="G55" s="57" t="s">
        <v>277</v>
      </c>
      <c r="H55" s="57" t="s">
        <v>88</v>
      </c>
      <c r="I55" s="57" t="s">
        <v>126</v>
      </c>
      <c r="J55" s="53" t="s">
        <v>697</v>
      </c>
      <c r="K55" s="60" t="str">
        <f>VLOOKUP(B55,'Sheet1 (2)'!$A$2:$C$103,3,FALSE)</f>
        <v>DSM2205-AL08</v>
      </c>
      <c r="L55" s="52" t="s">
        <v>703</v>
      </c>
      <c r="N55" s="39"/>
      <c r="P55" s="36">
        <v>41072</v>
      </c>
      <c r="Q55" s="34">
        <v>21</v>
      </c>
      <c r="R55" s="34" t="s">
        <v>209</v>
      </c>
      <c r="S55" s="34" t="str">
        <f t="shared" si="2"/>
        <v>41072-21-503415X</v>
      </c>
    </row>
    <row r="56" spans="1:19" ht="16.5" customHeight="1">
      <c r="A56" s="60" t="s">
        <v>621</v>
      </c>
      <c r="B56" s="57" t="s">
        <v>620</v>
      </c>
      <c r="C56" s="58">
        <v>11150.7</v>
      </c>
      <c r="D56" s="57" t="s">
        <v>52</v>
      </c>
      <c r="E56" s="57" t="s">
        <v>277</v>
      </c>
      <c r="F56" s="57" t="s">
        <v>277</v>
      </c>
      <c r="G56" s="57" t="s">
        <v>435</v>
      </c>
      <c r="H56" s="57" t="s">
        <v>88</v>
      </c>
      <c r="I56" s="57" t="s">
        <v>126</v>
      </c>
      <c r="J56" s="53" t="s">
        <v>697</v>
      </c>
      <c r="K56" s="60" t="str">
        <f>VLOOKUP(B56,'Sheet1 (2)'!$A$2:$C$103,3,FALSE)</f>
        <v>DSM2205-AL09</v>
      </c>
      <c r="L56" s="52" t="s">
        <v>703</v>
      </c>
      <c r="N56" s="39"/>
      <c r="P56" s="36">
        <v>41072</v>
      </c>
      <c r="Q56" s="34">
        <v>21</v>
      </c>
      <c r="R56" s="34" t="s">
        <v>210</v>
      </c>
      <c r="S56" s="34" t="str">
        <f t="shared" si="2"/>
        <v>41072-21-503416X</v>
      </c>
    </row>
    <row r="57" spans="1:19">
      <c r="A57" s="60" t="s">
        <v>624</v>
      </c>
      <c r="B57" s="57" t="s">
        <v>623</v>
      </c>
      <c r="C57" s="58">
        <v>6218.8</v>
      </c>
      <c r="D57" s="57" t="s">
        <v>52</v>
      </c>
      <c r="E57" s="57" t="s">
        <v>279</v>
      </c>
      <c r="F57" s="57" t="s">
        <v>279</v>
      </c>
      <c r="G57" s="57" t="s">
        <v>373</v>
      </c>
      <c r="H57" s="57" t="s">
        <v>88</v>
      </c>
      <c r="I57" s="57" t="s">
        <v>126</v>
      </c>
      <c r="J57" s="53" t="s">
        <v>697</v>
      </c>
      <c r="K57" s="60" t="str">
        <f>VLOOKUP(B57,'Sheet1 (2)'!$A$2:$C$103,3,FALSE)</f>
        <v>DSM2205-AL10</v>
      </c>
      <c r="L57" s="52" t="s">
        <v>703</v>
      </c>
      <c r="N57" s="39"/>
      <c r="P57" s="36">
        <v>41072</v>
      </c>
      <c r="Q57" s="34">
        <v>21</v>
      </c>
      <c r="R57" s="34" t="s">
        <v>208</v>
      </c>
      <c r="S57" s="34" t="str">
        <f t="shared" si="2"/>
        <v>41072-21-503414X</v>
      </c>
    </row>
    <row r="58" spans="1:19">
      <c r="A58" s="60" t="s">
        <v>628</v>
      </c>
      <c r="B58" s="57" t="s">
        <v>627</v>
      </c>
      <c r="C58" s="58">
        <v>30184.32</v>
      </c>
      <c r="D58" s="57" t="s">
        <v>52</v>
      </c>
      <c r="E58" s="57" t="s">
        <v>280</v>
      </c>
      <c r="F58" s="57" t="s">
        <v>280</v>
      </c>
      <c r="G58" s="57" t="s">
        <v>394</v>
      </c>
      <c r="H58" s="57" t="s">
        <v>88</v>
      </c>
      <c r="I58" s="57" t="s">
        <v>126</v>
      </c>
      <c r="J58" s="53" t="s">
        <v>697</v>
      </c>
      <c r="K58" s="60" t="str">
        <f>VLOOKUP(B58,'Sheet1 (2)'!$A$2:$C$103,3,FALSE)</f>
        <v>DSM2205-AL11</v>
      </c>
      <c r="L58" s="52" t="s">
        <v>703</v>
      </c>
      <c r="N58" s="39"/>
      <c r="P58" s="36">
        <v>41072</v>
      </c>
      <c r="Q58" s="34">
        <v>21</v>
      </c>
      <c r="R58" s="34" t="s">
        <v>184</v>
      </c>
      <c r="S58" s="34" t="str">
        <f t="shared" si="2"/>
        <v>41072-21-503431X</v>
      </c>
    </row>
    <row r="59" spans="1:19">
      <c r="A59" s="60" t="s">
        <v>631</v>
      </c>
      <c r="B59" s="57" t="s">
        <v>630</v>
      </c>
      <c r="C59" s="58">
        <v>19788.080000000002</v>
      </c>
      <c r="D59" s="57" t="s">
        <v>52</v>
      </c>
      <c r="E59" s="57" t="s">
        <v>394</v>
      </c>
      <c r="F59" s="57" t="s">
        <v>394</v>
      </c>
      <c r="G59" s="57" t="s">
        <v>283</v>
      </c>
      <c r="H59" s="57" t="s">
        <v>88</v>
      </c>
      <c r="I59" s="57" t="s">
        <v>126</v>
      </c>
      <c r="J59" s="53" t="s">
        <v>697</v>
      </c>
      <c r="K59" s="60" t="str">
        <f>VLOOKUP(B59,'Sheet1 (2)'!$A$2:$C$103,3,FALSE)</f>
        <v>DSM2205-AL12</v>
      </c>
      <c r="L59" s="52" t="s">
        <v>703</v>
      </c>
      <c r="N59" s="39"/>
      <c r="P59" s="36">
        <v>41072</v>
      </c>
      <c r="Q59" s="34">
        <v>21</v>
      </c>
      <c r="R59" s="34" t="s">
        <v>211</v>
      </c>
      <c r="S59" s="34" t="str">
        <f t="shared" si="2"/>
        <v>41072-21-503420X</v>
      </c>
    </row>
    <row r="60" spans="1:19">
      <c r="A60" s="60" t="s">
        <v>634</v>
      </c>
      <c r="B60" s="57" t="s">
        <v>633</v>
      </c>
      <c r="C60" s="58">
        <v>319744.69</v>
      </c>
      <c r="D60" s="57" t="s">
        <v>52</v>
      </c>
      <c r="E60" s="57" t="s">
        <v>394</v>
      </c>
      <c r="F60" s="57" t="s">
        <v>394</v>
      </c>
      <c r="G60" s="57" t="s">
        <v>276</v>
      </c>
      <c r="H60" s="57" t="s">
        <v>88</v>
      </c>
      <c r="I60" s="57" t="s">
        <v>126</v>
      </c>
      <c r="J60" s="53" t="s">
        <v>697</v>
      </c>
      <c r="K60" s="60" t="str">
        <f>VLOOKUP(B60,'Sheet1 (2)'!$A$2:$C$103,3,FALSE)</f>
        <v>DSM2205-AL13</v>
      </c>
      <c r="L60" s="52" t="s">
        <v>703</v>
      </c>
      <c r="N60" s="39"/>
      <c r="P60" s="36">
        <v>41129</v>
      </c>
      <c r="Q60" s="34">
        <v>21</v>
      </c>
      <c r="R60" s="34" t="s">
        <v>227</v>
      </c>
      <c r="S60" s="34" t="str">
        <f t="shared" si="2"/>
        <v>41129-21-090144X</v>
      </c>
    </row>
    <row r="61" spans="1:19">
      <c r="A61" s="60" t="s">
        <v>637</v>
      </c>
      <c r="B61" s="57" t="s">
        <v>636</v>
      </c>
      <c r="C61" s="58">
        <v>9837.9</v>
      </c>
      <c r="D61" s="57" t="s">
        <v>52</v>
      </c>
      <c r="E61" s="57" t="s">
        <v>287</v>
      </c>
      <c r="F61" s="57" t="s">
        <v>287</v>
      </c>
      <c r="G61" s="57" t="s">
        <v>284</v>
      </c>
      <c r="H61" s="57" t="s">
        <v>88</v>
      </c>
      <c r="I61" s="57" t="s">
        <v>126</v>
      </c>
      <c r="J61" s="53" t="s">
        <v>697</v>
      </c>
      <c r="K61" s="60" t="str">
        <f>VLOOKUP(B61,'Sheet1 (2)'!$A$2:$C$103,3,FALSE)</f>
        <v>DSM2205-AL14</v>
      </c>
      <c r="L61" s="52" t="s">
        <v>703</v>
      </c>
      <c r="N61" s="39"/>
      <c r="P61" s="36">
        <v>41072</v>
      </c>
      <c r="Q61" s="34">
        <v>21</v>
      </c>
      <c r="R61" s="34" t="s">
        <v>183</v>
      </c>
      <c r="S61" s="34" t="str">
        <f t="shared" si="2"/>
        <v>41072-21-503475X</v>
      </c>
    </row>
    <row r="62" spans="1:19" ht="16.5" customHeight="1">
      <c r="A62" s="60" t="s">
        <v>640</v>
      </c>
      <c r="B62" s="57" t="s">
        <v>639</v>
      </c>
      <c r="C62" s="58">
        <v>30184.32</v>
      </c>
      <c r="D62" s="57" t="s">
        <v>52</v>
      </c>
      <c r="E62" s="57" t="s">
        <v>284</v>
      </c>
      <c r="F62" s="57" t="s">
        <v>284</v>
      </c>
      <c r="G62" s="57" t="s">
        <v>445</v>
      </c>
      <c r="H62" s="57" t="s">
        <v>88</v>
      </c>
      <c r="I62" s="57" t="s">
        <v>126</v>
      </c>
      <c r="J62" s="53" t="s">
        <v>697</v>
      </c>
      <c r="K62" s="60" t="str">
        <f>VLOOKUP(B62,'Sheet1 (2)'!$A$2:$C$103,3,FALSE)</f>
        <v>DSM2205-AL15</v>
      </c>
      <c r="L62" s="52" t="s">
        <v>703</v>
      </c>
      <c r="N62" s="39"/>
      <c r="P62" s="36">
        <v>41072</v>
      </c>
      <c r="Q62" s="34">
        <v>21</v>
      </c>
      <c r="R62" s="34" t="s">
        <v>195</v>
      </c>
      <c r="S62" s="34" t="str">
        <f t="shared" si="2"/>
        <v>41072-21-503454X</v>
      </c>
    </row>
    <row r="63" spans="1:19" ht="16.5" customHeight="1">
      <c r="A63" s="60" t="s">
        <v>643</v>
      </c>
      <c r="B63" s="57" t="s">
        <v>642</v>
      </c>
      <c r="C63" s="58">
        <v>19788.080000000002</v>
      </c>
      <c r="D63" s="57" t="s">
        <v>52</v>
      </c>
      <c r="E63" s="57" t="s">
        <v>276</v>
      </c>
      <c r="F63" s="57" t="s">
        <v>276</v>
      </c>
      <c r="G63" s="57" t="s">
        <v>285</v>
      </c>
      <c r="H63" s="57" t="s">
        <v>88</v>
      </c>
      <c r="I63" s="57" t="s">
        <v>126</v>
      </c>
      <c r="J63" s="53" t="s">
        <v>697</v>
      </c>
      <c r="K63" s="60" t="str">
        <f>VLOOKUP(B63,'Sheet1 (2)'!$A$2:$C$103,3,FALSE)</f>
        <v>DSM2205-AL16</v>
      </c>
      <c r="L63" s="52" t="s">
        <v>703</v>
      </c>
      <c r="N63" s="39"/>
      <c r="P63" s="36">
        <v>41072</v>
      </c>
      <c r="Q63" s="34">
        <v>21</v>
      </c>
      <c r="R63" s="34" t="s">
        <v>212</v>
      </c>
      <c r="S63" s="34" t="str">
        <f t="shared" si="2"/>
        <v>41072-21-503476X</v>
      </c>
    </row>
    <row r="64" spans="1:19">
      <c r="A64" s="60" t="s">
        <v>646</v>
      </c>
      <c r="B64" s="57" t="s">
        <v>645</v>
      </c>
      <c r="C64" s="58">
        <v>10636.35</v>
      </c>
      <c r="D64" s="57" t="s">
        <v>52</v>
      </c>
      <c r="E64" s="57" t="s">
        <v>517</v>
      </c>
      <c r="F64" s="57" t="s">
        <v>517</v>
      </c>
      <c r="G64" s="57" t="s">
        <v>285</v>
      </c>
      <c r="H64" s="57" t="s">
        <v>88</v>
      </c>
      <c r="I64" s="57" t="s">
        <v>126</v>
      </c>
      <c r="J64" s="53" t="s">
        <v>697</v>
      </c>
      <c r="K64" s="60" t="str">
        <f>VLOOKUP(B64,'Sheet1 (2)'!$A$2:$C$103,3,FALSE)</f>
        <v>DSM2205-AL17</v>
      </c>
      <c r="L64" s="52" t="s">
        <v>703</v>
      </c>
      <c r="N64" s="39"/>
      <c r="P64" s="36">
        <v>41072</v>
      </c>
      <c r="Q64" s="34">
        <v>21</v>
      </c>
      <c r="R64" s="34" t="s">
        <v>221</v>
      </c>
      <c r="S64" s="34" t="str">
        <f t="shared" si="2"/>
        <v>41072-21-503478X</v>
      </c>
    </row>
    <row r="65" spans="1:19" ht="16.5" customHeight="1">
      <c r="A65" s="60" t="s">
        <v>649</v>
      </c>
      <c r="B65" s="57" t="s">
        <v>648</v>
      </c>
      <c r="C65" s="58">
        <v>8177.18</v>
      </c>
      <c r="D65" s="57" t="s">
        <v>52</v>
      </c>
      <c r="E65" s="57" t="s">
        <v>295</v>
      </c>
      <c r="F65" s="57" t="s">
        <v>295</v>
      </c>
      <c r="G65" s="57" t="s">
        <v>522</v>
      </c>
      <c r="H65" s="57" t="s">
        <v>88</v>
      </c>
      <c r="I65" s="57" t="s">
        <v>126</v>
      </c>
      <c r="J65" s="53" t="s">
        <v>697</v>
      </c>
      <c r="K65" s="60" t="str">
        <f>VLOOKUP(B65,'Sheet1 (2)'!$A$2:$C$103,3,FALSE)</f>
        <v>DSM2205-AL18</v>
      </c>
      <c r="L65" s="52" t="s">
        <v>703</v>
      </c>
      <c r="N65" s="39"/>
      <c r="P65" s="36">
        <v>12235</v>
      </c>
      <c r="Q65" s="34">
        <v>21</v>
      </c>
      <c r="R65" s="34" t="s">
        <v>196</v>
      </c>
      <c r="S65" s="34" t="str">
        <f t="shared" si="2"/>
        <v>12235-21-090676X</v>
      </c>
    </row>
    <row r="66" spans="1:19" ht="16.5" customHeight="1">
      <c r="A66" s="60" t="s">
        <v>652</v>
      </c>
      <c r="B66" s="57" t="s">
        <v>651</v>
      </c>
      <c r="C66" s="58">
        <v>15092.16</v>
      </c>
      <c r="D66" s="57" t="s">
        <v>52</v>
      </c>
      <c r="E66" s="57" t="s">
        <v>299</v>
      </c>
      <c r="F66" s="57" t="s">
        <v>299</v>
      </c>
      <c r="G66" s="57" t="s">
        <v>382</v>
      </c>
      <c r="H66" s="57" t="s">
        <v>88</v>
      </c>
      <c r="I66" s="57" t="s">
        <v>126</v>
      </c>
      <c r="J66" s="53" t="s">
        <v>697</v>
      </c>
      <c r="K66" s="60" t="str">
        <f>VLOOKUP(B66,'Sheet1 (2)'!$A$2:$C$103,3,FALSE)</f>
        <v>DSM2205-AL19</v>
      </c>
      <c r="L66" s="52" t="s">
        <v>703</v>
      </c>
      <c r="N66" s="39"/>
      <c r="P66" s="36">
        <v>41072</v>
      </c>
      <c r="Q66" s="34">
        <v>21</v>
      </c>
      <c r="R66" s="34" t="s">
        <v>173</v>
      </c>
      <c r="S66" s="34" t="str">
        <f t="shared" si="2"/>
        <v>41072-21-503489X</v>
      </c>
    </row>
    <row r="67" spans="1:19" ht="16.5" customHeight="1">
      <c r="A67" s="60" t="s">
        <v>655</v>
      </c>
      <c r="B67" s="57" t="s">
        <v>654</v>
      </c>
      <c r="C67" s="58">
        <v>406497.68</v>
      </c>
      <c r="D67" s="57" t="s">
        <v>52</v>
      </c>
      <c r="E67" s="57" t="s">
        <v>302</v>
      </c>
      <c r="F67" s="57" t="s">
        <v>302</v>
      </c>
      <c r="G67" s="57" t="s">
        <v>78</v>
      </c>
      <c r="H67" s="57" t="s">
        <v>88</v>
      </c>
      <c r="I67" s="57" t="s">
        <v>126</v>
      </c>
      <c r="J67" s="53" t="s">
        <v>697</v>
      </c>
      <c r="K67" s="60" t="str">
        <f>VLOOKUP(B67,'Sheet1 (2)'!$A$2:$C$103,3,FALSE)</f>
        <v>DSM2205-AL20</v>
      </c>
      <c r="L67" s="52" t="s">
        <v>703</v>
      </c>
      <c r="N67" s="39"/>
      <c r="P67" s="36">
        <v>41072</v>
      </c>
      <c r="Q67" s="34">
        <v>21</v>
      </c>
      <c r="R67" s="34" t="s">
        <v>182</v>
      </c>
      <c r="S67" s="34" t="str">
        <f t="shared" si="2"/>
        <v>41072-21-503512X</v>
      </c>
    </row>
    <row r="68" spans="1:19" ht="16.5" customHeight="1">
      <c r="A68" s="60" t="s">
        <v>485</v>
      </c>
      <c r="B68" s="57" t="s">
        <v>484</v>
      </c>
      <c r="C68" s="59">
        <v>65718</v>
      </c>
      <c r="D68" s="57" t="s">
        <v>52</v>
      </c>
      <c r="E68" s="57" t="s">
        <v>394</v>
      </c>
      <c r="F68" s="57" t="s">
        <v>394</v>
      </c>
      <c r="G68" s="57" t="s">
        <v>284</v>
      </c>
      <c r="H68" s="57" t="s">
        <v>89</v>
      </c>
      <c r="I68" s="57" t="s">
        <v>152</v>
      </c>
      <c r="J68" s="53" t="s">
        <v>674</v>
      </c>
      <c r="K68" s="60" t="str">
        <f>VLOOKUP(B68,'Sheet1 (2)'!$A$2:$C$103,3,FALSE)</f>
        <v>DSM2205-AM01</v>
      </c>
      <c r="L68" s="52" t="s">
        <v>704</v>
      </c>
      <c r="N68" s="39"/>
      <c r="P68" s="36">
        <v>41072</v>
      </c>
      <c r="Q68" s="34">
        <v>21</v>
      </c>
      <c r="R68" s="34" t="s">
        <v>224</v>
      </c>
      <c r="S68" s="34" t="str">
        <f t="shared" si="2"/>
        <v>41072-21-902185X</v>
      </c>
    </row>
    <row r="69" spans="1:19" ht="16.5" customHeight="1">
      <c r="A69" s="60" t="s">
        <v>339</v>
      </c>
      <c r="B69" s="57" t="s">
        <v>338</v>
      </c>
      <c r="C69" s="58">
        <v>5540.84</v>
      </c>
      <c r="D69" s="57" t="s">
        <v>52</v>
      </c>
      <c r="E69" s="57" t="s">
        <v>272</v>
      </c>
      <c r="F69" s="57" t="s">
        <v>272</v>
      </c>
      <c r="G69" s="57" t="s">
        <v>394</v>
      </c>
      <c r="H69" s="57" t="s">
        <v>88</v>
      </c>
      <c r="I69" s="57" t="s">
        <v>126</v>
      </c>
      <c r="J69" s="53" t="s">
        <v>674</v>
      </c>
      <c r="K69" s="60" t="str">
        <f>VLOOKUP(B69,'Sheet1 (2)'!$A$2:$C$103,3,FALSE)</f>
        <v>DSM2205-EM01</v>
      </c>
      <c r="L69" s="52" t="s">
        <v>705</v>
      </c>
      <c r="N69" s="39"/>
      <c r="P69" s="36">
        <v>10576</v>
      </c>
      <c r="Q69" s="34">
        <v>21</v>
      </c>
      <c r="R69" s="34" t="s">
        <v>197</v>
      </c>
      <c r="S69" s="34" t="str">
        <f t="shared" si="2"/>
        <v>10576-21-090714X</v>
      </c>
    </row>
    <row r="70" spans="1:19" ht="16.5" customHeight="1">
      <c r="A70" s="60" t="s">
        <v>335</v>
      </c>
      <c r="B70" s="57" t="s">
        <v>334</v>
      </c>
      <c r="C70" s="58">
        <v>4823.07</v>
      </c>
      <c r="D70" s="57" t="s">
        <v>52</v>
      </c>
      <c r="E70" s="57" t="s">
        <v>272</v>
      </c>
      <c r="F70" s="57" t="s">
        <v>272</v>
      </c>
      <c r="G70" s="57" t="s">
        <v>277</v>
      </c>
      <c r="H70" s="57" t="s">
        <v>88</v>
      </c>
      <c r="I70" s="57" t="s">
        <v>126</v>
      </c>
      <c r="J70" s="53" t="s">
        <v>674</v>
      </c>
      <c r="K70" s="60" t="str">
        <f>VLOOKUP(B70,'Sheet1 (2)'!$A$2:$C$103,3,FALSE)</f>
        <v>DSM2205-EM02</v>
      </c>
      <c r="L70" s="52" t="s">
        <v>705</v>
      </c>
      <c r="N70" s="39"/>
      <c r="P70" s="36">
        <v>41072</v>
      </c>
      <c r="Q70" s="34">
        <v>21</v>
      </c>
      <c r="R70" s="34" t="s">
        <v>213</v>
      </c>
      <c r="S70" s="34" t="str">
        <f t="shared" si="2"/>
        <v>41072-21-503524X</v>
      </c>
    </row>
    <row r="71" spans="1:19" ht="16.5" customHeight="1">
      <c r="A71" s="60" t="s">
        <v>341</v>
      </c>
      <c r="B71" s="57" t="s">
        <v>340</v>
      </c>
      <c r="C71" s="58">
        <v>3115.93</v>
      </c>
      <c r="D71" s="57" t="s">
        <v>52</v>
      </c>
      <c r="E71" s="57" t="s">
        <v>272</v>
      </c>
      <c r="F71" s="57" t="s">
        <v>272</v>
      </c>
      <c r="G71" s="57"/>
      <c r="H71" s="57" t="s">
        <v>88</v>
      </c>
      <c r="I71" s="57" t="s">
        <v>126</v>
      </c>
      <c r="J71" s="53" t="s">
        <v>674</v>
      </c>
      <c r="K71" s="60" t="str">
        <f>VLOOKUP(B71,'Sheet1 (2)'!$A$2:$C$103,3,FALSE)</f>
        <v>DSM2205-EM03</v>
      </c>
      <c r="L71" s="52" t="s">
        <v>705</v>
      </c>
      <c r="N71" s="39"/>
      <c r="P71" s="36">
        <v>41072</v>
      </c>
      <c r="Q71" s="34">
        <v>21</v>
      </c>
      <c r="R71" s="34" t="s">
        <v>215</v>
      </c>
      <c r="S71" s="34" t="str">
        <f t="shared" si="2"/>
        <v>41072-21-503526X</v>
      </c>
    </row>
    <row r="72" spans="1:19" ht="16.5" customHeight="1">
      <c r="A72" s="60" t="s">
        <v>343</v>
      </c>
      <c r="B72" s="57" t="s">
        <v>342</v>
      </c>
      <c r="C72" s="58">
        <v>2784.53</v>
      </c>
      <c r="D72" s="57" t="s">
        <v>52</v>
      </c>
      <c r="E72" s="57" t="s">
        <v>272</v>
      </c>
      <c r="F72" s="57" t="s">
        <v>272</v>
      </c>
      <c r="G72" s="57" t="s">
        <v>275</v>
      </c>
      <c r="H72" s="57" t="s">
        <v>88</v>
      </c>
      <c r="I72" s="57" t="s">
        <v>126</v>
      </c>
      <c r="J72" s="53" t="s">
        <v>674</v>
      </c>
      <c r="K72" s="60" t="str">
        <f>VLOOKUP(B72,'Sheet1 (2)'!$A$2:$C$103,3,FALSE)</f>
        <v>DSM2205-EM04</v>
      </c>
      <c r="L72" s="52" t="s">
        <v>705</v>
      </c>
      <c r="N72" s="39"/>
      <c r="P72" s="36">
        <v>41072</v>
      </c>
      <c r="Q72" s="34">
        <v>21</v>
      </c>
      <c r="R72" s="34" t="s">
        <v>186</v>
      </c>
      <c r="S72" s="34" t="str">
        <f t="shared" si="2"/>
        <v>41072-21-503521X</v>
      </c>
    </row>
    <row r="73" spans="1:19" ht="16.5" customHeight="1">
      <c r="A73" s="60" t="s">
        <v>345</v>
      </c>
      <c r="B73" s="57" t="s">
        <v>344</v>
      </c>
      <c r="C73" s="59">
        <v>7931</v>
      </c>
      <c r="D73" s="57" t="s">
        <v>52</v>
      </c>
      <c r="E73" s="57" t="s">
        <v>272</v>
      </c>
      <c r="F73" s="57" t="s">
        <v>272</v>
      </c>
      <c r="G73" s="57" t="s">
        <v>275</v>
      </c>
      <c r="H73" s="57" t="s">
        <v>88</v>
      </c>
      <c r="I73" s="57" t="s">
        <v>126</v>
      </c>
      <c r="J73" s="53" t="s">
        <v>674</v>
      </c>
      <c r="K73" s="60" t="str">
        <f>VLOOKUP(B73,'Sheet1 (2)'!$A$2:$C$103,3,FALSE)</f>
        <v>DSM2205-EM05</v>
      </c>
      <c r="L73" s="52" t="s">
        <v>705</v>
      </c>
      <c r="N73" s="39"/>
      <c r="P73" s="36">
        <v>41072</v>
      </c>
      <c r="Q73" s="34">
        <v>21</v>
      </c>
      <c r="R73" s="34" t="s">
        <v>214</v>
      </c>
      <c r="S73" s="34" t="str">
        <f t="shared" si="2"/>
        <v>41072-21-503525X</v>
      </c>
    </row>
    <row r="74" spans="1:19" ht="16.5" customHeight="1">
      <c r="A74" s="60" t="s">
        <v>347</v>
      </c>
      <c r="B74" s="57" t="s">
        <v>346</v>
      </c>
      <c r="C74" s="58">
        <v>1486.3</v>
      </c>
      <c r="D74" s="57" t="s">
        <v>52</v>
      </c>
      <c r="E74" s="57" t="s">
        <v>272</v>
      </c>
      <c r="F74" s="57" t="s">
        <v>272</v>
      </c>
      <c r="G74" s="57" t="s">
        <v>399</v>
      </c>
      <c r="H74" s="57" t="s">
        <v>88</v>
      </c>
      <c r="I74" s="57" t="s">
        <v>126</v>
      </c>
      <c r="J74" s="53" t="s">
        <v>674</v>
      </c>
      <c r="K74" s="60" t="str">
        <f>VLOOKUP(B74,'Sheet1 (2)'!$A$2:$C$103,3,FALSE)</f>
        <v>DSM2205-EM06</v>
      </c>
      <c r="L74" s="52" t="s">
        <v>705</v>
      </c>
      <c r="N74" s="39"/>
      <c r="P74" s="36">
        <v>41072</v>
      </c>
      <c r="Q74" s="34">
        <v>21</v>
      </c>
      <c r="R74" s="34" t="s">
        <v>216</v>
      </c>
      <c r="S74" s="34" t="str">
        <f t="shared" si="2"/>
        <v>41072-21-503527X</v>
      </c>
    </row>
    <row r="75" spans="1:19" ht="16.5" customHeight="1">
      <c r="A75" s="60" t="s">
        <v>412</v>
      </c>
      <c r="B75" s="57" t="s">
        <v>411</v>
      </c>
      <c r="C75" s="58">
        <v>10857.65</v>
      </c>
      <c r="D75" s="57" t="s">
        <v>52</v>
      </c>
      <c r="E75" s="57" t="s">
        <v>272</v>
      </c>
      <c r="F75" s="57" t="s">
        <v>272</v>
      </c>
      <c r="G75" s="57" t="s">
        <v>399</v>
      </c>
      <c r="H75" s="57" t="s">
        <v>88</v>
      </c>
      <c r="I75" s="57" t="s">
        <v>126</v>
      </c>
      <c r="J75" s="53" t="s">
        <v>674</v>
      </c>
      <c r="K75" s="60" t="str">
        <f>VLOOKUP(B75,'Sheet1 (2)'!$A$2:$C$103,3,FALSE)</f>
        <v>DSM2205-EM07</v>
      </c>
      <c r="L75" s="52" t="s">
        <v>705</v>
      </c>
      <c r="N75" s="39"/>
      <c r="P75" s="36">
        <v>41072</v>
      </c>
      <c r="Q75" s="34">
        <v>21</v>
      </c>
      <c r="R75" s="34" t="s">
        <v>217</v>
      </c>
      <c r="S75" s="34" t="str">
        <f t="shared" ref="S75:S83" si="4">P75&amp;"-"&amp;Q75&amp;"-"&amp;R75</f>
        <v>41072-21-503528X</v>
      </c>
    </row>
    <row r="76" spans="1:19" ht="16.5" customHeight="1">
      <c r="A76" s="60" t="s">
        <v>416</v>
      </c>
      <c r="B76" s="57" t="s">
        <v>415</v>
      </c>
      <c r="C76" s="57">
        <v>940.24</v>
      </c>
      <c r="D76" s="57" t="s">
        <v>52</v>
      </c>
      <c r="E76" s="57" t="s">
        <v>272</v>
      </c>
      <c r="F76" s="57" t="s">
        <v>272</v>
      </c>
      <c r="G76" s="57" t="s">
        <v>417</v>
      </c>
      <c r="H76" s="57" t="s">
        <v>88</v>
      </c>
      <c r="I76" s="57" t="s">
        <v>126</v>
      </c>
      <c r="J76" s="53" t="s">
        <v>674</v>
      </c>
      <c r="K76" s="60" t="str">
        <f>VLOOKUP(B76,'Sheet1 (2)'!$A$2:$C$103,3,FALSE)</f>
        <v>DSM2205-EM08</v>
      </c>
      <c r="L76" s="52" t="s">
        <v>705</v>
      </c>
      <c r="N76" s="39"/>
      <c r="P76" s="36">
        <v>41072</v>
      </c>
      <c r="Q76" s="34">
        <v>21</v>
      </c>
      <c r="R76" s="34" t="s">
        <v>218</v>
      </c>
      <c r="S76" s="34" t="str">
        <f t="shared" si="4"/>
        <v>41072-21-503529X</v>
      </c>
    </row>
    <row r="77" spans="1:19" ht="16.5" customHeight="1">
      <c r="A77" s="60" t="s">
        <v>461</v>
      </c>
      <c r="B77" s="57" t="s">
        <v>460</v>
      </c>
      <c r="C77" s="58">
        <v>6823.72</v>
      </c>
      <c r="D77" s="57" t="s">
        <v>52</v>
      </c>
      <c r="E77" s="57" t="s">
        <v>277</v>
      </c>
      <c r="F77" s="57" t="s">
        <v>277</v>
      </c>
      <c r="G77" s="57" t="s">
        <v>285</v>
      </c>
      <c r="H77" s="57" t="s">
        <v>88</v>
      </c>
      <c r="I77" s="57" t="s">
        <v>126</v>
      </c>
      <c r="J77" s="53" t="s">
        <v>674</v>
      </c>
      <c r="K77" s="60" t="str">
        <f>VLOOKUP(B77,'Sheet1 (2)'!$A$2:$C$103,3,FALSE)</f>
        <v>DSM2205-EM09</v>
      </c>
      <c r="L77" s="52" t="s">
        <v>705</v>
      </c>
      <c r="N77" s="39"/>
      <c r="P77" s="36">
        <v>41072</v>
      </c>
      <c r="Q77" s="34">
        <v>21</v>
      </c>
      <c r="R77" s="34" t="s">
        <v>219</v>
      </c>
      <c r="S77" s="34" t="str">
        <f t="shared" si="4"/>
        <v>41072-21-503530X</v>
      </c>
    </row>
    <row r="78" spans="1:19" ht="16.5" customHeight="1">
      <c r="A78" s="60" t="s">
        <v>465</v>
      </c>
      <c r="B78" s="57" t="s">
        <v>464</v>
      </c>
      <c r="C78" s="58">
        <v>5308.46</v>
      </c>
      <c r="D78" s="57" t="s">
        <v>52</v>
      </c>
      <c r="E78" s="57" t="s">
        <v>277</v>
      </c>
      <c r="F78" s="57" t="s">
        <v>277</v>
      </c>
      <c r="G78" s="57" t="s">
        <v>283</v>
      </c>
      <c r="H78" s="57" t="s">
        <v>88</v>
      </c>
      <c r="I78" s="57" t="s">
        <v>126</v>
      </c>
      <c r="J78" s="53" t="s">
        <v>674</v>
      </c>
      <c r="K78" s="60" t="str">
        <f>VLOOKUP(B78,'Sheet1 (2)'!$A$2:$C$103,3,FALSE)</f>
        <v>DSM2205-EM10</v>
      </c>
      <c r="L78" s="52" t="s">
        <v>705</v>
      </c>
      <c r="N78" s="39"/>
      <c r="P78" s="36">
        <v>41072</v>
      </c>
      <c r="Q78" s="34">
        <v>21</v>
      </c>
      <c r="R78" s="34" t="s">
        <v>244</v>
      </c>
      <c r="S78" s="34" t="str">
        <f t="shared" si="4"/>
        <v>41072-21-503531X</v>
      </c>
    </row>
    <row r="79" spans="1:19" ht="16.5" customHeight="1">
      <c r="A79" s="60" t="s">
        <v>469</v>
      </c>
      <c r="B79" s="57" t="s">
        <v>468</v>
      </c>
      <c r="C79" s="59">
        <v>17905</v>
      </c>
      <c r="D79" s="57" t="s">
        <v>52</v>
      </c>
      <c r="E79" s="57" t="s">
        <v>277</v>
      </c>
      <c r="F79" s="57" t="s">
        <v>277</v>
      </c>
      <c r="G79" s="57" t="s">
        <v>283</v>
      </c>
      <c r="H79" s="57" t="s">
        <v>88</v>
      </c>
      <c r="I79" s="57" t="s">
        <v>126</v>
      </c>
      <c r="J79" s="53" t="s">
        <v>674</v>
      </c>
      <c r="K79" s="60" t="str">
        <f>VLOOKUP(B79,'Sheet1 (2)'!$A$2:$C$103,3,FALSE)</f>
        <v>DSM2205-EM11</v>
      </c>
      <c r="L79" s="52" t="s">
        <v>705</v>
      </c>
      <c r="N79" s="39"/>
      <c r="P79" s="36">
        <v>41072</v>
      </c>
      <c r="Q79" s="34">
        <v>21</v>
      </c>
      <c r="R79" s="34" t="s">
        <v>245</v>
      </c>
      <c r="S79" s="34" t="str">
        <f t="shared" si="4"/>
        <v>41072-21-503532X</v>
      </c>
    </row>
    <row r="80" spans="1:19" ht="16.5" customHeight="1">
      <c r="A80" s="60" t="s">
        <v>513</v>
      </c>
      <c r="B80" s="57" t="s">
        <v>512</v>
      </c>
      <c r="C80" s="58">
        <v>9210.09</v>
      </c>
      <c r="D80" s="57" t="s">
        <v>52</v>
      </c>
      <c r="E80" s="57" t="s">
        <v>284</v>
      </c>
      <c r="F80" s="57" t="s">
        <v>284</v>
      </c>
      <c r="G80" s="57" t="s">
        <v>285</v>
      </c>
      <c r="H80" s="57" t="s">
        <v>88</v>
      </c>
      <c r="I80" s="57" t="s">
        <v>126</v>
      </c>
      <c r="J80" s="53" t="s">
        <v>674</v>
      </c>
      <c r="K80" s="60" t="str">
        <f>VLOOKUP(B80,'Sheet1 (2)'!$A$2:$C$103,3,FALSE)</f>
        <v>DSM2205-EM12</v>
      </c>
      <c r="L80" s="52" t="s">
        <v>705</v>
      </c>
      <c r="N80" s="39"/>
      <c r="P80" s="36">
        <v>41072</v>
      </c>
      <c r="Q80" s="34">
        <v>21</v>
      </c>
      <c r="R80" s="34" t="s">
        <v>246</v>
      </c>
      <c r="S80" s="34" t="str">
        <f t="shared" si="4"/>
        <v>41072-21-503533X</v>
      </c>
    </row>
    <row r="81" spans="1:19" ht="16.5" customHeight="1">
      <c r="A81" s="60" t="s">
        <v>516</v>
      </c>
      <c r="B81" s="57" t="s">
        <v>515</v>
      </c>
      <c r="C81" s="59">
        <v>7931</v>
      </c>
      <c r="D81" s="57" t="s">
        <v>52</v>
      </c>
      <c r="E81" s="57" t="s">
        <v>284</v>
      </c>
      <c r="F81" s="57" t="s">
        <v>284</v>
      </c>
      <c r="G81" s="57" t="s">
        <v>517</v>
      </c>
      <c r="H81" s="57" t="s">
        <v>88</v>
      </c>
      <c r="I81" s="57" t="s">
        <v>126</v>
      </c>
      <c r="J81" s="53" t="s">
        <v>674</v>
      </c>
      <c r="K81" s="60" t="str">
        <f>VLOOKUP(B81,'Sheet1 (2)'!$A$2:$C$103,3,FALSE)</f>
        <v>DSM2205-EM13</v>
      </c>
      <c r="L81" s="52" t="s">
        <v>705</v>
      </c>
      <c r="N81" s="39"/>
      <c r="P81" s="36">
        <v>41072</v>
      </c>
      <c r="Q81" s="34">
        <v>21</v>
      </c>
      <c r="R81" s="34" t="s">
        <v>247</v>
      </c>
      <c r="S81" s="34" t="str">
        <f t="shared" si="4"/>
        <v>41072-21-503534X</v>
      </c>
    </row>
    <row r="82" spans="1:19">
      <c r="A82" s="60" t="s">
        <v>531</v>
      </c>
      <c r="B82" s="57" t="s">
        <v>530</v>
      </c>
      <c r="C82" s="59">
        <v>24034</v>
      </c>
      <c r="D82" s="57" t="s">
        <v>52</v>
      </c>
      <c r="E82" s="57" t="s">
        <v>517</v>
      </c>
      <c r="F82" s="57" t="s">
        <v>517</v>
      </c>
      <c r="G82" s="57" t="s">
        <v>522</v>
      </c>
      <c r="H82" s="57" t="s">
        <v>88</v>
      </c>
      <c r="I82" s="57" t="s">
        <v>126</v>
      </c>
      <c r="J82" s="53" t="s">
        <v>674</v>
      </c>
      <c r="K82" s="60" t="str">
        <f>VLOOKUP(B82,'Sheet1 (2)'!$A$2:$C$103,3,FALSE)</f>
        <v>DSM2205-EM14</v>
      </c>
      <c r="L82" s="52" t="s">
        <v>705</v>
      </c>
      <c r="N82" s="39"/>
      <c r="P82" s="36">
        <v>41072</v>
      </c>
      <c r="Q82" s="34">
        <v>21</v>
      </c>
      <c r="R82" s="34" t="s">
        <v>222</v>
      </c>
      <c r="S82" s="34" t="str">
        <f t="shared" si="4"/>
        <v>41072-21-503535X</v>
      </c>
    </row>
    <row r="83" spans="1:19">
      <c r="A83" s="60" t="s">
        <v>570</v>
      </c>
      <c r="B83" s="57" t="s">
        <v>569</v>
      </c>
      <c r="C83" s="58">
        <v>2872.75</v>
      </c>
      <c r="D83" s="57" t="s">
        <v>52</v>
      </c>
      <c r="E83" s="57" t="s">
        <v>299</v>
      </c>
      <c r="F83" s="57" t="s">
        <v>299</v>
      </c>
      <c r="G83" s="57" t="s">
        <v>350</v>
      </c>
      <c r="H83" s="57" t="s">
        <v>88</v>
      </c>
      <c r="I83" s="57" t="s">
        <v>126</v>
      </c>
      <c r="J83" s="53" t="s">
        <v>674</v>
      </c>
      <c r="K83" s="60" t="str">
        <f>VLOOKUP(B83,'Sheet1 (2)'!$A$2:$C$103,3,FALSE)</f>
        <v>DSM2205-EM15</v>
      </c>
      <c r="L83" s="52" t="s">
        <v>705</v>
      </c>
      <c r="N83" s="39"/>
      <c r="P83" s="36">
        <v>41072</v>
      </c>
      <c r="Q83" s="34">
        <v>21</v>
      </c>
      <c r="R83" s="34" t="s">
        <v>248</v>
      </c>
      <c r="S83" s="34" t="str">
        <f t="shared" si="4"/>
        <v>41072-21-503536X</v>
      </c>
    </row>
    <row r="84" spans="1:19">
      <c r="A84" s="60" t="s">
        <v>572</v>
      </c>
      <c r="B84" s="57" t="s">
        <v>571</v>
      </c>
      <c r="C84" s="58">
        <v>11049.07</v>
      </c>
      <c r="D84" s="57" t="s">
        <v>52</v>
      </c>
      <c r="E84" s="57" t="s">
        <v>299</v>
      </c>
      <c r="F84" s="57" t="s">
        <v>299</v>
      </c>
      <c r="G84" s="57" t="s">
        <v>671</v>
      </c>
      <c r="H84" s="57" t="s">
        <v>88</v>
      </c>
      <c r="I84" s="57" t="s">
        <v>126</v>
      </c>
      <c r="J84" s="53" t="s">
        <v>674</v>
      </c>
      <c r="K84" s="60" t="str">
        <f>VLOOKUP(B84,'Sheet1 (2)'!$A$2:$C$103,3,FALSE)</f>
        <v>DSM2205-EM16</v>
      </c>
      <c r="L84" s="52" t="s">
        <v>705</v>
      </c>
      <c r="N84" s="39"/>
    </row>
    <row r="85" spans="1:19">
      <c r="A85" s="60" t="s">
        <v>566</v>
      </c>
      <c r="B85" s="57" t="s">
        <v>565</v>
      </c>
      <c r="C85" s="58">
        <v>2435.8200000000002</v>
      </c>
      <c r="D85" s="57" t="s">
        <v>52</v>
      </c>
      <c r="E85" s="57" t="s">
        <v>299</v>
      </c>
      <c r="F85" s="57" t="s">
        <v>299</v>
      </c>
      <c r="G85" s="57" t="s">
        <v>671</v>
      </c>
      <c r="H85" s="57" t="s">
        <v>88</v>
      </c>
      <c r="I85" s="57" t="s">
        <v>126</v>
      </c>
      <c r="J85" s="53" t="s">
        <v>674</v>
      </c>
      <c r="K85" s="60" t="str">
        <f>VLOOKUP(B85,'Sheet1 (2)'!$A$2:$C$103,3,FALSE)</f>
        <v>DSM2205-EM17</v>
      </c>
      <c r="L85" s="52" t="s">
        <v>705</v>
      </c>
      <c r="N85" s="39"/>
    </row>
    <row r="86" spans="1:19">
      <c r="A86" s="60" t="s">
        <v>575</v>
      </c>
      <c r="B86" s="57" t="s">
        <v>574</v>
      </c>
      <c r="C86" s="57">
        <v>590.94000000000005</v>
      </c>
      <c r="D86" s="57" t="s">
        <v>52</v>
      </c>
      <c r="E86" s="57" t="s">
        <v>299</v>
      </c>
      <c r="F86" s="57" t="s">
        <v>299</v>
      </c>
      <c r="G86" s="57" t="s">
        <v>382</v>
      </c>
      <c r="H86" s="57" t="s">
        <v>88</v>
      </c>
      <c r="I86" s="57" t="s">
        <v>126</v>
      </c>
      <c r="J86" s="53" t="s">
        <v>674</v>
      </c>
      <c r="K86" s="60" t="str">
        <f>VLOOKUP(B86,'Sheet1 (2)'!$A$2:$C$103,3,FALSE)</f>
        <v>DSM2205-EM18</v>
      </c>
      <c r="L86" s="52" t="s">
        <v>705</v>
      </c>
      <c r="N86" s="39"/>
    </row>
    <row r="87" spans="1:19">
      <c r="A87" s="61" t="s">
        <v>578</v>
      </c>
      <c r="B87" s="57" t="s">
        <v>577</v>
      </c>
      <c r="C87" s="57">
        <v>765.12</v>
      </c>
      <c r="D87" s="57" t="s">
        <v>52</v>
      </c>
      <c r="E87" s="57" t="s">
        <v>299</v>
      </c>
      <c r="F87" s="57" t="s">
        <v>299</v>
      </c>
      <c r="G87" s="57" t="s">
        <v>579</v>
      </c>
      <c r="H87" s="57" t="s">
        <v>88</v>
      </c>
      <c r="I87" s="57" t="s">
        <v>126</v>
      </c>
      <c r="J87" s="53" t="s">
        <v>674</v>
      </c>
      <c r="K87" s="61" t="str">
        <f>VLOOKUP(B87,'Sheet1 (2)'!$A$2:$C$103,3,FALSE)</f>
        <v>DSM2205-EM19</v>
      </c>
      <c r="L87" s="52" t="s">
        <v>705</v>
      </c>
      <c r="N87" s="39"/>
    </row>
    <row r="88" spans="1:19">
      <c r="A88" s="60" t="s">
        <v>592</v>
      </c>
      <c r="B88" s="57" t="s">
        <v>591</v>
      </c>
      <c r="C88" s="59">
        <v>7931</v>
      </c>
      <c r="D88" s="57" t="s">
        <v>52</v>
      </c>
      <c r="E88" s="57" t="s">
        <v>302</v>
      </c>
      <c r="F88" s="57" t="s">
        <v>302</v>
      </c>
      <c r="G88" s="57" t="s">
        <v>350</v>
      </c>
      <c r="H88" s="57" t="s">
        <v>88</v>
      </c>
      <c r="I88" s="57" t="s">
        <v>126</v>
      </c>
      <c r="J88" s="53" t="s">
        <v>674</v>
      </c>
      <c r="K88" s="60" t="str">
        <f>VLOOKUP(B88,'Sheet1 (2)'!$A$2:$C$103,3,FALSE)</f>
        <v>DSM2205-EM20</v>
      </c>
      <c r="L88" s="52" t="s">
        <v>705</v>
      </c>
      <c r="N88" s="39"/>
    </row>
    <row r="89" spans="1:19" ht="16.5" customHeight="1">
      <c r="A89" s="54" t="s">
        <v>421</v>
      </c>
      <c r="B89" s="62" t="s">
        <v>420</v>
      </c>
      <c r="C89" s="51">
        <v>6486.52</v>
      </c>
      <c r="D89" s="62" t="s">
        <v>52</v>
      </c>
      <c r="E89" s="62" t="s">
        <v>275</v>
      </c>
      <c r="F89" s="62" t="s">
        <v>275</v>
      </c>
      <c r="G89" s="62" t="s">
        <v>276</v>
      </c>
      <c r="H89" s="62" t="s">
        <v>88</v>
      </c>
      <c r="I89" s="62" t="s">
        <v>126</v>
      </c>
      <c r="J89" s="38" t="s">
        <v>674</v>
      </c>
      <c r="K89" s="54" t="str">
        <f>VLOOKUP(B89,'Sheet1 (2)'!$A$2:$C$103,3,FALSE)</f>
        <v>DSM2205-K01</v>
      </c>
      <c r="L89" s="37" t="s">
        <v>716</v>
      </c>
      <c r="N89" s="39"/>
      <c r="P89" s="36">
        <v>41072</v>
      </c>
      <c r="Q89" s="34">
        <v>21</v>
      </c>
      <c r="R89" s="34" t="s">
        <v>168</v>
      </c>
      <c r="S89" s="34" t="str">
        <f>P89&amp;"-"&amp;Q89&amp;"-"&amp;R89</f>
        <v>41072-21-503208X</v>
      </c>
    </row>
    <row r="90" spans="1:19">
      <c r="A90" s="54" t="s">
        <v>489</v>
      </c>
      <c r="B90" s="62" t="s">
        <v>488</v>
      </c>
      <c r="C90" s="51">
        <v>7552.08</v>
      </c>
      <c r="D90" s="62" t="s">
        <v>52</v>
      </c>
      <c r="E90" s="62" t="s">
        <v>283</v>
      </c>
      <c r="F90" s="62" t="s">
        <v>283</v>
      </c>
      <c r="G90" s="62" t="s">
        <v>491</v>
      </c>
      <c r="H90" s="62" t="s">
        <v>88</v>
      </c>
      <c r="I90" s="62" t="s">
        <v>126</v>
      </c>
      <c r="J90" s="38" t="s">
        <v>674</v>
      </c>
      <c r="K90" s="54" t="str">
        <f>VLOOKUP(B90,'Sheet1 (2)'!$A$2:$C$103,3,FALSE)</f>
        <v>DSM2205-K02</v>
      </c>
      <c r="L90" s="37" t="s">
        <v>716</v>
      </c>
    </row>
    <row r="91" spans="1:19">
      <c r="A91" s="60" t="s">
        <v>551</v>
      </c>
      <c r="B91" s="57" t="s">
        <v>550</v>
      </c>
      <c r="C91" s="58">
        <v>115282.24000000001</v>
      </c>
      <c r="D91" s="57" t="s">
        <v>52</v>
      </c>
      <c r="E91" s="57" t="s">
        <v>285</v>
      </c>
      <c r="F91" s="57" t="s">
        <v>285</v>
      </c>
      <c r="G91" s="57" t="s">
        <v>553</v>
      </c>
      <c r="H91" s="57" t="s">
        <v>88</v>
      </c>
      <c r="I91" s="57" t="s">
        <v>126</v>
      </c>
      <c r="J91" s="53" t="s">
        <v>674</v>
      </c>
      <c r="K91" s="60" t="str">
        <f>VLOOKUP(B91,'Sheet1 (2)'!$A$2:$C$103,3,FALSE)</f>
        <v>DSM2205-MC01</v>
      </c>
      <c r="L91" s="52" t="s">
        <v>706</v>
      </c>
    </row>
    <row r="92" spans="1:19">
      <c r="A92" s="60" t="s">
        <v>588</v>
      </c>
      <c r="B92" s="57" t="s">
        <v>587</v>
      </c>
      <c r="C92" s="59">
        <v>19524456</v>
      </c>
      <c r="D92" s="57" t="s">
        <v>256</v>
      </c>
      <c r="E92" s="57" t="s">
        <v>302</v>
      </c>
      <c r="F92" s="57" t="s">
        <v>302</v>
      </c>
      <c r="G92" s="57" t="s">
        <v>687</v>
      </c>
      <c r="H92" s="57" t="s">
        <v>88</v>
      </c>
      <c r="I92" s="57" t="s">
        <v>126</v>
      </c>
      <c r="J92" s="53" t="s">
        <v>674</v>
      </c>
      <c r="K92" s="60" t="str">
        <f>VLOOKUP(B92,'Sheet1 (2)'!$A$2:$C$103,3,FALSE)</f>
        <v>DSM2205-R01</v>
      </c>
      <c r="L92" s="52" t="s">
        <v>701</v>
      </c>
    </row>
    <row r="93" spans="1:19">
      <c r="A93" s="61" t="s">
        <v>603</v>
      </c>
      <c r="B93" s="57" t="s">
        <v>602</v>
      </c>
      <c r="C93" s="59">
        <v>2316410</v>
      </c>
      <c r="D93" s="57" t="s">
        <v>256</v>
      </c>
      <c r="E93" s="57" t="s">
        <v>348</v>
      </c>
      <c r="F93" s="57" t="s">
        <v>348</v>
      </c>
      <c r="G93" s="57" t="s">
        <v>78</v>
      </c>
      <c r="H93" s="57" t="s">
        <v>88</v>
      </c>
      <c r="I93" s="57" t="s">
        <v>126</v>
      </c>
      <c r="J93" s="53" t="s">
        <v>674</v>
      </c>
      <c r="K93" s="60" t="str">
        <f>VLOOKUP(B93,'Sheet1 (2)'!$A$2:$C$103,3,FALSE)</f>
        <v>DSM2205-R02</v>
      </c>
      <c r="L93" s="52" t="s">
        <v>707</v>
      </c>
    </row>
    <row r="94" spans="1:19">
      <c r="A94" s="54" t="s">
        <v>371</v>
      </c>
      <c r="B94" s="62" t="s">
        <v>370</v>
      </c>
      <c r="C94" s="50">
        <v>12963814</v>
      </c>
      <c r="D94" s="62" t="s">
        <v>264</v>
      </c>
      <c r="E94" s="62" t="s">
        <v>279</v>
      </c>
      <c r="F94" s="62" t="s">
        <v>279</v>
      </c>
      <c r="G94" s="62" t="s">
        <v>373</v>
      </c>
      <c r="H94" s="62" t="s">
        <v>268</v>
      </c>
      <c r="I94" s="62" t="s">
        <v>126</v>
      </c>
      <c r="J94" s="38" t="s">
        <v>670</v>
      </c>
      <c r="K94" s="54" t="str">
        <f>VLOOKUP(B94,'Sheet1 (2)'!$A$2:$C$103,3,FALSE)</f>
        <v>DSM2205-SK01</v>
      </c>
      <c r="L94" s="37" t="s">
        <v>708</v>
      </c>
    </row>
    <row r="95" spans="1:19">
      <c r="A95" s="54" t="s">
        <v>377</v>
      </c>
      <c r="B95" s="62" t="s">
        <v>376</v>
      </c>
      <c r="C95" s="50">
        <v>13909442</v>
      </c>
      <c r="D95" s="62" t="s">
        <v>264</v>
      </c>
      <c r="E95" s="62" t="s">
        <v>295</v>
      </c>
      <c r="F95" s="62" t="s">
        <v>295</v>
      </c>
      <c r="G95" s="62" t="s">
        <v>299</v>
      </c>
      <c r="H95" s="62" t="s">
        <v>268</v>
      </c>
      <c r="I95" s="62" t="s">
        <v>126</v>
      </c>
      <c r="J95" s="38" t="s">
        <v>670</v>
      </c>
      <c r="K95" s="54" t="str">
        <f>VLOOKUP(B95,'Sheet1 (2)'!$A$2:$C$103,3,FALSE)</f>
        <v>DSM2205-SK02</v>
      </c>
      <c r="L95" s="37" t="s">
        <v>709</v>
      </c>
    </row>
    <row r="96" spans="1:19">
      <c r="A96" s="54" t="s">
        <v>381</v>
      </c>
      <c r="B96" s="62" t="s">
        <v>380</v>
      </c>
      <c r="C96" s="50">
        <v>317584</v>
      </c>
      <c r="D96" s="62" t="s">
        <v>264</v>
      </c>
      <c r="E96" s="62" t="s">
        <v>382</v>
      </c>
      <c r="F96" s="62" t="s">
        <v>382</v>
      </c>
      <c r="G96" s="62" t="s">
        <v>302</v>
      </c>
      <c r="H96" s="62" t="s">
        <v>268</v>
      </c>
      <c r="I96" s="62" t="s">
        <v>126</v>
      </c>
      <c r="J96" s="38" t="s">
        <v>670</v>
      </c>
      <c r="K96" s="54" t="str">
        <f>VLOOKUP(B96,'Sheet1 (2)'!$A$2:$C$103,3,FALSE)</f>
        <v>DSM2205-SK03</v>
      </c>
      <c r="L96" s="37" t="s">
        <v>709</v>
      </c>
    </row>
    <row r="97" spans="1:12">
      <c r="A97" s="60" t="s">
        <v>430</v>
      </c>
      <c r="B97" s="57" t="s">
        <v>429</v>
      </c>
      <c r="C97" s="59">
        <v>53696</v>
      </c>
      <c r="D97" s="57" t="s">
        <v>52</v>
      </c>
      <c r="E97" s="57" t="s">
        <v>274</v>
      </c>
      <c r="F97" s="57" t="s">
        <v>274</v>
      </c>
      <c r="G97" s="57" t="s">
        <v>394</v>
      </c>
      <c r="H97" s="57" t="s">
        <v>89</v>
      </c>
      <c r="I97" s="57" t="s">
        <v>125</v>
      </c>
      <c r="J97" s="53" t="s">
        <v>674</v>
      </c>
      <c r="K97" s="60" t="str">
        <f>VLOOKUP(B97,'Sheet1 (2)'!$A$2:$C$103,3,FALSE)</f>
        <v>DSM2205-SM01</v>
      </c>
      <c r="L97" s="52" t="s">
        <v>710</v>
      </c>
    </row>
    <row r="98" spans="1:12">
      <c r="A98" s="60" t="s">
        <v>586</v>
      </c>
      <c r="B98" s="57" t="s">
        <v>585</v>
      </c>
      <c r="C98" s="59">
        <v>59214</v>
      </c>
      <c r="D98" s="57" t="s">
        <v>52</v>
      </c>
      <c r="E98" s="57" t="s">
        <v>382</v>
      </c>
      <c r="F98" s="57" t="s">
        <v>382</v>
      </c>
      <c r="G98" s="57" t="s">
        <v>677</v>
      </c>
      <c r="H98" s="57" t="s">
        <v>89</v>
      </c>
      <c r="I98" s="57" t="s">
        <v>125</v>
      </c>
      <c r="J98" s="53" t="s">
        <v>674</v>
      </c>
      <c r="K98" s="60" t="str">
        <f>VLOOKUP(B98,'Sheet1 (2)'!$A$2:$C$103,3,FALSE)</f>
        <v>DSM2205-SM02</v>
      </c>
      <c r="L98" s="52" t="s">
        <v>711</v>
      </c>
    </row>
    <row r="99" spans="1:12">
      <c r="A99" s="56" t="s">
        <v>584</v>
      </c>
      <c r="B99" s="48" t="s">
        <v>583</v>
      </c>
      <c r="C99" s="49">
        <v>178648.4</v>
      </c>
      <c r="D99" s="48" t="s">
        <v>52</v>
      </c>
      <c r="E99" s="48" t="s">
        <v>299</v>
      </c>
      <c r="F99" s="48" t="s">
        <v>299</v>
      </c>
      <c r="G99" s="48" t="s">
        <v>78</v>
      </c>
      <c r="H99" s="48" t="s">
        <v>88</v>
      </c>
      <c r="I99" s="48" t="s">
        <v>126</v>
      </c>
      <c r="J99" s="44" t="s">
        <v>674</v>
      </c>
      <c r="K99" s="56" t="str">
        <f>VLOOKUP(B99,'Sheet1 (2)'!$A$2:$C$103,3,FALSE)</f>
        <v>DSM2206-01</v>
      </c>
      <c r="L99" s="43" t="s">
        <v>712</v>
      </c>
    </row>
    <row r="100" spans="1:12">
      <c r="A100" s="56" t="s">
        <v>606</v>
      </c>
      <c r="B100" s="48" t="s">
        <v>605</v>
      </c>
      <c r="C100" s="48">
        <v>984.96</v>
      </c>
      <c r="D100" s="48" t="s">
        <v>52</v>
      </c>
      <c r="E100" s="48" t="s">
        <v>348</v>
      </c>
      <c r="F100" s="48" t="s">
        <v>348</v>
      </c>
      <c r="G100" s="48" t="s">
        <v>348</v>
      </c>
      <c r="H100" s="48" t="s">
        <v>88</v>
      </c>
      <c r="I100" s="48" t="s">
        <v>126</v>
      </c>
      <c r="J100" s="44" t="s">
        <v>674</v>
      </c>
      <c r="K100" s="56" t="str">
        <f>VLOOKUP(B100,'Sheet1 (2)'!$A$2:$C$103,3,FALSE)</f>
        <v>DSM2206-03</v>
      </c>
      <c r="L100" s="43" t="s">
        <v>713</v>
      </c>
    </row>
    <row r="101" spans="1:12">
      <c r="A101" s="56" t="s">
        <v>657</v>
      </c>
      <c r="B101" s="48" t="s">
        <v>656</v>
      </c>
      <c r="C101" s="49">
        <v>7462.56</v>
      </c>
      <c r="D101" s="48" t="s">
        <v>52</v>
      </c>
      <c r="E101" s="48" t="s">
        <v>302</v>
      </c>
      <c r="F101" s="48" t="s">
        <v>302</v>
      </c>
      <c r="G101" s="48" t="s">
        <v>348</v>
      </c>
      <c r="H101" s="48" t="s">
        <v>88</v>
      </c>
      <c r="I101" s="48" t="s">
        <v>126</v>
      </c>
      <c r="J101" s="44" t="s">
        <v>697</v>
      </c>
      <c r="K101" s="56" t="str">
        <f>VLOOKUP(B101,'Sheet1 (2)'!$A$2:$C$103,3,FALSE)</f>
        <v>DSM2206-AL01</v>
      </c>
      <c r="L101" s="43" t="s">
        <v>714</v>
      </c>
    </row>
    <row r="102" spans="1:12">
      <c r="A102" s="56" t="s">
        <v>659</v>
      </c>
      <c r="B102" s="48" t="s">
        <v>658</v>
      </c>
      <c r="C102" s="49">
        <v>6529.74</v>
      </c>
      <c r="D102" s="48" t="s">
        <v>52</v>
      </c>
      <c r="E102" s="48" t="s">
        <v>348</v>
      </c>
      <c r="F102" s="48" t="s">
        <v>348</v>
      </c>
      <c r="G102" s="48" t="s">
        <v>687</v>
      </c>
      <c r="H102" s="48" t="s">
        <v>88</v>
      </c>
      <c r="I102" s="48" t="s">
        <v>126</v>
      </c>
      <c r="J102" s="44" t="s">
        <v>697</v>
      </c>
      <c r="K102" s="56" t="str">
        <f>VLOOKUP(B102,'Sheet1 (2)'!$A$2:$C$103,3,FALSE)</f>
        <v>DSM2206-AL02</v>
      </c>
      <c r="L102" s="43" t="s">
        <v>714</v>
      </c>
    </row>
    <row r="103" spans="1:12">
      <c r="A103" s="56" t="s">
        <v>696</v>
      </c>
      <c r="B103" s="48" t="s">
        <v>695</v>
      </c>
      <c r="C103" s="49">
        <v>13832.64</v>
      </c>
      <c r="D103" s="48" t="s">
        <v>52</v>
      </c>
      <c r="E103" s="48" t="s">
        <v>350</v>
      </c>
      <c r="F103" s="48" t="s">
        <v>350</v>
      </c>
      <c r="G103" s="48" t="s">
        <v>78</v>
      </c>
      <c r="H103" s="48" t="s">
        <v>88</v>
      </c>
      <c r="I103" s="48" t="s">
        <v>126</v>
      </c>
      <c r="J103" s="44" t="s">
        <v>697</v>
      </c>
      <c r="K103" s="56" t="str">
        <f>VLOOKUP(B103,'Sheet1 (2)'!$A$2:$C$103,3,FALSE)</f>
        <v>DSM2206-AL03</v>
      </c>
      <c r="L103" s="43" t="s">
        <v>714</v>
      </c>
    </row>
  </sheetData>
  <autoFilter ref="A1:T1" xr:uid="{00000000-0009-0000-0000-000063000000}"/>
  <sortState ref="A2:L103">
    <sortCondition ref="A2:A103"/>
  </sortState>
  <phoneticPr fontId="2" type="noConversion"/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tabColor rgb="FFFFFF00"/>
  </sheetPr>
  <dimension ref="A1:AC103"/>
  <sheetViews>
    <sheetView topLeftCell="A10" workbookViewId="0">
      <selection activeCell="H46" sqref="H46"/>
    </sheetView>
  </sheetViews>
  <sheetFormatPr defaultRowHeight="17.399999999999999"/>
  <cols>
    <col min="1" max="1" width="16.19921875" bestFit="1" customWidth="1"/>
    <col min="3" max="3" width="16" bestFit="1" customWidth="1"/>
    <col min="4" max="5" width="11.09765625" bestFit="1" customWidth="1"/>
    <col min="7" max="7" width="13" bestFit="1" customWidth="1"/>
    <col min="9" max="9" width="13" bestFit="1" customWidth="1"/>
    <col min="10" max="11" width="9.19921875" bestFit="1" customWidth="1"/>
    <col min="14" max="14" width="11.09765625" bestFit="1" customWidth="1"/>
    <col min="16" max="16" width="8.19921875" bestFit="1" customWidth="1"/>
    <col min="17" max="18" width="14.3984375" bestFit="1" customWidth="1"/>
    <col min="19" max="19" width="20.59765625" bestFit="1" customWidth="1"/>
    <col min="20" max="20" width="29.19921875" bestFit="1" customWidth="1"/>
    <col min="21" max="21" width="12.8984375" bestFit="1" customWidth="1"/>
    <col min="23" max="23" width="18.59765625" bestFit="1" customWidth="1"/>
    <col min="24" max="24" width="57.3984375" bestFit="1" customWidth="1"/>
    <col min="25" max="25" width="17.69921875" bestFit="1" customWidth="1"/>
    <col min="26" max="26" width="7.8984375" bestFit="1" customWidth="1"/>
    <col min="27" max="27" width="7.09765625" bestFit="1" customWidth="1"/>
    <col min="28" max="28" width="11.59765625" bestFit="1" customWidth="1"/>
    <col min="29" max="29" width="7.09765625" style="19" customWidth="1"/>
  </cols>
  <sheetData>
    <row r="1" spans="1:29">
      <c r="A1" s="46" t="s">
        <v>48</v>
      </c>
      <c r="B1" s="46" t="s">
        <v>230</v>
      </c>
      <c r="C1" s="46" t="s">
        <v>55</v>
      </c>
      <c r="D1" s="46" t="s">
        <v>51</v>
      </c>
      <c r="E1" s="46" t="s">
        <v>56</v>
      </c>
      <c r="F1" s="46" t="s">
        <v>90</v>
      </c>
      <c r="G1" s="46" t="s">
        <v>91</v>
      </c>
      <c r="H1" s="46" t="s">
        <v>92</v>
      </c>
      <c r="I1" s="46" t="s">
        <v>93</v>
      </c>
      <c r="J1" s="46" t="s">
        <v>94</v>
      </c>
      <c r="K1" s="46" t="s">
        <v>95</v>
      </c>
      <c r="L1" s="46" t="s">
        <v>96</v>
      </c>
      <c r="M1" s="46" t="s">
        <v>97</v>
      </c>
      <c r="N1" s="46" t="s">
        <v>57</v>
      </c>
      <c r="O1" s="46" t="s">
        <v>58</v>
      </c>
      <c r="P1" s="46" t="s">
        <v>59</v>
      </c>
      <c r="Q1" s="46" t="s">
        <v>60</v>
      </c>
      <c r="R1" s="46" t="s">
        <v>61</v>
      </c>
      <c r="S1" s="46" t="s">
        <v>62</v>
      </c>
      <c r="T1" s="46" t="s">
        <v>63</v>
      </c>
      <c r="U1" s="46" t="s">
        <v>64</v>
      </c>
      <c r="V1" s="46" t="s">
        <v>65</v>
      </c>
      <c r="W1" s="46" t="s">
        <v>66</v>
      </c>
      <c r="X1" s="46" t="s">
        <v>67</v>
      </c>
      <c r="Y1" s="46" t="s">
        <v>68</v>
      </c>
      <c r="Z1" s="46" t="s">
        <v>69</v>
      </c>
      <c r="AA1" s="46" t="s">
        <v>70</v>
      </c>
      <c r="AB1" s="46" t="s">
        <v>71</v>
      </c>
      <c r="AC1" s="28" t="s">
        <v>232</v>
      </c>
    </row>
    <row r="2" spans="1:29">
      <c r="A2" s="27" t="s">
        <v>370</v>
      </c>
      <c r="B2" s="27" t="s">
        <v>110</v>
      </c>
      <c r="C2" s="27" t="s">
        <v>371</v>
      </c>
      <c r="D2" s="27" t="s">
        <v>279</v>
      </c>
      <c r="E2" s="27" t="s">
        <v>372</v>
      </c>
      <c r="F2" s="29">
        <v>34</v>
      </c>
      <c r="G2" s="27" t="s">
        <v>98</v>
      </c>
      <c r="H2" s="29">
        <v>34</v>
      </c>
      <c r="I2" s="27" t="s">
        <v>99</v>
      </c>
      <c r="J2" s="30">
        <v>9115.2000000000007</v>
      </c>
      <c r="K2" s="30">
        <v>9115.2000000000007</v>
      </c>
      <c r="L2" s="27" t="s">
        <v>98</v>
      </c>
      <c r="M2" s="27" t="s">
        <v>100</v>
      </c>
      <c r="N2" s="27" t="s">
        <v>373</v>
      </c>
      <c r="O2" s="27" t="s">
        <v>264</v>
      </c>
      <c r="P2" s="30">
        <v>1252.45</v>
      </c>
      <c r="Q2" s="29">
        <v>99105</v>
      </c>
      <c r="R2" s="29">
        <v>124123520</v>
      </c>
      <c r="S2" s="27" t="s">
        <v>374</v>
      </c>
      <c r="T2" s="27" t="s">
        <v>72</v>
      </c>
      <c r="U2" s="30">
        <v>12963814</v>
      </c>
      <c r="V2" s="27" t="s">
        <v>265</v>
      </c>
      <c r="W2" s="27" t="s">
        <v>74</v>
      </c>
      <c r="X2" s="27" t="s">
        <v>266</v>
      </c>
      <c r="Y2" s="27" t="s">
        <v>267</v>
      </c>
      <c r="Z2" s="29">
        <v>626225</v>
      </c>
      <c r="AA2" s="29">
        <v>14000</v>
      </c>
      <c r="AB2" s="27" t="s">
        <v>78</v>
      </c>
      <c r="AC2" s="31" t="s">
        <v>670</v>
      </c>
    </row>
    <row r="3" spans="1:29">
      <c r="A3" s="27" t="s">
        <v>376</v>
      </c>
      <c r="B3" s="27" t="s">
        <v>110</v>
      </c>
      <c r="C3" s="27" t="s">
        <v>377</v>
      </c>
      <c r="D3" s="27" t="s">
        <v>295</v>
      </c>
      <c r="E3" s="27" t="s">
        <v>378</v>
      </c>
      <c r="F3" s="29">
        <v>34</v>
      </c>
      <c r="G3" s="27" t="s">
        <v>98</v>
      </c>
      <c r="H3" s="29">
        <v>34</v>
      </c>
      <c r="I3" s="27" t="s">
        <v>99</v>
      </c>
      <c r="J3" s="30">
        <v>9115.2000000000007</v>
      </c>
      <c r="K3" s="30">
        <v>9115.2000000000007</v>
      </c>
      <c r="L3" s="27" t="s">
        <v>98</v>
      </c>
      <c r="M3" s="27" t="s">
        <v>100</v>
      </c>
      <c r="N3" s="27" t="s">
        <v>299</v>
      </c>
      <c r="O3" s="27" t="s">
        <v>264</v>
      </c>
      <c r="P3" s="30">
        <v>1265.3900000000001</v>
      </c>
      <c r="Q3" s="29">
        <v>107484</v>
      </c>
      <c r="R3" s="29">
        <v>136009399</v>
      </c>
      <c r="S3" s="27" t="s">
        <v>379</v>
      </c>
      <c r="T3" s="27" t="s">
        <v>72</v>
      </c>
      <c r="U3" s="30">
        <v>13909442</v>
      </c>
      <c r="V3" s="27" t="s">
        <v>265</v>
      </c>
      <c r="W3" s="27" t="s">
        <v>74</v>
      </c>
      <c r="X3" s="27" t="s">
        <v>266</v>
      </c>
      <c r="Y3" s="27" t="s">
        <v>267</v>
      </c>
      <c r="Z3" s="29">
        <v>632695</v>
      </c>
      <c r="AA3" s="29">
        <v>14000</v>
      </c>
      <c r="AB3" s="27" t="s">
        <v>78</v>
      </c>
      <c r="AC3" s="31" t="s">
        <v>670</v>
      </c>
    </row>
    <row r="4" spans="1:29">
      <c r="A4" s="62" t="s">
        <v>380</v>
      </c>
      <c r="B4" s="62" t="s">
        <v>110</v>
      </c>
      <c r="C4" s="62" t="s">
        <v>381</v>
      </c>
      <c r="D4" s="62" t="s">
        <v>382</v>
      </c>
      <c r="E4" s="62" t="s">
        <v>383</v>
      </c>
      <c r="F4" s="63">
        <v>1</v>
      </c>
      <c r="G4" s="62" t="s">
        <v>98</v>
      </c>
      <c r="H4" s="63">
        <v>1</v>
      </c>
      <c r="I4" s="62" t="s">
        <v>99</v>
      </c>
      <c r="J4" s="64">
        <v>200.6</v>
      </c>
      <c r="K4" s="64">
        <v>200.6</v>
      </c>
      <c r="L4" s="62" t="s">
        <v>98</v>
      </c>
      <c r="M4" s="62" t="s">
        <v>100</v>
      </c>
      <c r="N4" s="62" t="s">
        <v>302</v>
      </c>
      <c r="O4" s="62" t="s">
        <v>264</v>
      </c>
      <c r="P4" s="64">
        <v>1254.01</v>
      </c>
      <c r="Q4" s="63">
        <v>2382</v>
      </c>
      <c r="R4" s="63">
        <v>2987118</v>
      </c>
      <c r="S4" s="62" t="s">
        <v>384</v>
      </c>
      <c r="T4" s="62" t="s">
        <v>72</v>
      </c>
      <c r="U4" s="64">
        <v>317584</v>
      </c>
      <c r="V4" s="62" t="s">
        <v>265</v>
      </c>
      <c r="W4" s="62" t="s">
        <v>74</v>
      </c>
      <c r="X4" s="62" t="s">
        <v>266</v>
      </c>
      <c r="Y4" s="62" t="s">
        <v>267</v>
      </c>
      <c r="Z4" s="63">
        <v>125401</v>
      </c>
      <c r="AA4" s="63">
        <v>14000</v>
      </c>
      <c r="AB4" s="62" t="s">
        <v>78</v>
      </c>
      <c r="AC4" s="31" t="s">
        <v>670</v>
      </c>
    </row>
    <row r="5" spans="1:29">
      <c r="A5" s="62" t="s">
        <v>300</v>
      </c>
      <c r="B5" s="62" t="s">
        <v>110</v>
      </c>
      <c r="C5" s="62" t="s">
        <v>301</v>
      </c>
      <c r="D5" s="62" t="s">
        <v>269</v>
      </c>
      <c r="E5" s="62" t="s">
        <v>302</v>
      </c>
      <c r="F5" s="63">
        <v>52</v>
      </c>
      <c r="G5" s="62" t="s">
        <v>98</v>
      </c>
      <c r="H5" s="63">
        <v>52</v>
      </c>
      <c r="I5" s="62" t="s">
        <v>99</v>
      </c>
      <c r="J5" s="64">
        <v>6380</v>
      </c>
      <c r="K5" s="64">
        <v>6380</v>
      </c>
      <c r="L5" s="62" t="s">
        <v>98</v>
      </c>
      <c r="M5" s="62" t="s">
        <v>100</v>
      </c>
      <c r="N5" s="62" t="s">
        <v>273</v>
      </c>
      <c r="O5" s="62" t="s">
        <v>52</v>
      </c>
      <c r="P5" s="64">
        <v>1241.81</v>
      </c>
      <c r="Q5" s="63">
        <v>106360</v>
      </c>
      <c r="R5" s="63">
        <v>132078663</v>
      </c>
      <c r="S5" s="62" t="s">
        <v>326</v>
      </c>
      <c r="T5" s="62" t="s">
        <v>72</v>
      </c>
      <c r="U5" s="64">
        <v>106359.8</v>
      </c>
      <c r="V5" s="62" t="s">
        <v>77</v>
      </c>
      <c r="W5" s="62" t="s">
        <v>74</v>
      </c>
      <c r="X5" s="62" t="s">
        <v>150</v>
      </c>
      <c r="Y5" s="62" t="s">
        <v>151</v>
      </c>
      <c r="Z5" s="63">
        <v>0</v>
      </c>
      <c r="AA5" s="63">
        <v>0</v>
      </c>
      <c r="AB5" s="62" t="s">
        <v>78</v>
      </c>
      <c r="AC5" s="31" t="s">
        <v>674</v>
      </c>
    </row>
    <row r="6" spans="1:29">
      <c r="A6" s="62" t="s">
        <v>303</v>
      </c>
      <c r="B6" s="62" t="s">
        <v>110</v>
      </c>
      <c r="C6" s="62" t="s">
        <v>288</v>
      </c>
      <c r="D6" s="62" t="s">
        <v>304</v>
      </c>
      <c r="E6" s="62" t="s">
        <v>302</v>
      </c>
      <c r="F6" s="63">
        <v>2</v>
      </c>
      <c r="G6" s="62" t="s">
        <v>98</v>
      </c>
      <c r="H6" s="63">
        <v>2</v>
      </c>
      <c r="I6" s="62" t="s">
        <v>99</v>
      </c>
      <c r="J6" s="64">
        <v>88.35</v>
      </c>
      <c r="K6" s="64">
        <v>88.35</v>
      </c>
      <c r="L6" s="62" t="s">
        <v>98</v>
      </c>
      <c r="M6" s="62" t="s">
        <v>100</v>
      </c>
      <c r="N6" s="62" t="s">
        <v>275</v>
      </c>
      <c r="O6" s="62" t="s">
        <v>52</v>
      </c>
      <c r="P6" s="64">
        <v>1241.81</v>
      </c>
      <c r="Q6" s="63">
        <v>674</v>
      </c>
      <c r="R6" s="63">
        <v>837488</v>
      </c>
      <c r="S6" s="62" t="s">
        <v>385</v>
      </c>
      <c r="T6" s="62" t="s">
        <v>72</v>
      </c>
      <c r="U6" s="64">
        <v>674.41</v>
      </c>
      <c r="V6" s="62" t="s">
        <v>73</v>
      </c>
      <c r="W6" s="62" t="s">
        <v>74</v>
      </c>
      <c r="X6" s="62" t="s">
        <v>75</v>
      </c>
      <c r="Y6" s="62" t="s">
        <v>76</v>
      </c>
      <c r="Z6" s="63">
        <v>0</v>
      </c>
      <c r="AA6" s="63">
        <v>0</v>
      </c>
      <c r="AB6" s="62" t="s">
        <v>305</v>
      </c>
      <c r="AC6" s="31" t="s">
        <v>674</v>
      </c>
    </row>
    <row r="7" spans="1:29">
      <c r="A7" s="62" t="s">
        <v>306</v>
      </c>
      <c r="B7" s="62" t="s">
        <v>110</v>
      </c>
      <c r="C7" s="62" t="s">
        <v>289</v>
      </c>
      <c r="D7" s="62" t="s">
        <v>304</v>
      </c>
      <c r="E7" s="62" t="s">
        <v>302</v>
      </c>
      <c r="F7" s="63">
        <v>10</v>
      </c>
      <c r="G7" s="62" t="s">
        <v>98</v>
      </c>
      <c r="H7" s="63">
        <v>10</v>
      </c>
      <c r="I7" s="62" t="s">
        <v>99</v>
      </c>
      <c r="J7" s="64">
        <v>382.87</v>
      </c>
      <c r="K7" s="64">
        <v>382.87</v>
      </c>
      <c r="L7" s="62" t="s">
        <v>98</v>
      </c>
      <c r="M7" s="62" t="s">
        <v>100</v>
      </c>
      <c r="N7" s="62" t="s">
        <v>275</v>
      </c>
      <c r="O7" s="62" t="s">
        <v>52</v>
      </c>
      <c r="P7" s="64">
        <v>1241.81</v>
      </c>
      <c r="Q7" s="63">
        <v>3379</v>
      </c>
      <c r="R7" s="63">
        <v>4196075</v>
      </c>
      <c r="S7" s="62" t="s">
        <v>385</v>
      </c>
      <c r="T7" s="62" t="s">
        <v>72</v>
      </c>
      <c r="U7" s="64">
        <v>3379</v>
      </c>
      <c r="V7" s="62" t="s">
        <v>73</v>
      </c>
      <c r="W7" s="62" t="s">
        <v>74</v>
      </c>
      <c r="X7" s="62" t="s">
        <v>75</v>
      </c>
      <c r="Y7" s="62" t="s">
        <v>76</v>
      </c>
      <c r="Z7" s="63">
        <v>0</v>
      </c>
      <c r="AA7" s="63">
        <v>0</v>
      </c>
      <c r="AB7" s="62" t="s">
        <v>307</v>
      </c>
      <c r="AC7" s="31" t="s">
        <v>674</v>
      </c>
    </row>
    <row r="8" spans="1:29">
      <c r="A8" s="62" t="s">
        <v>308</v>
      </c>
      <c r="B8" s="62" t="s">
        <v>110</v>
      </c>
      <c r="C8" s="62" t="s">
        <v>290</v>
      </c>
      <c r="D8" s="62" t="s">
        <v>304</v>
      </c>
      <c r="E8" s="62" t="s">
        <v>302</v>
      </c>
      <c r="F8" s="63">
        <v>4</v>
      </c>
      <c r="G8" s="62" t="s">
        <v>98</v>
      </c>
      <c r="H8" s="63">
        <v>4</v>
      </c>
      <c r="I8" s="62" t="s">
        <v>99</v>
      </c>
      <c r="J8" s="64">
        <v>275.56</v>
      </c>
      <c r="K8" s="64">
        <v>275.56</v>
      </c>
      <c r="L8" s="62" t="s">
        <v>98</v>
      </c>
      <c r="M8" s="62" t="s">
        <v>100</v>
      </c>
      <c r="N8" s="62" t="s">
        <v>275</v>
      </c>
      <c r="O8" s="62" t="s">
        <v>52</v>
      </c>
      <c r="P8" s="64">
        <v>1241.81</v>
      </c>
      <c r="Q8" s="63">
        <v>1586</v>
      </c>
      <c r="R8" s="63">
        <v>1969659</v>
      </c>
      <c r="S8" s="62" t="s">
        <v>386</v>
      </c>
      <c r="T8" s="62" t="s">
        <v>72</v>
      </c>
      <c r="U8" s="64">
        <v>1586.12</v>
      </c>
      <c r="V8" s="62" t="s">
        <v>73</v>
      </c>
      <c r="W8" s="62" t="s">
        <v>74</v>
      </c>
      <c r="X8" s="62" t="s">
        <v>75</v>
      </c>
      <c r="Y8" s="62" t="s">
        <v>76</v>
      </c>
      <c r="Z8" s="63">
        <v>0</v>
      </c>
      <c r="AA8" s="63">
        <v>0</v>
      </c>
      <c r="AB8" s="62" t="s">
        <v>309</v>
      </c>
      <c r="AC8" s="31" t="s">
        <v>674</v>
      </c>
    </row>
    <row r="9" spans="1:29">
      <c r="A9" s="62" t="s">
        <v>310</v>
      </c>
      <c r="B9" s="62" t="s">
        <v>110</v>
      </c>
      <c r="C9" s="62" t="s">
        <v>291</v>
      </c>
      <c r="D9" s="62" t="s">
        <v>304</v>
      </c>
      <c r="E9" s="62" t="s">
        <v>302</v>
      </c>
      <c r="F9" s="63">
        <v>15</v>
      </c>
      <c r="G9" s="62" t="s">
        <v>98</v>
      </c>
      <c r="H9" s="63">
        <v>15</v>
      </c>
      <c r="I9" s="62" t="s">
        <v>99</v>
      </c>
      <c r="J9" s="64">
        <v>3983</v>
      </c>
      <c r="K9" s="64">
        <v>3983</v>
      </c>
      <c r="L9" s="62" t="s">
        <v>98</v>
      </c>
      <c r="M9" s="62" t="s">
        <v>100</v>
      </c>
      <c r="N9" s="62" t="s">
        <v>275</v>
      </c>
      <c r="O9" s="62" t="s">
        <v>52</v>
      </c>
      <c r="P9" s="64">
        <v>1241.81</v>
      </c>
      <c r="Q9" s="63">
        <v>33253</v>
      </c>
      <c r="R9" s="63">
        <v>41293783</v>
      </c>
      <c r="S9" s="62" t="s">
        <v>385</v>
      </c>
      <c r="T9" s="62" t="s">
        <v>72</v>
      </c>
      <c r="U9" s="64">
        <v>33252.9</v>
      </c>
      <c r="V9" s="62" t="s">
        <v>73</v>
      </c>
      <c r="W9" s="62" t="s">
        <v>74</v>
      </c>
      <c r="X9" s="62" t="s">
        <v>75</v>
      </c>
      <c r="Y9" s="62" t="s">
        <v>76</v>
      </c>
      <c r="Z9" s="63">
        <v>0</v>
      </c>
      <c r="AA9" s="63">
        <v>0</v>
      </c>
      <c r="AB9" s="62" t="s">
        <v>311</v>
      </c>
      <c r="AC9" s="31" t="s">
        <v>674</v>
      </c>
    </row>
    <row r="10" spans="1:29">
      <c r="A10" s="62" t="s">
        <v>312</v>
      </c>
      <c r="B10" s="62" t="s">
        <v>110</v>
      </c>
      <c r="C10" s="62" t="s">
        <v>292</v>
      </c>
      <c r="D10" s="62" t="s">
        <v>304</v>
      </c>
      <c r="E10" s="62" t="s">
        <v>302</v>
      </c>
      <c r="F10" s="63">
        <v>9</v>
      </c>
      <c r="G10" s="62" t="s">
        <v>98</v>
      </c>
      <c r="H10" s="63">
        <v>9</v>
      </c>
      <c r="I10" s="62" t="s">
        <v>99</v>
      </c>
      <c r="J10" s="64">
        <v>2221.16</v>
      </c>
      <c r="K10" s="64">
        <v>2221.16</v>
      </c>
      <c r="L10" s="62" t="s">
        <v>98</v>
      </c>
      <c r="M10" s="62" t="s">
        <v>100</v>
      </c>
      <c r="N10" s="62" t="s">
        <v>275</v>
      </c>
      <c r="O10" s="62" t="s">
        <v>52</v>
      </c>
      <c r="P10" s="64">
        <v>1241.81</v>
      </c>
      <c r="Q10" s="63">
        <v>18439</v>
      </c>
      <c r="R10" s="63">
        <v>22897386</v>
      </c>
      <c r="S10" s="62" t="s">
        <v>387</v>
      </c>
      <c r="T10" s="62" t="s">
        <v>72</v>
      </c>
      <c r="U10" s="64">
        <v>18438.72</v>
      </c>
      <c r="V10" s="62" t="s">
        <v>73</v>
      </c>
      <c r="W10" s="62" t="s">
        <v>74</v>
      </c>
      <c r="X10" s="62" t="s">
        <v>75</v>
      </c>
      <c r="Y10" s="62" t="s">
        <v>76</v>
      </c>
      <c r="Z10" s="63">
        <v>0</v>
      </c>
      <c r="AA10" s="63">
        <v>0</v>
      </c>
      <c r="AB10" s="62" t="s">
        <v>278</v>
      </c>
      <c r="AC10" s="31" t="s">
        <v>674</v>
      </c>
    </row>
    <row r="11" spans="1:29">
      <c r="A11" s="62" t="s">
        <v>313</v>
      </c>
      <c r="B11" s="62" t="s">
        <v>110</v>
      </c>
      <c r="C11" s="62" t="s">
        <v>314</v>
      </c>
      <c r="D11" s="62" t="s">
        <v>304</v>
      </c>
      <c r="E11" s="62" t="s">
        <v>302</v>
      </c>
      <c r="F11" s="63">
        <v>1</v>
      </c>
      <c r="G11" s="62" t="s">
        <v>98</v>
      </c>
      <c r="H11" s="63">
        <v>1</v>
      </c>
      <c r="I11" s="62" t="s">
        <v>98</v>
      </c>
      <c r="J11" s="64">
        <v>241</v>
      </c>
      <c r="K11" s="64">
        <v>264</v>
      </c>
      <c r="L11" s="62" t="s">
        <v>98</v>
      </c>
      <c r="M11" s="62" t="s">
        <v>100</v>
      </c>
      <c r="N11" s="62" t="s">
        <v>272</v>
      </c>
      <c r="O11" s="62" t="s">
        <v>52</v>
      </c>
      <c r="P11" s="64">
        <v>1241.81</v>
      </c>
      <c r="Q11" s="63">
        <v>2057</v>
      </c>
      <c r="R11" s="63">
        <v>2554949</v>
      </c>
      <c r="S11" s="62" t="s">
        <v>388</v>
      </c>
      <c r="T11" s="62" t="s">
        <v>72</v>
      </c>
      <c r="U11" s="64">
        <v>2057.44</v>
      </c>
      <c r="V11" s="62" t="s">
        <v>79</v>
      </c>
      <c r="W11" s="62" t="s">
        <v>74</v>
      </c>
      <c r="X11" s="62" t="s">
        <v>261</v>
      </c>
      <c r="Y11" s="62" t="s">
        <v>262</v>
      </c>
      <c r="Z11" s="63">
        <v>0</v>
      </c>
      <c r="AA11" s="63">
        <v>0</v>
      </c>
      <c r="AB11" s="62" t="s">
        <v>315</v>
      </c>
      <c r="AC11" s="31" t="s">
        <v>674</v>
      </c>
    </row>
    <row r="12" spans="1:29">
      <c r="A12" s="62" t="s">
        <v>316</v>
      </c>
      <c r="B12" s="62" t="s">
        <v>110</v>
      </c>
      <c r="C12" s="62" t="s">
        <v>317</v>
      </c>
      <c r="D12" s="62" t="s">
        <v>304</v>
      </c>
      <c r="E12" s="62" t="s">
        <v>389</v>
      </c>
      <c r="F12" s="63">
        <v>28</v>
      </c>
      <c r="G12" s="62" t="s">
        <v>98</v>
      </c>
      <c r="H12" s="63">
        <v>28</v>
      </c>
      <c r="I12" s="62" t="s">
        <v>99</v>
      </c>
      <c r="J12" s="64">
        <v>4614.42</v>
      </c>
      <c r="K12" s="64">
        <v>4614.42</v>
      </c>
      <c r="L12" s="62" t="s">
        <v>98</v>
      </c>
      <c r="M12" s="62" t="s">
        <v>100</v>
      </c>
      <c r="N12" s="62" t="s">
        <v>671</v>
      </c>
      <c r="O12" s="62" t="s">
        <v>256</v>
      </c>
      <c r="P12" s="64">
        <v>1241.81</v>
      </c>
      <c r="Q12" s="63">
        <v>71258</v>
      </c>
      <c r="R12" s="63">
        <v>88488766</v>
      </c>
      <c r="S12" s="62" t="s">
        <v>672</v>
      </c>
      <c r="T12" s="62" t="s">
        <v>72</v>
      </c>
      <c r="U12" s="64">
        <v>88488766</v>
      </c>
      <c r="V12" s="62" t="s">
        <v>79</v>
      </c>
      <c r="W12" s="62" t="s">
        <v>81</v>
      </c>
      <c r="X12" s="62" t="s">
        <v>257</v>
      </c>
      <c r="Y12" s="62" t="s">
        <v>258</v>
      </c>
      <c r="Z12" s="63">
        <v>0</v>
      </c>
      <c r="AA12" s="63">
        <v>0</v>
      </c>
      <c r="AB12" s="62" t="s">
        <v>318</v>
      </c>
      <c r="AC12" s="31" t="s">
        <v>674</v>
      </c>
    </row>
    <row r="13" spans="1:29">
      <c r="A13" s="62" t="s">
        <v>319</v>
      </c>
      <c r="B13" s="62" t="s">
        <v>110</v>
      </c>
      <c r="C13" s="62" t="s">
        <v>320</v>
      </c>
      <c r="D13" s="62" t="s">
        <v>304</v>
      </c>
      <c r="E13" s="62" t="s">
        <v>302</v>
      </c>
      <c r="F13" s="63">
        <v>8</v>
      </c>
      <c r="G13" s="62" t="s">
        <v>98</v>
      </c>
      <c r="H13" s="63">
        <v>8</v>
      </c>
      <c r="I13" s="62" t="s">
        <v>98</v>
      </c>
      <c r="J13" s="64">
        <v>1669.33</v>
      </c>
      <c r="K13" s="64">
        <v>1610</v>
      </c>
      <c r="L13" s="62" t="s">
        <v>98</v>
      </c>
      <c r="M13" s="62" t="s">
        <v>100</v>
      </c>
      <c r="N13" s="62" t="s">
        <v>272</v>
      </c>
      <c r="O13" s="62" t="s">
        <v>256</v>
      </c>
      <c r="P13" s="64">
        <v>1241.81</v>
      </c>
      <c r="Q13" s="63">
        <v>20980</v>
      </c>
      <c r="R13" s="63">
        <v>26052784</v>
      </c>
      <c r="S13" s="62" t="s">
        <v>327</v>
      </c>
      <c r="T13" s="62" t="s">
        <v>72</v>
      </c>
      <c r="U13" s="64">
        <v>26052784</v>
      </c>
      <c r="V13" s="62" t="s">
        <v>79</v>
      </c>
      <c r="W13" s="62" t="s">
        <v>81</v>
      </c>
      <c r="X13" s="62" t="s">
        <v>257</v>
      </c>
      <c r="Y13" s="62" t="s">
        <v>258</v>
      </c>
      <c r="Z13" s="63">
        <v>0</v>
      </c>
      <c r="AA13" s="63">
        <v>0</v>
      </c>
      <c r="AB13" s="62" t="s">
        <v>321</v>
      </c>
      <c r="AC13" s="31" t="s">
        <v>674</v>
      </c>
    </row>
    <row r="14" spans="1:29">
      <c r="A14" s="62" t="s">
        <v>325</v>
      </c>
      <c r="B14" s="62" t="s">
        <v>110</v>
      </c>
      <c r="C14" s="62" t="s">
        <v>293</v>
      </c>
      <c r="D14" s="62" t="s">
        <v>273</v>
      </c>
      <c r="E14" s="62" t="s">
        <v>348</v>
      </c>
      <c r="F14" s="63">
        <v>11</v>
      </c>
      <c r="G14" s="62" t="s">
        <v>255</v>
      </c>
      <c r="H14" s="63">
        <v>11</v>
      </c>
      <c r="I14" s="62" t="s">
        <v>98</v>
      </c>
      <c r="J14" s="64">
        <v>3185.6</v>
      </c>
      <c r="K14" s="64">
        <v>3038</v>
      </c>
      <c r="L14" s="62" t="s">
        <v>255</v>
      </c>
      <c r="M14" s="62" t="s">
        <v>100</v>
      </c>
      <c r="N14" s="62" t="s">
        <v>349</v>
      </c>
      <c r="O14" s="62" t="s">
        <v>52</v>
      </c>
      <c r="P14" s="64">
        <v>1241.81</v>
      </c>
      <c r="Q14" s="63">
        <v>23184</v>
      </c>
      <c r="R14" s="63">
        <v>28790123</v>
      </c>
      <c r="S14" s="62" t="s">
        <v>328</v>
      </c>
      <c r="T14" s="62" t="s">
        <v>72</v>
      </c>
      <c r="U14" s="64">
        <v>23184</v>
      </c>
      <c r="V14" s="62" t="s">
        <v>77</v>
      </c>
      <c r="W14" s="62" t="s">
        <v>81</v>
      </c>
      <c r="X14" s="62" t="s">
        <v>75</v>
      </c>
      <c r="Y14" s="62" t="s">
        <v>76</v>
      </c>
      <c r="Z14" s="63">
        <v>0</v>
      </c>
      <c r="AA14" s="63">
        <v>0</v>
      </c>
      <c r="AB14" s="62" t="s">
        <v>78</v>
      </c>
      <c r="AC14" s="31" t="s">
        <v>674</v>
      </c>
    </row>
    <row r="15" spans="1:29">
      <c r="A15" s="62" t="s">
        <v>329</v>
      </c>
      <c r="B15" s="62" t="s">
        <v>110</v>
      </c>
      <c r="C15" s="62" t="s">
        <v>330</v>
      </c>
      <c r="D15" s="62" t="s">
        <v>272</v>
      </c>
      <c r="E15" s="62" t="s">
        <v>350</v>
      </c>
      <c r="F15" s="63">
        <v>68</v>
      </c>
      <c r="G15" s="62" t="s">
        <v>98</v>
      </c>
      <c r="H15" s="63">
        <v>68</v>
      </c>
      <c r="I15" s="62" t="s">
        <v>99</v>
      </c>
      <c r="J15" s="64">
        <v>11588.32</v>
      </c>
      <c r="K15" s="64">
        <v>11588.32</v>
      </c>
      <c r="L15" s="62" t="s">
        <v>98</v>
      </c>
      <c r="M15" s="62" t="s">
        <v>100</v>
      </c>
      <c r="N15" s="62" t="s">
        <v>283</v>
      </c>
      <c r="O15" s="62" t="s">
        <v>52</v>
      </c>
      <c r="P15" s="64">
        <v>1241.81</v>
      </c>
      <c r="Q15" s="63">
        <v>95595</v>
      </c>
      <c r="R15" s="63">
        <v>118710280</v>
      </c>
      <c r="S15" s="62" t="s">
        <v>390</v>
      </c>
      <c r="T15" s="62" t="s">
        <v>72</v>
      </c>
      <c r="U15" s="64">
        <v>95594.559999999998</v>
      </c>
      <c r="V15" s="62" t="s">
        <v>79</v>
      </c>
      <c r="W15" s="62" t="s">
        <v>74</v>
      </c>
      <c r="X15" s="62" t="s">
        <v>80</v>
      </c>
      <c r="Y15" s="62" t="s">
        <v>158</v>
      </c>
      <c r="Z15" s="63">
        <v>0</v>
      </c>
      <c r="AA15" s="63">
        <v>0</v>
      </c>
      <c r="AB15" s="62" t="s">
        <v>159</v>
      </c>
      <c r="AC15" s="31" t="s">
        <v>674</v>
      </c>
    </row>
    <row r="16" spans="1:29">
      <c r="A16" s="62" t="s">
        <v>331</v>
      </c>
      <c r="B16" s="62" t="s">
        <v>110</v>
      </c>
      <c r="C16" s="62" t="s">
        <v>332</v>
      </c>
      <c r="D16" s="62" t="s">
        <v>272</v>
      </c>
      <c r="E16" s="62" t="s">
        <v>350</v>
      </c>
      <c r="F16" s="63">
        <v>42</v>
      </c>
      <c r="G16" s="62" t="s">
        <v>98</v>
      </c>
      <c r="H16" s="63">
        <v>42</v>
      </c>
      <c r="I16" s="62" t="s">
        <v>99</v>
      </c>
      <c r="J16" s="64">
        <v>9055.2800000000007</v>
      </c>
      <c r="K16" s="64">
        <v>9055.2800000000007</v>
      </c>
      <c r="L16" s="62" t="s">
        <v>98</v>
      </c>
      <c r="M16" s="62" t="s">
        <v>100</v>
      </c>
      <c r="N16" s="62" t="s">
        <v>373</v>
      </c>
      <c r="O16" s="62" t="s">
        <v>52</v>
      </c>
      <c r="P16" s="64">
        <v>1241.81</v>
      </c>
      <c r="Q16" s="63">
        <v>68441</v>
      </c>
      <c r="R16" s="63">
        <v>84990221</v>
      </c>
      <c r="S16" s="62" t="s">
        <v>391</v>
      </c>
      <c r="T16" s="62" t="s">
        <v>72</v>
      </c>
      <c r="U16" s="64">
        <v>68440.600000000006</v>
      </c>
      <c r="V16" s="62" t="s">
        <v>79</v>
      </c>
      <c r="W16" s="62" t="s">
        <v>74</v>
      </c>
      <c r="X16" s="62" t="s">
        <v>80</v>
      </c>
      <c r="Y16" s="62" t="s">
        <v>158</v>
      </c>
      <c r="Z16" s="63">
        <v>0</v>
      </c>
      <c r="AA16" s="63">
        <v>0</v>
      </c>
      <c r="AB16" s="62" t="s">
        <v>333</v>
      </c>
      <c r="AC16" s="31" t="s">
        <v>674</v>
      </c>
    </row>
    <row r="17" spans="1:29">
      <c r="A17" s="62" t="s">
        <v>334</v>
      </c>
      <c r="B17" s="62" t="s">
        <v>110</v>
      </c>
      <c r="C17" s="62" t="s">
        <v>335</v>
      </c>
      <c r="D17" s="62" t="s">
        <v>272</v>
      </c>
      <c r="E17" s="62" t="s">
        <v>350</v>
      </c>
      <c r="F17" s="63">
        <v>2</v>
      </c>
      <c r="G17" s="62" t="s">
        <v>98</v>
      </c>
      <c r="H17" s="63">
        <v>2</v>
      </c>
      <c r="I17" s="62" t="s">
        <v>98</v>
      </c>
      <c r="J17" s="64">
        <v>303.64999999999998</v>
      </c>
      <c r="K17" s="64">
        <v>328</v>
      </c>
      <c r="L17" s="62" t="s">
        <v>98</v>
      </c>
      <c r="M17" s="62" t="s">
        <v>100</v>
      </c>
      <c r="N17" s="62" t="s">
        <v>277</v>
      </c>
      <c r="O17" s="62" t="s">
        <v>52</v>
      </c>
      <c r="P17" s="64">
        <v>1241.81</v>
      </c>
      <c r="Q17" s="63">
        <v>4823</v>
      </c>
      <c r="R17" s="63">
        <v>5989336</v>
      </c>
      <c r="S17" s="62" t="s">
        <v>392</v>
      </c>
      <c r="T17" s="62" t="s">
        <v>72</v>
      </c>
      <c r="U17" s="64">
        <v>4823.07</v>
      </c>
      <c r="V17" s="62" t="s">
        <v>77</v>
      </c>
      <c r="W17" s="62" t="s">
        <v>81</v>
      </c>
      <c r="X17" s="62" t="s">
        <v>84</v>
      </c>
      <c r="Y17" s="62" t="s">
        <v>85</v>
      </c>
      <c r="Z17" s="63">
        <v>0</v>
      </c>
      <c r="AA17" s="63">
        <v>0</v>
      </c>
      <c r="AB17" s="62" t="s">
        <v>351</v>
      </c>
      <c r="AC17" s="31" t="s">
        <v>674</v>
      </c>
    </row>
    <row r="18" spans="1:29">
      <c r="A18" s="62" t="s">
        <v>336</v>
      </c>
      <c r="B18" s="62" t="s">
        <v>110</v>
      </c>
      <c r="C18" s="62" t="s">
        <v>337</v>
      </c>
      <c r="D18" s="62" t="s">
        <v>272</v>
      </c>
      <c r="E18" s="62" t="s">
        <v>350</v>
      </c>
      <c r="F18" s="63">
        <v>15</v>
      </c>
      <c r="G18" s="62" t="s">
        <v>98</v>
      </c>
      <c r="H18" s="63">
        <v>15</v>
      </c>
      <c r="I18" s="62" t="s">
        <v>98</v>
      </c>
      <c r="J18" s="64">
        <v>1590</v>
      </c>
      <c r="K18" s="64">
        <v>1846</v>
      </c>
      <c r="L18" s="62" t="s">
        <v>98</v>
      </c>
      <c r="M18" s="62" t="s">
        <v>100</v>
      </c>
      <c r="N18" s="62" t="s">
        <v>275</v>
      </c>
      <c r="O18" s="62" t="s">
        <v>52</v>
      </c>
      <c r="P18" s="64">
        <v>1241.81</v>
      </c>
      <c r="Q18" s="63">
        <v>15012</v>
      </c>
      <c r="R18" s="63">
        <v>18642051</v>
      </c>
      <c r="S18" s="62" t="s">
        <v>393</v>
      </c>
      <c r="T18" s="62" t="s">
        <v>72</v>
      </c>
      <c r="U18" s="64">
        <v>15012</v>
      </c>
      <c r="V18" s="62" t="s">
        <v>79</v>
      </c>
      <c r="W18" s="62" t="s">
        <v>74</v>
      </c>
      <c r="X18" s="62" t="s">
        <v>80</v>
      </c>
      <c r="Y18" s="62" t="s">
        <v>158</v>
      </c>
      <c r="Z18" s="63">
        <v>0</v>
      </c>
      <c r="AA18" s="63">
        <v>0</v>
      </c>
      <c r="AB18" s="62" t="s">
        <v>238</v>
      </c>
      <c r="AC18" s="31" t="s">
        <v>674</v>
      </c>
    </row>
    <row r="19" spans="1:29">
      <c r="A19" s="62" t="s">
        <v>338</v>
      </c>
      <c r="B19" s="62" t="s">
        <v>110</v>
      </c>
      <c r="C19" s="62" t="s">
        <v>339</v>
      </c>
      <c r="D19" s="62" t="s">
        <v>272</v>
      </c>
      <c r="E19" s="62" t="s">
        <v>350</v>
      </c>
      <c r="F19" s="63">
        <v>3</v>
      </c>
      <c r="G19" s="62" t="s">
        <v>98</v>
      </c>
      <c r="H19" s="63">
        <v>3</v>
      </c>
      <c r="I19" s="62" t="s">
        <v>99</v>
      </c>
      <c r="J19" s="64">
        <v>457.2</v>
      </c>
      <c r="K19" s="64">
        <v>457.2</v>
      </c>
      <c r="L19" s="62" t="s">
        <v>98</v>
      </c>
      <c r="M19" s="62" t="s">
        <v>100</v>
      </c>
      <c r="N19" s="62" t="s">
        <v>394</v>
      </c>
      <c r="O19" s="62" t="s">
        <v>52</v>
      </c>
      <c r="P19" s="64">
        <v>1241.81</v>
      </c>
      <c r="Q19" s="63">
        <v>5541</v>
      </c>
      <c r="R19" s="63">
        <v>6880670</v>
      </c>
      <c r="S19" s="62" t="s">
        <v>395</v>
      </c>
      <c r="T19" s="62" t="s">
        <v>72</v>
      </c>
      <c r="U19" s="64">
        <v>5540.84</v>
      </c>
      <c r="V19" s="62" t="s">
        <v>77</v>
      </c>
      <c r="W19" s="62" t="s">
        <v>74</v>
      </c>
      <c r="X19" s="62" t="s">
        <v>82</v>
      </c>
      <c r="Y19" s="62" t="s">
        <v>83</v>
      </c>
      <c r="Z19" s="63">
        <v>0</v>
      </c>
      <c r="AA19" s="63">
        <v>0</v>
      </c>
      <c r="AB19" s="62" t="s">
        <v>352</v>
      </c>
      <c r="AC19" s="31" t="s">
        <v>674</v>
      </c>
    </row>
    <row r="20" spans="1:29">
      <c r="A20" s="62" t="s">
        <v>340</v>
      </c>
      <c r="B20" s="62" t="s">
        <v>110</v>
      </c>
      <c r="C20" s="62" t="s">
        <v>341</v>
      </c>
      <c r="D20" s="62" t="s">
        <v>272</v>
      </c>
      <c r="E20" s="62" t="s">
        <v>396</v>
      </c>
      <c r="F20" s="63">
        <v>2</v>
      </c>
      <c r="G20" s="62" t="s">
        <v>98</v>
      </c>
      <c r="H20" s="63" t="s">
        <v>78</v>
      </c>
      <c r="I20" s="62" t="s">
        <v>78</v>
      </c>
      <c r="J20" s="64">
        <v>271.7</v>
      </c>
      <c r="K20" s="64" t="s">
        <v>78</v>
      </c>
      <c r="L20" s="62" t="s">
        <v>98</v>
      </c>
      <c r="M20" s="62" t="s">
        <v>102</v>
      </c>
      <c r="N20" s="62" t="s">
        <v>78</v>
      </c>
      <c r="O20" s="62" t="s">
        <v>52</v>
      </c>
      <c r="P20" s="64">
        <v>1241.81</v>
      </c>
      <c r="Q20" s="63">
        <v>3116</v>
      </c>
      <c r="R20" s="63">
        <v>3869393</v>
      </c>
      <c r="S20" s="62" t="s">
        <v>78</v>
      </c>
      <c r="T20" s="62" t="s">
        <v>72</v>
      </c>
      <c r="U20" s="64">
        <v>3115.93</v>
      </c>
      <c r="V20" s="62" t="s">
        <v>77</v>
      </c>
      <c r="W20" s="62" t="s">
        <v>81</v>
      </c>
      <c r="X20" s="62" t="s">
        <v>106</v>
      </c>
      <c r="Y20" s="62" t="s">
        <v>107</v>
      </c>
      <c r="Z20" s="63">
        <v>0</v>
      </c>
      <c r="AA20" s="63">
        <v>0</v>
      </c>
      <c r="AB20" s="62" t="s">
        <v>353</v>
      </c>
      <c r="AC20" s="31" t="s">
        <v>674</v>
      </c>
    </row>
    <row r="21" spans="1:29">
      <c r="A21" s="62" t="s">
        <v>342</v>
      </c>
      <c r="B21" s="62" t="s">
        <v>110</v>
      </c>
      <c r="C21" s="62" t="s">
        <v>343</v>
      </c>
      <c r="D21" s="62" t="s">
        <v>272</v>
      </c>
      <c r="E21" s="62" t="s">
        <v>350</v>
      </c>
      <c r="F21" s="63">
        <v>1</v>
      </c>
      <c r="G21" s="62" t="s">
        <v>98</v>
      </c>
      <c r="H21" s="63">
        <v>1</v>
      </c>
      <c r="I21" s="62" t="s">
        <v>98</v>
      </c>
      <c r="J21" s="64">
        <v>212</v>
      </c>
      <c r="K21" s="64">
        <v>215</v>
      </c>
      <c r="L21" s="62" t="s">
        <v>98</v>
      </c>
      <c r="M21" s="62" t="s">
        <v>100</v>
      </c>
      <c r="N21" s="62" t="s">
        <v>275</v>
      </c>
      <c r="O21" s="62" t="s">
        <v>52</v>
      </c>
      <c r="P21" s="64">
        <v>1241.81</v>
      </c>
      <c r="Q21" s="63">
        <v>2785</v>
      </c>
      <c r="R21" s="63">
        <v>3457857</v>
      </c>
      <c r="S21" s="62" t="s">
        <v>397</v>
      </c>
      <c r="T21" s="62" t="s">
        <v>72</v>
      </c>
      <c r="U21" s="64">
        <v>2784.53</v>
      </c>
      <c r="V21" s="62" t="s">
        <v>77</v>
      </c>
      <c r="W21" s="62" t="s">
        <v>81</v>
      </c>
      <c r="X21" s="62" t="s">
        <v>119</v>
      </c>
      <c r="Y21" s="62" t="s">
        <v>120</v>
      </c>
      <c r="Z21" s="63">
        <v>0</v>
      </c>
      <c r="AA21" s="63">
        <v>0</v>
      </c>
      <c r="AB21" s="62" t="s">
        <v>354</v>
      </c>
      <c r="AC21" s="31" t="s">
        <v>674</v>
      </c>
    </row>
    <row r="22" spans="1:29">
      <c r="A22" s="62" t="s">
        <v>344</v>
      </c>
      <c r="B22" s="62" t="s">
        <v>110</v>
      </c>
      <c r="C22" s="62" t="s">
        <v>345</v>
      </c>
      <c r="D22" s="62" t="s">
        <v>272</v>
      </c>
      <c r="E22" s="62" t="s">
        <v>350</v>
      </c>
      <c r="F22" s="63">
        <v>3</v>
      </c>
      <c r="G22" s="62" t="s">
        <v>98</v>
      </c>
      <c r="H22" s="63">
        <v>3</v>
      </c>
      <c r="I22" s="62" t="s">
        <v>98</v>
      </c>
      <c r="J22" s="64">
        <v>561</v>
      </c>
      <c r="K22" s="64">
        <v>551</v>
      </c>
      <c r="L22" s="62" t="s">
        <v>98</v>
      </c>
      <c r="M22" s="62" t="s">
        <v>100</v>
      </c>
      <c r="N22" s="62" t="s">
        <v>275</v>
      </c>
      <c r="O22" s="62" t="s">
        <v>52</v>
      </c>
      <c r="P22" s="64">
        <v>1241.81</v>
      </c>
      <c r="Q22" s="63">
        <v>7931</v>
      </c>
      <c r="R22" s="63">
        <v>9848795</v>
      </c>
      <c r="S22" s="62" t="s">
        <v>398</v>
      </c>
      <c r="T22" s="62" t="s">
        <v>72</v>
      </c>
      <c r="U22" s="64">
        <v>7931</v>
      </c>
      <c r="V22" s="62" t="s">
        <v>77</v>
      </c>
      <c r="W22" s="62" t="s">
        <v>81</v>
      </c>
      <c r="X22" s="62" t="s">
        <v>119</v>
      </c>
      <c r="Y22" s="62" t="s">
        <v>120</v>
      </c>
      <c r="Z22" s="63">
        <v>0</v>
      </c>
      <c r="AA22" s="63">
        <v>0</v>
      </c>
      <c r="AB22" s="62" t="s">
        <v>355</v>
      </c>
      <c r="AC22" s="31" t="s">
        <v>674</v>
      </c>
    </row>
    <row r="23" spans="1:29">
      <c r="A23" s="62" t="s">
        <v>346</v>
      </c>
      <c r="B23" s="62" t="s">
        <v>110</v>
      </c>
      <c r="C23" s="62" t="s">
        <v>347</v>
      </c>
      <c r="D23" s="62" t="s">
        <v>272</v>
      </c>
      <c r="E23" s="62" t="s">
        <v>350</v>
      </c>
      <c r="F23" s="63">
        <v>1</v>
      </c>
      <c r="G23" s="62" t="s">
        <v>98</v>
      </c>
      <c r="H23" s="63">
        <v>1</v>
      </c>
      <c r="I23" s="62" t="s">
        <v>98</v>
      </c>
      <c r="J23" s="64">
        <v>96.7</v>
      </c>
      <c r="K23" s="64">
        <v>103</v>
      </c>
      <c r="L23" s="62" t="s">
        <v>98</v>
      </c>
      <c r="M23" s="62" t="s">
        <v>100</v>
      </c>
      <c r="N23" s="62" t="s">
        <v>399</v>
      </c>
      <c r="O23" s="62" t="s">
        <v>52</v>
      </c>
      <c r="P23" s="64">
        <v>1241.81</v>
      </c>
      <c r="Q23" s="63">
        <v>1486</v>
      </c>
      <c r="R23" s="63">
        <v>1845702</v>
      </c>
      <c r="S23" s="62" t="s">
        <v>400</v>
      </c>
      <c r="T23" s="62" t="s">
        <v>72</v>
      </c>
      <c r="U23" s="64">
        <v>1486.3</v>
      </c>
      <c r="V23" s="62" t="s">
        <v>77</v>
      </c>
      <c r="W23" s="62" t="s">
        <v>81</v>
      </c>
      <c r="X23" s="62" t="s">
        <v>281</v>
      </c>
      <c r="Y23" s="62" t="s">
        <v>282</v>
      </c>
      <c r="Z23" s="63">
        <v>0</v>
      </c>
      <c r="AA23" s="63">
        <v>0</v>
      </c>
      <c r="AB23" s="62" t="s">
        <v>356</v>
      </c>
      <c r="AC23" s="31" t="s">
        <v>674</v>
      </c>
    </row>
    <row r="24" spans="1:29">
      <c r="A24" s="62" t="s">
        <v>401</v>
      </c>
      <c r="B24" s="62" t="s">
        <v>110</v>
      </c>
      <c r="C24" s="62" t="s">
        <v>402</v>
      </c>
      <c r="D24" s="62" t="s">
        <v>272</v>
      </c>
      <c r="E24" s="62" t="s">
        <v>350</v>
      </c>
      <c r="F24" s="63">
        <v>1</v>
      </c>
      <c r="G24" s="62" t="s">
        <v>98</v>
      </c>
      <c r="H24" s="63">
        <v>1</v>
      </c>
      <c r="I24" s="62" t="s">
        <v>98</v>
      </c>
      <c r="J24" s="64">
        <v>130.91999999999999</v>
      </c>
      <c r="K24" s="64">
        <v>130</v>
      </c>
      <c r="L24" s="62" t="s">
        <v>98</v>
      </c>
      <c r="M24" s="62" t="s">
        <v>100</v>
      </c>
      <c r="N24" s="62" t="s">
        <v>399</v>
      </c>
      <c r="O24" s="62" t="s">
        <v>52</v>
      </c>
      <c r="P24" s="64">
        <v>1241.81</v>
      </c>
      <c r="Q24" s="63">
        <v>1272</v>
      </c>
      <c r="R24" s="63">
        <v>1579731</v>
      </c>
      <c r="S24" s="62" t="s">
        <v>403</v>
      </c>
      <c r="T24" s="62" t="s">
        <v>72</v>
      </c>
      <c r="U24" s="64">
        <v>1272.1199999999999</v>
      </c>
      <c r="V24" s="62" t="s">
        <v>77</v>
      </c>
      <c r="W24" s="62" t="s">
        <v>81</v>
      </c>
      <c r="X24" s="62" t="s">
        <v>404</v>
      </c>
      <c r="Y24" s="62" t="s">
        <v>405</v>
      </c>
      <c r="Z24" s="63">
        <v>0</v>
      </c>
      <c r="AA24" s="63">
        <v>0</v>
      </c>
      <c r="AB24" s="62" t="s">
        <v>406</v>
      </c>
      <c r="AC24" s="31" t="s">
        <v>674</v>
      </c>
    </row>
    <row r="25" spans="1:29">
      <c r="A25" s="62" t="s">
        <v>407</v>
      </c>
      <c r="B25" s="62" t="s">
        <v>110</v>
      </c>
      <c r="C25" s="62" t="s">
        <v>408</v>
      </c>
      <c r="D25" s="62" t="s">
        <v>272</v>
      </c>
      <c r="E25" s="62" t="s">
        <v>350</v>
      </c>
      <c r="F25" s="63">
        <v>4</v>
      </c>
      <c r="G25" s="62" t="s">
        <v>98</v>
      </c>
      <c r="H25" s="63">
        <v>4</v>
      </c>
      <c r="I25" s="62" t="s">
        <v>98</v>
      </c>
      <c r="J25" s="64">
        <v>5.28</v>
      </c>
      <c r="K25" s="64">
        <v>5.3</v>
      </c>
      <c r="L25" s="62" t="s">
        <v>98</v>
      </c>
      <c r="M25" s="62" t="s">
        <v>100</v>
      </c>
      <c r="N25" s="62" t="s">
        <v>399</v>
      </c>
      <c r="O25" s="62" t="s">
        <v>52</v>
      </c>
      <c r="P25" s="64">
        <v>1241.81</v>
      </c>
      <c r="Q25" s="63">
        <v>2638</v>
      </c>
      <c r="R25" s="63">
        <v>3276279</v>
      </c>
      <c r="S25" s="62" t="s">
        <v>409</v>
      </c>
      <c r="T25" s="62" t="s">
        <v>72</v>
      </c>
      <c r="U25" s="64">
        <v>2638.31</v>
      </c>
      <c r="V25" s="62" t="s">
        <v>79</v>
      </c>
      <c r="W25" s="62" t="s">
        <v>81</v>
      </c>
      <c r="X25" s="62" t="s">
        <v>80</v>
      </c>
      <c r="Y25" s="62" t="s">
        <v>158</v>
      </c>
      <c r="Z25" s="63">
        <v>0</v>
      </c>
      <c r="AA25" s="63">
        <v>0</v>
      </c>
      <c r="AB25" s="62" t="s">
        <v>410</v>
      </c>
      <c r="AC25" s="31" t="s">
        <v>674</v>
      </c>
    </row>
    <row r="26" spans="1:29">
      <c r="A26" s="62" t="s">
        <v>411</v>
      </c>
      <c r="B26" s="62" t="s">
        <v>110</v>
      </c>
      <c r="C26" s="62" t="s">
        <v>412</v>
      </c>
      <c r="D26" s="62" t="s">
        <v>272</v>
      </c>
      <c r="E26" s="62" t="s">
        <v>350</v>
      </c>
      <c r="F26" s="63">
        <v>4</v>
      </c>
      <c r="G26" s="62" t="s">
        <v>98</v>
      </c>
      <c r="H26" s="63">
        <v>4</v>
      </c>
      <c r="I26" s="62" t="s">
        <v>98</v>
      </c>
      <c r="J26" s="64">
        <v>846.78</v>
      </c>
      <c r="K26" s="64">
        <v>846.78</v>
      </c>
      <c r="L26" s="62" t="s">
        <v>98</v>
      </c>
      <c r="M26" s="62" t="s">
        <v>100</v>
      </c>
      <c r="N26" s="62" t="s">
        <v>399</v>
      </c>
      <c r="O26" s="62" t="s">
        <v>52</v>
      </c>
      <c r="P26" s="64">
        <v>1241.81</v>
      </c>
      <c r="Q26" s="63">
        <v>10858</v>
      </c>
      <c r="R26" s="63">
        <v>13483138</v>
      </c>
      <c r="S26" s="62" t="s">
        <v>413</v>
      </c>
      <c r="T26" s="62" t="s">
        <v>72</v>
      </c>
      <c r="U26" s="64">
        <v>10857.65</v>
      </c>
      <c r="V26" s="62" t="s">
        <v>77</v>
      </c>
      <c r="W26" s="62" t="s">
        <v>81</v>
      </c>
      <c r="X26" s="62" t="s">
        <v>108</v>
      </c>
      <c r="Y26" s="62" t="s">
        <v>109</v>
      </c>
      <c r="Z26" s="63">
        <v>0</v>
      </c>
      <c r="AA26" s="63">
        <v>0</v>
      </c>
      <c r="AB26" s="62" t="s">
        <v>414</v>
      </c>
      <c r="AC26" s="31" t="s">
        <v>674</v>
      </c>
    </row>
    <row r="27" spans="1:29">
      <c r="A27" s="62" t="s">
        <v>415</v>
      </c>
      <c r="B27" s="62" t="s">
        <v>110</v>
      </c>
      <c r="C27" s="62" t="s">
        <v>416</v>
      </c>
      <c r="D27" s="62" t="s">
        <v>272</v>
      </c>
      <c r="E27" s="62" t="s">
        <v>350</v>
      </c>
      <c r="F27" s="63">
        <v>1</v>
      </c>
      <c r="G27" s="62" t="s">
        <v>98</v>
      </c>
      <c r="H27" s="63">
        <v>1</v>
      </c>
      <c r="I27" s="62" t="s">
        <v>98</v>
      </c>
      <c r="J27" s="64">
        <v>86</v>
      </c>
      <c r="K27" s="64">
        <v>86</v>
      </c>
      <c r="L27" s="62" t="s">
        <v>98</v>
      </c>
      <c r="M27" s="62" t="s">
        <v>100</v>
      </c>
      <c r="N27" s="62" t="s">
        <v>417</v>
      </c>
      <c r="O27" s="62" t="s">
        <v>52</v>
      </c>
      <c r="P27" s="64">
        <v>1241.81</v>
      </c>
      <c r="Q27" s="63">
        <v>940</v>
      </c>
      <c r="R27" s="63">
        <v>1167599</v>
      </c>
      <c r="S27" s="62" t="s">
        <v>418</v>
      </c>
      <c r="T27" s="62" t="s">
        <v>72</v>
      </c>
      <c r="U27" s="64">
        <v>940.24</v>
      </c>
      <c r="V27" s="62" t="s">
        <v>77</v>
      </c>
      <c r="W27" s="62" t="s">
        <v>81</v>
      </c>
      <c r="X27" s="62" t="s">
        <v>156</v>
      </c>
      <c r="Y27" s="62" t="s">
        <v>157</v>
      </c>
      <c r="Z27" s="63">
        <v>0</v>
      </c>
      <c r="AA27" s="63">
        <v>0</v>
      </c>
      <c r="AB27" s="62" t="s">
        <v>419</v>
      </c>
      <c r="AC27" s="31" t="s">
        <v>674</v>
      </c>
    </row>
    <row r="28" spans="1:29">
      <c r="A28" s="62" t="s">
        <v>420</v>
      </c>
      <c r="B28" s="62" t="s">
        <v>110</v>
      </c>
      <c r="C28" s="62" t="s">
        <v>421</v>
      </c>
      <c r="D28" s="62" t="s">
        <v>275</v>
      </c>
      <c r="E28" s="62" t="s">
        <v>422</v>
      </c>
      <c r="F28" s="63">
        <v>1</v>
      </c>
      <c r="G28" s="62" t="s">
        <v>98</v>
      </c>
      <c r="H28" s="63">
        <v>1</v>
      </c>
      <c r="I28" s="62" t="s">
        <v>99</v>
      </c>
      <c r="J28" s="64">
        <v>156.19999999999999</v>
      </c>
      <c r="K28" s="64">
        <v>156.19999999999999</v>
      </c>
      <c r="L28" s="62" t="s">
        <v>98</v>
      </c>
      <c r="M28" s="62" t="s">
        <v>100</v>
      </c>
      <c r="N28" s="62" t="s">
        <v>276</v>
      </c>
      <c r="O28" s="62" t="s">
        <v>52</v>
      </c>
      <c r="P28" s="64">
        <v>1252.45</v>
      </c>
      <c r="Q28" s="63">
        <v>6487</v>
      </c>
      <c r="R28" s="63">
        <v>8124041</v>
      </c>
      <c r="S28" s="62" t="s">
        <v>423</v>
      </c>
      <c r="T28" s="62" t="s">
        <v>72</v>
      </c>
      <c r="U28" s="64">
        <v>6486.52</v>
      </c>
      <c r="V28" s="62" t="s">
        <v>79</v>
      </c>
      <c r="W28" s="62" t="s">
        <v>74</v>
      </c>
      <c r="X28" s="62" t="s">
        <v>145</v>
      </c>
      <c r="Y28" s="62" t="s">
        <v>424</v>
      </c>
      <c r="Z28" s="63">
        <v>0</v>
      </c>
      <c r="AA28" s="63">
        <v>0</v>
      </c>
      <c r="AB28" s="62" t="s">
        <v>425</v>
      </c>
      <c r="AC28" s="31" t="s">
        <v>674</v>
      </c>
    </row>
    <row r="29" spans="1:29">
      <c r="A29" s="62" t="s">
        <v>426</v>
      </c>
      <c r="B29" s="62" t="s">
        <v>110</v>
      </c>
      <c r="C29" s="62" t="s">
        <v>369</v>
      </c>
      <c r="D29" s="62" t="s">
        <v>275</v>
      </c>
      <c r="E29" s="62" t="s">
        <v>427</v>
      </c>
      <c r="F29" s="63">
        <v>25</v>
      </c>
      <c r="G29" s="62" t="s">
        <v>98</v>
      </c>
      <c r="H29" s="63">
        <v>25</v>
      </c>
      <c r="I29" s="62" t="s">
        <v>99</v>
      </c>
      <c r="J29" s="64">
        <v>3178</v>
      </c>
      <c r="K29" s="64">
        <v>3178</v>
      </c>
      <c r="L29" s="62" t="s">
        <v>98</v>
      </c>
      <c r="M29" s="62" t="s">
        <v>100</v>
      </c>
      <c r="N29" s="62" t="s">
        <v>671</v>
      </c>
      <c r="O29" s="62" t="s">
        <v>256</v>
      </c>
      <c r="P29" s="64">
        <v>1252.45</v>
      </c>
      <c r="Q29" s="63">
        <v>47364</v>
      </c>
      <c r="R29" s="63">
        <v>59320440</v>
      </c>
      <c r="S29" s="62" t="s">
        <v>673</v>
      </c>
      <c r="T29" s="62" t="s">
        <v>72</v>
      </c>
      <c r="U29" s="64">
        <v>59320440</v>
      </c>
      <c r="V29" s="62" t="s">
        <v>79</v>
      </c>
      <c r="W29" s="62" t="s">
        <v>81</v>
      </c>
      <c r="X29" s="62" t="s">
        <v>257</v>
      </c>
      <c r="Y29" s="62" t="s">
        <v>258</v>
      </c>
      <c r="Z29" s="63">
        <v>0</v>
      </c>
      <c r="AA29" s="63">
        <v>0</v>
      </c>
      <c r="AB29" s="62" t="s">
        <v>428</v>
      </c>
      <c r="AC29" s="31" t="s">
        <v>674</v>
      </c>
    </row>
    <row r="30" spans="1:29">
      <c r="A30" s="62" t="s">
        <v>429</v>
      </c>
      <c r="B30" s="62" t="s">
        <v>110</v>
      </c>
      <c r="C30" s="62" t="s">
        <v>430</v>
      </c>
      <c r="D30" s="62" t="s">
        <v>274</v>
      </c>
      <c r="E30" s="62" t="s">
        <v>431</v>
      </c>
      <c r="F30" s="63">
        <v>16</v>
      </c>
      <c r="G30" s="62" t="s">
        <v>98</v>
      </c>
      <c r="H30" s="63">
        <v>16</v>
      </c>
      <c r="I30" s="62" t="s">
        <v>99</v>
      </c>
      <c r="J30" s="64">
        <v>4320</v>
      </c>
      <c r="K30" s="64">
        <v>4320</v>
      </c>
      <c r="L30" s="62" t="s">
        <v>98</v>
      </c>
      <c r="M30" s="62" t="s">
        <v>100</v>
      </c>
      <c r="N30" s="62" t="s">
        <v>394</v>
      </c>
      <c r="O30" s="62" t="s">
        <v>52</v>
      </c>
      <c r="P30" s="64">
        <v>1252.45</v>
      </c>
      <c r="Q30" s="63">
        <v>53696</v>
      </c>
      <c r="R30" s="63">
        <v>67251555</v>
      </c>
      <c r="S30" s="62" t="s">
        <v>432</v>
      </c>
      <c r="T30" s="62" t="s">
        <v>72</v>
      </c>
      <c r="U30" s="64">
        <v>53696</v>
      </c>
      <c r="V30" s="62" t="s">
        <v>77</v>
      </c>
      <c r="W30" s="62" t="s">
        <v>74</v>
      </c>
      <c r="X30" s="62" t="s">
        <v>123</v>
      </c>
      <c r="Y30" s="62" t="s">
        <v>124</v>
      </c>
      <c r="Z30" s="63">
        <v>0</v>
      </c>
      <c r="AA30" s="63">
        <v>0</v>
      </c>
      <c r="AB30" s="62" t="s">
        <v>78</v>
      </c>
      <c r="AC30" s="31" t="s">
        <v>674</v>
      </c>
    </row>
    <row r="31" spans="1:29">
      <c r="A31" s="62" t="s">
        <v>433</v>
      </c>
      <c r="B31" s="62" t="s">
        <v>110</v>
      </c>
      <c r="C31" s="62" t="s">
        <v>434</v>
      </c>
      <c r="D31" s="62" t="s">
        <v>274</v>
      </c>
      <c r="E31" s="62" t="s">
        <v>431</v>
      </c>
      <c r="F31" s="63">
        <v>13</v>
      </c>
      <c r="G31" s="62" t="s">
        <v>255</v>
      </c>
      <c r="H31" s="63">
        <v>13</v>
      </c>
      <c r="I31" s="62" t="s">
        <v>98</v>
      </c>
      <c r="J31" s="64">
        <v>2571.4</v>
      </c>
      <c r="K31" s="64">
        <v>3200</v>
      </c>
      <c r="L31" s="62" t="s">
        <v>255</v>
      </c>
      <c r="M31" s="62" t="s">
        <v>100</v>
      </c>
      <c r="N31" s="62" t="s">
        <v>435</v>
      </c>
      <c r="O31" s="62" t="s">
        <v>52</v>
      </c>
      <c r="P31" s="64">
        <v>1252.45</v>
      </c>
      <c r="Q31" s="63">
        <v>40536</v>
      </c>
      <c r="R31" s="63">
        <v>50769576</v>
      </c>
      <c r="S31" s="62" t="s">
        <v>436</v>
      </c>
      <c r="T31" s="62" t="s">
        <v>72</v>
      </c>
      <c r="U31" s="64">
        <v>40536.21</v>
      </c>
      <c r="V31" s="62" t="s">
        <v>79</v>
      </c>
      <c r="W31" s="62" t="s">
        <v>81</v>
      </c>
      <c r="X31" s="62" t="s">
        <v>75</v>
      </c>
      <c r="Y31" s="62" t="s">
        <v>76</v>
      </c>
      <c r="Z31" s="63">
        <v>0</v>
      </c>
      <c r="AA31" s="63">
        <v>0</v>
      </c>
      <c r="AB31" s="62" t="s">
        <v>78</v>
      </c>
      <c r="AC31" s="31" t="s">
        <v>674</v>
      </c>
    </row>
    <row r="32" spans="1:29">
      <c r="A32" s="62" t="s">
        <v>437</v>
      </c>
      <c r="B32" s="62" t="s">
        <v>110</v>
      </c>
      <c r="C32" s="62" t="s">
        <v>438</v>
      </c>
      <c r="D32" s="62" t="s">
        <v>274</v>
      </c>
      <c r="E32" s="62" t="s">
        <v>431</v>
      </c>
      <c r="F32" s="63">
        <v>14</v>
      </c>
      <c r="G32" s="62" t="s">
        <v>255</v>
      </c>
      <c r="H32" s="63">
        <v>14</v>
      </c>
      <c r="I32" s="62" t="s">
        <v>98</v>
      </c>
      <c r="J32" s="64">
        <v>2728.88</v>
      </c>
      <c r="K32" s="64">
        <v>2714</v>
      </c>
      <c r="L32" s="62" t="s">
        <v>255</v>
      </c>
      <c r="M32" s="62" t="s">
        <v>100</v>
      </c>
      <c r="N32" s="62" t="s">
        <v>435</v>
      </c>
      <c r="O32" s="62" t="s">
        <v>52</v>
      </c>
      <c r="P32" s="64">
        <v>1252.45</v>
      </c>
      <c r="Q32" s="63">
        <v>19817</v>
      </c>
      <c r="R32" s="63">
        <v>24820152</v>
      </c>
      <c r="S32" s="62" t="s">
        <v>439</v>
      </c>
      <c r="T32" s="62" t="s">
        <v>72</v>
      </c>
      <c r="U32" s="64">
        <v>19817.28</v>
      </c>
      <c r="V32" s="62" t="s">
        <v>79</v>
      </c>
      <c r="W32" s="62" t="s">
        <v>81</v>
      </c>
      <c r="X32" s="62" t="s">
        <v>75</v>
      </c>
      <c r="Y32" s="62" t="s">
        <v>76</v>
      </c>
      <c r="Z32" s="63">
        <v>0</v>
      </c>
      <c r="AA32" s="63">
        <v>0</v>
      </c>
      <c r="AB32" s="62" t="s">
        <v>78</v>
      </c>
      <c r="AC32" s="31" t="s">
        <v>674</v>
      </c>
    </row>
    <row r="33" spans="1:29">
      <c r="A33" s="62" t="s">
        <v>440</v>
      </c>
      <c r="B33" s="62" t="s">
        <v>110</v>
      </c>
      <c r="C33" s="62" t="s">
        <v>441</v>
      </c>
      <c r="D33" s="62" t="s">
        <v>274</v>
      </c>
      <c r="E33" s="62" t="s">
        <v>431</v>
      </c>
      <c r="F33" s="63">
        <v>13</v>
      </c>
      <c r="G33" s="62" t="s">
        <v>255</v>
      </c>
      <c r="H33" s="63">
        <v>13</v>
      </c>
      <c r="I33" s="62" t="s">
        <v>98</v>
      </c>
      <c r="J33" s="64">
        <v>2533.96</v>
      </c>
      <c r="K33" s="64">
        <v>2464</v>
      </c>
      <c r="L33" s="62" t="s">
        <v>255</v>
      </c>
      <c r="M33" s="62" t="s">
        <v>100</v>
      </c>
      <c r="N33" s="62" t="s">
        <v>435</v>
      </c>
      <c r="O33" s="62" t="s">
        <v>52</v>
      </c>
      <c r="P33" s="64">
        <v>1252.45</v>
      </c>
      <c r="Q33" s="63">
        <v>18402</v>
      </c>
      <c r="R33" s="63">
        <v>23047284</v>
      </c>
      <c r="S33" s="62" t="s">
        <v>442</v>
      </c>
      <c r="T33" s="62" t="s">
        <v>72</v>
      </c>
      <c r="U33" s="64">
        <v>18401.759999999998</v>
      </c>
      <c r="V33" s="62" t="s">
        <v>79</v>
      </c>
      <c r="W33" s="62" t="s">
        <v>81</v>
      </c>
      <c r="X33" s="62" t="s">
        <v>75</v>
      </c>
      <c r="Y33" s="62" t="s">
        <v>76</v>
      </c>
      <c r="Z33" s="63">
        <v>0</v>
      </c>
      <c r="AA33" s="63">
        <v>0</v>
      </c>
      <c r="AB33" s="62" t="s">
        <v>78</v>
      </c>
      <c r="AC33" s="31" t="s">
        <v>674</v>
      </c>
    </row>
    <row r="34" spans="1:29">
      <c r="A34" s="62" t="s">
        <v>443</v>
      </c>
      <c r="B34" s="62" t="s">
        <v>110</v>
      </c>
      <c r="C34" s="62" t="s">
        <v>444</v>
      </c>
      <c r="D34" s="62" t="s">
        <v>277</v>
      </c>
      <c r="E34" s="62" t="s">
        <v>372</v>
      </c>
      <c r="F34" s="63">
        <v>107</v>
      </c>
      <c r="G34" s="62" t="s">
        <v>98</v>
      </c>
      <c r="H34" s="63">
        <v>107</v>
      </c>
      <c r="I34" s="62" t="s">
        <v>99</v>
      </c>
      <c r="J34" s="64">
        <v>20153.12</v>
      </c>
      <c r="K34" s="64">
        <v>20153.12</v>
      </c>
      <c r="L34" s="62" t="s">
        <v>98</v>
      </c>
      <c r="M34" s="62" t="s">
        <v>100</v>
      </c>
      <c r="N34" s="62" t="s">
        <v>445</v>
      </c>
      <c r="O34" s="62" t="s">
        <v>52</v>
      </c>
      <c r="P34" s="64">
        <v>1252.45</v>
      </c>
      <c r="Q34" s="63">
        <v>163789</v>
      </c>
      <c r="R34" s="63">
        <v>205138134</v>
      </c>
      <c r="S34" s="62" t="s">
        <v>446</v>
      </c>
      <c r="T34" s="62" t="s">
        <v>72</v>
      </c>
      <c r="U34" s="64">
        <v>163789.48000000001</v>
      </c>
      <c r="V34" s="62" t="s">
        <v>79</v>
      </c>
      <c r="W34" s="62" t="s">
        <v>74</v>
      </c>
      <c r="X34" s="62" t="s">
        <v>80</v>
      </c>
      <c r="Y34" s="62" t="s">
        <v>158</v>
      </c>
      <c r="Z34" s="63">
        <v>0</v>
      </c>
      <c r="AA34" s="63">
        <v>0</v>
      </c>
      <c r="AB34" s="62" t="s">
        <v>159</v>
      </c>
      <c r="AC34" s="31" t="s">
        <v>674</v>
      </c>
    </row>
    <row r="35" spans="1:29">
      <c r="A35" s="62" t="s">
        <v>447</v>
      </c>
      <c r="B35" s="62" t="s">
        <v>110</v>
      </c>
      <c r="C35" s="62" t="s">
        <v>448</v>
      </c>
      <c r="D35" s="62" t="s">
        <v>277</v>
      </c>
      <c r="E35" s="62" t="s">
        <v>372</v>
      </c>
      <c r="F35" s="63">
        <v>1</v>
      </c>
      <c r="G35" s="62" t="s">
        <v>98</v>
      </c>
      <c r="H35" s="63">
        <v>1</v>
      </c>
      <c r="I35" s="62" t="s">
        <v>99</v>
      </c>
      <c r="J35" s="64">
        <v>194</v>
      </c>
      <c r="K35" s="64">
        <v>194</v>
      </c>
      <c r="L35" s="62" t="s">
        <v>98</v>
      </c>
      <c r="M35" s="62" t="s">
        <v>100</v>
      </c>
      <c r="N35" s="62" t="s">
        <v>445</v>
      </c>
      <c r="O35" s="62" t="s">
        <v>52</v>
      </c>
      <c r="P35" s="64">
        <v>1252.45</v>
      </c>
      <c r="Q35" s="63">
        <v>4176</v>
      </c>
      <c r="R35" s="63">
        <v>5230231</v>
      </c>
      <c r="S35" s="62" t="s">
        <v>449</v>
      </c>
      <c r="T35" s="62" t="s">
        <v>72</v>
      </c>
      <c r="U35" s="64">
        <v>4176</v>
      </c>
      <c r="V35" s="62" t="s">
        <v>79</v>
      </c>
      <c r="W35" s="62" t="s">
        <v>74</v>
      </c>
      <c r="X35" s="62" t="s">
        <v>270</v>
      </c>
      <c r="Y35" s="62" t="s">
        <v>271</v>
      </c>
      <c r="Z35" s="63">
        <v>0</v>
      </c>
      <c r="AA35" s="63">
        <v>0</v>
      </c>
      <c r="AB35" s="62" t="s">
        <v>450</v>
      </c>
      <c r="AC35" s="31" t="s">
        <v>674</v>
      </c>
    </row>
    <row r="36" spans="1:29">
      <c r="A36" s="62" t="s">
        <v>451</v>
      </c>
      <c r="B36" s="62" t="s">
        <v>110</v>
      </c>
      <c r="C36" s="62" t="s">
        <v>452</v>
      </c>
      <c r="D36" s="62" t="s">
        <v>277</v>
      </c>
      <c r="E36" s="62" t="s">
        <v>372</v>
      </c>
      <c r="F36" s="63">
        <v>2</v>
      </c>
      <c r="G36" s="62" t="s">
        <v>98</v>
      </c>
      <c r="H36" s="63">
        <v>2</v>
      </c>
      <c r="I36" s="62" t="s">
        <v>98</v>
      </c>
      <c r="J36" s="64">
        <v>37</v>
      </c>
      <c r="K36" s="64">
        <v>37</v>
      </c>
      <c r="L36" s="62" t="s">
        <v>98</v>
      </c>
      <c r="M36" s="62" t="s">
        <v>100</v>
      </c>
      <c r="N36" s="62" t="s">
        <v>283</v>
      </c>
      <c r="O36" s="62" t="s">
        <v>52</v>
      </c>
      <c r="P36" s="64">
        <v>1252.45</v>
      </c>
      <c r="Q36" s="63">
        <v>1670</v>
      </c>
      <c r="R36" s="63">
        <v>2091591</v>
      </c>
      <c r="S36" s="62" t="s">
        <v>453</v>
      </c>
      <c r="T36" s="62" t="s">
        <v>72</v>
      </c>
      <c r="U36" s="64">
        <v>1670</v>
      </c>
      <c r="V36" s="62" t="s">
        <v>79</v>
      </c>
      <c r="W36" s="62" t="s">
        <v>74</v>
      </c>
      <c r="X36" s="62" t="s">
        <v>261</v>
      </c>
      <c r="Y36" s="62" t="s">
        <v>262</v>
      </c>
      <c r="Z36" s="63">
        <v>0</v>
      </c>
      <c r="AA36" s="63">
        <v>0</v>
      </c>
      <c r="AB36" s="62" t="s">
        <v>315</v>
      </c>
      <c r="AC36" s="31" t="s">
        <v>674</v>
      </c>
    </row>
    <row r="37" spans="1:29">
      <c r="A37" s="62" t="s">
        <v>454</v>
      </c>
      <c r="B37" s="62" t="s">
        <v>110</v>
      </c>
      <c r="C37" s="62" t="s">
        <v>455</v>
      </c>
      <c r="D37" s="62" t="s">
        <v>277</v>
      </c>
      <c r="E37" s="62" t="s">
        <v>372</v>
      </c>
      <c r="F37" s="63">
        <v>3</v>
      </c>
      <c r="G37" s="62" t="s">
        <v>98</v>
      </c>
      <c r="H37" s="63">
        <v>3</v>
      </c>
      <c r="I37" s="62" t="s">
        <v>98</v>
      </c>
      <c r="J37" s="64">
        <v>286.88</v>
      </c>
      <c r="K37" s="64">
        <v>286.89999999999998</v>
      </c>
      <c r="L37" s="62" t="s">
        <v>98</v>
      </c>
      <c r="M37" s="62" t="s">
        <v>100</v>
      </c>
      <c r="N37" s="62" t="s">
        <v>435</v>
      </c>
      <c r="O37" s="62" t="s">
        <v>52</v>
      </c>
      <c r="P37" s="64">
        <v>1252.45</v>
      </c>
      <c r="Q37" s="63">
        <v>2633</v>
      </c>
      <c r="R37" s="63">
        <v>3297412</v>
      </c>
      <c r="S37" s="62" t="s">
        <v>456</v>
      </c>
      <c r="T37" s="62" t="s">
        <v>72</v>
      </c>
      <c r="U37" s="64">
        <v>2632.77</v>
      </c>
      <c r="V37" s="62" t="s">
        <v>77</v>
      </c>
      <c r="W37" s="62" t="s">
        <v>81</v>
      </c>
      <c r="X37" s="62" t="s">
        <v>457</v>
      </c>
      <c r="Y37" s="62" t="s">
        <v>458</v>
      </c>
      <c r="Z37" s="63">
        <v>0</v>
      </c>
      <c r="AA37" s="63">
        <v>0</v>
      </c>
      <c r="AB37" s="62" t="s">
        <v>459</v>
      </c>
      <c r="AC37" s="31" t="s">
        <v>674</v>
      </c>
    </row>
    <row r="38" spans="1:29">
      <c r="A38" s="62" t="s">
        <v>460</v>
      </c>
      <c r="B38" s="62" t="s">
        <v>110</v>
      </c>
      <c r="C38" s="62" t="s">
        <v>461</v>
      </c>
      <c r="D38" s="62" t="s">
        <v>277</v>
      </c>
      <c r="E38" s="62" t="s">
        <v>372</v>
      </c>
      <c r="F38" s="63">
        <v>2</v>
      </c>
      <c r="G38" s="62" t="s">
        <v>98</v>
      </c>
      <c r="H38" s="63">
        <v>2</v>
      </c>
      <c r="I38" s="62" t="s">
        <v>99</v>
      </c>
      <c r="J38" s="64">
        <v>414.8</v>
      </c>
      <c r="K38" s="64">
        <v>414.8</v>
      </c>
      <c r="L38" s="62" t="s">
        <v>98</v>
      </c>
      <c r="M38" s="62" t="s">
        <v>100</v>
      </c>
      <c r="N38" s="62" t="s">
        <v>285</v>
      </c>
      <c r="O38" s="62" t="s">
        <v>52</v>
      </c>
      <c r="P38" s="64">
        <v>1252.45</v>
      </c>
      <c r="Q38" s="63">
        <v>6824</v>
      </c>
      <c r="R38" s="63">
        <v>8546368</v>
      </c>
      <c r="S38" s="62" t="s">
        <v>462</v>
      </c>
      <c r="T38" s="62" t="s">
        <v>72</v>
      </c>
      <c r="U38" s="64">
        <v>6823.72</v>
      </c>
      <c r="V38" s="62" t="s">
        <v>77</v>
      </c>
      <c r="W38" s="62" t="s">
        <v>74</v>
      </c>
      <c r="X38" s="62" t="s">
        <v>82</v>
      </c>
      <c r="Y38" s="62" t="s">
        <v>83</v>
      </c>
      <c r="Z38" s="63">
        <v>0</v>
      </c>
      <c r="AA38" s="63">
        <v>0</v>
      </c>
      <c r="AB38" s="62" t="s">
        <v>463</v>
      </c>
      <c r="AC38" s="31" t="s">
        <v>674</v>
      </c>
    </row>
    <row r="39" spans="1:29">
      <c r="A39" s="62" t="s">
        <v>464</v>
      </c>
      <c r="B39" s="62" t="s">
        <v>110</v>
      </c>
      <c r="C39" s="62" t="s">
        <v>465</v>
      </c>
      <c r="D39" s="62" t="s">
        <v>277</v>
      </c>
      <c r="E39" s="62" t="s">
        <v>372</v>
      </c>
      <c r="F39" s="63">
        <v>2</v>
      </c>
      <c r="G39" s="62" t="s">
        <v>98</v>
      </c>
      <c r="H39" s="63">
        <v>2</v>
      </c>
      <c r="I39" s="62" t="s">
        <v>98</v>
      </c>
      <c r="J39" s="64">
        <v>363</v>
      </c>
      <c r="K39" s="64">
        <v>363</v>
      </c>
      <c r="L39" s="62" t="s">
        <v>98</v>
      </c>
      <c r="M39" s="62" t="s">
        <v>100</v>
      </c>
      <c r="N39" s="62" t="s">
        <v>283</v>
      </c>
      <c r="O39" s="62" t="s">
        <v>52</v>
      </c>
      <c r="P39" s="64">
        <v>1252.45</v>
      </c>
      <c r="Q39" s="63">
        <v>5308</v>
      </c>
      <c r="R39" s="63">
        <v>6648580</v>
      </c>
      <c r="S39" s="62" t="s">
        <v>466</v>
      </c>
      <c r="T39" s="62" t="s">
        <v>72</v>
      </c>
      <c r="U39" s="64">
        <v>5308.46</v>
      </c>
      <c r="V39" s="62" t="s">
        <v>77</v>
      </c>
      <c r="W39" s="62" t="s">
        <v>81</v>
      </c>
      <c r="X39" s="62" t="s">
        <v>84</v>
      </c>
      <c r="Y39" s="62" t="s">
        <v>85</v>
      </c>
      <c r="Z39" s="63">
        <v>0</v>
      </c>
      <c r="AA39" s="63">
        <v>0</v>
      </c>
      <c r="AB39" s="62" t="s">
        <v>467</v>
      </c>
      <c r="AC39" s="31" t="s">
        <v>674</v>
      </c>
    </row>
    <row r="40" spans="1:29">
      <c r="A40" s="62" t="s">
        <v>468</v>
      </c>
      <c r="B40" s="62" t="s">
        <v>110</v>
      </c>
      <c r="C40" s="62" t="s">
        <v>469</v>
      </c>
      <c r="D40" s="62" t="s">
        <v>277</v>
      </c>
      <c r="E40" s="62" t="s">
        <v>372</v>
      </c>
      <c r="F40" s="63">
        <v>7</v>
      </c>
      <c r="G40" s="62" t="s">
        <v>98</v>
      </c>
      <c r="H40" s="63">
        <v>7</v>
      </c>
      <c r="I40" s="62" t="s">
        <v>98</v>
      </c>
      <c r="J40" s="64">
        <v>1295</v>
      </c>
      <c r="K40" s="64">
        <v>1267</v>
      </c>
      <c r="L40" s="62" t="s">
        <v>98</v>
      </c>
      <c r="M40" s="62" t="s">
        <v>100</v>
      </c>
      <c r="N40" s="62" t="s">
        <v>283</v>
      </c>
      <c r="O40" s="62" t="s">
        <v>52</v>
      </c>
      <c r="P40" s="64">
        <v>1252.45</v>
      </c>
      <c r="Q40" s="63">
        <v>17905</v>
      </c>
      <c r="R40" s="63">
        <v>22425117</v>
      </c>
      <c r="S40" s="62" t="s">
        <v>470</v>
      </c>
      <c r="T40" s="62" t="s">
        <v>72</v>
      </c>
      <c r="U40" s="64">
        <v>17905</v>
      </c>
      <c r="V40" s="62" t="s">
        <v>77</v>
      </c>
      <c r="W40" s="62" t="s">
        <v>81</v>
      </c>
      <c r="X40" s="62" t="s">
        <v>119</v>
      </c>
      <c r="Y40" s="62" t="s">
        <v>120</v>
      </c>
      <c r="Z40" s="63">
        <v>0</v>
      </c>
      <c r="AA40" s="63">
        <v>0</v>
      </c>
      <c r="AB40" s="62" t="s">
        <v>471</v>
      </c>
      <c r="AC40" s="31" t="s">
        <v>674</v>
      </c>
    </row>
    <row r="41" spans="1:29">
      <c r="A41" s="62" t="s">
        <v>472</v>
      </c>
      <c r="B41" s="62" t="s">
        <v>110</v>
      </c>
      <c r="C41" s="62" t="s">
        <v>473</v>
      </c>
      <c r="D41" s="62" t="s">
        <v>277</v>
      </c>
      <c r="E41" s="62" t="s">
        <v>372</v>
      </c>
      <c r="F41" s="63">
        <v>5</v>
      </c>
      <c r="G41" s="62" t="s">
        <v>98</v>
      </c>
      <c r="H41" s="63">
        <v>5</v>
      </c>
      <c r="I41" s="62" t="s">
        <v>98</v>
      </c>
      <c r="J41" s="64">
        <v>1371.72</v>
      </c>
      <c r="K41" s="64">
        <v>1149</v>
      </c>
      <c r="L41" s="62" t="s">
        <v>98</v>
      </c>
      <c r="M41" s="62" t="s">
        <v>100</v>
      </c>
      <c r="N41" s="62" t="s">
        <v>373</v>
      </c>
      <c r="O41" s="62" t="s">
        <v>52</v>
      </c>
      <c r="P41" s="64">
        <v>1252.45</v>
      </c>
      <c r="Q41" s="63">
        <v>11883</v>
      </c>
      <c r="R41" s="63">
        <v>14882337</v>
      </c>
      <c r="S41" s="62" t="s">
        <v>474</v>
      </c>
      <c r="T41" s="62" t="s">
        <v>72</v>
      </c>
      <c r="U41" s="64">
        <v>11882.58</v>
      </c>
      <c r="V41" s="62" t="s">
        <v>77</v>
      </c>
      <c r="W41" s="62" t="s">
        <v>81</v>
      </c>
      <c r="X41" s="62" t="s">
        <v>253</v>
      </c>
      <c r="Y41" s="62" t="s">
        <v>254</v>
      </c>
      <c r="Z41" s="63">
        <v>0</v>
      </c>
      <c r="AA41" s="63">
        <v>0</v>
      </c>
      <c r="AB41" s="62" t="s">
        <v>78</v>
      </c>
      <c r="AC41" s="31" t="s">
        <v>674</v>
      </c>
    </row>
    <row r="42" spans="1:29">
      <c r="A42" s="62" t="s">
        <v>475</v>
      </c>
      <c r="B42" s="62" t="s">
        <v>110</v>
      </c>
      <c r="C42" s="62" t="s">
        <v>476</v>
      </c>
      <c r="D42" s="62" t="s">
        <v>279</v>
      </c>
      <c r="E42" s="62" t="s">
        <v>372</v>
      </c>
      <c r="F42" s="63">
        <v>15</v>
      </c>
      <c r="G42" s="62" t="s">
        <v>98</v>
      </c>
      <c r="H42" s="63">
        <v>15</v>
      </c>
      <c r="I42" s="62" t="s">
        <v>98</v>
      </c>
      <c r="J42" s="64">
        <v>1590</v>
      </c>
      <c r="K42" s="64">
        <v>1845</v>
      </c>
      <c r="L42" s="62" t="s">
        <v>98</v>
      </c>
      <c r="M42" s="62" t="s">
        <v>100</v>
      </c>
      <c r="N42" s="62" t="s">
        <v>280</v>
      </c>
      <c r="O42" s="62" t="s">
        <v>52</v>
      </c>
      <c r="P42" s="64">
        <v>1252.45</v>
      </c>
      <c r="Q42" s="63">
        <v>15012</v>
      </c>
      <c r="R42" s="63">
        <v>18801779</v>
      </c>
      <c r="S42" s="62" t="s">
        <v>477</v>
      </c>
      <c r="T42" s="62" t="s">
        <v>72</v>
      </c>
      <c r="U42" s="64">
        <v>15012</v>
      </c>
      <c r="V42" s="62" t="s">
        <v>79</v>
      </c>
      <c r="W42" s="62" t="s">
        <v>74</v>
      </c>
      <c r="X42" s="62" t="s">
        <v>80</v>
      </c>
      <c r="Y42" s="62" t="s">
        <v>158</v>
      </c>
      <c r="Z42" s="63">
        <v>0</v>
      </c>
      <c r="AA42" s="63">
        <v>0</v>
      </c>
      <c r="AB42" s="62" t="s">
        <v>238</v>
      </c>
      <c r="AC42" s="31" t="s">
        <v>674</v>
      </c>
    </row>
    <row r="43" spans="1:29">
      <c r="A43" s="27" t="s">
        <v>479</v>
      </c>
      <c r="B43" s="27" t="s">
        <v>110</v>
      </c>
      <c r="C43" s="27" t="s">
        <v>480</v>
      </c>
      <c r="D43" s="27" t="s">
        <v>280</v>
      </c>
      <c r="E43" s="27" t="s">
        <v>481</v>
      </c>
      <c r="F43" s="29">
        <v>16</v>
      </c>
      <c r="G43" s="27" t="s">
        <v>98</v>
      </c>
      <c r="H43" s="29">
        <v>16</v>
      </c>
      <c r="I43" s="27" t="s">
        <v>99</v>
      </c>
      <c r="J43" s="30">
        <v>6705</v>
      </c>
      <c r="K43" s="30">
        <v>6705</v>
      </c>
      <c r="L43" s="27" t="s">
        <v>98</v>
      </c>
      <c r="M43" s="27" t="s">
        <v>100</v>
      </c>
      <c r="N43" s="27" t="s">
        <v>445</v>
      </c>
      <c r="O43" s="27" t="s">
        <v>52</v>
      </c>
      <c r="P43" s="30">
        <v>1264.9100000000001</v>
      </c>
      <c r="Q43" s="29">
        <v>50216</v>
      </c>
      <c r="R43" s="29">
        <v>63518315</v>
      </c>
      <c r="S43" s="27" t="s">
        <v>482</v>
      </c>
      <c r="T43" s="27" t="s">
        <v>72</v>
      </c>
      <c r="U43" s="30">
        <v>50215.68</v>
      </c>
      <c r="V43" s="27" t="s">
        <v>73</v>
      </c>
      <c r="W43" s="27" t="s">
        <v>74</v>
      </c>
      <c r="X43" s="27" t="s">
        <v>75</v>
      </c>
      <c r="Y43" s="27" t="s">
        <v>76</v>
      </c>
      <c r="Z43" s="29">
        <v>0</v>
      </c>
      <c r="AA43" s="29">
        <v>0</v>
      </c>
      <c r="AB43" s="27" t="s">
        <v>483</v>
      </c>
      <c r="AC43" s="31" t="s">
        <v>674</v>
      </c>
    </row>
    <row r="44" spans="1:29">
      <c r="A44" s="27" t="s">
        <v>484</v>
      </c>
      <c r="B44" s="27" t="s">
        <v>110</v>
      </c>
      <c r="C44" s="27" t="s">
        <v>485</v>
      </c>
      <c r="D44" s="27" t="s">
        <v>394</v>
      </c>
      <c r="E44" s="27" t="s">
        <v>486</v>
      </c>
      <c r="F44" s="29">
        <v>30</v>
      </c>
      <c r="G44" s="27" t="s">
        <v>98</v>
      </c>
      <c r="H44" s="29">
        <v>30</v>
      </c>
      <c r="I44" s="27" t="s">
        <v>99</v>
      </c>
      <c r="J44" s="30">
        <v>4100</v>
      </c>
      <c r="K44" s="30">
        <v>4100</v>
      </c>
      <c r="L44" s="27" t="s">
        <v>98</v>
      </c>
      <c r="M44" s="27" t="s">
        <v>100</v>
      </c>
      <c r="N44" s="27" t="s">
        <v>284</v>
      </c>
      <c r="O44" s="27" t="s">
        <v>52</v>
      </c>
      <c r="P44" s="30">
        <v>1264.9100000000001</v>
      </c>
      <c r="Q44" s="29">
        <v>65718</v>
      </c>
      <c r="R44" s="29">
        <v>83127355</v>
      </c>
      <c r="S44" s="27" t="s">
        <v>487</v>
      </c>
      <c r="T44" s="27" t="s">
        <v>72</v>
      </c>
      <c r="U44" s="30">
        <v>65718</v>
      </c>
      <c r="V44" s="27" t="s">
        <v>77</v>
      </c>
      <c r="W44" s="27" t="s">
        <v>74</v>
      </c>
      <c r="X44" s="27" t="s">
        <v>150</v>
      </c>
      <c r="Y44" s="27" t="s">
        <v>151</v>
      </c>
      <c r="Z44" s="29">
        <v>0</v>
      </c>
      <c r="AA44" s="29">
        <v>0</v>
      </c>
      <c r="AB44" s="27" t="s">
        <v>78</v>
      </c>
      <c r="AC44" s="31" t="s">
        <v>674</v>
      </c>
    </row>
    <row r="45" spans="1:29">
      <c r="A45" s="27" t="s">
        <v>488</v>
      </c>
      <c r="B45" s="27" t="s">
        <v>110</v>
      </c>
      <c r="C45" s="27" t="s">
        <v>489</v>
      </c>
      <c r="D45" s="27" t="s">
        <v>283</v>
      </c>
      <c r="E45" s="27" t="s">
        <v>490</v>
      </c>
      <c r="F45" s="29">
        <v>2</v>
      </c>
      <c r="G45" s="27" t="s">
        <v>98</v>
      </c>
      <c r="H45" s="29">
        <v>2</v>
      </c>
      <c r="I45" s="27" t="s">
        <v>98</v>
      </c>
      <c r="J45" s="30">
        <v>332.8</v>
      </c>
      <c r="K45" s="30">
        <v>385</v>
      </c>
      <c r="L45" s="27" t="s">
        <v>98</v>
      </c>
      <c r="M45" s="27" t="s">
        <v>100</v>
      </c>
      <c r="N45" s="27" t="s">
        <v>491</v>
      </c>
      <c r="O45" s="27" t="s">
        <v>52</v>
      </c>
      <c r="P45" s="30">
        <v>1264.9100000000001</v>
      </c>
      <c r="Q45" s="29">
        <v>7552</v>
      </c>
      <c r="R45" s="29">
        <v>9552701</v>
      </c>
      <c r="S45" s="27" t="s">
        <v>492</v>
      </c>
      <c r="T45" s="27" t="s">
        <v>72</v>
      </c>
      <c r="U45" s="30">
        <v>7552.08</v>
      </c>
      <c r="V45" s="27" t="s">
        <v>79</v>
      </c>
      <c r="W45" s="27" t="s">
        <v>74</v>
      </c>
      <c r="X45" s="27" t="s">
        <v>145</v>
      </c>
      <c r="Y45" s="27" t="s">
        <v>424</v>
      </c>
      <c r="Z45" s="29">
        <v>0</v>
      </c>
      <c r="AA45" s="29">
        <v>0</v>
      </c>
      <c r="AB45" s="27" t="s">
        <v>493</v>
      </c>
      <c r="AC45" s="31" t="s">
        <v>674</v>
      </c>
    </row>
    <row r="46" spans="1:29">
      <c r="A46" s="27" t="s">
        <v>494</v>
      </c>
      <c r="B46" s="27" t="s">
        <v>110</v>
      </c>
      <c r="C46" s="27" t="s">
        <v>495</v>
      </c>
      <c r="D46" s="27" t="s">
        <v>284</v>
      </c>
      <c r="E46" s="27" t="s">
        <v>496</v>
      </c>
      <c r="F46" s="29">
        <v>51</v>
      </c>
      <c r="G46" s="27" t="s">
        <v>98</v>
      </c>
      <c r="H46" s="29">
        <v>51</v>
      </c>
      <c r="I46" s="27" t="s">
        <v>99</v>
      </c>
      <c r="J46" s="30">
        <v>13345.16</v>
      </c>
      <c r="K46" s="30">
        <v>13345.16</v>
      </c>
      <c r="L46" s="27" t="s">
        <v>98</v>
      </c>
      <c r="M46" s="27" t="s">
        <v>100</v>
      </c>
      <c r="N46" s="27" t="s">
        <v>671</v>
      </c>
      <c r="O46" s="27" t="s">
        <v>52</v>
      </c>
      <c r="P46" s="30">
        <v>1264.9100000000001</v>
      </c>
      <c r="Q46" s="29">
        <v>96313</v>
      </c>
      <c r="R46" s="29">
        <v>121827225</v>
      </c>
      <c r="S46" s="27" t="s">
        <v>675</v>
      </c>
      <c r="T46" s="27" t="s">
        <v>72</v>
      </c>
      <c r="U46" s="30">
        <v>96312.960000000006</v>
      </c>
      <c r="V46" s="27" t="s">
        <v>73</v>
      </c>
      <c r="W46" s="27" t="s">
        <v>74</v>
      </c>
      <c r="X46" s="27" t="s">
        <v>75</v>
      </c>
      <c r="Y46" s="27" t="s">
        <v>76</v>
      </c>
      <c r="Z46" s="29">
        <v>0</v>
      </c>
      <c r="AA46" s="29">
        <v>0</v>
      </c>
      <c r="AB46" s="27" t="s">
        <v>497</v>
      </c>
      <c r="AC46" s="31" t="s">
        <v>674</v>
      </c>
    </row>
    <row r="47" spans="1:29">
      <c r="A47" s="27" t="s">
        <v>498</v>
      </c>
      <c r="B47" s="27" t="s">
        <v>110</v>
      </c>
      <c r="C47" s="27" t="s">
        <v>499</v>
      </c>
      <c r="D47" s="27" t="s">
        <v>284</v>
      </c>
      <c r="E47" s="27" t="s">
        <v>496</v>
      </c>
      <c r="F47" s="29">
        <v>1</v>
      </c>
      <c r="G47" s="27" t="s">
        <v>98</v>
      </c>
      <c r="H47" s="29">
        <v>1</v>
      </c>
      <c r="I47" s="27" t="s">
        <v>99</v>
      </c>
      <c r="J47" s="30">
        <v>140</v>
      </c>
      <c r="K47" s="30">
        <v>140</v>
      </c>
      <c r="L47" s="27" t="s">
        <v>98</v>
      </c>
      <c r="M47" s="27" t="s">
        <v>100</v>
      </c>
      <c r="N47" s="27" t="s">
        <v>299</v>
      </c>
      <c r="O47" s="27" t="s">
        <v>52</v>
      </c>
      <c r="P47" s="30">
        <v>1264.9100000000001</v>
      </c>
      <c r="Q47" s="29">
        <v>1067</v>
      </c>
      <c r="R47" s="29">
        <v>1349405</v>
      </c>
      <c r="S47" s="27" t="s">
        <v>500</v>
      </c>
      <c r="T47" s="27" t="s">
        <v>72</v>
      </c>
      <c r="U47" s="30">
        <v>1066.8</v>
      </c>
      <c r="V47" s="27" t="s">
        <v>73</v>
      </c>
      <c r="W47" s="27" t="s">
        <v>74</v>
      </c>
      <c r="X47" s="27" t="s">
        <v>75</v>
      </c>
      <c r="Y47" s="27" t="s">
        <v>76</v>
      </c>
      <c r="Z47" s="29">
        <v>0</v>
      </c>
      <c r="AA47" s="29">
        <v>0</v>
      </c>
      <c r="AB47" s="27" t="s">
        <v>501</v>
      </c>
      <c r="AC47" s="31" t="s">
        <v>674</v>
      </c>
    </row>
    <row r="48" spans="1:29">
      <c r="A48" s="27" t="s">
        <v>502</v>
      </c>
      <c r="B48" s="27" t="s">
        <v>110</v>
      </c>
      <c r="C48" s="27" t="s">
        <v>503</v>
      </c>
      <c r="D48" s="27" t="s">
        <v>284</v>
      </c>
      <c r="E48" s="27" t="s">
        <v>496</v>
      </c>
      <c r="F48" s="29">
        <v>37</v>
      </c>
      <c r="G48" s="27" t="s">
        <v>98</v>
      </c>
      <c r="H48" s="29">
        <v>37</v>
      </c>
      <c r="I48" s="27" t="s">
        <v>99</v>
      </c>
      <c r="J48" s="30">
        <v>9318.36</v>
      </c>
      <c r="K48" s="30">
        <v>9318.36</v>
      </c>
      <c r="L48" s="27" t="s">
        <v>98</v>
      </c>
      <c r="M48" s="27" t="s">
        <v>100</v>
      </c>
      <c r="N48" s="27" t="s">
        <v>299</v>
      </c>
      <c r="O48" s="27" t="s">
        <v>52</v>
      </c>
      <c r="P48" s="30">
        <v>1264.9100000000001</v>
      </c>
      <c r="Q48" s="29">
        <v>82179</v>
      </c>
      <c r="R48" s="29">
        <v>103948684</v>
      </c>
      <c r="S48" s="27" t="s">
        <v>504</v>
      </c>
      <c r="T48" s="27" t="s">
        <v>72</v>
      </c>
      <c r="U48" s="30">
        <v>82178.720000000001</v>
      </c>
      <c r="V48" s="27" t="s">
        <v>73</v>
      </c>
      <c r="W48" s="27" t="s">
        <v>74</v>
      </c>
      <c r="X48" s="27" t="s">
        <v>75</v>
      </c>
      <c r="Y48" s="27" t="s">
        <v>76</v>
      </c>
      <c r="Z48" s="29">
        <v>0</v>
      </c>
      <c r="AA48" s="29">
        <v>0</v>
      </c>
      <c r="AB48" s="27" t="s">
        <v>505</v>
      </c>
      <c r="AC48" s="31" t="s">
        <v>674</v>
      </c>
    </row>
    <row r="49" spans="1:29">
      <c r="A49" s="27" t="s">
        <v>506</v>
      </c>
      <c r="B49" s="27" t="s">
        <v>110</v>
      </c>
      <c r="C49" s="27" t="s">
        <v>507</v>
      </c>
      <c r="D49" s="27" t="s">
        <v>284</v>
      </c>
      <c r="E49" s="27" t="s">
        <v>496</v>
      </c>
      <c r="F49" s="29">
        <v>1</v>
      </c>
      <c r="G49" s="27" t="s">
        <v>98</v>
      </c>
      <c r="H49" s="29">
        <v>1</v>
      </c>
      <c r="I49" s="27" t="s">
        <v>99</v>
      </c>
      <c r="J49" s="30">
        <v>73</v>
      </c>
      <c r="K49" s="30">
        <v>73</v>
      </c>
      <c r="L49" s="27" t="s">
        <v>98</v>
      </c>
      <c r="M49" s="27" t="s">
        <v>100</v>
      </c>
      <c r="N49" s="27" t="s">
        <v>671</v>
      </c>
      <c r="O49" s="27" t="s">
        <v>52</v>
      </c>
      <c r="P49" s="30">
        <v>1264.9100000000001</v>
      </c>
      <c r="Q49" s="29">
        <v>533</v>
      </c>
      <c r="R49" s="29">
        <v>674702</v>
      </c>
      <c r="S49" s="27" t="s">
        <v>675</v>
      </c>
      <c r="T49" s="27" t="s">
        <v>72</v>
      </c>
      <c r="U49" s="30">
        <v>533.4</v>
      </c>
      <c r="V49" s="27" t="s">
        <v>73</v>
      </c>
      <c r="W49" s="27" t="s">
        <v>74</v>
      </c>
      <c r="X49" s="27" t="s">
        <v>75</v>
      </c>
      <c r="Y49" s="27" t="s">
        <v>76</v>
      </c>
      <c r="Z49" s="29">
        <v>0</v>
      </c>
      <c r="AA49" s="29">
        <v>0</v>
      </c>
      <c r="AB49" s="27" t="s">
        <v>508</v>
      </c>
      <c r="AC49" s="31" t="s">
        <v>674</v>
      </c>
    </row>
    <row r="50" spans="1:29">
      <c r="A50" s="27" t="s">
        <v>509</v>
      </c>
      <c r="B50" s="27" t="s">
        <v>110</v>
      </c>
      <c r="C50" s="27" t="s">
        <v>510</v>
      </c>
      <c r="D50" s="27" t="s">
        <v>284</v>
      </c>
      <c r="E50" s="27" t="s">
        <v>496</v>
      </c>
      <c r="F50" s="29">
        <v>1</v>
      </c>
      <c r="G50" s="27" t="s">
        <v>98</v>
      </c>
      <c r="H50" s="29">
        <v>1</v>
      </c>
      <c r="I50" s="27" t="s">
        <v>99</v>
      </c>
      <c r="J50" s="30">
        <v>140</v>
      </c>
      <c r="K50" s="30">
        <v>140</v>
      </c>
      <c r="L50" s="27" t="s">
        <v>98</v>
      </c>
      <c r="M50" s="27" t="s">
        <v>100</v>
      </c>
      <c r="N50" s="27" t="s">
        <v>671</v>
      </c>
      <c r="O50" s="27" t="s">
        <v>52</v>
      </c>
      <c r="P50" s="30">
        <v>1264.9100000000001</v>
      </c>
      <c r="Q50" s="29">
        <v>1067</v>
      </c>
      <c r="R50" s="29">
        <v>1349405</v>
      </c>
      <c r="S50" s="27" t="s">
        <v>675</v>
      </c>
      <c r="T50" s="27" t="s">
        <v>72</v>
      </c>
      <c r="U50" s="30">
        <v>1066.8</v>
      </c>
      <c r="V50" s="27" t="s">
        <v>73</v>
      </c>
      <c r="W50" s="27" t="s">
        <v>74</v>
      </c>
      <c r="X50" s="27" t="s">
        <v>75</v>
      </c>
      <c r="Y50" s="27" t="s">
        <v>76</v>
      </c>
      <c r="Z50" s="29">
        <v>0</v>
      </c>
      <c r="AA50" s="29">
        <v>0</v>
      </c>
      <c r="AB50" s="27" t="s">
        <v>511</v>
      </c>
      <c r="AC50" s="31" t="s">
        <v>674</v>
      </c>
    </row>
    <row r="51" spans="1:29">
      <c r="A51" s="27" t="s">
        <v>512</v>
      </c>
      <c r="B51" s="27" t="s">
        <v>110</v>
      </c>
      <c r="C51" s="27" t="s">
        <v>513</v>
      </c>
      <c r="D51" s="27" t="s">
        <v>284</v>
      </c>
      <c r="E51" s="27" t="s">
        <v>496</v>
      </c>
      <c r="F51" s="29">
        <v>3</v>
      </c>
      <c r="G51" s="27" t="s">
        <v>98</v>
      </c>
      <c r="H51" s="29">
        <v>3</v>
      </c>
      <c r="I51" s="27" t="s">
        <v>98</v>
      </c>
      <c r="J51" s="30">
        <v>681</v>
      </c>
      <c r="K51" s="30">
        <v>681</v>
      </c>
      <c r="L51" s="27" t="s">
        <v>98</v>
      </c>
      <c r="M51" s="27" t="s">
        <v>100</v>
      </c>
      <c r="N51" s="27" t="s">
        <v>285</v>
      </c>
      <c r="O51" s="27" t="s">
        <v>52</v>
      </c>
      <c r="P51" s="30">
        <v>1264.9100000000001</v>
      </c>
      <c r="Q51" s="29">
        <v>9210</v>
      </c>
      <c r="R51" s="29">
        <v>11649934</v>
      </c>
      <c r="S51" s="27" t="s">
        <v>514</v>
      </c>
      <c r="T51" s="27" t="s">
        <v>72</v>
      </c>
      <c r="U51" s="30">
        <v>9210.09</v>
      </c>
      <c r="V51" s="27" t="s">
        <v>77</v>
      </c>
      <c r="W51" s="27" t="s">
        <v>81</v>
      </c>
      <c r="X51" s="27" t="s">
        <v>84</v>
      </c>
      <c r="Y51" s="27" t="s">
        <v>85</v>
      </c>
      <c r="Z51" s="29">
        <v>0</v>
      </c>
      <c r="AA51" s="29">
        <v>0</v>
      </c>
      <c r="AB51" s="27" t="s">
        <v>467</v>
      </c>
      <c r="AC51" s="31" t="s">
        <v>674</v>
      </c>
    </row>
    <row r="52" spans="1:29">
      <c r="A52" s="27" t="s">
        <v>515</v>
      </c>
      <c r="B52" s="27" t="s">
        <v>110</v>
      </c>
      <c r="C52" s="27" t="s">
        <v>516</v>
      </c>
      <c r="D52" s="27" t="s">
        <v>284</v>
      </c>
      <c r="E52" s="27" t="s">
        <v>496</v>
      </c>
      <c r="F52" s="29">
        <v>3</v>
      </c>
      <c r="G52" s="27" t="s">
        <v>98</v>
      </c>
      <c r="H52" s="29">
        <v>3</v>
      </c>
      <c r="I52" s="27" t="s">
        <v>98</v>
      </c>
      <c r="J52" s="30">
        <v>561</v>
      </c>
      <c r="K52" s="30">
        <v>554</v>
      </c>
      <c r="L52" s="27" t="s">
        <v>98</v>
      </c>
      <c r="M52" s="27" t="s">
        <v>100</v>
      </c>
      <c r="N52" s="27" t="s">
        <v>517</v>
      </c>
      <c r="O52" s="27" t="s">
        <v>52</v>
      </c>
      <c r="P52" s="30">
        <v>1264.9100000000001</v>
      </c>
      <c r="Q52" s="29">
        <v>7931</v>
      </c>
      <c r="R52" s="29">
        <v>10032001</v>
      </c>
      <c r="S52" s="27" t="s">
        <v>518</v>
      </c>
      <c r="T52" s="27" t="s">
        <v>72</v>
      </c>
      <c r="U52" s="30">
        <v>7931</v>
      </c>
      <c r="V52" s="27" t="s">
        <v>77</v>
      </c>
      <c r="W52" s="27" t="s">
        <v>81</v>
      </c>
      <c r="X52" s="27" t="s">
        <v>119</v>
      </c>
      <c r="Y52" s="27" t="s">
        <v>120</v>
      </c>
      <c r="Z52" s="29">
        <v>0</v>
      </c>
      <c r="AA52" s="29">
        <v>0</v>
      </c>
      <c r="AB52" s="27" t="s">
        <v>519</v>
      </c>
      <c r="AC52" s="31" t="s">
        <v>674</v>
      </c>
    </row>
    <row r="53" spans="1:29">
      <c r="A53" s="27" t="s">
        <v>520</v>
      </c>
      <c r="B53" s="27" t="s">
        <v>110</v>
      </c>
      <c r="C53" s="27" t="s">
        <v>521</v>
      </c>
      <c r="D53" s="27" t="s">
        <v>284</v>
      </c>
      <c r="E53" s="27" t="s">
        <v>496</v>
      </c>
      <c r="F53" s="29">
        <v>14</v>
      </c>
      <c r="G53" s="27" t="s">
        <v>98</v>
      </c>
      <c r="H53" s="29">
        <v>14</v>
      </c>
      <c r="I53" s="27" t="s">
        <v>99</v>
      </c>
      <c r="J53" s="30">
        <v>4163.6000000000004</v>
      </c>
      <c r="K53" s="30">
        <v>4163.6000000000004</v>
      </c>
      <c r="L53" s="27" t="s">
        <v>98</v>
      </c>
      <c r="M53" s="27" t="s">
        <v>100</v>
      </c>
      <c r="N53" s="27" t="s">
        <v>522</v>
      </c>
      <c r="O53" s="27" t="s">
        <v>52</v>
      </c>
      <c r="P53" s="30">
        <v>1264.9100000000001</v>
      </c>
      <c r="Q53" s="29">
        <v>35400</v>
      </c>
      <c r="R53" s="29">
        <v>44778267</v>
      </c>
      <c r="S53" s="27" t="s">
        <v>523</v>
      </c>
      <c r="T53" s="27" t="s">
        <v>72</v>
      </c>
      <c r="U53" s="30">
        <v>35400.36</v>
      </c>
      <c r="V53" s="27" t="s">
        <v>77</v>
      </c>
      <c r="W53" s="27" t="s">
        <v>74</v>
      </c>
      <c r="X53" s="27" t="s">
        <v>253</v>
      </c>
      <c r="Y53" s="27" t="s">
        <v>254</v>
      </c>
      <c r="Z53" s="29">
        <v>0</v>
      </c>
      <c r="AA53" s="29">
        <v>0</v>
      </c>
      <c r="AB53" s="27" t="s">
        <v>524</v>
      </c>
      <c r="AC53" s="31" t="s">
        <v>674</v>
      </c>
    </row>
    <row r="54" spans="1:29">
      <c r="A54" s="27" t="s">
        <v>525</v>
      </c>
      <c r="B54" s="27" t="s">
        <v>110</v>
      </c>
      <c r="C54" s="27" t="s">
        <v>526</v>
      </c>
      <c r="D54" s="27" t="s">
        <v>276</v>
      </c>
      <c r="E54" s="27" t="s">
        <v>527</v>
      </c>
      <c r="F54" s="29">
        <v>1</v>
      </c>
      <c r="G54" s="27" t="s">
        <v>98</v>
      </c>
      <c r="H54" s="29">
        <v>1</v>
      </c>
      <c r="I54" s="27" t="s">
        <v>98</v>
      </c>
      <c r="J54" s="30">
        <v>5.48</v>
      </c>
      <c r="K54" s="30">
        <v>5.5</v>
      </c>
      <c r="L54" s="27" t="s">
        <v>98</v>
      </c>
      <c r="M54" s="27" t="s">
        <v>100</v>
      </c>
      <c r="N54" s="27" t="s">
        <v>517</v>
      </c>
      <c r="O54" s="27" t="s">
        <v>52</v>
      </c>
      <c r="P54" s="30">
        <v>1265.3900000000001</v>
      </c>
      <c r="Q54" s="29">
        <v>172</v>
      </c>
      <c r="R54" s="29">
        <v>217849</v>
      </c>
      <c r="S54" s="27" t="s">
        <v>528</v>
      </c>
      <c r="T54" s="27" t="s">
        <v>72</v>
      </c>
      <c r="U54" s="30">
        <v>172.16</v>
      </c>
      <c r="V54" s="27" t="s">
        <v>79</v>
      </c>
      <c r="W54" s="27" t="s">
        <v>74</v>
      </c>
      <c r="X54" s="27" t="s">
        <v>80</v>
      </c>
      <c r="Y54" s="27" t="s">
        <v>158</v>
      </c>
      <c r="Z54" s="29">
        <v>0</v>
      </c>
      <c r="AA54" s="29">
        <v>0</v>
      </c>
      <c r="AB54" s="27" t="s">
        <v>529</v>
      </c>
      <c r="AC54" s="31" t="s">
        <v>674</v>
      </c>
    </row>
    <row r="55" spans="1:29">
      <c r="A55" s="27" t="s">
        <v>530</v>
      </c>
      <c r="B55" s="27" t="s">
        <v>110</v>
      </c>
      <c r="C55" s="27" t="s">
        <v>531</v>
      </c>
      <c r="D55" s="27" t="s">
        <v>517</v>
      </c>
      <c r="E55" s="27" t="s">
        <v>532</v>
      </c>
      <c r="F55" s="29">
        <v>10</v>
      </c>
      <c r="G55" s="27" t="s">
        <v>98</v>
      </c>
      <c r="H55" s="29">
        <v>10</v>
      </c>
      <c r="I55" s="27" t="s">
        <v>98</v>
      </c>
      <c r="J55" s="30">
        <v>1814</v>
      </c>
      <c r="K55" s="30">
        <v>1769</v>
      </c>
      <c r="L55" s="27" t="s">
        <v>98</v>
      </c>
      <c r="M55" s="27" t="s">
        <v>100</v>
      </c>
      <c r="N55" s="27" t="s">
        <v>522</v>
      </c>
      <c r="O55" s="27" t="s">
        <v>52</v>
      </c>
      <c r="P55" s="30">
        <v>1265.3900000000001</v>
      </c>
      <c r="Q55" s="29">
        <v>24034</v>
      </c>
      <c r="R55" s="29">
        <v>30412383</v>
      </c>
      <c r="S55" s="27" t="s">
        <v>533</v>
      </c>
      <c r="T55" s="27" t="s">
        <v>72</v>
      </c>
      <c r="U55" s="30">
        <v>24034</v>
      </c>
      <c r="V55" s="27" t="s">
        <v>77</v>
      </c>
      <c r="W55" s="27" t="s">
        <v>81</v>
      </c>
      <c r="X55" s="27" t="s">
        <v>119</v>
      </c>
      <c r="Y55" s="27" t="s">
        <v>120</v>
      </c>
      <c r="Z55" s="29">
        <v>0</v>
      </c>
      <c r="AA55" s="29">
        <v>0</v>
      </c>
      <c r="AB55" s="27" t="s">
        <v>534</v>
      </c>
      <c r="AC55" s="31" t="s">
        <v>674</v>
      </c>
    </row>
    <row r="56" spans="1:29">
      <c r="A56" s="27" t="s">
        <v>535</v>
      </c>
      <c r="B56" s="27" t="s">
        <v>110</v>
      </c>
      <c r="C56" s="27" t="s">
        <v>536</v>
      </c>
      <c r="D56" s="27" t="s">
        <v>517</v>
      </c>
      <c r="E56" s="27" t="s">
        <v>532</v>
      </c>
      <c r="F56" s="29">
        <v>5</v>
      </c>
      <c r="G56" s="27" t="s">
        <v>98</v>
      </c>
      <c r="H56" s="29">
        <v>5</v>
      </c>
      <c r="I56" s="27" t="s">
        <v>98</v>
      </c>
      <c r="J56" s="30">
        <v>1376.24</v>
      </c>
      <c r="K56" s="30">
        <v>1444</v>
      </c>
      <c r="L56" s="27" t="s">
        <v>98</v>
      </c>
      <c r="M56" s="27" t="s">
        <v>100</v>
      </c>
      <c r="N56" s="27" t="s">
        <v>294</v>
      </c>
      <c r="O56" s="27" t="s">
        <v>52</v>
      </c>
      <c r="P56" s="30">
        <v>1265.3900000000001</v>
      </c>
      <c r="Q56" s="29">
        <v>10524</v>
      </c>
      <c r="R56" s="29">
        <v>13316356</v>
      </c>
      <c r="S56" s="27" t="s">
        <v>537</v>
      </c>
      <c r="T56" s="27" t="s">
        <v>72</v>
      </c>
      <c r="U56" s="30">
        <v>10523.52</v>
      </c>
      <c r="V56" s="27" t="s">
        <v>77</v>
      </c>
      <c r="W56" s="27" t="s">
        <v>81</v>
      </c>
      <c r="X56" s="27" t="s">
        <v>253</v>
      </c>
      <c r="Y56" s="27" t="s">
        <v>254</v>
      </c>
      <c r="Z56" s="29">
        <v>0</v>
      </c>
      <c r="AA56" s="29">
        <v>0</v>
      </c>
      <c r="AB56" s="27" t="s">
        <v>538</v>
      </c>
      <c r="AC56" s="31" t="s">
        <v>674</v>
      </c>
    </row>
    <row r="57" spans="1:29">
      <c r="A57" s="27" t="s">
        <v>539</v>
      </c>
      <c r="B57" s="27" t="s">
        <v>110</v>
      </c>
      <c r="C57" s="27" t="s">
        <v>540</v>
      </c>
      <c r="D57" s="27" t="s">
        <v>517</v>
      </c>
      <c r="E57" s="27" t="s">
        <v>532</v>
      </c>
      <c r="F57" s="29">
        <v>1</v>
      </c>
      <c r="G57" s="27" t="s">
        <v>98</v>
      </c>
      <c r="H57" s="29">
        <v>1</v>
      </c>
      <c r="I57" s="27" t="s">
        <v>99</v>
      </c>
      <c r="J57" s="30">
        <v>163</v>
      </c>
      <c r="K57" s="30">
        <v>163</v>
      </c>
      <c r="L57" s="27" t="s">
        <v>98</v>
      </c>
      <c r="M57" s="27" t="s">
        <v>100</v>
      </c>
      <c r="N57" s="27" t="s">
        <v>348</v>
      </c>
      <c r="O57" s="27" t="s">
        <v>52</v>
      </c>
      <c r="P57" s="30">
        <v>1265.3900000000001</v>
      </c>
      <c r="Q57" s="29">
        <v>3480</v>
      </c>
      <c r="R57" s="29">
        <v>4403557</v>
      </c>
      <c r="S57" s="27" t="s">
        <v>676</v>
      </c>
      <c r="T57" s="27" t="s">
        <v>72</v>
      </c>
      <c r="U57" s="30">
        <v>3480</v>
      </c>
      <c r="V57" s="27" t="s">
        <v>79</v>
      </c>
      <c r="W57" s="27" t="s">
        <v>74</v>
      </c>
      <c r="X57" s="27" t="s">
        <v>270</v>
      </c>
      <c r="Y57" s="27" t="s">
        <v>271</v>
      </c>
      <c r="Z57" s="29">
        <v>0</v>
      </c>
      <c r="AA57" s="29">
        <v>0</v>
      </c>
      <c r="AB57" s="27" t="s">
        <v>450</v>
      </c>
      <c r="AC57" s="31" t="s">
        <v>674</v>
      </c>
    </row>
    <row r="58" spans="1:29">
      <c r="A58" s="27" t="s">
        <v>541</v>
      </c>
      <c r="B58" s="27" t="s">
        <v>110</v>
      </c>
      <c r="C58" s="27" t="s">
        <v>542</v>
      </c>
      <c r="D58" s="27" t="s">
        <v>517</v>
      </c>
      <c r="E58" s="27" t="s">
        <v>532</v>
      </c>
      <c r="F58" s="29">
        <v>30</v>
      </c>
      <c r="G58" s="27" t="s">
        <v>98</v>
      </c>
      <c r="H58" s="29">
        <v>30</v>
      </c>
      <c r="I58" s="27" t="s">
        <v>99</v>
      </c>
      <c r="J58" s="30">
        <v>6372</v>
      </c>
      <c r="K58" s="30">
        <v>6372</v>
      </c>
      <c r="L58" s="27" t="s">
        <v>98</v>
      </c>
      <c r="M58" s="27" t="s">
        <v>100</v>
      </c>
      <c r="N58" s="27" t="s">
        <v>677</v>
      </c>
      <c r="O58" s="27" t="s">
        <v>52</v>
      </c>
      <c r="P58" s="30">
        <v>1265.3900000000001</v>
      </c>
      <c r="Q58" s="29">
        <v>40348</v>
      </c>
      <c r="R58" s="29">
        <v>51055955</v>
      </c>
      <c r="S58" s="27" t="s">
        <v>678</v>
      </c>
      <c r="T58" s="27" t="s">
        <v>72</v>
      </c>
      <c r="U58" s="30">
        <v>40348</v>
      </c>
      <c r="V58" s="27" t="s">
        <v>79</v>
      </c>
      <c r="W58" s="27" t="s">
        <v>74</v>
      </c>
      <c r="X58" s="27" t="s">
        <v>80</v>
      </c>
      <c r="Y58" s="27" t="s">
        <v>158</v>
      </c>
      <c r="Z58" s="29">
        <v>0</v>
      </c>
      <c r="AA58" s="29">
        <v>0</v>
      </c>
      <c r="AB58" s="27" t="s">
        <v>543</v>
      </c>
      <c r="AC58" s="31" t="s">
        <v>674</v>
      </c>
    </row>
    <row r="59" spans="1:29">
      <c r="A59" s="27" t="s">
        <v>544</v>
      </c>
      <c r="B59" s="27" t="s">
        <v>110</v>
      </c>
      <c r="C59" s="27" t="s">
        <v>545</v>
      </c>
      <c r="D59" s="27" t="s">
        <v>517</v>
      </c>
      <c r="E59" s="27" t="s">
        <v>532</v>
      </c>
      <c r="F59" s="29">
        <v>5</v>
      </c>
      <c r="G59" s="27" t="s">
        <v>98</v>
      </c>
      <c r="H59" s="29">
        <v>5</v>
      </c>
      <c r="I59" s="27" t="s">
        <v>99</v>
      </c>
      <c r="J59" s="30">
        <v>689</v>
      </c>
      <c r="K59" s="30">
        <v>689</v>
      </c>
      <c r="L59" s="27" t="s">
        <v>98</v>
      </c>
      <c r="M59" s="27" t="s">
        <v>100</v>
      </c>
      <c r="N59" s="27" t="s">
        <v>677</v>
      </c>
      <c r="O59" s="27" t="s">
        <v>52</v>
      </c>
      <c r="P59" s="30">
        <v>1265.3900000000001</v>
      </c>
      <c r="Q59" s="29">
        <v>6631</v>
      </c>
      <c r="R59" s="29">
        <v>8391054</v>
      </c>
      <c r="S59" s="27" t="s">
        <v>679</v>
      </c>
      <c r="T59" s="27" t="s">
        <v>72</v>
      </c>
      <c r="U59" s="30">
        <v>6631.2</v>
      </c>
      <c r="V59" s="27" t="s">
        <v>79</v>
      </c>
      <c r="W59" s="27" t="s">
        <v>74</v>
      </c>
      <c r="X59" s="27" t="s">
        <v>80</v>
      </c>
      <c r="Y59" s="27" t="s">
        <v>158</v>
      </c>
      <c r="Z59" s="29">
        <v>0</v>
      </c>
      <c r="AA59" s="29">
        <v>0</v>
      </c>
      <c r="AB59" s="27" t="s">
        <v>159</v>
      </c>
      <c r="AC59" s="31" t="s">
        <v>674</v>
      </c>
    </row>
    <row r="60" spans="1:29">
      <c r="A60" s="27" t="s">
        <v>546</v>
      </c>
      <c r="B60" s="27" t="s">
        <v>110</v>
      </c>
      <c r="C60" s="27" t="s">
        <v>547</v>
      </c>
      <c r="D60" s="27" t="s">
        <v>517</v>
      </c>
      <c r="E60" s="27" t="s">
        <v>532</v>
      </c>
      <c r="F60" s="29">
        <v>17</v>
      </c>
      <c r="G60" s="27" t="s">
        <v>98</v>
      </c>
      <c r="H60" s="29">
        <v>17</v>
      </c>
      <c r="I60" s="27" t="s">
        <v>99</v>
      </c>
      <c r="J60" s="30">
        <v>2342.6</v>
      </c>
      <c r="K60" s="30">
        <v>2342.6</v>
      </c>
      <c r="L60" s="27" t="s">
        <v>98</v>
      </c>
      <c r="M60" s="27" t="s">
        <v>100</v>
      </c>
      <c r="N60" s="27" t="s">
        <v>348</v>
      </c>
      <c r="O60" s="27" t="s">
        <v>52</v>
      </c>
      <c r="P60" s="30">
        <v>1265.3900000000001</v>
      </c>
      <c r="Q60" s="29">
        <v>22546</v>
      </c>
      <c r="R60" s="29">
        <v>28529584</v>
      </c>
      <c r="S60" s="27" t="s">
        <v>680</v>
      </c>
      <c r="T60" s="27" t="s">
        <v>72</v>
      </c>
      <c r="U60" s="30">
        <v>22546.080000000002</v>
      </c>
      <c r="V60" s="27" t="s">
        <v>79</v>
      </c>
      <c r="W60" s="27" t="s">
        <v>74</v>
      </c>
      <c r="X60" s="27" t="s">
        <v>80</v>
      </c>
      <c r="Y60" s="27" t="s">
        <v>158</v>
      </c>
      <c r="Z60" s="29">
        <v>0</v>
      </c>
      <c r="AA60" s="29">
        <v>0</v>
      </c>
      <c r="AB60" s="27" t="s">
        <v>159</v>
      </c>
      <c r="AC60" s="31" t="s">
        <v>674</v>
      </c>
    </row>
    <row r="61" spans="1:29">
      <c r="A61" s="27" t="s">
        <v>548</v>
      </c>
      <c r="B61" s="27" t="s">
        <v>110</v>
      </c>
      <c r="C61" s="27" t="s">
        <v>549</v>
      </c>
      <c r="D61" s="27" t="s">
        <v>517</v>
      </c>
      <c r="E61" s="27" t="s">
        <v>532</v>
      </c>
      <c r="F61" s="29">
        <v>130</v>
      </c>
      <c r="G61" s="27" t="s">
        <v>98</v>
      </c>
      <c r="H61" s="29">
        <v>130</v>
      </c>
      <c r="I61" s="27" t="s">
        <v>99</v>
      </c>
      <c r="J61" s="30">
        <v>23349.45</v>
      </c>
      <c r="K61" s="30">
        <v>23349.45</v>
      </c>
      <c r="L61" s="27" t="s">
        <v>98</v>
      </c>
      <c r="M61" s="27" t="s">
        <v>100</v>
      </c>
      <c r="N61" s="27" t="s">
        <v>348</v>
      </c>
      <c r="O61" s="27" t="s">
        <v>52</v>
      </c>
      <c r="P61" s="30">
        <v>1265.3900000000001</v>
      </c>
      <c r="Q61" s="29">
        <v>181817</v>
      </c>
      <c r="R61" s="29">
        <v>230069628</v>
      </c>
      <c r="S61" s="27" t="s">
        <v>681</v>
      </c>
      <c r="T61" s="27" t="s">
        <v>72</v>
      </c>
      <c r="U61" s="30">
        <v>181817.17</v>
      </c>
      <c r="V61" s="27" t="s">
        <v>79</v>
      </c>
      <c r="W61" s="27" t="s">
        <v>74</v>
      </c>
      <c r="X61" s="27" t="s">
        <v>80</v>
      </c>
      <c r="Y61" s="27" t="s">
        <v>158</v>
      </c>
      <c r="Z61" s="29">
        <v>0</v>
      </c>
      <c r="AA61" s="29">
        <v>0</v>
      </c>
      <c r="AB61" s="27" t="s">
        <v>159</v>
      </c>
      <c r="AC61" s="31" t="s">
        <v>674</v>
      </c>
    </row>
    <row r="62" spans="1:29">
      <c r="A62" s="27" t="s">
        <v>550</v>
      </c>
      <c r="B62" s="27" t="s">
        <v>110</v>
      </c>
      <c r="C62" s="27" t="s">
        <v>551</v>
      </c>
      <c r="D62" s="27" t="s">
        <v>285</v>
      </c>
      <c r="E62" s="27" t="s">
        <v>552</v>
      </c>
      <c r="F62" s="29">
        <v>70</v>
      </c>
      <c r="G62" s="27" t="s">
        <v>98</v>
      </c>
      <c r="H62" s="29">
        <v>70</v>
      </c>
      <c r="I62" s="27" t="s">
        <v>99</v>
      </c>
      <c r="J62" s="30">
        <v>15085.68</v>
      </c>
      <c r="K62" s="30">
        <v>15085.68</v>
      </c>
      <c r="L62" s="27" t="s">
        <v>98</v>
      </c>
      <c r="M62" s="27" t="s">
        <v>100</v>
      </c>
      <c r="N62" s="27" t="s">
        <v>553</v>
      </c>
      <c r="O62" s="27" t="s">
        <v>52</v>
      </c>
      <c r="P62" s="30">
        <v>1265.3900000000001</v>
      </c>
      <c r="Q62" s="29">
        <v>115182</v>
      </c>
      <c r="R62" s="29">
        <v>145750454</v>
      </c>
      <c r="S62" s="27" t="s">
        <v>554</v>
      </c>
      <c r="T62" s="27" t="s">
        <v>72</v>
      </c>
      <c r="U62" s="30">
        <v>115282.24000000001</v>
      </c>
      <c r="V62" s="27" t="s">
        <v>105</v>
      </c>
      <c r="W62" s="27" t="s">
        <v>74</v>
      </c>
      <c r="X62" s="27" t="s">
        <v>103</v>
      </c>
      <c r="Y62" s="27" t="s">
        <v>104</v>
      </c>
      <c r="Z62" s="29">
        <v>126539</v>
      </c>
      <c r="AA62" s="29">
        <v>0</v>
      </c>
      <c r="AB62" s="27" t="s">
        <v>78</v>
      </c>
      <c r="AC62" s="31" t="s">
        <v>674</v>
      </c>
    </row>
    <row r="63" spans="1:29">
      <c r="A63" s="27" t="s">
        <v>555</v>
      </c>
      <c r="B63" s="27" t="s">
        <v>110</v>
      </c>
      <c r="C63" s="27" t="s">
        <v>556</v>
      </c>
      <c r="D63" s="27" t="s">
        <v>295</v>
      </c>
      <c r="E63" s="27" t="s">
        <v>378</v>
      </c>
      <c r="F63" s="29">
        <v>1</v>
      </c>
      <c r="G63" s="27" t="s">
        <v>98</v>
      </c>
      <c r="H63" s="29">
        <v>1</v>
      </c>
      <c r="I63" s="27" t="s">
        <v>98</v>
      </c>
      <c r="J63" s="30">
        <v>14.4</v>
      </c>
      <c r="K63" s="30">
        <v>14.4</v>
      </c>
      <c r="L63" s="27" t="s">
        <v>98</v>
      </c>
      <c r="M63" s="27" t="s">
        <v>100</v>
      </c>
      <c r="N63" s="27" t="s">
        <v>522</v>
      </c>
      <c r="O63" s="27" t="s">
        <v>52</v>
      </c>
      <c r="P63" s="30">
        <v>1265.3900000000001</v>
      </c>
      <c r="Q63" s="29">
        <v>308</v>
      </c>
      <c r="R63" s="29">
        <v>389233</v>
      </c>
      <c r="S63" s="27" t="s">
        <v>557</v>
      </c>
      <c r="T63" s="27" t="s">
        <v>72</v>
      </c>
      <c r="U63" s="30">
        <v>307.60000000000002</v>
      </c>
      <c r="V63" s="27" t="s">
        <v>79</v>
      </c>
      <c r="W63" s="27" t="s">
        <v>81</v>
      </c>
      <c r="X63" s="27" t="s">
        <v>80</v>
      </c>
      <c r="Y63" s="27" t="s">
        <v>158</v>
      </c>
      <c r="Z63" s="29">
        <v>0</v>
      </c>
      <c r="AA63" s="29">
        <v>0</v>
      </c>
      <c r="AB63" s="27" t="s">
        <v>558</v>
      </c>
      <c r="AC63" s="31" t="s">
        <v>674</v>
      </c>
    </row>
    <row r="64" spans="1:29">
      <c r="A64" s="27" t="s">
        <v>559</v>
      </c>
      <c r="B64" s="27" t="s">
        <v>110</v>
      </c>
      <c r="C64" s="27" t="s">
        <v>560</v>
      </c>
      <c r="D64" s="27" t="s">
        <v>295</v>
      </c>
      <c r="E64" s="27" t="s">
        <v>378</v>
      </c>
      <c r="F64" s="29">
        <v>1</v>
      </c>
      <c r="G64" s="27" t="s">
        <v>98</v>
      </c>
      <c r="H64" s="29">
        <v>1</v>
      </c>
      <c r="I64" s="27" t="s">
        <v>98</v>
      </c>
      <c r="J64" s="30">
        <v>106</v>
      </c>
      <c r="K64" s="30">
        <v>106</v>
      </c>
      <c r="L64" s="27" t="s">
        <v>98</v>
      </c>
      <c r="M64" s="27" t="s">
        <v>100</v>
      </c>
      <c r="N64" s="27" t="s">
        <v>522</v>
      </c>
      <c r="O64" s="27" t="s">
        <v>52</v>
      </c>
      <c r="P64" s="30">
        <v>1265.3900000000001</v>
      </c>
      <c r="Q64" s="29">
        <v>1152</v>
      </c>
      <c r="R64" s="29">
        <v>1457881</v>
      </c>
      <c r="S64" s="27" t="s">
        <v>561</v>
      </c>
      <c r="T64" s="27" t="s">
        <v>72</v>
      </c>
      <c r="U64" s="30">
        <v>1152.1199999999999</v>
      </c>
      <c r="V64" s="27" t="s">
        <v>79</v>
      </c>
      <c r="W64" s="27" t="s">
        <v>81</v>
      </c>
      <c r="X64" s="27" t="s">
        <v>80</v>
      </c>
      <c r="Y64" s="27" t="s">
        <v>158</v>
      </c>
      <c r="Z64" s="29">
        <v>0</v>
      </c>
      <c r="AA64" s="29">
        <v>0</v>
      </c>
      <c r="AB64" s="27" t="s">
        <v>286</v>
      </c>
      <c r="AC64" s="31" t="s">
        <v>674</v>
      </c>
    </row>
    <row r="65" spans="1:29">
      <c r="A65" s="27" t="s">
        <v>562</v>
      </c>
      <c r="B65" s="27" t="s">
        <v>110</v>
      </c>
      <c r="C65" s="27" t="s">
        <v>563</v>
      </c>
      <c r="D65" s="27" t="s">
        <v>295</v>
      </c>
      <c r="E65" s="27" t="s">
        <v>378</v>
      </c>
      <c r="F65" s="29">
        <v>2</v>
      </c>
      <c r="G65" s="27" t="s">
        <v>98</v>
      </c>
      <c r="H65" s="29">
        <v>2</v>
      </c>
      <c r="I65" s="27" t="s">
        <v>98</v>
      </c>
      <c r="J65" s="30">
        <v>44</v>
      </c>
      <c r="K65" s="30">
        <v>44</v>
      </c>
      <c r="L65" s="27" t="s">
        <v>98</v>
      </c>
      <c r="M65" s="27" t="s">
        <v>100</v>
      </c>
      <c r="N65" s="27" t="s">
        <v>522</v>
      </c>
      <c r="O65" s="27" t="s">
        <v>52</v>
      </c>
      <c r="P65" s="30">
        <v>1265.3900000000001</v>
      </c>
      <c r="Q65" s="29">
        <v>1614</v>
      </c>
      <c r="R65" s="29">
        <v>2042339</v>
      </c>
      <c r="S65" s="27" t="s">
        <v>564</v>
      </c>
      <c r="T65" s="27" t="s">
        <v>72</v>
      </c>
      <c r="U65" s="30">
        <v>1614</v>
      </c>
      <c r="V65" s="27" t="s">
        <v>79</v>
      </c>
      <c r="W65" s="27" t="s">
        <v>81</v>
      </c>
      <c r="X65" s="27" t="s">
        <v>80</v>
      </c>
      <c r="Y65" s="27" t="s">
        <v>158</v>
      </c>
      <c r="Z65" s="29">
        <v>0</v>
      </c>
      <c r="AA65" s="29">
        <v>0</v>
      </c>
      <c r="AB65" s="27" t="s">
        <v>529</v>
      </c>
      <c r="AC65" s="31" t="s">
        <v>674</v>
      </c>
    </row>
    <row r="66" spans="1:29">
      <c r="A66" s="27" t="s">
        <v>565</v>
      </c>
      <c r="B66" s="27" t="s">
        <v>110</v>
      </c>
      <c r="C66" s="27" t="s">
        <v>566</v>
      </c>
      <c r="D66" s="27" t="s">
        <v>299</v>
      </c>
      <c r="E66" s="27" t="s">
        <v>567</v>
      </c>
      <c r="F66" s="29">
        <v>1</v>
      </c>
      <c r="G66" s="27" t="s">
        <v>98</v>
      </c>
      <c r="H66" s="29">
        <v>1</v>
      </c>
      <c r="I66" s="27" t="s">
        <v>98</v>
      </c>
      <c r="J66" s="30">
        <v>190</v>
      </c>
      <c r="K66" s="30">
        <v>194</v>
      </c>
      <c r="L66" s="27" t="s">
        <v>98</v>
      </c>
      <c r="M66" s="27" t="s">
        <v>100</v>
      </c>
      <c r="N66" s="27" t="s">
        <v>671</v>
      </c>
      <c r="O66" s="27" t="s">
        <v>52</v>
      </c>
      <c r="P66" s="30">
        <v>1254.01</v>
      </c>
      <c r="Q66" s="29">
        <v>2436</v>
      </c>
      <c r="R66" s="29">
        <v>3054542</v>
      </c>
      <c r="S66" s="27" t="s">
        <v>682</v>
      </c>
      <c r="T66" s="27" t="s">
        <v>72</v>
      </c>
      <c r="U66" s="30">
        <v>2435.8200000000002</v>
      </c>
      <c r="V66" s="27" t="s">
        <v>77</v>
      </c>
      <c r="W66" s="27" t="s">
        <v>81</v>
      </c>
      <c r="X66" s="27" t="s">
        <v>119</v>
      </c>
      <c r="Y66" s="27" t="s">
        <v>120</v>
      </c>
      <c r="Z66" s="29">
        <v>0</v>
      </c>
      <c r="AA66" s="29">
        <v>0</v>
      </c>
      <c r="AB66" s="27" t="s">
        <v>568</v>
      </c>
      <c r="AC66" s="31" t="s">
        <v>674</v>
      </c>
    </row>
    <row r="67" spans="1:29">
      <c r="A67" s="27" t="s">
        <v>569</v>
      </c>
      <c r="B67" s="27" t="s">
        <v>110</v>
      </c>
      <c r="C67" s="27" t="s">
        <v>570</v>
      </c>
      <c r="D67" s="27" t="s">
        <v>299</v>
      </c>
      <c r="E67" s="27" t="s">
        <v>567</v>
      </c>
      <c r="F67" s="29">
        <v>1</v>
      </c>
      <c r="G67" s="27" t="s">
        <v>98</v>
      </c>
      <c r="H67" s="29">
        <v>1</v>
      </c>
      <c r="I67" s="27" t="s">
        <v>99</v>
      </c>
      <c r="J67" s="30">
        <v>217</v>
      </c>
      <c r="K67" s="30">
        <v>217</v>
      </c>
      <c r="L67" s="27" t="s">
        <v>98</v>
      </c>
      <c r="M67" s="27" t="s">
        <v>100</v>
      </c>
      <c r="N67" s="27" t="s">
        <v>350</v>
      </c>
      <c r="O67" s="27" t="s">
        <v>52</v>
      </c>
      <c r="P67" s="30">
        <v>1254.01</v>
      </c>
      <c r="Q67" s="29">
        <v>2873</v>
      </c>
      <c r="R67" s="29">
        <v>3602457</v>
      </c>
      <c r="S67" s="27" t="s">
        <v>683</v>
      </c>
      <c r="T67" s="27" t="s">
        <v>72</v>
      </c>
      <c r="U67" s="30">
        <v>2872.75</v>
      </c>
      <c r="V67" s="27" t="s">
        <v>77</v>
      </c>
      <c r="W67" s="27" t="s">
        <v>74</v>
      </c>
      <c r="X67" s="27" t="s">
        <v>82</v>
      </c>
      <c r="Y67" s="27" t="s">
        <v>83</v>
      </c>
      <c r="Z67" s="29">
        <v>0</v>
      </c>
      <c r="AA67" s="29">
        <v>0</v>
      </c>
      <c r="AB67" s="27" t="s">
        <v>463</v>
      </c>
      <c r="AC67" s="31" t="s">
        <v>674</v>
      </c>
    </row>
    <row r="68" spans="1:29">
      <c r="A68" s="27" t="s">
        <v>571</v>
      </c>
      <c r="B68" s="27" t="s">
        <v>110</v>
      </c>
      <c r="C68" s="27" t="s">
        <v>572</v>
      </c>
      <c r="D68" s="27" t="s">
        <v>299</v>
      </c>
      <c r="E68" s="27" t="s">
        <v>567</v>
      </c>
      <c r="F68" s="29">
        <v>4</v>
      </c>
      <c r="G68" s="27" t="s">
        <v>98</v>
      </c>
      <c r="H68" s="29">
        <v>4</v>
      </c>
      <c r="I68" s="27" t="s">
        <v>98</v>
      </c>
      <c r="J68" s="30">
        <v>768.5</v>
      </c>
      <c r="K68" s="30">
        <v>837</v>
      </c>
      <c r="L68" s="27" t="s">
        <v>98</v>
      </c>
      <c r="M68" s="27" t="s">
        <v>100</v>
      </c>
      <c r="N68" s="27" t="s">
        <v>671</v>
      </c>
      <c r="O68" s="27" t="s">
        <v>52</v>
      </c>
      <c r="P68" s="30">
        <v>1254.01</v>
      </c>
      <c r="Q68" s="29">
        <v>11049</v>
      </c>
      <c r="R68" s="29">
        <v>13855644</v>
      </c>
      <c r="S68" s="27" t="s">
        <v>684</v>
      </c>
      <c r="T68" s="27" t="s">
        <v>72</v>
      </c>
      <c r="U68" s="30">
        <v>11049.07</v>
      </c>
      <c r="V68" s="27" t="s">
        <v>77</v>
      </c>
      <c r="W68" s="27" t="s">
        <v>81</v>
      </c>
      <c r="X68" s="27" t="s">
        <v>84</v>
      </c>
      <c r="Y68" s="27" t="s">
        <v>85</v>
      </c>
      <c r="Z68" s="29">
        <v>0</v>
      </c>
      <c r="AA68" s="29">
        <v>0</v>
      </c>
      <c r="AB68" s="27" t="s">
        <v>573</v>
      </c>
      <c r="AC68" s="31" t="s">
        <v>674</v>
      </c>
    </row>
    <row r="69" spans="1:29">
      <c r="A69" s="27" t="s">
        <v>574</v>
      </c>
      <c r="B69" s="27" t="s">
        <v>110</v>
      </c>
      <c r="C69" s="27" t="s">
        <v>575</v>
      </c>
      <c r="D69" s="27" t="s">
        <v>299</v>
      </c>
      <c r="E69" s="27" t="s">
        <v>567</v>
      </c>
      <c r="F69" s="29">
        <v>2</v>
      </c>
      <c r="G69" s="27" t="s">
        <v>98</v>
      </c>
      <c r="H69" s="29">
        <v>2</v>
      </c>
      <c r="I69" s="27" t="s">
        <v>98</v>
      </c>
      <c r="J69" s="30">
        <v>53</v>
      </c>
      <c r="K69" s="30">
        <v>53</v>
      </c>
      <c r="L69" s="27" t="s">
        <v>98</v>
      </c>
      <c r="M69" s="27" t="s">
        <v>100</v>
      </c>
      <c r="N69" s="27" t="s">
        <v>382</v>
      </c>
      <c r="O69" s="27" t="s">
        <v>52</v>
      </c>
      <c r="P69" s="30">
        <v>1254.01</v>
      </c>
      <c r="Q69" s="29">
        <v>591</v>
      </c>
      <c r="R69" s="29">
        <v>741044</v>
      </c>
      <c r="S69" s="27" t="s">
        <v>576</v>
      </c>
      <c r="T69" s="27" t="s">
        <v>72</v>
      </c>
      <c r="U69" s="30">
        <v>590.94000000000005</v>
      </c>
      <c r="V69" s="27" t="s">
        <v>77</v>
      </c>
      <c r="W69" s="27" t="s">
        <v>81</v>
      </c>
      <c r="X69" s="27" t="s">
        <v>108</v>
      </c>
      <c r="Y69" s="27" t="s">
        <v>109</v>
      </c>
      <c r="Z69" s="29">
        <v>0</v>
      </c>
      <c r="AA69" s="29">
        <v>0</v>
      </c>
      <c r="AB69" s="27" t="s">
        <v>414</v>
      </c>
      <c r="AC69" s="31" t="s">
        <v>674</v>
      </c>
    </row>
    <row r="70" spans="1:29">
      <c r="A70" s="27" t="s">
        <v>577</v>
      </c>
      <c r="B70" s="27" t="s">
        <v>110</v>
      </c>
      <c r="C70" s="27" t="s">
        <v>578</v>
      </c>
      <c r="D70" s="27" t="s">
        <v>299</v>
      </c>
      <c r="E70" s="27" t="s">
        <v>567</v>
      </c>
      <c r="F70" s="29">
        <v>1</v>
      </c>
      <c r="G70" s="27" t="s">
        <v>98</v>
      </c>
      <c r="H70" s="29">
        <v>1</v>
      </c>
      <c r="I70" s="27" t="s">
        <v>98</v>
      </c>
      <c r="J70" s="30">
        <v>39</v>
      </c>
      <c r="K70" s="30">
        <v>39</v>
      </c>
      <c r="L70" s="27" t="s">
        <v>98</v>
      </c>
      <c r="M70" s="27" t="s">
        <v>100</v>
      </c>
      <c r="N70" s="27" t="s">
        <v>579</v>
      </c>
      <c r="O70" s="27" t="s">
        <v>52</v>
      </c>
      <c r="P70" s="30">
        <v>1254.01</v>
      </c>
      <c r="Q70" s="29">
        <v>765</v>
      </c>
      <c r="R70" s="29">
        <v>959468</v>
      </c>
      <c r="S70" s="27" t="s">
        <v>580</v>
      </c>
      <c r="T70" s="27" t="s">
        <v>72</v>
      </c>
      <c r="U70" s="30">
        <v>765.12</v>
      </c>
      <c r="V70" s="27" t="s">
        <v>77</v>
      </c>
      <c r="W70" s="27" t="s">
        <v>81</v>
      </c>
      <c r="X70" s="27" t="s">
        <v>296</v>
      </c>
      <c r="Y70" s="27" t="s">
        <v>297</v>
      </c>
      <c r="Z70" s="29">
        <v>0</v>
      </c>
      <c r="AA70" s="29">
        <v>0</v>
      </c>
      <c r="AB70" s="27" t="s">
        <v>298</v>
      </c>
      <c r="AC70" s="31" t="s">
        <v>674</v>
      </c>
    </row>
    <row r="71" spans="1:29">
      <c r="A71" s="27" t="s">
        <v>581</v>
      </c>
      <c r="B71" s="27" t="s">
        <v>110</v>
      </c>
      <c r="C71" s="27" t="s">
        <v>582</v>
      </c>
      <c r="D71" s="27" t="s">
        <v>299</v>
      </c>
      <c r="E71" s="27" t="s">
        <v>567</v>
      </c>
      <c r="F71" s="29">
        <v>51</v>
      </c>
      <c r="G71" s="27" t="s">
        <v>98</v>
      </c>
      <c r="H71" s="29">
        <v>51</v>
      </c>
      <c r="I71" s="27" t="s">
        <v>99</v>
      </c>
      <c r="J71" s="30">
        <v>7027.8</v>
      </c>
      <c r="K71" s="30">
        <v>7027.8</v>
      </c>
      <c r="L71" s="27" t="s">
        <v>98</v>
      </c>
      <c r="M71" s="27" t="s">
        <v>100</v>
      </c>
      <c r="N71" s="27" t="s">
        <v>677</v>
      </c>
      <c r="O71" s="27" t="s">
        <v>52</v>
      </c>
      <c r="P71" s="30">
        <v>1254.01</v>
      </c>
      <c r="Q71" s="29">
        <v>67638</v>
      </c>
      <c r="R71" s="29">
        <v>84819029</v>
      </c>
      <c r="S71" s="27" t="s">
        <v>685</v>
      </c>
      <c r="T71" s="27" t="s">
        <v>72</v>
      </c>
      <c r="U71" s="30">
        <v>67638.240000000005</v>
      </c>
      <c r="V71" s="27" t="s">
        <v>79</v>
      </c>
      <c r="W71" s="27" t="s">
        <v>74</v>
      </c>
      <c r="X71" s="27" t="s">
        <v>80</v>
      </c>
      <c r="Y71" s="27" t="s">
        <v>158</v>
      </c>
      <c r="Z71" s="29">
        <v>0</v>
      </c>
      <c r="AA71" s="29">
        <v>0</v>
      </c>
      <c r="AB71" s="27" t="s">
        <v>159</v>
      </c>
      <c r="AC71" s="31" t="s">
        <v>674</v>
      </c>
    </row>
    <row r="72" spans="1:29">
      <c r="A72" s="27" t="s">
        <v>583</v>
      </c>
      <c r="B72" s="27" t="s">
        <v>110</v>
      </c>
      <c r="C72" s="27" t="s">
        <v>584</v>
      </c>
      <c r="D72" s="27" t="s">
        <v>299</v>
      </c>
      <c r="E72" s="27" t="s">
        <v>567</v>
      </c>
      <c r="F72" s="29">
        <v>128</v>
      </c>
      <c r="G72" s="27" t="s">
        <v>98</v>
      </c>
      <c r="H72" s="29" t="s">
        <v>78</v>
      </c>
      <c r="I72" s="27" t="s">
        <v>78</v>
      </c>
      <c r="J72" s="30">
        <v>23711.96</v>
      </c>
      <c r="K72" s="30" t="s">
        <v>78</v>
      </c>
      <c r="L72" s="27" t="s">
        <v>98</v>
      </c>
      <c r="M72" s="27" t="s">
        <v>102</v>
      </c>
      <c r="N72" s="27" t="s">
        <v>78</v>
      </c>
      <c r="O72" s="27" t="s">
        <v>52</v>
      </c>
      <c r="P72" s="30">
        <v>1254.01</v>
      </c>
      <c r="Q72" s="29">
        <v>178648</v>
      </c>
      <c r="R72" s="29">
        <v>224026880</v>
      </c>
      <c r="S72" s="27" t="s">
        <v>78</v>
      </c>
      <c r="T72" s="27" t="s">
        <v>72</v>
      </c>
      <c r="U72" s="30">
        <v>178648.4</v>
      </c>
      <c r="V72" s="27" t="s">
        <v>79</v>
      </c>
      <c r="W72" s="27" t="s">
        <v>74</v>
      </c>
      <c r="X72" s="27" t="s">
        <v>80</v>
      </c>
      <c r="Y72" s="27" t="s">
        <v>158</v>
      </c>
      <c r="Z72" s="29">
        <v>0</v>
      </c>
      <c r="AA72" s="29">
        <v>0</v>
      </c>
      <c r="AB72" s="27" t="s">
        <v>159</v>
      </c>
      <c r="AC72" s="31" t="s">
        <v>674</v>
      </c>
    </row>
    <row r="73" spans="1:29">
      <c r="A73" s="62" t="s">
        <v>585</v>
      </c>
      <c r="B73" s="62" t="s">
        <v>110</v>
      </c>
      <c r="C73" s="62" t="s">
        <v>586</v>
      </c>
      <c r="D73" s="62" t="s">
        <v>382</v>
      </c>
      <c r="E73" s="62" t="s">
        <v>383</v>
      </c>
      <c r="F73" s="63">
        <v>15</v>
      </c>
      <c r="G73" s="62" t="s">
        <v>98</v>
      </c>
      <c r="H73" s="63">
        <v>15</v>
      </c>
      <c r="I73" s="62" t="s">
        <v>99</v>
      </c>
      <c r="J73" s="64">
        <v>4050</v>
      </c>
      <c r="K73" s="64">
        <v>4050</v>
      </c>
      <c r="L73" s="62" t="s">
        <v>98</v>
      </c>
      <c r="M73" s="62" t="s">
        <v>100</v>
      </c>
      <c r="N73" s="62" t="s">
        <v>677</v>
      </c>
      <c r="O73" s="62" t="s">
        <v>52</v>
      </c>
      <c r="P73" s="64">
        <v>1254.01</v>
      </c>
      <c r="Q73" s="63">
        <v>59214</v>
      </c>
      <c r="R73" s="63">
        <v>74254948</v>
      </c>
      <c r="S73" s="62" t="s">
        <v>686</v>
      </c>
      <c r="T73" s="62" t="s">
        <v>72</v>
      </c>
      <c r="U73" s="64">
        <v>59214</v>
      </c>
      <c r="V73" s="62" t="s">
        <v>77</v>
      </c>
      <c r="W73" s="62" t="s">
        <v>74</v>
      </c>
      <c r="X73" s="62" t="s">
        <v>123</v>
      </c>
      <c r="Y73" s="62" t="s">
        <v>124</v>
      </c>
      <c r="Z73" s="63">
        <v>0</v>
      </c>
      <c r="AA73" s="63">
        <v>0</v>
      </c>
      <c r="AB73" s="62" t="s">
        <v>78</v>
      </c>
      <c r="AC73" s="31" t="s">
        <v>674</v>
      </c>
    </row>
    <row r="74" spans="1:29">
      <c r="A74" s="62" t="s">
        <v>587</v>
      </c>
      <c r="B74" s="62" t="s">
        <v>110</v>
      </c>
      <c r="C74" s="62" t="s">
        <v>588</v>
      </c>
      <c r="D74" s="62" t="s">
        <v>302</v>
      </c>
      <c r="E74" s="62" t="s">
        <v>589</v>
      </c>
      <c r="F74" s="63">
        <v>7</v>
      </c>
      <c r="G74" s="62" t="s">
        <v>98</v>
      </c>
      <c r="H74" s="63">
        <v>7</v>
      </c>
      <c r="I74" s="62" t="s">
        <v>98</v>
      </c>
      <c r="J74" s="64">
        <v>1138.75</v>
      </c>
      <c r="K74" s="64">
        <v>945</v>
      </c>
      <c r="L74" s="62" t="s">
        <v>98</v>
      </c>
      <c r="M74" s="62" t="s">
        <v>100</v>
      </c>
      <c r="N74" s="62" t="s">
        <v>687</v>
      </c>
      <c r="O74" s="62" t="s">
        <v>256</v>
      </c>
      <c r="P74" s="64">
        <v>1254.01</v>
      </c>
      <c r="Q74" s="63">
        <v>15570</v>
      </c>
      <c r="R74" s="63">
        <v>19524456</v>
      </c>
      <c r="S74" s="62" t="s">
        <v>688</v>
      </c>
      <c r="T74" s="62" t="s">
        <v>72</v>
      </c>
      <c r="U74" s="64">
        <v>19524456</v>
      </c>
      <c r="V74" s="62" t="s">
        <v>79</v>
      </c>
      <c r="W74" s="62" t="s">
        <v>81</v>
      </c>
      <c r="X74" s="62" t="s">
        <v>257</v>
      </c>
      <c r="Y74" s="62" t="s">
        <v>258</v>
      </c>
      <c r="Z74" s="63">
        <v>0</v>
      </c>
      <c r="AA74" s="63">
        <v>0</v>
      </c>
      <c r="AB74" s="62" t="s">
        <v>590</v>
      </c>
      <c r="AC74" s="31" t="s">
        <v>674</v>
      </c>
    </row>
    <row r="75" spans="1:29">
      <c r="A75" s="62" t="s">
        <v>591</v>
      </c>
      <c r="B75" s="62" t="s">
        <v>110</v>
      </c>
      <c r="C75" s="62" t="s">
        <v>592</v>
      </c>
      <c r="D75" s="62" t="s">
        <v>302</v>
      </c>
      <c r="E75" s="62" t="s">
        <v>589</v>
      </c>
      <c r="F75" s="63">
        <v>3</v>
      </c>
      <c r="G75" s="62" t="s">
        <v>98</v>
      </c>
      <c r="H75" s="63">
        <v>3</v>
      </c>
      <c r="I75" s="62" t="s">
        <v>98</v>
      </c>
      <c r="J75" s="64">
        <v>561</v>
      </c>
      <c r="K75" s="64">
        <v>552</v>
      </c>
      <c r="L75" s="62" t="s">
        <v>98</v>
      </c>
      <c r="M75" s="62" t="s">
        <v>100</v>
      </c>
      <c r="N75" s="62" t="s">
        <v>350</v>
      </c>
      <c r="O75" s="62" t="s">
        <v>52</v>
      </c>
      <c r="P75" s="64">
        <v>1254.01</v>
      </c>
      <c r="Q75" s="63">
        <v>7931</v>
      </c>
      <c r="R75" s="63">
        <v>9945553</v>
      </c>
      <c r="S75" s="62" t="s">
        <v>689</v>
      </c>
      <c r="T75" s="62" t="s">
        <v>72</v>
      </c>
      <c r="U75" s="64">
        <v>7931</v>
      </c>
      <c r="V75" s="62" t="s">
        <v>77</v>
      </c>
      <c r="W75" s="62" t="s">
        <v>81</v>
      </c>
      <c r="X75" s="62" t="s">
        <v>119</v>
      </c>
      <c r="Y75" s="62" t="s">
        <v>120</v>
      </c>
      <c r="Z75" s="63">
        <v>0</v>
      </c>
      <c r="AA75" s="63">
        <v>0</v>
      </c>
      <c r="AB75" s="62" t="s">
        <v>593</v>
      </c>
      <c r="AC75" s="31" t="s">
        <v>674</v>
      </c>
    </row>
    <row r="76" spans="1:29">
      <c r="A76" s="62" t="s">
        <v>594</v>
      </c>
      <c r="B76" s="62" t="s">
        <v>110</v>
      </c>
      <c r="C76" s="62" t="s">
        <v>595</v>
      </c>
      <c r="D76" s="62" t="s">
        <v>348</v>
      </c>
      <c r="E76" s="62" t="s">
        <v>589</v>
      </c>
      <c r="F76" s="63">
        <v>21</v>
      </c>
      <c r="G76" s="62" t="s">
        <v>99</v>
      </c>
      <c r="H76" s="63" t="s">
        <v>78</v>
      </c>
      <c r="I76" s="62" t="s">
        <v>78</v>
      </c>
      <c r="J76" s="64">
        <v>4763.6400000000003</v>
      </c>
      <c r="K76" s="64" t="s">
        <v>78</v>
      </c>
      <c r="L76" s="62" t="s">
        <v>99</v>
      </c>
      <c r="M76" s="62" t="s">
        <v>102</v>
      </c>
      <c r="N76" s="62" t="s">
        <v>78</v>
      </c>
      <c r="O76" s="62" t="s">
        <v>52</v>
      </c>
      <c r="P76" s="64">
        <v>1254.01</v>
      </c>
      <c r="Q76" s="63">
        <v>44187</v>
      </c>
      <c r="R76" s="63">
        <v>55410463</v>
      </c>
      <c r="S76" s="62" t="s">
        <v>78</v>
      </c>
      <c r="T76" s="62" t="s">
        <v>72</v>
      </c>
      <c r="U76" s="64">
        <v>44186.62</v>
      </c>
      <c r="V76" s="62" t="s">
        <v>77</v>
      </c>
      <c r="W76" s="62" t="s">
        <v>74</v>
      </c>
      <c r="X76" s="62" t="s">
        <v>259</v>
      </c>
      <c r="Y76" s="62" t="s">
        <v>260</v>
      </c>
      <c r="Z76" s="63">
        <v>0</v>
      </c>
      <c r="AA76" s="63">
        <v>0</v>
      </c>
      <c r="AB76" s="62" t="s">
        <v>78</v>
      </c>
      <c r="AC76" s="31" t="s">
        <v>674</v>
      </c>
    </row>
    <row r="77" spans="1:29">
      <c r="A77" s="62" t="s">
        <v>596</v>
      </c>
      <c r="B77" s="62" t="s">
        <v>110</v>
      </c>
      <c r="C77" s="62" t="s">
        <v>597</v>
      </c>
      <c r="D77" s="62" t="s">
        <v>348</v>
      </c>
      <c r="E77" s="62" t="s">
        <v>589</v>
      </c>
      <c r="F77" s="63">
        <v>31</v>
      </c>
      <c r="G77" s="62" t="s">
        <v>98</v>
      </c>
      <c r="H77" s="63" t="s">
        <v>78</v>
      </c>
      <c r="I77" s="62" t="s">
        <v>78</v>
      </c>
      <c r="J77" s="64">
        <v>7978.04</v>
      </c>
      <c r="K77" s="64" t="s">
        <v>78</v>
      </c>
      <c r="L77" s="62" t="s">
        <v>98</v>
      </c>
      <c r="M77" s="62" t="s">
        <v>102</v>
      </c>
      <c r="N77" s="62" t="s">
        <v>78</v>
      </c>
      <c r="O77" s="62" t="s">
        <v>52</v>
      </c>
      <c r="P77" s="64">
        <v>1254.01</v>
      </c>
      <c r="Q77" s="63">
        <v>96826</v>
      </c>
      <c r="R77" s="63">
        <v>121420458</v>
      </c>
      <c r="S77" s="62" t="s">
        <v>78</v>
      </c>
      <c r="T77" s="62" t="s">
        <v>72</v>
      </c>
      <c r="U77" s="64">
        <v>96825.75</v>
      </c>
      <c r="V77" s="62" t="s">
        <v>73</v>
      </c>
      <c r="W77" s="62" t="s">
        <v>74</v>
      </c>
      <c r="X77" s="62" t="s">
        <v>75</v>
      </c>
      <c r="Y77" s="62" t="s">
        <v>76</v>
      </c>
      <c r="Z77" s="63">
        <v>0</v>
      </c>
      <c r="AA77" s="63">
        <v>0</v>
      </c>
      <c r="AB77" s="62" t="s">
        <v>598</v>
      </c>
      <c r="AC77" s="31" t="s">
        <v>674</v>
      </c>
    </row>
    <row r="78" spans="1:29">
      <c r="A78" s="62" t="s">
        <v>599</v>
      </c>
      <c r="B78" s="62" t="s">
        <v>110</v>
      </c>
      <c r="C78" s="62" t="s">
        <v>600</v>
      </c>
      <c r="D78" s="62" t="s">
        <v>348</v>
      </c>
      <c r="E78" s="62" t="s">
        <v>589</v>
      </c>
      <c r="F78" s="63">
        <v>49</v>
      </c>
      <c r="G78" s="62" t="s">
        <v>98</v>
      </c>
      <c r="H78" s="63" t="s">
        <v>78</v>
      </c>
      <c r="I78" s="62" t="s">
        <v>78</v>
      </c>
      <c r="J78" s="64">
        <v>13127.68</v>
      </c>
      <c r="K78" s="64" t="s">
        <v>78</v>
      </c>
      <c r="L78" s="62" t="s">
        <v>98</v>
      </c>
      <c r="M78" s="62" t="s">
        <v>102</v>
      </c>
      <c r="N78" s="62" t="s">
        <v>78</v>
      </c>
      <c r="O78" s="62" t="s">
        <v>52</v>
      </c>
      <c r="P78" s="64">
        <v>1254.01</v>
      </c>
      <c r="Q78" s="63">
        <v>104217</v>
      </c>
      <c r="R78" s="63">
        <v>130689611</v>
      </c>
      <c r="S78" s="62" t="s">
        <v>78</v>
      </c>
      <c r="T78" s="62" t="s">
        <v>72</v>
      </c>
      <c r="U78" s="64">
        <v>104217.36</v>
      </c>
      <c r="V78" s="62" t="s">
        <v>73</v>
      </c>
      <c r="W78" s="62" t="s">
        <v>74</v>
      </c>
      <c r="X78" s="62" t="s">
        <v>75</v>
      </c>
      <c r="Y78" s="62" t="s">
        <v>76</v>
      </c>
      <c r="Z78" s="63">
        <v>0</v>
      </c>
      <c r="AA78" s="63">
        <v>0</v>
      </c>
      <c r="AB78" s="62" t="s">
        <v>601</v>
      </c>
      <c r="AC78" s="31" t="s">
        <v>674</v>
      </c>
    </row>
    <row r="79" spans="1:29">
      <c r="A79" s="62" t="s">
        <v>602</v>
      </c>
      <c r="B79" s="62" t="s">
        <v>110</v>
      </c>
      <c r="C79" s="62" t="s">
        <v>603</v>
      </c>
      <c r="D79" s="62" t="s">
        <v>348</v>
      </c>
      <c r="E79" s="62" t="s">
        <v>589</v>
      </c>
      <c r="F79" s="63">
        <v>2</v>
      </c>
      <c r="G79" s="62" t="s">
        <v>98</v>
      </c>
      <c r="H79" s="63" t="s">
        <v>78</v>
      </c>
      <c r="I79" s="62" t="s">
        <v>78</v>
      </c>
      <c r="J79" s="64">
        <v>202.6</v>
      </c>
      <c r="K79" s="64" t="s">
        <v>78</v>
      </c>
      <c r="L79" s="62" t="s">
        <v>98</v>
      </c>
      <c r="M79" s="62" t="s">
        <v>102</v>
      </c>
      <c r="N79" s="62" t="s">
        <v>78</v>
      </c>
      <c r="O79" s="62" t="s">
        <v>256</v>
      </c>
      <c r="P79" s="64">
        <v>1254.01</v>
      </c>
      <c r="Q79" s="63">
        <v>1847</v>
      </c>
      <c r="R79" s="63">
        <v>2316410</v>
      </c>
      <c r="S79" s="62" t="s">
        <v>78</v>
      </c>
      <c r="T79" s="62" t="s">
        <v>72</v>
      </c>
      <c r="U79" s="64">
        <v>2316410</v>
      </c>
      <c r="V79" s="62" t="s">
        <v>79</v>
      </c>
      <c r="W79" s="62" t="s">
        <v>74</v>
      </c>
      <c r="X79" s="62" t="s">
        <v>257</v>
      </c>
      <c r="Y79" s="62" t="s">
        <v>258</v>
      </c>
      <c r="Z79" s="63">
        <v>0</v>
      </c>
      <c r="AA79" s="63">
        <v>0</v>
      </c>
      <c r="AB79" s="62" t="s">
        <v>604</v>
      </c>
      <c r="AC79" s="31" t="s">
        <v>674</v>
      </c>
    </row>
    <row r="80" spans="1:29">
      <c r="A80" s="62" t="s">
        <v>605</v>
      </c>
      <c r="B80" s="62" t="s">
        <v>110</v>
      </c>
      <c r="C80" s="62" t="s">
        <v>606</v>
      </c>
      <c r="D80" s="62" t="s">
        <v>348</v>
      </c>
      <c r="E80" s="62" t="s">
        <v>589</v>
      </c>
      <c r="F80" s="63">
        <v>4</v>
      </c>
      <c r="G80" s="62" t="s">
        <v>98</v>
      </c>
      <c r="H80" s="63">
        <v>4</v>
      </c>
      <c r="I80" s="62" t="s">
        <v>98</v>
      </c>
      <c r="J80" s="64">
        <v>45.04</v>
      </c>
      <c r="K80" s="64">
        <v>41</v>
      </c>
      <c r="L80" s="62" t="s">
        <v>98</v>
      </c>
      <c r="M80" s="62" t="s">
        <v>100</v>
      </c>
      <c r="N80" s="62" t="s">
        <v>348</v>
      </c>
      <c r="O80" s="62" t="s">
        <v>52</v>
      </c>
      <c r="P80" s="64">
        <v>1254.01</v>
      </c>
      <c r="Q80" s="63">
        <v>985</v>
      </c>
      <c r="R80" s="63">
        <v>1235149</v>
      </c>
      <c r="S80" s="62" t="s">
        <v>690</v>
      </c>
      <c r="T80" s="62" t="s">
        <v>72</v>
      </c>
      <c r="U80" s="64">
        <v>984.96</v>
      </c>
      <c r="V80" s="62" t="s">
        <v>79</v>
      </c>
      <c r="W80" s="62" t="s">
        <v>81</v>
      </c>
      <c r="X80" s="62" t="s">
        <v>80</v>
      </c>
      <c r="Y80" s="62" t="s">
        <v>158</v>
      </c>
      <c r="Z80" s="63">
        <v>0</v>
      </c>
      <c r="AA80" s="63">
        <v>0</v>
      </c>
      <c r="AB80" s="62" t="s">
        <v>607</v>
      </c>
      <c r="AC80" s="31" t="s">
        <v>674</v>
      </c>
    </row>
    <row r="81" spans="1:29">
      <c r="A81" s="62" t="s">
        <v>322</v>
      </c>
      <c r="B81" s="62" t="s">
        <v>110</v>
      </c>
      <c r="C81" s="62" t="s">
        <v>323</v>
      </c>
      <c r="D81" s="62" t="s">
        <v>269</v>
      </c>
      <c r="E81" s="62" t="s">
        <v>302</v>
      </c>
      <c r="F81" s="63">
        <v>1</v>
      </c>
      <c r="G81" s="62" t="s">
        <v>98</v>
      </c>
      <c r="H81" s="63">
        <v>1</v>
      </c>
      <c r="I81" s="62" t="s">
        <v>98</v>
      </c>
      <c r="J81" s="64">
        <v>248.25</v>
      </c>
      <c r="K81" s="64">
        <v>265</v>
      </c>
      <c r="L81" s="62" t="s">
        <v>98</v>
      </c>
      <c r="M81" s="62" t="s">
        <v>100</v>
      </c>
      <c r="N81" s="62" t="s">
        <v>304</v>
      </c>
      <c r="O81" s="62" t="s">
        <v>52</v>
      </c>
      <c r="P81" s="64">
        <v>1241.81</v>
      </c>
      <c r="Q81" s="63">
        <v>5575</v>
      </c>
      <c r="R81" s="63">
        <v>6923525</v>
      </c>
      <c r="S81" s="62" t="s">
        <v>357</v>
      </c>
      <c r="T81" s="62" t="s">
        <v>72</v>
      </c>
      <c r="U81" s="64">
        <v>5575.35</v>
      </c>
      <c r="V81" s="62" t="s">
        <v>172</v>
      </c>
      <c r="W81" s="62" t="s">
        <v>81</v>
      </c>
      <c r="X81" s="62" t="s">
        <v>160</v>
      </c>
      <c r="Y81" s="62" t="s">
        <v>231</v>
      </c>
      <c r="Z81" s="63">
        <v>0</v>
      </c>
      <c r="AA81" s="63">
        <v>0</v>
      </c>
      <c r="AB81" s="62" t="s">
        <v>78</v>
      </c>
      <c r="AC81" s="31" t="s">
        <v>691</v>
      </c>
    </row>
    <row r="82" spans="1:29">
      <c r="A82" s="62" t="s">
        <v>358</v>
      </c>
      <c r="B82" s="62" t="s">
        <v>110</v>
      </c>
      <c r="C82" s="62" t="s">
        <v>359</v>
      </c>
      <c r="D82" s="62" t="s">
        <v>273</v>
      </c>
      <c r="E82" s="62" t="s">
        <v>348</v>
      </c>
      <c r="F82" s="63">
        <v>1</v>
      </c>
      <c r="G82" s="62" t="s">
        <v>98</v>
      </c>
      <c r="H82" s="63">
        <v>1</v>
      </c>
      <c r="I82" s="62" t="s">
        <v>98</v>
      </c>
      <c r="J82" s="64">
        <v>230.02</v>
      </c>
      <c r="K82" s="64">
        <v>230</v>
      </c>
      <c r="L82" s="62" t="s">
        <v>98</v>
      </c>
      <c r="M82" s="62" t="s">
        <v>100</v>
      </c>
      <c r="N82" s="62" t="s">
        <v>273</v>
      </c>
      <c r="O82" s="62" t="s">
        <v>52</v>
      </c>
      <c r="P82" s="64">
        <v>1241.81</v>
      </c>
      <c r="Q82" s="63">
        <v>4975</v>
      </c>
      <c r="R82" s="63">
        <v>6178054</v>
      </c>
      <c r="S82" s="62" t="s">
        <v>360</v>
      </c>
      <c r="T82" s="62" t="s">
        <v>72</v>
      </c>
      <c r="U82" s="64">
        <v>4975.04</v>
      </c>
      <c r="V82" s="62" t="s">
        <v>172</v>
      </c>
      <c r="W82" s="62" t="s">
        <v>81</v>
      </c>
      <c r="X82" s="62" t="s">
        <v>160</v>
      </c>
      <c r="Y82" s="62" t="s">
        <v>231</v>
      </c>
      <c r="Z82" s="63">
        <v>0</v>
      </c>
      <c r="AA82" s="63">
        <v>0</v>
      </c>
      <c r="AB82" s="62" t="s">
        <v>78</v>
      </c>
      <c r="AC82" s="31" t="s">
        <v>691</v>
      </c>
    </row>
    <row r="83" spans="1:29">
      <c r="A83" s="62" t="s">
        <v>361</v>
      </c>
      <c r="B83" s="62" t="s">
        <v>110</v>
      </c>
      <c r="C83" s="62" t="s">
        <v>362</v>
      </c>
      <c r="D83" s="62" t="s">
        <v>273</v>
      </c>
      <c r="E83" s="62" t="s">
        <v>348</v>
      </c>
      <c r="F83" s="63">
        <v>4</v>
      </c>
      <c r="G83" s="62" t="s">
        <v>98</v>
      </c>
      <c r="H83" s="63">
        <v>4</v>
      </c>
      <c r="I83" s="62" t="s">
        <v>98</v>
      </c>
      <c r="J83" s="64">
        <v>1417</v>
      </c>
      <c r="K83" s="64">
        <v>1417</v>
      </c>
      <c r="L83" s="62" t="s">
        <v>98</v>
      </c>
      <c r="M83" s="62" t="s">
        <v>100</v>
      </c>
      <c r="N83" s="62" t="s">
        <v>349</v>
      </c>
      <c r="O83" s="62" t="s">
        <v>52</v>
      </c>
      <c r="P83" s="64">
        <v>1241.81</v>
      </c>
      <c r="Q83" s="63">
        <v>29394</v>
      </c>
      <c r="R83" s="63">
        <v>36501750</v>
      </c>
      <c r="S83" s="62" t="s">
        <v>363</v>
      </c>
      <c r="T83" s="62" t="s">
        <v>72</v>
      </c>
      <c r="U83" s="64">
        <v>29393.99</v>
      </c>
      <c r="V83" s="62" t="s">
        <v>172</v>
      </c>
      <c r="W83" s="62" t="s">
        <v>81</v>
      </c>
      <c r="X83" s="62" t="s">
        <v>160</v>
      </c>
      <c r="Y83" s="62" t="s">
        <v>231</v>
      </c>
      <c r="Z83" s="63">
        <v>0</v>
      </c>
      <c r="AA83" s="63">
        <v>0</v>
      </c>
      <c r="AB83" s="62" t="s">
        <v>78</v>
      </c>
      <c r="AC83" s="31" t="s">
        <v>691</v>
      </c>
    </row>
    <row r="84" spans="1:29">
      <c r="A84" s="62" t="s">
        <v>364</v>
      </c>
      <c r="B84" s="62" t="s">
        <v>110</v>
      </c>
      <c r="C84" s="62" t="s">
        <v>365</v>
      </c>
      <c r="D84" s="62" t="s">
        <v>273</v>
      </c>
      <c r="E84" s="62" t="s">
        <v>348</v>
      </c>
      <c r="F84" s="63">
        <v>2</v>
      </c>
      <c r="G84" s="62" t="s">
        <v>98</v>
      </c>
      <c r="H84" s="63">
        <v>2</v>
      </c>
      <c r="I84" s="62" t="s">
        <v>98</v>
      </c>
      <c r="J84" s="64">
        <v>1075</v>
      </c>
      <c r="K84" s="64">
        <v>1075</v>
      </c>
      <c r="L84" s="62" t="s">
        <v>98</v>
      </c>
      <c r="M84" s="62" t="s">
        <v>100</v>
      </c>
      <c r="N84" s="62" t="s">
        <v>349</v>
      </c>
      <c r="O84" s="62" t="s">
        <v>52</v>
      </c>
      <c r="P84" s="64">
        <v>1241.81</v>
      </c>
      <c r="Q84" s="63">
        <v>28618</v>
      </c>
      <c r="R84" s="63">
        <v>35538416</v>
      </c>
      <c r="S84" s="62" t="s">
        <v>366</v>
      </c>
      <c r="T84" s="62" t="s">
        <v>72</v>
      </c>
      <c r="U84" s="64">
        <v>28618.240000000002</v>
      </c>
      <c r="V84" s="62" t="s">
        <v>172</v>
      </c>
      <c r="W84" s="62" t="s">
        <v>81</v>
      </c>
      <c r="X84" s="62" t="s">
        <v>160</v>
      </c>
      <c r="Y84" s="62" t="s">
        <v>231</v>
      </c>
      <c r="Z84" s="63">
        <v>0</v>
      </c>
      <c r="AA84" s="63">
        <v>0</v>
      </c>
      <c r="AB84" s="62" t="s">
        <v>78</v>
      </c>
      <c r="AC84" s="31" t="s">
        <v>691</v>
      </c>
    </row>
    <row r="85" spans="1:29">
      <c r="A85" s="62" t="s">
        <v>367</v>
      </c>
      <c r="B85" s="62" t="s">
        <v>110</v>
      </c>
      <c r="C85" s="62" t="s">
        <v>368</v>
      </c>
      <c r="D85" s="62" t="s">
        <v>272</v>
      </c>
      <c r="E85" s="62" t="s">
        <v>350</v>
      </c>
      <c r="F85" s="63">
        <v>2</v>
      </c>
      <c r="G85" s="62" t="s">
        <v>98</v>
      </c>
      <c r="H85" s="63">
        <v>2</v>
      </c>
      <c r="I85" s="62" t="s">
        <v>98</v>
      </c>
      <c r="J85" s="64">
        <v>516</v>
      </c>
      <c r="K85" s="64">
        <v>512</v>
      </c>
      <c r="L85" s="62" t="s">
        <v>98</v>
      </c>
      <c r="M85" s="62" t="s">
        <v>100</v>
      </c>
      <c r="N85" s="62" t="s">
        <v>399</v>
      </c>
      <c r="O85" s="62" t="s">
        <v>52</v>
      </c>
      <c r="P85" s="64">
        <v>1241.81</v>
      </c>
      <c r="Q85" s="63">
        <v>13485</v>
      </c>
      <c r="R85" s="63">
        <v>16746192</v>
      </c>
      <c r="S85" s="62" t="s">
        <v>608</v>
      </c>
      <c r="T85" s="62" t="s">
        <v>72</v>
      </c>
      <c r="U85" s="64">
        <v>13485.31</v>
      </c>
      <c r="V85" s="62" t="s">
        <v>172</v>
      </c>
      <c r="W85" s="62" t="s">
        <v>81</v>
      </c>
      <c r="X85" s="62" t="s">
        <v>160</v>
      </c>
      <c r="Y85" s="62" t="s">
        <v>231</v>
      </c>
      <c r="Z85" s="63">
        <v>0</v>
      </c>
      <c r="AA85" s="63">
        <v>0</v>
      </c>
      <c r="AB85" s="62" t="s">
        <v>78</v>
      </c>
      <c r="AC85" s="31" t="s">
        <v>691</v>
      </c>
    </row>
    <row r="86" spans="1:29">
      <c r="A86" s="62" t="s">
        <v>609</v>
      </c>
      <c r="B86" s="62" t="s">
        <v>110</v>
      </c>
      <c r="C86" s="62" t="s">
        <v>610</v>
      </c>
      <c r="D86" s="62" t="s">
        <v>275</v>
      </c>
      <c r="E86" s="62" t="s">
        <v>422</v>
      </c>
      <c r="F86" s="63">
        <v>34</v>
      </c>
      <c r="G86" s="62" t="s">
        <v>98</v>
      </c>
      <c r="H86" s="63">
        <v>34</v>
      </c>
      <c r="I86" s="62" t="s">
        <v>99</v>
      </c>
      <c r="J86" s="64">
        <v>15716</v>
      </c>
      <c r="K86" s="64">
        <v>15716</v>
      </c>
      <c r="L86" s="62" t="s">
        <v>98</v>
      </c>
      <c r="M86" s="62" t="s">
        <v>100</v>
      </c>
      <c r="N86" s="62" t="s">
        <v>279</v>
      </c>
      <c r="O86" s="62" t="s">
        <v>52</v>
      </c>
      <c r="P86" s="64">
        <v>1252.45</v>
      </c>
      <c r="Q86" s="63">
        <v>304854</v>
      </c>
      <c r="R86" s="63">
        <v>381814943</v>
      </c>
      <c r="S86" s="62" t="s">
        <v>611</v>
      </c>
      <c r="T86" s="62" t="s">
        <v>72</v>
      </c>
      <c r="U86" s="64">
        <v>304854.44</v>
      </c>
      <c r="V86" s="62" t="s">
        <v>172</v>
      </c>
      <c r="W86" s="62" t="s">
        <v>74</v>
      </c>
      <c r="X86" s="62" t="s">
        <v>160</v>
      </c>
      <c r="Y86" s="62" t="s">
        <v>231</v>
      </c>
      <c r="Z86" s="63">
        <v>0</v>
      </c>
      <c r="AA86" s="63">
        <v>0</v>
      </c>
      <c r="AB86" s="62" t="s">
        <v>78</v>
      </c>
      <c r="AC86" s="31" t="s">
        <v>691</v>
      </c>
    </row>
    <row r="87" spans="1:29">
      <c r="A87" s="62" t="s">
        <v>612</v>
      </c>
      <c r="B87" s="62" t="s">
        <v>110</v>
      </c>
      <c r="C87" s="62" t="s">
        <v>613</v>
      </c>
      <c r="D87" s="62" t="s">
        <v>614</v>
      </c>
      <c r="E87" s="62" t="s">
        <v>615</v>
      </c>
      <c r="F87" s="63">
        <v>2</v>
      </c>
      <c r="G87" s="62" t="s">
        <v>98</v>
      </c>
      <c r="H87" s="63">
        <v>2</v>
      </c>
      <c r="I87" s="62" t="s">
        <v>98</v>
      </c>
      <c r="J87" s="64">
        <v>644</v>
      </c>
      <c r="K87" s="64">
        <v>644</v>
      </c>
      <c r="L87" s="62" t="s">
        <v>98</v>
      </c>
      <c r="M87" s="62" t="s">
        <v>100</v>
      </c>
      <c r="N87" s="62" t="s">
        <v>274</v>
      </c>
      <c r="O87" s="62" t="s">
        <v>52</v>
      </c>
      <c r="P87" s="64">
        <v>1252.45</v>
      </c>
      <c r="Q87" s="63">
        <v>13755</v>
      </c>
      <c r="R87" s="63">
        <v>17227499</v>
      </c>
      <c r="S87" s="62" t="s">
        <v>616</v>
      </c>
      <c r="T87" s="62" t="s">
        <v>72</v>
      </c>
      <c r="U87" s="64">
        <v>13755.04</v>
      </c>
      <c r="V87" s="62" t="s">
        <v>172</v>
      </c>
      <c r="W87" s="62" t="s">
        <v>81</v>
      </c>
      <c r="X87" s="62" t="s">
        <v>160</v>
      </c>
      <c r="Y87" s="62" t="s">
        <v>231</v>
      </c>
      <c r="Z87" s="63">
        <v>0</v>
      </c>
      <c r="AA87" s="63">
        <v>0</v>
      </c>
      <c r="AB87" s="62" t="s">
        <v>78</v>
      </c>
      <c r="AC87" s="31" t="s">
        <v>691</v>
      </c>
    </row>
    <row r="88" spans="1:29">
      <c r="A88" s="62" t="s">
        <v>617</v>
      </c>
      <c r="B88" s="62" t="s">
        <v>110</v>
      </c>
      <c r="C88" s="62" t="s">
        <v>618</v>
      </c>
      <c r="D88" s="62" t="s">
        <v>274</v>
      </c>
      <c r="E88" s="62" t="s">
        <v>431</v>
      </c>
      <c r="F88" s="63">
        <v>4</v>
      </c>
      <c r="G88" s="62" t="s">
        <v>98</v>
      </c>
      <c r="H88" s="63">
        <v>4</v>
      </c>
      <c r="I88" s="62" t="s">
        <v>98</v>
      </c>
      <c r="J88" s="64">
        <v>1288</v>
      </c>
      <c r="K88" s="64">
        <v>1288</v>
      </c>
      <c r="L88" s="62" t="s">
        <v>98</v>
      </c>
      <c r="M88" s="62" t="s">
        <v>100</v>
      </c>
      <c r="N88" s="62" t="s">
        <v>277</v>
      </c>
      <c r="O88" s="62" t="s">
        <v>52</v>
      </c>
      <c r="P88" s="64">
        <v>1252.45</v>
      </c>
      <c r="Q88" s="63">
        <v>27510</v>
      </c>
      <c r="R88" s="63">
        <v>34454999</v>
      </c>
      <c r="S88" s="62" t="s">
        <v>619</v>
      </c>
      <c r="T88" s="62" t="s">
        <v>72</v>
      </c>
      <c r="U88" s="64">
        <v>27510.080000000002</v>
      </c>
      <c r="V88" s="62" t="s">
        <v>172</v>
      </c>
      <c r="W88" s="62" t="s">
        <v>81</v>
      </c>
      <c r="X88" s="62" t="s">
        <v>160</v>
      </c>
      <c r="Y88" s="62" t="s">
        <v>231</v>
      </c>
      <c r="Z88" s="63">
        <v>0</v>
      </c>
      <c r="AA88" s="63">
        <v>0</v>
      </c>
      <c r="AB88" s="62" t="s">
        <v>78</v>
      </c>
      <c r="AC88" s="31" t="s">
        <v>691</v>
      </c>
    </row>
    <row r="89" spans="1:29">
      <c r="A89" s="62" t="s">
        <v>620</v>
      </c>
      <c r="B89" s="62" t="s">
        <v>110</v>
      </c>
      <c r="C89" s="62" t="s">
        <v>621</v>
      </c>
      <c r="D89" s="62" t="s">
        <v>277</v>
      </c>
      <c r="E89" s="62" t="s">
        <v>372</v>
      </c>
      <c r="F89" s="63">
        <v>1</v>
      </c>
      <c r="G89" s="62" t="s">
        <v>98</v>
      </c>
      <c r="H89" s="63">
        <v>1</v>
      </c>
      <c r="I89" s="62" t="s">
        <v>98</v>
      </c>
      <c r="J89" s="64">
        <v>479</v>
      </c>
      <c r="K89" s="64">
        <v>479</v>
      </c>
      <c r="L89" s="62" t="s">
        <v>98</v>
      </c>
      <c r="M89" s="62" t="s">
        <v>100</v>
      </c>
      <c r="N89" s="62" t="s">
        <v>435</v>
      </c>
      <c r="O89" s="62" t="s">
        <v>52</v>
      </c>
      <c r="P89" s="64">
        <v>1252.45</v>
      </c>
      <c r="Q89" s="63">
        <v>11151</v>
      </c>
      <c r="R89" s="63">
        <v>13965694</v>
      </c>
      <c r="S89" s="62" t="s">
        <v>622</v>
      </c>
      <c r="T89" s="62" t="s">
        <v>72</v>
      </c>
      <c r="U89" s="64">
        <v>11150.7</v>
      </c>
      <c r="V89" s="62" t="s">
        <v>172</v>
      </c>
      <c r="W89" s="62" t="s">
        <v>81</v>
      </c>
      <c r="X89" s="62" t="s">
        <v>160</v>
      </c>
      <c r="Y89" s="62" t="s">
        <v>231</v>
      </c>
      <c r="Z89" s="63">
        <v>0</v>
      </c>
      <c r="AA89" s="63">
        <v>0</v>
      </c>
      <c r="AB89" s="62" t="s">
        <v>78</v>
      </c>
      <c r="AC89" s="31" t="s">
        <v>691</v>
      </c>
    </row>
    <row r="90" spans="1:29">
      <c r="A90" s="62" t="s">
        <v>623</v>
      </c>
      <c r="B90" s="62" t="s">
        <v>110</v>
      </c>
      <c r="C90" s="62" t="s">
        <v>624</v>
      </c>
      <c r="D90" s="62" t="s">
        <v>279</v>
      </c>
      <c r="E90" s="62" t="s">
        <v>372</v>
      </c>
      <c r="F90" s="63">
        <v>1</v>
      </c>
      <c r="G90" s="62" t="s">
        <v>98</v>
      </c>
      <c r="H90" s="63">
        <v>1</v>
      </c>
      <c r="I90" s="62" t="s">
        <v>98</v>
      </c>
      <c r="J90" s="64">
        <v>287</v>
      </c>
      <c r="K90" s="64">
        <v>244</v>
      </c>
      <c r="L90" s="62" t="s">
        <v>98</v>
      </c>
      <c r="M90" s="62" t="s">
        <v>100</v>
      </c>
      <c r="N90" s="62" t="s">
        <v>373</v>
      </c>
      <c r="O90" s="62" t="s">
        <v>52</v>
      </c>
      <c r="P90" s="64">
        <v>1252.45</v>
      </c>
      <c r="Q90" s="63">
        <v>6219</v>
      </c>
      <c r="R90" s="63">
        <v>7788736</v>
      </c>
      <c r="S90" s="62" t="s">
        <v>625</v>
      </c>
      <c r="T90" s="62" t="s">
        <v>72</v>
      </c>
      <c r="U90" s="64">
        <v>6218.8</v>
      </c>
      <c r="V90" s="62" t="s">
        <v>172</v>
      </c>
      <c r="W90" s="62" t="s">
        <v>81</v>
      </c>
      <c r="X90" s="62" t="s">
        <v>160</v>
      </c>
      <c r="Y90" s="62" t="s">
        <v>231</v>
      </c>
      <c r="Z90" s="63">
        <v>0</v>
      </c>
      <c r="AA90" s="63">
        <v>0</v>
      </c>
      <c r="AB90" s="62" t="s">
        <v>78</v>
      </c>
      <c r="AC90" s="31" t="s">
        <v>691</v>
      </c>
    </row>
    <row r="91" spans="1:29">
      <c r="A91" s="62" t="s">
        <v>627</v>
      </c>
      <c r="B91" s="62" t="s">
        <v>110</v>
      </c>
      <c r="C91" s="62" t="s">
        <v>628</v>
      </c>
      <c r="D91" s="62" t="s">
        <v>280</v>
      </c>
      <c r="E91" s="62" t="s">
        <v>481</v>
      </c>
      <c r="F91" s="63">
        <v>4</v>
      </c>
      <c r="G91" s="62" t="s">
        <v>98</v>
      </c>
      <c r="H91" s="63">
        <v>4</v>
      </c>
      <c r="I91" s="62" t="s">
        <v>98</v>
      </c>
      <c r="J91" s="64">
        <v>2088</v>
      </c>
      <c r="K91" s="64">
        <v>2088</v>
      </c>
      <c r="L91" s="62" t="s">
        <v>98</v>
      </c>
      <c r="M91" s="62" t="s">
        <v>100</v>
      </c>
      <c r="N91" s="62" t="s">
        <v>394</v>
      </c>
      <c r="O91" s="62" t="s">
        <v>52</v>
      </c>
      <c r="P91" s="64">
        <v>1264.9100000000001</v>
      </c>
      <c r="Q91" s="63">
        <v>30184</v>
      </c>
      <c r="R91" s="63">
        <v>38180448</v>
      </c>
      <c r="S91" s="62" t="s">
        <v>629</v>
      </c>
      <c r="T91" s="62" t="s">
        <v>72</v>
      </c>
      <c r="U91" s="64">
        <v>30184.32</v>
      </c>
      <c r="V91" s="62" t="s">
        <v>172</v>
      </c>
      <c r="W91" s="62" t="s">
        <v>81</v>
      </c>
      <c r="X91" s="62" t="s">
        <v>160</v>
      </c>
      <c r="Y91" s="62" t="s">
        <v>231</v>
      </c>
      <c r="Z91" s="63">
        <v>0</v>
      </c>
      <c r="AA91" s="63">
        <v>0</v>
      </c>
      <c r="AB91" s="62" t="s">
        <v>78</v>
      </c>
      <c r="AC91" s="31" t="s">
        <v>692</v>
      </c>
    </row>
    <row r="92" spans="1:29">
      <c r="A92" s="62" t="s">
        <v>630</v>
      </c>
      <c r="B92" s="62" t="s">
        <v>110</v>
      </c>
      <c r="C92" s="62" t="s">
        <v>631</v>
      </c>
      <c r="D92" s="62" t="s">
        <v>394</v>
      </c>
      <c r="E92" s="62" t="s">
        <v>486</v>
      </c>
      <c r="F92" s="63">
        <v>2</v>
      </c>
      <c r="G92" s="62" t="s">
        <v>98</v>
      </c>
      <c r="H92" s="63">
        <v>2</v>
      </c>
      <c r="I92" s="62" t="s">
        <v>98</v>
      </c>
      <c r="J92" s="64">
        <v>1008</v>
      </c>
      <c r="K92" s="64">
        <v>1008</v>
      </c>
      <c r="L92" s="62" t="s">
        <v>98</v>
      </c>
      <c r="M92" s="62" t="s">
        <v>100</v>
      </c>
      <c r="N92" s="62" t="s">
        <v>283</v>
      </c>
      <c r="O92" s="62" t="s">
        <v>52</v>
      </c>
      <c r="P92" s="64">
        <v>1264.9100000000001</v>
      </c>
      <c r="Q92" s="63">
        <v>19788</v>
      </c>
      <c r="R92" s="63">
        <v>25030140</v>
      </c>
      <c r="S92" s="62" t="s">
        <v>632</v>
      </c>
      <c r="T92" s="62" t="s">
        <v>72</v>
      </c>
      <c r="U92" s="64">
        <v>19788.080000000002</v>
      </c>
      <c r="V92" s="62" t="s">
        <v>172</v>
      </c>
      <c r="W92" s="62" t="s">
        <v>81</v>
      </c>
      <c r="X92" s="62" t="s">
        <v>160</v>
      </c>
      <c r="Y92" s="62" t="s">
        <v>231</v>
      </c>
      <c r="Z92" s="63">
        <v>0</v>
      </c>
      <c r="AA92" s="63">
        <v>0</v>
      </c>
      <c r="AB92" s="62" t="s">
        <v>78</v>
      </c>
      <c r="AC92" s="31" t="s">
        <v>692</v>
      </c>
    </row>
    <row r="93" spans="1:29">
      <c r="A93" s="62" t="s">
        <v>633</v>
      </c>
      <c r="B93" s="62" t="s">
        <v>110</v>
      </c>
      <c r="C93" s="62" t="s">
        <v>634</v>
      </c>
      <c r="D93" s="62" t="s">
        <v>394</v>
      </c>
      <c r="E93" s="62" t="s">
        <v>486</v>
      </c>
      <c r="F93" s="63">
        <v>36</v>
      </c>
      <c r="G93" s="62" t="s">
        <v>98</v>
      </c>
      <c r="H93" s="63">
        <v>36</v>
      </c>
      <c r="I93" s="62" t="s">
        <v>99</v>
      </c>
      <c r="J93" s="64">
        <v>15716</v>
      </c>
      <c r="K93" s="64">
        <v>15716</v>
      </c>
      <c r="L93" s="62" t="s">
        <v>98</v>
      </c>
      <c r="M93" s="62" t="s">
        <v>100</v>
      </c>
      <c r="N93" s="62" t="s">
        <v>276</v>
      </c>
      <c r="O93" s="62" t="s">
        <v>52</v>
      </c>
      <c r="P93" s="64">
        <v>1264.9100000000001</v>
      </c>
      <c r="Q93" s="63">
        <v>319745</v>
      </c>
      <c r="R93" s="63">
        <v>404448255</v>
      </c>
      <c r="S93" s="62" t="s">
        <v>635</v>
      </c>
      <c r="T93" s="62" t="s">
        <v>72</v>
      </c>
      <c r="U93" s="64">
        <v>319744.69</v>
      </c>
      <c r="V93" s="62" t="s">
        <v>172</v>
      </c>
      <c r="W93" s="62" t="s">
        <v>74</v>
      </c>
      <c r="X93" s="62" t="s">
        <v>160</v>
      </c>
      <c r="Y93" s="62" t="s">
        <v>231</v>
      </c>
      <c r="Z93" s="63">
        <v>0</v>
      </c>
      <c r="AA93" s="63">
        <v>0</v>
      </c>
      <c r="AB93" s="62" t="s">
        <v>78</v>
      </c>
      <c r="AC93" s="31" t="s">
        <v>692</v>
      </c>
    </row>
    <row r="94" spans="1:29">
      <c r="A94" s="62" t="s">
        <v>636</v>
      </c>
      <c r="B94" s="62" t="s">
        <v>110</v>
      </c>
      <c r="C94" s="62" t="s">
        <v>637</v>
      </c>
      <c r="D94" s="62" t="s">
        <v>287</v>
      </c>
      <c r="E94" s="62" t="s">
        <v>496</v>
      </c>
      <c r="F94" s="63">
        <v>1</v>
      </c>
      <c r="G94" s="62" t="s">
        <v>98</v>
      </c>
      <c r="H94" s="63">
        <v>1</v>
      </c>
      <c r="I94" s="62" t="s">
        <v>98</v>
      </c>
      <c r="J94" s="64">
        <v>464</v>
      </c>
      <c r="K94" s="64">
        <v>464</v>
      </c>
      <c r="L94" s="62" t="s">
        <v>98</v>
      </c>
      <c r="M94" s="62" t="s">
        <v>100</v>
      </c>
      <c r="N94" s="62" t="s">
        <v>284</v>
      </c>
      <c r="O94" s="62" t="s">
        <v>52</v>
      </c>
      <c r="P94" s="64">
        <v>1264.9100000000001</v>
      </c>
      <c r="Q94" s="63">
        <v>9838</v>
      </c>
      <c r="R94" s="63">
        <v>12444058</v>
      </c>
      <c r="S94" s="62" t="s">
        <v>638</v>
      </c>
      <c r="T94" s="62" t="s">
        <v>72</v>
      </c>
      <c r="U94" s="64">
        <v>9837.9</v>
      </c>
      <c r="V94" s="62" t="s">
        <v>172</v>
      </c>
      <c r="W94" s="62" t="s">
        <v>81</v>
      </c>
      <c r="X94" s="62" t="s">
        <v>160</v>
      </c>
      <c r="Y94" s="62" t="s">
        <v>231</v>
      </c>
      <c r="Z94" s="63">
        <v>0</v>
      </c>
      <c r="AA94" s="63">
        <v>0</v>
      </c>
      <c r="AB94" s="62" t="s">
        <v>78</v>
      </c>
      <c r="AC94" s="31" t="s">
        <v>692</v>
      </c>
    </row>
    <row r="95" spans="1:29">
      <c r="A95" s="62" t="s">
        <v>639</v>
      </c>
      <c r="B95" s="62" t="s">
        <v>110</v>
      </c>
      <c r="C95" s="62" t="s">
        <v>640</v>
      </c>
      <c r="D95" s="62" t="s">
        <v>284</v>
      </c>
      <c r="E95" s="62" t="s">
        <v>496</v>
      </c>
      <c r="F95" s="63">
        <v>4</v>
      </c>
      <c r="G95" s="62" t="s">
        <v>98</v>
      </c>
      <c r="H95" s="63">
        <v>4</v>
      </c>
      <c r="I95" s="62" t="s">
        <v>98</v>
      </c>
      <c r="J95" s="64">
        <v>2088</v>
      </c>
      <c r="K95" s="64">
        <v>2000</v>
      </c>
      <c r="L95" s="62" t="s">
        <v>98</v>
      </c>
      <c r="M95" s="62" t="s">
        <v>100</v>
      </c>
      <c r="N95" s="62" t="s">
        <v>445</v>
      </c>
      <c r="O95" s="62" t="s">
        <v>52</v>
      </c>
      <c r="P95" s="64">
        <v>1264.9100000000001</v>
      </c>
      <c r="Q95" s="63">
        <v>30184</v>
      </c>
      <c r="R95" s="63">
        <v>38180448</v>
      </c>
      <c r="S95" s="62" t="s">
        <v>641</v>
      </c>
      <c r="T95" s="62" t="s">
        <v>72</v>
      </c>
      <c r="U95" s="64">
        <v>30184.32</v>
      </c>
      <c r="V95" s="62" t="s">
        <v>172</v>
      </c>
      <c r="W95" s="62" t="s">
        <v>81</v>
      </c>
      <c r="X95" s="62" t="s">
        <v>160</v>
      </c>
      <c r="Y95" s="62" t="s">
        <v>231</v>
      </c>
      <c r="Z95" s="63">
        <v>0</v>
      </c>
      <c r="AA95" s="63">
        <v>0</v>
      </c>
      <c r="AB95" s="62" t="s">
        <v>78</v>
      </c>
      <c r="AC95" s="31" t="s">
        <v>692</v>
      </c>
    </row>
    <row r="96" spans="1:29">
      <c r="A96" s="62" t="s">
        <v>642</v>
      </c>
      <c r="B96" s="62" t="s">
        <v>110</v>
      </c>
      <c r="C96" s="62" t="s">
        <v>643</v>
      </c>
      <c r="D96" s="62" t="s">
        <v>276</v>
      </c>
      <c r="E96" s="62" t="s">
        <v>527</v>
      </c>
      <c r="F96" s="63">
        <v>2</v>
      </c>
      <c r="G96" s="62" t="s">
        <v>98</v>
      </c>
      <c r="H96" s="63">
        <v>2</v>
      </c>
      <c r="I96" s="62" t="s">
        <v>98</v>
      </c>
      <c r="J96" s="64">
        <v>1008</v>
      </c>
      <c r="K96" s="64">
        <v>1008</v>
      </c>
      <c r="L96" s="62" t="s">
        <v>98</v>
      </c>
      <c r="M96" s="62" t="s">
        <v>100</v>
      </c>
      <c r="N96" s="62" t="s">
        <v>285</v>
      </c>
      <c r="O96" s="62" t="s">
        <v>52</v>
      </c>
      <c r="P96" s="64">
        <v>1265.3900000000001</v>
      </c>
      <c r="Q96" s="63">
        <v>19788</v>
      </c>
      <c r="R96" s="63">
        <v>25039638</v>
      </c>
      <c r="S96" s="62" t="s">
        <v>644</v>
      </c>
      <c r="T96" s="62" t="s">
        <v>72</v>
      </c>
      <c r="U96" s="64">
        <v>19788.080000000002</v>
      </c>
      <c r="V96" s="62" t="s">
        <v>172</v>
      </c>
      <c r="W96" s="62" t="s">
        <v>81</v>
      </c>
      <c r="X96" s="62" t="s">
        <v>160</v>
      </c>
      <c r="Y96" s="62" t="s">
        <v>231</v>
      </c>
      <c r="Z96" s="63">
        <v>0</v>
      </c>
      <c r="AA96" s="63">
        <v>0</v>
      </c>
      <c r="AB96" s="62" t="s">
        <v>78</v>
      </c>
      <c r="AC96" s="31" t="s">
        <v>692</v>
      </c>
    </row>
    <row r="97" spans="1:29">
      <c r="A97" s="62" t="s">
        <v>645</v>
      </c>
      <c r="B97" s="62" t="s">
        <v>110</v>
      </c>
      <c r="C97" s="62" t="s">
        <v>646</v>
      </c>
      <c r="D97" s="62" t="s">
        <v>517</v>
      </c>
      <c r="E97" s="62" t="s">
        <v>532</v>
      </c>
      <c r="F97" s="63">
        <v>2</v>
      </c>
      <c r="G97" s="62" t="s">
        <v>98</v>
      </c>
      <c r="H97" s="63">
        <v>2</v>
      </c>
      <c r="I97" s="62" t="s">
        <v>98</v>
      </c>
      <c r="J97" s="64">
        <v>504</v>
      </c>
      <c r="K97" s="64">
        <v>504</v>
      </c>
      <c r="L97" s="62" t="s">
        <v>98</v>
      </c>
      <c r="M97" s="62" t="s">
        <v>100</v>
      </c>
      <c r="N97" s="62" t="s">
        <v>285</v>
      </c>
      <c r="O97" s="62" t="s">
        <v>52</v>
      </c>
      <c r="P97" s="64">
        <v>1265.3900000000001</v>
      </c>
      <c r="Q97" s="63">
        <v>10636</v>
      </c>
      <c r="R97" s="63">
        <v>13459130</v>
      </c>
      <c r="S97" s="62" t="s">
        <v>647</v>
      </c>
      <c r="T97" s="62" t="s">
        <v>72</v>
      </c>
      <c r="U97" s="64">
        <v>10636.35</v>
      </c>
      <c r="V97" s="62" t="s">
        <v>172</v>
      </c>
      <c r="W97" s="62" t="s">
        <v>81</v>
      </c>
      <c r="X97" s="62" t="s">
        <v>160</v>
      </c>
      <c r="Y97" s="62" t="s">
        <v>231</v>
      </c>
      <c r="Z97" s="63">
        <v>0</v>
      </c>
      <c r="AA97" s="63">
        <v>0</v>
      </c>
      <c r="AB97" s="62" t="s">
        <v>78</v>
      </c>
      <c r="AC97" s="31" t="s">
        <v>692</v>
      </c>
    </row>
    <row r="98" spans="1:29">
      <c r="A98" s="62" t="s">
        <v>648</v>
      </c>
      <c r="B98" s="62" t="s">
        <v>110</v>
      </c>
      <c r="C98" s="62" t="s">
        <v>649</v>
      </c>
      <c r="D98" s="62" t="s">
        <v>295</v>
      </c>
      <c r="E98" s="62" t="s">
        <v>378</v>
      </c>
      <c r="F98" s="63">
        <v>1</v>
      </c>
      <c r="G98" s="62" t="s">
        <v>98</v>
      </c>
      <c r="H98" s="63">
        <v>1</v>
      </c>
      <c r="I98" s="62" t="s">
        <v>98</v>
      </c>
      <c r="J98" s="64">
        <v>356.6</v>
      </c>
      <c r="K98" s="64">
        <v>357</v>
      </c>
      <c r="L98" s="62" t="s">
        <v>98</v>
      </c>
      <c r="M98" s="62" t="s">
        <v>100</v>
      </c>
      <c r="N98" s="62" t="s">
        <v>522</v>
      </c>
      <c r="O98" s="62" t="s">
        <v>52</v>
      </c>
      <c r="P98" s="64">
        <v>1265.3900000000001</v>
      </c>
      <c r="Q98" s="63">
        <v>8177</v>
      </c>
      <c r="R98" s="63">
        <v>10347321</v>
      </c>
      <c r="S98" s="62" t="s">
        <v>650</v>
      </c>
      <c r="T98" s="62" t="s">
        <v>72</v>
      </c>
      <c r="U98" s="64">
        <v>8177.18</v>
      </c>
      <c r="V98" s="62" t="s">
        <v>172</v>
      </c>
      <c r="W98" s="62" t="s">
        <v>81</v>
      </c>
      <c r="X98" s="62" t="s">
        <v>160</v>
      </c>
      <c r="Y98" s="62" t="s">
        <v>231</v>
      </c>
      <c r="Z98" s="63">
        <v>0</v>
      </c>
      <c r="AA98" s="63">
        <v>0</v>
      </c>
      <c r="AB98" s="62" t="s">
        <v>78</v>
      </c>
      <c r="AC98" s="31" t="s">
        <v>692</v>
      </c>
    </row>
    <row r="99" spans="1:29">
      <c r="A99" s="62" t="s">
        <v>651</v>
      </c>
      <c r="B99" s="62" t="s">
        <v>110</v>
      </c>
      <c r="C99" s="62" t="s">
        <v>652</v>
      </c>
      <c r="D99" s="62" t="s">
        <v>299</v>
      </c>
      <c r="E99" s="62" t="s">
        <v>567</v>
      </c>
      <c r="F99" s="63">
        <v>2</v>
      </c>
      <c r="G99" s="62" t="s">
        <v>98</v>
      </c>
      <c r="H99" s="63">
        <v>2</v>
      </c>
      <c r="I99" s="62" t="s">
        <v>98</v>
      </c>
      <c r="J99" s="64">
        <v>1044</v>
      </c>
      <c r="K99" s="64">
        <v>1044</v>
      </c>
      <c r="L99" s="62" t="s">
        <v>98</v>
      </c>
      <c r="M99" s="62" t="s">
        <v>100</v>
      </c>
      <c r="N99" s="62" t="s">
        <v>382</v>
      </c>
      <c r="O99" s="62" t="s">
        <v>52</v>
      </c>
      <c r="P99" s="64">
        <v>1254.01</v>
      </c>
      <c r="Q99" s="63">
        <v>15092</v>
      </c>
      <c r="R99" s="63">
        <v>18925719</v>
      </c>
      <c r="S99" s="62" t="s">
        <v>653</v>
      </c>
      <c r="T99" s="62" t="s">
        <v>72</v>
      </c>
      <c r="U99" s="64">
        <v>15092.16</v>
      </c>
      <c r="V99" s="62" t="s">
        <v>172</v>
      </c>
      <c r="W99" s="62" t="s">
        <v>81</v>
      </c>
      <c r="X99" s="62" t="s">
        <v>160</v>
      </c>
      <c r="Y99" s="62" t="s">
        <v>231</v>
      </c>
      <c r="Z99" s="63">
        <v>0</v>
      </c>
      <c r="AA99" s="63">
        <v>0</v>
      </c>
      <c r="AB99" s="62" t="s">
        <v>78</v>
      </c>
      <c r="AC99" s="31" t="s">
        <v>692</v>
      </c>
    </row>
    <row r="100" spans="1:29">
      <c r="A100" s="62" t="s">
        <v>654</v>
      </c>
      <c r="B100" s="62" t="s">
        <v>110</v>
      </c>
      <c r="C100" s="62" t="s">
        <v>655</v>
      </c>
      <c r="D100" s="62" t="s">
        <v>302</v>
      </c>
      <c r="E100" s="62" t="s">
        <v>589</v>
      </c>
      <c r="F100" s="63">
        <v>47</v>
      </c>
      <c r="G100" s="62" t="s">
        <v>98</v>
      </c>
      <c r="H100" s="63" t="s">
        <v>78</v>
      </c>
      <c r="I100" s="62" t="s">
        <v>78</v>
      </c>
      <c r="J100" s="64">
        <v>20277</v>
      </c>
      <c r="K100" s="64" t="s">
        <v>78</v>
      </c>
      <c r="L100" s="62" t="s">
        <v>98</v>
      </c>
      <c r="M100" s="62" t="s">
        <v>102</v>
      </c>
      <c r="N100" s="62" t="s">
        <v>78</v>
      </c>
      <c r="O100" s="62" t="s">
        <v>52</v>
      </c>
      <c r="P100" s="64">
        <v>1254.01</v>
      </c>
      <c r="Q100" s="63">
        <v>406498</v>
      </c>
      <c r="R100" s="63">
        <v>509752155</v>
      </c>
      <c r="S100" s="62" t="s">
        <v>78</v>
      </c>
      <c r="T100" s="62" t="s">
        <v>72</v>
      </c>
      <c r="U100" s="64">
        <v>406497.68</v>
      </c>
      <c r="V100" s="62" t="s">
        <v>172</v>
      </c>
      <c r="W100" s="62" t="s">
        <v>74</v>
      </c>
      <c r="X100" s="62" t="s">
        <v>160</v>
      </c>
      <c r="Y100" s="62" t="s">
        <v>231</v>
      </c>
      <c r="Z100" s="63">
        <v>0</v>
      </c>
      <c r="AA100" s="63">
        <v>0</v>
      </c>
      <c r="AB100" s="62" t="s">
        <v>78</v>
      </c>
      <c r="AC100" s="31" t="s">
        <v>692</v>
      </c>
    </row>
    <row r="101" spans="1:29">
      <c r="A101" s="62" t="s">
        <v>656</v>
      </c>
      <c r="B101" s="62" t="s">
        <v>110</v>
      </c>
      <c r="C101" s="62" t="s">
        <v>657</v>
      </c>
      <c r="D101" s="62" t="s">
        <v>302</v>
      </c>
      <c r="E101" s="62" t="s">
        <v>589</v>
      </c>
      <c r="F101" s="63">
        <v>1</v>
      </c>
      <c r="G101" s="62" t="s">
        <v>98</v>
      </c>
      <c r="H101" s="63">
        <v>1</v>
      </c>
      <c r="I101" s="62" t="s">
        <v>98</v>
      </c>
      <c r="J101" s="64">
        <v>343.8</v>
      </c>
      <c r="K101" s="64">
        <v>370</v>
      </c>
      <c r="L101" s="62" t="s">
        <v>98</v>
      </c>
      <c r="M101" s="62" t="s">
        <v>100</v>
      </c>
      <c r="N101" s="62" t="s">
        <v>348</v>
      </c>
      <c r="O101" s="62" t="s">
        <v>52</v>
      </c>
      <c r="P101" s="64">
        <v>1254.01</v>
      </c>
      <c r="Q101" s="63">
        <v>7463</v>
      </c>
      <c r="R101" s="63">
        <v>9358124</v>
      </c>
      <c r="S101" s="62" t="s">
        <v>693</v>
      </c>
      <c r="T101" s="62" t="s">
        <v>72</v>
      </c>
      <c r="U101" s="64">
        <v>7462.56</v>
      </c>
      <c r="V101" s="62" t="s">
        <v>172</v>
      </c>
      <c r="W101" s="62" t="s">
        <v>81</v>
      </c>
      <c r="X101" s="62" t="s">
        <v>160</v>
      </c>
      <c r="Y101" s="62" t="s">
        <v>231</v>
      </c>
      <c r="Z101" s="63">
        <v>0</v>
      </c>
      <c r="AA101" s="63">
        <v>0</v>
      </c>
      <c r="AB101" s="62" t="s">
        <v>78</v>
      </c>
      <c r="AC101" s="31" t="s">
        <v>692</v>
      </c>
    </row>
    <row r="102" spans="1:29">
      <c r="A102" s="62" t="s">
        <v>658</v>
      </c>
      <c r="B102" s="62" t="s">
        <v>110</v>
      </c>
      <c r="C102" s="62" t="s">
        <v>659</v>
      </c>
      <c r="D102" s="62" t="s">
        <v>348</v>
      </c>
      <c r="E102" s="62" t="s">
        <v>589</v>
      </c>
      <c r="F102" s="63">
        <v>1</v>
      </c>
      <c r="G102" s="62" t="s">
        <v>98</v>
      </c>
      <c r="H102" s="63">
        <v>1</v>
      </c>
      <c r="I102" s="62" t="s">
        <v>98</v>
      </c>
      <c r="J102" s="64">
        <v>300.83</v>
      </c>
      <c r="K102" s="64">
        <v>301</v>
      </c>
      <c r="L102" s="62" t="s">
        <v>98</v>
      </c>
      <c r="M102" s="62" t="s">
        <v>100</v>
      </c>
      <c r="N102" s="62" t="s">
        <v>687</v>
      </c>
      <c r="O102" s="62" t="s">
        <v>52</v>
      </c>
      <c r="P102" s="64">
        <v>1254.01</v>
      </c>
      <c r="Q102" s="63">
        <v>6530</v>
      </c>
      <c r="R102" s="63">
        <v>8188359</v>
      </c>
      <c r="S102" s="62" t="s">
        <v>694</v>
      </c>
      <c r="T102" s="62" t="s">
        <v>72</v>
      </c>
      <c r="U102" s="64">
        <v>6529.74</v>
      </c>
      <c r="V102" s="62" t="s">
        <v>172</v>
      </c>
      <c r="W102" s="62" t="s">
        <v>81</v>
      </c>
      <c r="X102" s="62" t="s">
        <v>160</v>
      </c>
      <c r="Y102" s="62" t="s">
        <v>231</v>
      </c>
      <c r="Z102" s="63">
        <v>0</v>
      </c>
      <c r="AA102" s="63">
        <v>0</v>
      </c>
      <c r="AB102" s="62" t="s">
        <v>78</v>
      </c>
      <c r="AC102" s="31" t="s">
        <v>692</v>
      </c>
    </row>
    <row r="103" spans="1:29">
      <c r="A103" s="62" t="s">
        <v>695</v>
      </c>
      <c r="B103" s="62" t="s">
        <v>110</v>
      </c>
      <c r="C103" s="62" t="s">
        <v>696</v>
      </c>
      <c r="D103" s="62" t="s">
        <v>350</v>
      </c>
      <c r="E103" s="62" t="s">
        <v>396</v>
      </c>
      <c r="F103" s="63">
        <v>1</v>
      </c>
      <c r="G103" s="62" t="s">
        <v>98</v>
      </c>
      <c r="H103" s="63" t="s">
        <v>78</v>
      </c>
      <c r="I103" s="62" t="s">
        <v>78</v>
      </c>
      <c r="J103" s="64">
        <v>570.79999999999995</v>
      </c>
      <c r="K103" s="64" t="s">
        <v>78</v>
      </c>
      <c r="L103" s="62" t="s">
        <v>98</v>
      </c>
      <c r="M103" s="62" t="s">
        <v>102</v>
      </c>
      <c r="N103" s="62" t="s">
        <v>78</v>
      </c>
      <c r="O103" s="62" t="s">
        <v>52</v>
      </c>
      <c r="P103" s="64">
        <v>1236.02</v>
      </c>
      <c r="Q103" s="63">
        <v>13833</v>
      </c>
      <c r="R103" s="63">
        <v>17097419</v>
      </c>
      <c r="S103" s="62" t="s">
        <v>78</v>
      </c>
      <c r="T103" s="62" t="s">
        <v>72</v>
      </c>
      <c r="U103" s="64">
        <v>13832.64</v>
      </c>
      <c r="V103" s="62" t="s">
        <v>172</v>
      </c>
      <c r="W103" s="62" t="s">
        <v>81</v>
      </c>
      <c r="X103" s="62" t="s">
        <v>160</v>
      </c>
      <c r="Y103" s="62" t="s">
        <v>231</v>
      </c>
      <c r="Z103" s="63">
        <v>0</v>
      </c>
      <c r="AA103" s="63">
        <v>0</v>
      </c>
      <c r="AB103" s="62" t="s">
        <v>78</v>
      </c>
      <c r="AC103" s="31" t="s">
        <v>692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S104"/>
  <sheetViews>
    <sheetView topLeftCell="A73" workbookViewId="0">
      <selection activeCell="I108" sqref="I108"/>
    </sheetView>
  </sheetViews>
  <sheetFormatPr defaultColWidth="9" defaultRowHeight="17.399999999999999"/>
  <cols>
    <col min="1" max="1" width="19.19921875" style="34" bestFit="1" customWidth="1"/>
    <col min="2" max="2" width="16.19921875" style="34" bestFit="1" customWidth="1"/>
    <col min="3" max="3" width="13" style="42" bestFit="1" customWidth="1"/>
    <col min="4" max="7" width="13" style="40" bestFit="1" customWidth="1"/>
    <col min="8" max="8" width="9.19921875" style="34" bestFit="1" customWidth="1"/>
    <col min="9" max="9" width="22.59765625" style="34" bestFit="1" customWidth="1"/>
    <col min="10" max="10" width="9.19921875" style="40" bestFit="1" customWidth="1"/>
    <col min="11" max="11" width="19.19921875" style="55" bestFit="1" customWidth="1"/>
    <col min="12" max="12" width="17.19921875" style="34" bestFit="1" customWidth="1"/>
    <col min="13" max="13" width="16" style="34" bestFit="1" customWidth="1"/>
    <col min="14" max="14" width="9.8984375" style="34" bestFit="1" customWidth="1"/>
    <col min="15" max="15" width="9" style="34"/>
    <col min="16" max="16" width="11.3984375" style="34" customWidth="1"/>
    <col min="17" max="17" width="4.69921875" style="34" customWidth="1"/>
    <col min="18" max="16384" width="9" style="34"/>
  </cols>
  <sheetData>
    <row r="1" spans="1:19">
      <c r="A1" s="33" t="s">
        <v>235</v>
      </c>
      <c r="B1" s="32" t="s">
        <v>48</v>
      </c>
      <c r="C1" s="41" t="s">
        <v>50</v>
      </c>
      <c r="D1" s="32" t="s">
        <v>146</v>
      </c>
      <c r="E1" s="32" t="s">
        <v>54</v>
      </c>
      <c r="F1" s="32" t="s">
        <v>51</v>
      </c>
      <c r="G1" s="32" t="s">
        <v>57</v>
      </c>
      <c r="H1" s="32" t="s">
        <v>86</v>
      </c>
      <c r="I1" s="32" t="s">
        <v>87</v>
      </c>
      <c r="J1" s="33" t="s">
        <v>232</v>
      </c>
      <c r="K1" s="33" t="s">
        <v>263</v>
      </c>
      <c r="L1" s="33" t="s">
        <v>236</v>
      </c>
      <c r="P1" s="35"/>
    </row>
    <row r="2" spans="1:19" ht="16.5" customHeight="1">
      <c r="A2" s="60" t="s">
        <v>301</v>
      </c>
      <c r="B2" s="57" t="s">
        <v>300</v>
      </c>
      <c r="C2" s="58">
        <v>106359.8</v>
      </c>
      <c r="D2" s="57" t="s">
        <v>52</v>
      </c>
      <c r="E2" s="57" t="s">
        <v>269</v>
      </c>
      <c r="F2" s="57" t="s">
        <v>269</v>
      </c>
      <c r="G2" s="57" t="s">
        <v>273</v>
      </c>
      <c r="H2" s="57" t="s">
        <v>89</v>
      </c>
      <c r="I2" s="57" t="s">
        <v>152</v>
      </c>
      <c r="J2" s="53" t="s">
        <v>478</v>
      </c>
      <c r="K2" s="60" t="str">
        <f>VLOOKUP(B2,Sheet1!$A$2:$C$102,3,FALSE)</f>
        <v>DSM2204-AM02</v>
      </c>
      <c r="L2" s="52" t="s">
        <v>661</v>
      </c>
      <c r="N2" s="39"/>
      <c r="P2" s="36">
        <v>41072</v>
      </c>
      <c r="Q2" s="34">
        <v>21</v>
      </c>
      <c r="R2" s="34" t="s">
        <v>164</v>
      </c>
      <c r="S2" s="34" t="str">
        <f>P2&amp;"-"&amp;Q2&amp;"-"&amp;R2</f>
        <v>41072-21-503188X</v>
      </c>
    </row>
    <row r="3" spans="1:19" ht="16.5" customHeight="1">
      <c r="A3" s="60" t="s">
        <v>369</v>
      </c>
      <c r="B3" s="57" t="s">
        <v>426</v>
      </c>
      <c r="C3" s="59">
        <v>59320440</v>
      </c>
      <c r="D3" s="57" t="s">
        <v>256</v>
      </c>
      <c r="E3" s="57" t="s">
        <v>275</v>
      </c>
      <c r="F3" s="57" t="s">
        <v>275</v>
      </c>
      <c r="G3" s="57" t="s">
        <v>78</v>
      </c>
      <c r="H3" s="57" t="s">
        <v>88</v>
      </c>
      <c r="I3" s="57" t="s">
        <v>126</v>
      </c>
      <c r="J3" s="53" t="s">
        <v>478</v>
      </c>
      <c r="K3" s="60" t="str">
        <f>VLOOKUP(B3,Sheet1!$A$2:$C$102,3,FALSE)</f>
        <v>DSM2204-R01</v>
      </c>
      <c r="L3" s="52" t="s">
        <v>662</v>
      </c>
      <c r="N3" s="39"/>
      <c r="P3" s="36">
        <v>41072</v>
      </c>
      <c r="Q3" s="34">
        <v>21</v>
      </c>
      <c r="R3" s="34" t="s">
        <v>218</v>
      </c>
      <c r="S3" s="34" t="str">
        <f>P3&amp;"-"&amp;Q3&amp;"-"&amp;R3</f>
        <v>41072-21-503529X</v>
      </c>
    </row>
    <row r="4" spans="1:19">
      <c r="A4" s="60" t="s">
        <v>320</v>
      </c>
      <c r="B4" s="57" t="s">
        <v>319</v>
      </c>
      <c r="C4" s="59">
        <v>26052784</v>
      </c>
      <c r="D4" s="57" t="s">
        <v>256</v>
      </c>
      <c r="E4" s="57" t="s">
        <v>304</v>
      </c>
      <c r="F4" s="57" t="s">
        <v>304</v>
      </c>
      <c r="G4" s="57" t="s">
        <v>272</v>
      </c>
      <c r="H4" s="57" t="s">
        <v>88</v>
      </c>
      <c r="I4" s="57" t="s">
        <v>126</v>
      </c>
      <c r="J4" s="53" t="s">
        <v>478</v>
      </c>
      <c r="K4" s="60" t="str">
        <f>VLOOKUP(B4,Sheet1!$A$2:$C$102,3,FALSE)</f>
        <v>DSM2204-R02</v>
      </c>
      <c r="L4" s="52" t="s">
        <v>662</v>
      </c>
      <c r="N4" s="39"/>
      <c r="P4" s="36">
        <v>41072</v>
      </c>
      <c r="Q4" s="34">
        <v>21</v>
      </c>
      <c r="R4" s="34" t="s">
        <v>187</v>
      </c>
      <c r="S4" s="34" t="str">
        <f>P4&amp;"-"&amp;Q4&amp;"-"&amp;R4</f>
        <v>41072-21-503317X</v>
      </c>
    </row>
    <row r="5" spans="1:19">
      <c r="A5" s="60" t="s">
        <v>317</v>
      </c>
      <c r="B5" s="57" t="s">
        <v>316</v>
      </c>
      <c r="C5" s="59">
        <v>88488766</v>
      </c>
      <c r="D5" s="57" t="s">
        <v>256</v>
      </c>
      <c r="E5" s="57" t="s">
        <v>304</v>
      </c>
      <c r="F5" s="57" t="s">
        <v>304</v>
      </c>
      <c r="G5" s="57" t="s">
        <v>78</v>
      </c>
      <c r="H5" s="57" t="s">
        <v>88</v>
      </c>
      <c r="I5" s="57" t="s">
        <v>126</v>
      </c>
      <c r="J5" s="53" t="s">
        <v>478</v>
      </c>
      <c r="K5" s="60" t="str">
        <f>VLOOKUP(B5,Sheet1!$A$2:$C$102,3,FALSE)</f>
        <v>DSM2204-R03</v>
      </c>
      <c r="L5" s="52" t="s">
        <v>662</v>
      </c>
      <c r="N5" s="39"/>
      <c r="P5" s="36"/>
    </row>
    <row r="6" spans="1:19">
      <c r="A6" s="60" t="s">
        <v>288</v>
      </c>
      <c r="B6" s="57" t="s">
        <v>303</v>
      </c>
      <c r="C6" s="57">
        <v>674.41</v>
      </c>
      <c r="D6" s="57" t="s">
        <v>52</v>
      </c>
      <c r="E6" s="57" t="s">
        <v>304</v>
      </c>
      <c r="F6" s="57" t="s">
        <v>304</v>
      </c>
      <c r="G6" s="57" t="s">
        <v>275</v>
      </c>
      <c r="H6" s="57" t="s">
        <v>88</v>
      </c>
      <c r="I6" s="57" t="s">
        <v>126</v>
      </c>
      <c r="J6" s="53" t="s">
        <v>478</v>
      </c>
      <c r="K6" s="60" t="str">
        <f>VLOOKUP(B6,Sheet1!$A$2:$C$102,3,FALSE)</f>
        <v>2204P14</v>
      </c>
      <c r="L6" s="52" t="s">
        <v>660</v>
      </c>
      <c r="P6" s="36"/>
    </row>
    <row r="7" spans="1:19" ht="16.5" customHeight="1">
      <c r="A7" s="60" t="s">
        <v>289</v>
      </c>
      <c r="B7" s="57" t="s">
        <v>306</v>
      </c>
      <c r="C7" s="59">
        <v>3379</v>
      </c>
      <c r="D7" s="57" t="s">
        <v>52</v>
      </c>
      <c r="E7" s="57" t="s">
        <v>304</v>
      </c>
      <c r="F7" s="57" t="s">
        <v>304</v>
      </c>
      <c r="G7" s="57" t="s">
        <v>275</v>
      </c>
      <c r="H7" s="57" t="s">
        <v>88</v>
      </c>
      <c r="I7" s="57" t="s">
        <v>126</v>
      </c>
      <c r="J7" s="53" t="s">
        <v>478</v>
      </c>
      <c r="K7" s="60" t="str">
        <f>VLOOKUP(B7,Sheet1!$A$2:$C$102,3,FALSE)</f>
        <v>2204P15</v>
      </c>
      <c r="L7" s="52" t="s">
        <v>660</v>
      </c>
      <c r="N7" s="39"/>
      <c r="P7" s="36">
        <v>41072</v>
      </c>
      <c r="Q7" s="34">
        <v>21</v>
      </c>
      <c r="R7" s="34" t="s">
        <v>163</v>
      </c>
      <c r="S7" s="34" t="str">
        <f>P7&amp;"-"&amp;Q7&amp;"-"&amp;R7</f>
        <v>41072-21-503172X</v>
      </c>
    </row>
    <row r="8" spans="1:19">
      <c r="A8" s="61" t="s">
        <v>290</v>
      </c>
      <c r="B8" s="57" t="s">
        <v>308</v>
      </c>
      <c r="C8" s="58">
        <v>1586.12</v>
      </c>
      <c r="D8" s="57" t="s">
        <v>52</v>
      </c>
      <c r="E8" s="57" t="s">
        <v>304</v>
      </c>
      <c r="F8" s="57" t="s">
        <v>304</v>
      </c>
      <c r="G8" s="57" t="s">
        <v>275</v>
      </c>
      <c r="H8" s="57" t="s">
        <v>88</v>
      </c>
      <c r="I8" s="57" t="s">
        <v>126</v>
      </c>
      <c r="J8" s="53" t="s">
        <v>478</v>
      </c>
      <c r="K8" s="61" t="str">
        <f>VLOOKUP(B8,Sheet1!$A$2:$C$102,3,FALSE)</f>
        <v>2204P16</v>
      </c>
      <c r="L8" s="52" t="s">
        <v>660</v>
      </c>
      <c r="P8" s="36">
        <v>41072</v>
      </c>
      <c r="Q8" s="34">
        <v>21</v>
      </c>
      <c r="R8" s="34" t="s">
        <v>198</v>
      </c>
      <c r="S8" s="34" t="str">
        <f>P8&amp;"-"&amp;Q8&amp;"-"&amp;R8</f>
        <v>41072-21-503232X</v>
      </c>
    </row>
    <row r="9" spans="1:19" ht="16.5" customHeight="1">
      <c r="A9" s="60" t="s">
        <v>291</v>
      </c>
      <c r="B9" s="57" t="s">
        <v>310</v>
      </c>
      <c r="C9" s="58">
        <v>33252.9</v>
      </c>
      <c r="D9" s="57" t="s">
        <v>52</v>
      </c>
      <c r="E9" s="57" t="s">
        <v>304</v>
      </c>
      <c r="F9" s="57" t="s">
        <v>304</v>
      </c>
      <c r="G9" s="57" t="s">
        <v>275</v>
      </c>
      <c r="H9" s="57" t="s">
        <v>88</v>
      </c>
      <c r="I9" s="57" t="s">
        <v>126</v>
      </c>
      <c r="J9" s="53" t="s">
        <v>478</v>
      </c>
      <c r="K9" s="60" t="str">
        <f>VLOOKUP(B9,Sheet1!$A$2:$C$102,3,FALSE)</f>
        <v>2204P17</v>
      </c>
      <c r="L9" s="52" t="s">
        <v>660</v>
      </c>
      <c r="N9" s="39"/>
      <c r="P9" s="36">
        <v>41072</v>
      </c>
      <c r="Q9" s="34">
        <v>21</v>
      </c>
      <c r="R9" s="34" t="s">
        <v>166</v>
      </c>
      <c r="S9" s="34" t="str">
        <f t="shared" ref="S9" si="0">P9&amp;"-"&amp;Q9&amp;"-"&amp;R9</f>
        <v>41072-21-503211X</v>
      </c>
    </row>
    <row r="10" spans="1:19" ht="16.5" customHeight="1">
      <c r="A10" s="60" t="s">
        <v>292</v>
      </c>
      <c r="B10" s="57" t="s">
        <v>312</v>
      </c>
      <c r="C10" s="58">
        <v>18438.72</v>
      </c>
      <c r="D10" s="57" t="s">
        <v>52</v>
      </c>
      <c r="E10" s="57" t="s">
        <v>304</v>
      </c>
      <c r="F10" s="57" t="s">
        <v>304</v>
      </c>
      <c r="G10" s="57" t="s">
        <v>275</v>
      </c>
      <c r="H10" s="57" t="s">
        <v>88</v>
      </c>
      <c r="I10" s="57" t="s">
        <v>126</v>
      </c>
      <c r="J10" s="53" t="s">
        <v>478</v>
      </c>
      <c r="K10" s="60" t="str">
        <f>VLOOKUP(B10,Sheet1!$A$2:$C$102,3,FALSE)</f>
        <v>2204P18</v>
      </c>
      <c r="L10" s="52" t="s">
        <v>660</v>
      </c>
      <c r="N10" s="39"/>
      <c r="P10" s="36">
        <v>41072</v>
      </c>
      <c r="Q10" s="34">
        <v>21</v>
      </c>
      <c r="R10" s="34" t="s">
        <v>181</v>
      </c>
      <c r="S10" s="34" t="str">
        <f t="shared" ref="S10:S21" si="1">P10&amp;"-"&amp;Q10&amp;"-"&amp;R10</f>
        <v>41072-21-503243X</v>
      </c>
    </row>
    <row r="11" spans="1:19" ht="16.5" customHeight="1">
      <c r="A11" s="60" t="s">
        <v>293</v>
      </c>
      <c r="B11" s="57" t="s">
        <v>325</v>
      </c>
      <c r="C11" s="59">
        <v>23184</v>
      </c>
      <c r="D11" s="57" t="s">
        <v>52</v>
      </c>
      <c r="E11" s="57" t="s">
        <v>273</v>
      </c>
      <c r="F11" s="57" t="s">
        <v>273</v>
      </c>
      <c r="G11" s="57" t="s">
        <v>349</v>
      </c>
      <c r="H11" s="57" t="s">
        <v>239</v>
      </c>
      <c r="I11" s="57" t="s">
        <v>240</v>
      </c>
      <c r="J11" s="53" t="s">
        <v>478</v>
      </c>
      <c r="K11" s="60" t="str">
        <f>VLOOKUP(B11,Sheet1!$A$2:$C$102,3,FALSE)</f>
        <v>2204P22</v>
      </c>
      <c r="L11" s="52" t="s">
        <v>660</v>
      </c>
      <c r="N11" s="39"/>
      <c r="P11" s="36">
        <v>41072</v>
      </c>
      <c r="Q11" s="34">
        <v>21</v>
      </c>
      <c r="R11" s="34" t="s">
        <v>180</v>
      </c>
      <c r="S11" s="34" t="str">
        <f>P11&amp;"-"&amp;Q11&amp;"-"&amp;R11</f>
        <v>41072-21-503255X</v>
      </c>
    </row>
    <row r="12" spans="1:19" ht="16.5" customHeight="1">
      <c r="A12" s="60"/>
      <c r="B12" s="57"/>
      <c r="C12" s="59"/>
      <c r="D12" s="57"/>
      <c r="E12" s="57"/>
      <c r="F12" s="57"/>
      <c r="G12" s="57"/>
      <c r="H12" s="57"/>
      <c r="I12" s="57"/>
      <c r="J12" s="53"/>
      <c r="K12" s="60"/>
      <c r="L12" s="52"/>
      <c r="N12" s="39"/>
      <c r="P12" s="36"/>
    </row>
    <row r="13" spans="1:19" ht="17.25" customHeight="1">
      <c r="A13" s="65" t="s">
        <v>441</v>
      </c>
      <c r="B13" s="66" t="s">
        <v>440</v>
      </c>
      <c r="C13" s="67">
        <v>18401.759999999998</v>
      </c>
      <c r="D13" s="66" t="s">
        <v>52</v>
      </c>
      <c r="E13" s="66" t="s">
        <v>274</v>
      </c>
      <c r="F13" s="66" t="s">
        <v>274</v>
      </c>
      <c r="G13" s="66" t="s">
        <v>435</v>
      </c>
      <c r="H13" s="66" t="s">
        <v>239</v>
      </c>
      <c r="I13" s="66" t="s">
        <v>240</v>
      </c>
      <c r="J13" s="68" t="s">
        <v>478</v>
      </c>
      <c r="K13" s="65" t="str">
        <f>VLOOKUP(B13,Sheet1!$A$2:$C$102,3,FALSE)</f>
        <v>2205P01</v>
      </c>
      <c r="L13" s="69" t="s">
        <v>660</v>
      </c>
      <c r="N13" s="39"/>
      <c r="P13" s="36">
        <v>41072</v>
      </c>
      <c r="Q13" s="34">
        <v>21</v>
      </c>
      <c r="R13" s="34" t="s">
        <v>174</v>
      </c>
      <c r="S13" s="34" t="str">
        <f>P13&amp;"-"&amp;Q13&amp;"-"&amp;R13</f>
        <v>41072-21-503253X</v>
      </c>
    </row>
    <row r="14" spans="1:19" ht="16.5" customHeight="1">
      <c r="A14" s="65" t="s">
        <v>438</v>
      </c>
      <c r="B14" s="66" t="s">
        <v>437</v>
      </c>
      <c r="C14" s="67">
        <v>19817.28</v>
      </c>
      <c r="D14" s="66" t="s">
        <v>52</v>
      </c>
      <c r="E14" s="66" t="s">
        <v>274</v>
      </c>
      <c r="F14" s="66" t="s">
        <v>274</v>
      </c>
      <c r="G14" s="66" t="s">
        <v>435</v>
      </c>
      <c r="H14" s="66" t="s">
        <v>239</v>
      </c>
      <c r="I14" s="66" t="s">
        <v>240</v>
      </c>
      <c r="J14" s="68" t="s">
        <v>478</v>
      </c>
      <c r="K14" s="65" t="str">
        <f>VLOOKUP(B14,Sheet1!$A$2:$C$102,3,FALSE)</f>
        <v>2205P02</v>
      </c>
      <c r="L14" s="69" t="s">
        <v>660</v>
      </c>
      <c r="N14" s="39"/>
      <c r="P14" s="36">
        <v>41072</v>
      </c>
      <c r="Q14" s="34">
        <v>21</v>
      </c>
      <c r="R14" s="34" t="s">
        <v>203</v>
      </c>
      <c r="S14" s="34" t="str">
        <f>P14&amp;"-"&amp;Q14&amp;"-"&amp;R14</f>
        <v>41072-21-503264X</v>
      </c>
    </row>
    <row r="15" spans="1:19" ht="16.5" customHeight="1">
      <c r="A15" s="65" t="s">
        <v>434</v>
      </c>
      <c r="B15" s="66" t="s">
        <v>433</v>
      </c>
      <c r="C15" s="67">
        <v>40536.21</v>
      </c>
      <c r="D15" s="66" t="s">
        <v>52</v>
      </c>
      <c r="E15" s="66" t="s">
        <v>274</v>
      </c>
      <c r="F15" s="66" t="s">
        <v>274</v>
      </c>
      <c r="G15" s="66" t="s">
        <v>435</v>
      </c>
      <c r="H15" s="66" t="s">
        <v>239</v>
      </c>
      <c r="I15" s="66" t="s">
        <v>240</v>
      </c>
      <c r="J15" s="68" t="s">
        <v>478</v>
      </c>
      <c r="K15" s="65" t="str">
        <f>VLOOKUP(B15,Sheet1!$A$2:$C$102,3,FALSE)</f>
        <v>2205P03</v>
      </c>
      <c r="L15" s="69" t="s">
        <v>660</v>
      </c>
      <c r="N15" s="39"/>
      <c r="P15" s="36"/>
    </row>
    <row r="16" spans="1:19">
      <c r="A16" s="65" t="s">
        <v>480</v>
      </c>
      <c r="B16" s="66" t="s">
        <v>479</v>
      </c>
      <c r="C16" s="67">
        <v>50215.68</v>
      </c>
      <c r="D16" s="66" t="s">
        <v>52</v>
      </c>
      <c r="E16" s="66" t="s">
        <v>280</v>
      </c>
      <c r="F16" s="66" t="s">
        <v>280</v>
      </c>
      <c r="G16" s="66" t="s">
        <v>445</v>
      </c>
      <c r="H16" s="66" t="s">
        <v>88</v>
      </c>
      <c r="I16" s="66" t="s">
        <v>126</v>
      </c>
      <c r="J16" s="68" t="s">
        <v>478</v>
      </c>
      <c r="K16" s="65" t="str">
        <f>VLOOKUP(B16,Sheet1!$A$2:$C$102,3,FALSE)</f>
        <v>2205P04</v>
      </c>
      <c r="L16" s="69" t="s">
        <v>660</v>
      </c>
      <c r="N16" s="39"/>
      <c r="P16" s="36">
        <v>41072</v>
      </c>
      <c r="Q16" s="34">
        <v>21</v>
      </c>
      <c r="R16" s="34" t="s">
        <v>225</v>
      </c>
      <c r="S16" s="34" t="str">
        <f>P16&amp;"-"&amp;Q16&amp;"-"&amp;R16</f>
        <v>41072-21-503390X</v>
      </c>
    </row>
    <row r="17" spans="1:19">
      <c r="A17" s="65" t="s">
        <v>495</v>
      </c>
      <c r="B17" s="66" t="s">
        <v>494</v>
      </c>
      <c r="C17" s="67">
        <v>96312.960000000006</v>
      </c>
      <c r="D17" s="66" t="s">
        <v>52</v>
      </c>
      <c r="E17" s="66" t="s">
        <v>284</v>
      </c>
      <c r="F17" s="66" t="s">
        <v>284</v>
      </c>
      <c r="G17" s="66" t="s">
        <v>78</v>
      </c>
      <c r="H17" s="66" t="s">
        <v>88</v>
      </c>
      <c r="I17" s="66" t="s">
        <v>126</v>
      </c>
      <c r="J17" s="68" t="s">
        <v>478</v>
      </c>
      <c r="K17" s="65" t="str">
        <f>VLOOKUP(B17,Sheet1!$A$2:$C$102,3,FALSE)</f>
        <v>2205P05</v>
      </c>
      <c r="L17" s="69" t="s">
        <v>660</v>
      </c>
      <c r="P17" s="36">
        <v>41072</v>
      </c>
      <c r="Q17" s="34">
        <v>21</v>
      </c>
      <c r="R17" s="34" t="s">
        <v>199</v>
      </c>
      <c r="S17" s="34" t="str">
        <f>P17&amp;"-"&amp;Q17&amp;"-"&amp;R17</f>
        <v>41072-21-503233X</v>
      </c>
    </row>
    <row r="18" spans="1:19">
      <c r="A18" s="65" t="s">
        <v>503</v>
      </c>
      <c r="B18" s="66" t="s">
        <v>502</v>
      </c>
      <c r="C18" s="67">
        <v>82178.720000000001</v>
      </c>
      <c r="D18" s="66" t="s">
        <v>52</v>
      </c>
      <c r="E18" s="66" t="s">
        <v>284</v>
      </c>
      <c r="F18" s="66" t="s">
        <v>284</v>
      </c>
      <c r="G18" s="66" t="s">
        <v>299</v>
      </c>
      <c r="H18" s="66" t="s">
        <v>88</v>
      </c>
      <c r="I18" s="66" t="s">
        <v>126</v>
      </c>
      <c r="J18" s="68" t="s">
        <v>478</v>
      </c>
      <c r="K18" s="65" t="str">
        <f>VLOOKUP(B18,Sheet1!$A$2:$C$102,3,FALSE)</f>
        <v>2205P06</v>
      </c>
      <c r="L18" s="69" t="s">
        <v>660</v>
      </c>
      <c r="N18" s="39"/>
      <c r="P18" s="36">
        <v>41072</v>
      </c>
      <c r="Q18" s="34">
        <v>21</v>
      </c>
      <c r="R18" s="34" t="s">
        <v>200</v>
      </c>
      <c r="S18" s="34" t="str">
        <f>P18&amp;"-"&amp;Q18&amp;"-"&amp;R18</f>
        <v>41072-21-503229X</v>
      </c>
    </row>
    <row r="19" spans="1:19">
      <c r="A19" s="70" t="s">
        <v>473</v>
      </c>
      <c r="B19" s="66" t="s">
        <v>472</v>
      </c>
      <c r="C19" s="67">
        <v>11882.58</v>
      </c>
      <c r="D19" s="66" t="s">
        <v>52</v>
      </c>
      <c r="E19" s="66" t="s">
        <v>277</v>
      </c>
      <c r="F19" s="66" t="s">
        <v>277</v>
      </c>
      <c r="G19" s="66" t="s">
        <v>373</v>
      </c>
      <c r="H19" s="66" t="s">
        <v>239</v>
      </c>
      <c r="I19" s="66" t="s">
        <v>240</v>
      </c>
      <c r="J19" s="68" t="s">
        <v>478</v>
      </c>
      <c r="K19" s="71" t="str">
        <f>VLOOKUP(B19,Sheet1!$A$2:$C$102,3,FALSE)</f>
        <v>2205P07</v>
      </c>
      <c r="L19" s="69" t="s">
        <v>660</v>
      </c>
      <c r="N19" s="39"/>
      <c r="P19" s="36"/>
    </row>
    <row r="20" spans="1:19" ht="16.5" customHeight="1">
      <c r="A20" s="65" t="s">
        <v>499</v>
      </c>
      <c r="B20" s="66" t="s">
        <v>498</v>
      </c>
      <c r="C20" s="67">
        <v>1066.8</v>
      </c>
      <c r="D20" s="66" t="s">
        <v>52</v>
      </c>
      <c r="E20" s="66" t="s">
        <v>284</v>
      </c>
      <c r="F20" s="66" t="s">
        <v>284</v>
      </c>
      <c r="G20" s="66" t="s">
        <v>299</v>
      </c>
      <c r="H20" s="66" t="s">
        <v>88</v>
      </c>
      <c r="I20" s="66" t="s">
        <v>126</v>
      </c>
      <c r="J20" s="68" t="s">
        <v>478</v>
      </c>
      <c r="K20" s="65" t="str">
        <f>VLOOKUP(B20,Sheet1!$A$2:$C$102,3,FALSE)</f>
        <v>2205P08</v>
      </c>
      <c r="L20" s="69" t="s">
        <v>660</v>
      </c>
      <c r="N20" s="39"/>
      <c r="P20" s="36">
        <v>41072</v>
      </c>
      <c r="Q20" s="34">
        <v>21</v>
      </c>
      <c r="R20" s="34" t="s">
        <v>241</v>
      </c>
      <c r="S20" s="34" t="str">
        <f t="shared" si="1"/>
        <v>41072-21-503244X</v>
      </c>
    </row>
    <row r="21" spans="1:19" ht="16.5" customHeight="1">
      <c r="A21" s="65" t="s">
        <v>507</v>
      </c>
      <c r="B21" s="66" t="s">
        <v>506</v>
      </c>
      <c r="C21" s="66">
        <v>533.4</v>
      </c>
      <c r="D21" s="66" t="s">
        <v>52</v>
      </c>
      <c r="E21" s="66" t="s">
        <v>284</v>
      </c>
      <c r="F21" s="66" t="s">
        <v>284</v>
      </c>
      <c r="G21" s="66" t="s">
        <v>78</v>
      </c>
      <c r="H21" s="66" t="s">
        <v>88</v>
      </c>
      <c r="I21" s="66" t="s">
        <v>126</v>
      </c>
      <c r="J21" s="68" t="s">
        <v>478</v>
      </c>
      <c r="K21" s="65" t="str">
        <f>VLOOKUP(B21,Sheet1!$A$2:$C$102,3,FALSE)</f>
        <v>2205P09</v>
      </c>
      <c r="L21" s="69" t="s">
        <v>660</v>
      </c>
      <c r="N21" s="39"/>
      <c r="P21" s="36">
        <v>41072</v>
      </c>
      <c r="Q21" s="34">
        <v>21</v>
      </c>
      <c r="R21" s="34" t="s">
        <v>243</v>
      </c>
      <c r="S21" s="34" t="str">
        <f t="shared" si="1"/>
        <v>41072-21-503246X</v>
      </c>
    </row>
    <row r="22" spans="1:19" ht="16.5" customHeight="1">
      <c r="A22" s="65" t="s">
        <v>510</v>
      </c>
      <c r="B22" s="66" t="s">
        <v>509</v>
      </c>
      <c r="C22" s="67">
        <v>1066.8</v>
      </c>
      <c r="D22" s="66" t="s">
        <v>52</v>
      </c>
      <c r="E22" s="66" t="s">
        <v>284</v>
      </c>
      <c r="F22" s="66" t="s">
        <v>284</v>
      </c>
      <c r="G22" s="66" t="s">
        <v>78</v>
      </c>
      <c r="H22" s="66" t="s">
        <v>88</v>
      </c>
      <c r="I22" s="66" t="s">
        <v>126</v>
      </c>
      <c r="J22" s="68" t="s">
        <v>478</v>
      </c>
      <c r="K22" s="65" t="str">
        <f>VLOOKUP(B22,Sheet1!$A$2:$C$102,3,FALSE)</f>
        <v>2205P10</v>
      </c>
      <c r="L22" s="69" t="s">
        <v>660</v>
      </c>
      <c r="N22" s="39"/>
      <c r="P22" s="36">
        <v>41072</v>
      </c>
      <c r="Q22" s="34">
        <v>21</v>
      </c>
      <c r="R22" s="34" t="s">
        <v>188</v>
      </c>
      <c r="S22" s="34" t="str">
        <f>P22&amp;"-"&amp;Q22&amp;"-"&amp;R22</f>
        <v>41072-21-503318X</v>
      </c>
    </row>
    <row r="23" spans="1:19" ht="16.5" customHeight="1">
      <c r="A23" s="65" t="s">
        <v>536</v>
      </c>
      <c r="B23" s="66" t="s">
        <v>535</v>
      </c>
      <c r="C23" s="67">
        <v>10523.52</v>
      </c>
      <c r="D23" s="66" t="s">
        <v>52</v>
      </c>
      <c r="E23" s="66" t="s">
        <v>517</v>
      </c>
      <c r="F23" s="66" t="s">
        <v>517</v>
      </c>
      <c r="G23" s="66" t="s">
        <v>294</v>
      </c>
      <c r="H23" s="66" t="s">
        <v>88</v>
      </c>
      <c r="I23" s="66" t="s">
        <v>126</v>
      </c>
      <c r="J23" s="68" t="s">
        <v>478</v>
      </c>
      <c r="K23" s="65" t="str">
        <f>VLOOKUP(B23,Sheet1!$A$2:$C$102,3,FALSE)</f>
        <v>2205P11</v>
      </c>
      <c r="L23" s="69" t="s">
        <v>660</v>
      </c>
      <c r="N23" s="39"/>
      <c r="P23" s="36"/>
    </row>
    <row r="24" spans="1:19">
      <c r="A24" s="65" t="s">
        <v>597</v>
      </c>
      <c r="B24" s="66" t="s">
        <v>596</v>
      </c>
      <c r="C24" s="67">
        <v>96825.75</v>
      </c>
      <c r="D24" s="66" t="s">
        <v>52</v>
      </c>
      <c r="E24" s="66" t="s">
        <v>348</v>
      </c>
      <c r="F24" s="66" t="s">
        <v>348</v>
      </c>
      <c r="G24" s="66" t="s">
        <v>78</v>
      </c>
      <c r="H24" s="66" t="s">
        <v>88</v>
      </c>
      <c r="I24" s="66" t="s">
        <v>126</v>
      </c>
      <c r="J24" s="68" t="s">
        <v>478</v>
      </c>
      <c r="K24" s="65" t="str">
        <f>VLOOKUP(B24,Sheet1!$A$2:$C$102,3,FALSE)</f>
        <v>2205P12</v>
      </c>
      <c r="L24" s="69" t="s">
        <v>660</v>
      </c>
      <c r="P24" s="36">
        <v>41072</v>
      </c>
      <c r="Q24" s="34">
        <v>21</v>
      </c>
      <c r="R24" s="34" t="s">
        <v>165</v>
      </c>
      <c r="S24" s="34" t="str">
        <f t="shared" ref="S24:S27" si="2">P24&amp;"-"&amp;Q24&amp;"-"&amp;R24</f>
        <v>41072-21-503209X</v>
      </c>
    </row>
    <row r="25" spans="1:19">
      <c r="A25" s="65" t="s">
        <v>521</v>
      </c>
      <c r="B25" s="66" t="s">
        <v>520</v>
      </c>
      <c r="C25" s="67">
        <v>35400.36</v>
      </c>
      <c r="D25" s="66" t="s">
        <v>52</v>
      </c>
      <c r="E25" s="66" t="s">
        <v>284</v>
      </c>
      <c r="F25" s="66" t="s">
        <v>284</v>
      </c>
      <c r="G25" s="66" t="s">
        <v>522</v>
      </c>
      <c r="H25" s="66" t="s">
        <v>88</v>
      </c>
      <c r="I25" s="66" t="s">
        <v>126</v>
      </c>
      <c r="J25" s="68" t="s">
        <v>478</v>
      </c>
      <c r="K25" s="65" t="str">
        <f>VLOOKUP(B25,Sheet1!$A$2:$C$102,3,FALSE)</f>
        <v>2205P13</v>
      </c>
      <c r="L25" s="69" t="s">
        <v>660</v>
      </c>
      <c r="P25" s="36">
        <v>41072</v>
      </c>
      <c r="Q25" s="34">
        <v>21</v>
      </c>
      <c r="R25" s="34" t="s">
        <v>167</v>
      </c>
      <c r="S25" s="34" t="str">
        <f t="shared" si="2"/>
        <v>41072-21-503210X</v>
      </c>
    </row>
    <row r="26" spans="1:19">
      <c r="A26" s="65" t="s">
        <v>595</v>
      </c>
      <c r="B26" s="66" t="s">
        <v>594</v>
      </c>
      <c r="C26" s="67">
        <v>44186.62</v>
      </c>
      <c r="D26" s="66" t="s">
        <v>52</v>
      </c>
      <c r="E26" s="66" t="s">
        <v>348</v>
      </c>
      <c r="F26" s="66" t="s">
        <v>348</v>
      </c>
      <c r="G26" s="66" t="s">
        <v>78</v>
      </c>
      <c r="H26" s="66" t="s">
        <v>89</v>
      </c>
      <c r="I26" s="66" t="s">
        <v>125</v>
      </c>
      <c r="J26" s="68" t="s">
        <v>478</v>
      </c>
      <c r="K26" s="65" t="str">
        <f>VLOOKUP(B26,Sheet1!$A$2:$C$102,3,FALSE)</f>
        <v>2205P14</v>
      </c>
      <c r="L26" s="69" t="s">
        <v>660</v>
      </c>
      <c r="P26" s="36">
        <v>41072</v>
      </c>
      <c r="Q26" s="34">
        <v>21</v>
      </c>
      <c r="R26" s="34" t="s">
        <v>202</v>
      </c>
      <c r="S26" s="34" t="str">
        <f t="shared" si="2"/>
        <v>41072-21-503230X</v>
      </c>
    </row>
    <row r="27" spans="1:19" ht="16.5" customHeight="1">
      <c r="A27" s="65" t="s">
        <v>600</v>
      </c>
      <c r="B27" s="66" t="s">
        <v>599</v>
      </c>
      <c r="C27" s="67">
        <v>104217.36</v>
      </c>
      <c r="D27" s="66" t="s">
        <v>52</v>
      </c>
      <c r="E27" s="66" t="s">
        <v>348</v>
      </c>
      <c r="F27" s="66" t="s">
        <v>348</v>
      </c>
      <c r="G27" s="66" t="s">
        <v>78</v>
      </c>
      <c r="H27" s="66" t="s">
        <v>88</v>
      </c>
      <c r="I27" s="66" t="s">
        <v>126</v>
      </c>
      <c r="J27" s="68" t="s">
        <v>478</v>
      </c>
      <c r="K27" s="65" t="str">
        <f>VLOOKUP(B27,Sheet1!$A$2:$C$102,3,FALSE)</f>
        <v>2205P15</v>
      </c>
      <c r="L27" s="69" t="s">
        <v>660</v>
      </c>
      <c r="N27" s="39"/>
      <c r="P27" s="36">
        <v>41072</v>
      </c>
      <c r="Q27" s="34">
        <v>21</v>
      </c>
      <c r="R27" s="34" t="s">
        <v>181</v>
      </c>
      <c r="S27" s="34" t="str">
        <f t="shared" si="2"/>
        <v>41072-21-503243X</v>
      </c>
    </row>
    <row r="28" spans="1:19">
      <c r="A28" s="65" t="s">
        <v>314</v>
      </c>
      <c r="B28" s="66" t="s">
        <v>313</v>
      </c>
      <c r="C28" s="67">
        <v>2057.44</v>
      </c>
      <c r="D28" s="66" t="s">
        <v>52</v>
      </c>
      <c r="E28" s="66" t="s">
        <v>304</v>
      </c>
      <c r="F28" s="66" t="s">
        <v>304</v>
      </c>
      <c r="G28" s="66" t="s">
        <v>272</v>
      </c>
      <c r="H28" s="66" t="s">
        <v>88</v>
      </c>
      <c r="I28" s="66" t="s">
        <v>126</v>
      </c>
      <c r="J28" s="68" t="s">
        <v>478</v>
      </c>
      <c r="K28" s="65" t="str">
        <f>VLOOKUP(B28,Sheet1!$A$2:$C$102,3,FALSE)</f>
        <v>DSM2205-01</v>
      </c>
      <c r="L28" s="69" t="s">
        <v>663</v>
      </c>
      <c r="N28" s="39"/>
      <c r="P28" s="36">
        <v>41072</v>
      </c>
      <c r="Q28" s="34">
        <v>21</v>
      </c>
      <c r="R28" s="34" t="s">
        <v>175</v>
      </c>
      <c r="S28" s="34" t="str">
        <f>P28&amp;"-"&amp;Q28&amp;"-"&amp;R28</f>
        <v>41072-21-503254X</v>
      </c>
    </row>
    <row r="29" spans="1:19">
      <c r="A29" s="65" t="s">
        <v>330</v>
      </c>
      <c r="B29" s="66" t="s">
        <v>329</v>
      </c>
      <c r="C29" s="67">
        <v>95594.559999999998</v>
      </c>
      <c r="D29" s="66" t="s">
        <v>52</v>
      </c>
      <c r="E29" s="66" t="s">
        <v>272</v>
      </c>
      <c r="F29" s="66" t="s">
        <v>272</v>
      </c>
      <c r="G29" s="66" t="s">
        <v>283</v>
      </c>
      <c r="H29" s="66" t="s">
        <v>88</v>
      </c>
      <c r="I29" s="66" t="s">
        <v>126</v>
      </c>
      <c r="J29" s="68" t="s">
        <v>478</v>
      </c>
      <c r="K29" s="65" t="str">
        <f>VLOOKUP(B29,Sheet1!$A$2:$C$102,3,FALSE)</f>
        <v>DSM2205-02</v>
      </c>
      <c r="L29" s="69" t="s">
        <v>663</v>
      </c>
      <c r="N29" s="39"/>
      <c r="P29" s="36">
        <v>41072</v>
      </c>
      <c r="Q29" s="34">
        <v>21</v>
      </c>
      <c r="R29" s="34" t="s">
        <v>176</v>
      </c>
      <c r="S29" s="34" t="str">
        <f>P29&amp;"-"&amp;Q29&amp;"-"&amp;R29</f>
        <v>41072-21-503247X</v>
      </c>
    </row>
    <row r="30" spans="1:19">
      <c r="A30" s="65" t="s">
        <v>332</v>
      </c>
      <c r="B30" s="66" t="s">
        <v>331</v>
      </c>
      <c r="C30" s="67">
        <v>68440.600000000006</v>
      </c>
      <c r="D30" s="66" t="s">
        <v>52</v>
      </c>
      <c r="E30" s="66" t="s">
        <v>272</v>
      </c>
      <c r="F30" s="66" t="s">
        <v>272</v>
      </c>
      <c r="G30" s="66" t="s">
        <v>373</v>
      </c>
      <c r="H30" s="66" t="s">
        <v>88</v>
      </c>
      <c r="I30" s="66" t="s">
        <v>126</v>
      </c>
      <c r="J30" s="68" t="s">
        <v>478</v>
      </c>
      <c r="K30" s="65" t="str">
        <f>VLOOKUP(B30,Sheet1!$A$2:$C$102,3,FALSE)</f>
        <v>DSM2205-03</v>
      </c>
      <c r="L30" s="69" t="s">
        <v>663</v>
      </c>
      <c r="P30" s="36">
        <v>41072</v>
      </c>
      <c r="Q30" s="34">
        <v>21</v>
      </c>
      <c r="R30" s="34" t="s">
        <v>249</v>
      </c>
      <c r="S30" s="34" t="str">
        <f>P30&amp;"-"&amp;Q30&amp;"-"&amp;R30</f>
        <v>41072-21-503537X</v>
      </c>
    </row>
    <row r="31" spans="1:19" ht="16.5" customHeight="1">
      <c r="A31" s="65" t="s">
        <v>337</v>
      </c>
      <c r="B31" s="66" t="s">
        <v>336</v>
      </c>
      <c r="C31" s="72">
        <v>15012</v>
      </c>
      <c r="D31" s="66" t="s">
        <v>52</v>
      </c>
      <c r="E31" s="66" t="s">
        <v>272</v>
      </c>
      <c r="F31" s="66" t="s">
        <v>272</v>
      </c>
      <c r="G31" s="66" t="s">
        <v>275</v>
      </c>
      <c r="H31" s="66" t="s">
        <v>88</v>
      </c>
      <c r="I31" s="66" t="s">
        <v>126</v>
      </c>
      <c r="J31" s="68" t="s">
        <v>478</v>
      </c>
      <c r="K31" s="65" t="str">
        <f>VLOOKUP(B31,Sheet1!$A$2:$C$102,3,FALSE)</f>
        <v>DSM2205-04</v>
      </c>
      <c r="L31" s="69" t="s">
        <v>663</v>
      </c>
      <c r="N31" s="39"/>
      <c r="P31" s="36">
        <v>41072</v>
      </c>
      <c r="Q31" s="34">
        <v>21</v>
      </c>
      <c r="R31" s="34" t="s">
        <v>169</v>
      </c>
      <c r="S31" s="34" t="str">
        <f>P31&amp;"-"&amp;Q31&amp;"-"&amp;R31</f>
        <v>41072-21-503242X</v>
      </c>
    </row>
    <row r="32" spans="1:19" ht="16.5" customHeight="1">
      <c r="A32" s="65" t="s">
        <v>402</v>
      </c>
      <c r="B32" s="66" t="s">
        <v>401</v>
      </c>
      <c r="C32" s="67">
        <v>1272.1199999999999</v>
      </c>
      <c r="D32" s="66" t="s">
        <v>52</v>
      </c>
      <c r="E32" s="66" t="s">
        <v>272</v>
      </c>
      <c r="F32" s="66" t="s">
        <v>272</v>
      </c>
      <c r="G32" s="66" t="s">
        <v>399</v>
      </c>
      <c r="H32" s="66" t="s">
        <v>88</v>
      </c>
      <c r="I32" s="66" t="s">
        <v>126</v>
      </c>
      <c r="J32" s="68" t="s">
        <v>478</v>
      </c>
      <c r="K32" s="65" t="str">
        <f>VLOOKUP(B32,Sheet1!$A$2:$C$102,3,FALSE)</f>
        <v>DSM2205-05</v>
      </c>
      <c r="L32" s="69" t="s">
        <v>663</v>
      </c>
      <c r="N32" s="39"/>
      <c r="P32" s="36"/>
    </row>
    <row r="33" spans="1:19" ht="16.5" customHeight="1">
      <c r="A33" s="65" t="s">
        <v>408</v>
      </c>
      <c r="B33" s="66" t="s">
        <v>407</v>
      </c>
      <c r="C33" s="67">
        <v>2638.31</v>
      </c>
      <c r="D33" s="66" t="s">
        <v>52</v>
      </c>
      <c r="E33" s="66" t="s">
        <v>272</v>
      </c>
      <c r="F33" s="66" t="s">
        <v>272</v>
      </c>
      <c r="G33" s="66" t="s">
        <v>399</v>
      </c>
      <c r="H33" s="66" t="s">
        <v>88</v>
      </c>
      <c r="I33" s="66" t="s">
        <v>126</v>
      </c>
      <c r="J33" s="68" t="s">
        <v>478</v>
      </c>
      <c r="K33" s="65" t="str">
        <f>VLOOKUP(B33,Sheet1!$A$2:$C$102,3,FALSE)</f>
        <v>DSM2205-06</v>
      </c>
      <c r="L33" s="69" t="s">
        <v>663</v>
      </c>
      <c r="N33" s="39"/>
      <c r="P33" s="36">
        <v>41072</v>
      </c>
      <c r="Q33" s="34">
        <v>21</v>
      </c>
      <c r="R33" s="34" t="s">
        <v>219</v>
      </c>
      <c r="S33" s="34" t="str">
        <f t="shared" ref="S33:S34" si="3">P33&amp;"-"&amp;Q33&amp;"-"&amp;R33</f>
        <v>41072-21-503530X</v>
      </c>
    </row>
    <row r="34" spans="1:19" ht="16.5" customHeight="1">
      <c r="A34" s="65" t="s">
        <v>444</v>
      </c>
      <c r="B34" s="66" t="s">
        <v>443</v>
      </c>
      <c r="C34" s="67">
        <v>163789.48000000001</v>
      </c>
      <c r="D34" s="66" t="s">
        <v>52</v>
      </c>
      <c r="E34" s="66" t="s">
        <v>277</v>
      </c>
      <c r="F34" s="66" t="s">
        <v>277</v>
      </c>
      <c r="G34" s="66" t="s">
        <v>445</v>
      </c>
      <c r="H34" s="66" t="s">
        <v>88</v>
      </c>
      <c r="I34" s="66" t="s">
        <v>126</v>
      </c>
      <c r="J34" s="68" t="s">
        <v>478</v>
      </c>
      <c r="K34" s="65" t="str">
        <f>VLOOKUP(B34,Sheet1!$A$2:$C$102,3,FALSE)</f>
        <v>DSM2205-07</v>
      </c>
      <c r="L34" s="69" t="s">
        <v>663</v>
      </c>
      <c r="N34" s="39"/>
      <c r="P34" s="36">
        <v>41072</v>
      </c>
      <c r="Q34" s="34">
        <v>21</v>
      </c>
      <c r="R34" s="34" t="s">
        <v>228</v>
      </c>
      <c r="S34" s="34" t="str">
        <f t="shared" si="3"/>
        <v>41072-21-503249X</v>
      </c>
    </row>
    <row r="35" spans="1:19" ht="16.5" customHeight="1">
      <c r="A35" s="65" t="s">
        <v>448</v>
      </c>
      <c r="B35" s="66" t="s">
        <v>447</v>
      </c>
      <c r="C35" s="72">
        <v>4176</v>
      </c>
      <c r="D35" s="66" t="s">
        <v>52</v>
      </c>
      <c r="E35" s="66" t="s">
        <v>277</v>
      </c>
      <c r="F35" s="66" t="s">
        <v>277</v>
      </c>
      <c r="G35" s="66" t="s">
        <v>445</v>
      </c>
      <c r="H35" s="66" t="s">
        <v>88</v>
      </c>
      <c r="I35" s="66" t="s">
        <v>126</v>
      </c>
      <c r="J35" s="68" t="s">
        <v>478</v>
      </c>
      <c r="K35" s="65" t="str">
        <f>VLOOKUP(B35,Sheet1!$A$2:$C$102,3,FALSE)</f>
        <v>DSM2205-08</v>
      </c>
      <c r="L35" s="69" t="s">
        <v>663</v>
      </c>
      <c r="N35" s="39"/>
      <c r="P35" s="36">
        <v>41072</v>
      </c>
      <c r="Q35" s="34">
        <v>21</v>
      </c>
      <c r="R35" s="34" t="s">
        <v>189</v>
      </c>
      <c r="S35" s="34" t="str">
        <f t="shared" ref="S35:S76" si="4">P35&amp;"-"&amp;Q35&amp;"-"&amp;R35</f>
        <v>41072-21-503319X</v>
      </c>
    </row>
    <row r="36" spans="1:19" ht="16.5" customHeight="1">
      <c r="A36" s="65" t="s">
        <v>476</v>
      </c>
      <c r="B36" s="66" t="s">
        <v>475</v>
      </c>
      <c r="C36" s="72">
        <v>15012</v>
      </c>
      <c r="D36" s="66" t="s">
        <v>52</v>
      </c>
      <c r="E36" s="66" t="s">
        <v>279</v>
      </c>
      <c r="F36" s="66" t="s">
        <v>279</v>
      </c>
      <c r="G36" s="66" t="s">
        <v>280</v>
      </c>
      <c r="H36" s="66" t="s">
        <v>88</v>
      </c>
      <c r="I36" s="66" t="s">
        <v>126</v>
      </c>
      <c r="J36" s="68" t="s">
        <v>478</v>
      </c>
      <c r="K36" s="65" t="str">
        <f>VLOOKUP(B36,Sheet1!$A$2:$C$102,3,FALSE)</f>
        <v>DSM2205-09</v>
      </c>
      <c r="L36" s="69" t="s">
        <v>663</v>
      </c>
      <c r="N36" s="39"/>
      <c r="P36" s="36">
        <v>41072</v>
      </c>
      <c r="Q36" s="34">
        <v>21</v>
      </c>
      <c r="R36" s="34" t="s">
        <v>222</v>
      </c>
      <c r="S36" s="34" t="str">
        <f>P36&amp;"-"&amp;Q36&amp;"-"&amp;R36</f>
        <v>41072-21-503535X</v>
      </c>
    </row>
    <row r="37" spans="1:19">
      <c r="A37" s="65" t="s">
        <v>452</v>
      </c>
      <c r="B37" s="66" t="s">
        <v>451</v>
      </c>
      <c r="C37" s="72">
        <v>1670</v>
      </c>
      <c r="D37" s="66" t="s">
        <v>52</v>
      </c>
      <c r="E37" s="66" t="s">
        <v>277</v>
      </c>
      <c r="F37" s="66" t="s">
        <v>277</v>
      </c>
      <c r="G37" s="66" t="s">
        <v>283</v>
      </c>
      <c r="H37" s="66" t="s">
        <v>88</v>
      </c>
      <c r="I37" s="66" t="s">
        <v>126</v>
      </c>
      <c r="J37" s="68" t="s">
        <v>478</v>
      </c>
      <c r="K37" s="65" t="str">
        <f>VLOOKUP(B37,Sheet1!$A$2:$C$102,3,FALSE)</f>
        <v>DSM2205-10</v>
      </c>
      <c r="L37" s="69" t="s">
        <v>663</v>
      </c>
      <c r="P37" s="36">
        <v>41072</v>
      </c>
      <c r="Q37" s="34">
        <v>21</v>
      </c>
      <c r="R37" s="34" t="s">
        <v>250</v>
      </c>
      <c r="S37" s="34" t="str">
        <f>P37&amp;"-"&amp;Q37&amp;"-"&amp;R37</f>
        <v>41072-21-503391X</v>
      </c>
    </row>
    <row r="38" spans="1:19" ht="16.5" customHeight="1">
      <c r="A38" s="65" t="s">
        <v>455</v>
      </c>
      <c r="B38" s="66" t="s">
        <v>454</v>
      </c>
      <c r="C38" s="67">
        <v>2632.77</v>
      </c>
      <c r="D38" s="66" t="s">
        <v>52</v>
      </c>
      <c r="E38" s="66" t="s">
        <v>277</v>
      </c>
      <c r="F38" s="66" t="s">
        <v>277</v>
      </c>
      <c r="G38" s="66" t="s">
        <v>435</v>
      </c>
      <c r="H38" s="66" t="s">
        <v>88</v>
      </c>
      <c r="I38" s="66" t="s">
        <v>126</v>
      </c>
      <c r="J38" s="68" t="s">
        <v>478</v>
      </c>
      <c r="K38" s="65" t="str">
        <f>VLOOKUP(B38,Sheet1!$A$2:$C$102,3,FALSE)</f>
        <v>DSM2205-11</v>
      </c>
      <c r="L38" s="69" t="s">
        <v>663</v>
      </c>
      <c r="N38" s="39"/>
      <c r="P38" s="36">
        <v>41072</v>
      </c>
      <c r="Q38" s="34">
        <v>21</v>
      </c>
      <c r="R38" s="34" t="s">
        <v>190</v>
      </c>
      <c r="S38" s="34" t="str">
        <f t="shared" si="4"/>
        <v>41072-21-503362X</v>
      </c>
    </row>
    <row r="39" spans="1:19" ht="16.5" customHeight="1">
      <c r="A39" s="65" t="s">
        <v>540</v>
      </c>
      <c r="B39" s="66" t="s">
        <v>539</v>
      </c>
      <c r="C39" s="72">
        <v>3480</v>
      </c>
      <c r="D39" s="66" t="s">
        <v>52</v>
      </c>
      <c r="E39" s="66" t="s">
        <v>517</v>
      </c>
      <c r="F39" s="66" t="s">
        <v>517</v>
      </c>
      <c r="G39" s="66" t="s">
        <v>78</v>
      </c>
      <c r="H39" s="66" t="s">
        <v>88</v>
      </c>
      <c r="I39" s="66" t="s">
        <v>126</v>
      </c>
      <c r="J39" s="68" t="s">
        <v>478</v>
      </c>
      <c r="K39" s="65" t="str">
        <f>VLOOKUP(B39,Sheet1!$A$2:$C$102,3,FALSE)</f>
        <v>DSM2205-12</v>
      </c>
      <c r="L39" s="69" t="s">
        <v>663</v>
      </c>
      <c r="N39" s="39"/>
      <c r="P39" s="36">
        <v>41072</v>
      </c>
      <c r="Q39" s="34">
        <v>21</v>
      </c>
      <c r="R39" s="34" t="s">
        <v>194</v>
      </c>
      <c r="S39" s="34" t="str">
        <f t="shared" si="4"/>
        <v>41072-21-503388X</v>
      </c>
    </row>
    <row r="40" spans="1:19" ht="16.5" customHeight="1">
      <c r="A40" s="65" t="s">
        <v>547</v>
      </c>
      <c r="B40" s="66" t="s">
        <v>546</v>
      </c>
      <c r="C40" s="67">
        <v>22546.080000000002</v>
      </c>
      <c r="D40" s="66" t="s">
        <v>52</v>
      </c>
      <c r="E40" s="66" t="s">
        <v>517</v>
      </c>
      <c r="F40" s="66" t="s">
        <v>517</v>
      </c>
      <c r="G40" s="66" t="s">
        <v>78</v>
      </c>
      <c r="H40" s="66" t="s">
        <v>88</v>
      </c>
      <c r="I40" s="66" t="s">
        <v>126</v>
      </c>
      <c r="J40" s="68" t="s">
        <v>478</v>
      </c>
      <c r="K40" s="65" t="str">
        <f>VLOOKUP(B40,Sheet1!$A$2:$C$102,3,FALSE)</f>
        <v>DSM2205-13</v>
      </c>
      <c r="L40" s="69" t="s">
        <v>663</v>
      </c>
      <c r="N40" s="39"/>
      <c r="P40" s="36">
        <v>41072</v>
      </c>
      <c r="Q40" s="34">
        <v>21</v>
      </c>
      <c r="R40" s="34" t="s">
        <v>191</v>
      </c>
      <c r="S40" s="34" t="str">
        <f t="shared" si="4"/>
        <v>41072-21-503363X</v>
      </c>
    </row>
    <row r="41" spans="1:19" ht="16.5" customHeight="1">
      <c r="A41" s="65" t="s">
        <v>542</v>
      </c>
      <c r="B41" s="66" t="s">
        <v>541</v>
      </c>
      <c r="C41" s="72">
        <v>40348</v>
      </c>
      <c r="D41" s="66" t="s">
        <v>52</v>
      </c>
      <c r="E41" s="66" t="s">
        <v>517</v>
      </c>
      <c r="F41" s="66" t="s">
        <v>517</v>
      </c>
      <c r="G41" s="66" t="s">
        <v>78</v>
      </c>
      <c r="H41" s="66" t="s">
        <v>88</v>
      </c>
      <c r="I41" s="66" t="s">
        <v>126</v>
      </c>
      <c r="J41" s="68" t="s">
        <v>478</v>
      </c>
      <c r="K41" s="65" t="str">
        <f>VLOOKUP(B41,Sheet1!$A$2:$C$102,3,FALSE)</f>
        <v>DSM2205-14</v>
      </c>
      <c r="L41" s="69" t="s">
        <v>663</v>
      </c>
      <c r="N41" s="39"/>
      <c r="P41" s="36">
        <v>41072</v>
      </c>
      <c r="Q41" s="34">
        <v>21</v>
      </c>
      <c r="R41" s="34" t="s">
        <v>192</v>
      </c>
      <c r="S41" s="34" t="str">
        <f t="shared" si="4"/>
        <v>41072-21-503407X</v>
      </c>
    </row>
    <row r="42" spans="1:19" ht="16.5" customHeight="1">
      <c r="A42" s="65" t="s">
        <v>549</v>
      </c>
      <c r="B42" s="66" t="s">
        <v>548</v>
      </c>
      <c r="C42" s="67">
        <v>181817.17</v>
      </c>
      <c r="D42" s="66" t="s">
        <v>52</v>
      </c>
      <c r="E42" s="66" t="s">
        <v>517</v>
      </c>
      <c r="F42" s="66" t="s">
        <v>517</v>
      </c>
      <c r="G42" s="66" t="s">
        <v>78</v>
      </c>
      <c r="H42" s="66" t="s">
        <v>88</v>
      </c>
      <c r="I42" s="66" t="s">
        <v>126</v>
      </c>
      <c r="J42" s="68" t="s">
        <v>478</v>
      </c>
      <c r="K42" s="65" t="str">
        <f>VLOOKUP(B42,Sheet1!$A$2:$C$102,3,FALSE)</f>
        <v>DSM2205-15</v>
      </c>
      <c r="L42" s="69" t="s">
        <v>663</v>
      </c>
      <c r="N42" s="39"/>
      <c r="P42" s="36">
        <v>41072</v>
      </c>
      <c r="Q42" s="34">
        <v>21</v>
      </c>
      <c r="R42" s="34" t="s">
        <v>178</v>
      </c>
      <c r="S42" s="34" t="str">
        <f t="shared" si="4"/>
        <v>41072-21-503400X</v>
      </c>
    </row>
    <row r="43" spans="1:19">
      <c r="A43" s="65" t="s">
        <v>545</v>
      </c>
      <c r="B43" s="66" t="s">
        <v>544</v>
      </c>
      <c r="C43" s="67">
        <v>6631.2</v>
      </c>
      <c r="D43" s="66" t="s">
        <v>52</v>
      </c>
      <c r="E43" s="66" t="s">
        <v>517</v>
      </c>
      <c r="F43" s="66" t="s">
        <v>517</v>
      </c>
      <c r="G43" s="66" t="s">
        <v>78</v>
      </c>
      <c r="H43" s="66" t="s">
        <v>88</v>
      </c>
      <c r="I43" s="66" t="s">
        <v>126</v>
      </c>
      <c r="J43" s="68" t="s">
        <v>478</v>
      </c>
      <c r="K43" s="65" t="str">
        <f>VLOOKUP(B43,Sheet1!$A$2:$C$102,3,FALSE)</f>
        <v>DSM2205-16</v>
      </c>
      <c r="L43" s="69" t="s">
        <v>663</v>
      </c>
      <c r="N43" s="39"/>
      <c r="P43" s="36">
        <v>41072</v>
      </c>
      <c r="Q43" s="34">
        <v>21</v>
      </c>
      <c r="R43" s="34" t="s">
        <v>179</v>
      </c>
      <c r="S43" s="34" t="str">
        <f>P43&amp;"-"&amp;Q43&amp;"-"&amp;R43</f>
        <v>41072-21-503227X</v>
      </c>
    </row>
    <row r="44" spans="1:19" ht="16.5" customHeight="1">
      <c r="A44" s="65" t="s">
        <v>526</v>
      </c>
      <c r="B44" s="66" t="s">
        <v>525</v>
      </c>
      <c r="C44" s="66">
        <v>172.16</v>
      </c>
      <c r="D44" s="66" t="s">
        <v>52</v>
      </c>
      <c r="E44" s="66" t="s">
        <v>276</v>
      </c>
      <c r="F44" s="66" t="s">
        <v>276</v>
      </c>
      <c r="G44" s="66" t="s">
        <v>517</v>
      </c>
      <c r="H44" s="66" t="s">
        <v>88</v>
      </c>
      <c r="I44" s="66" t="s">
        <v>126</v>
      </c>
      <c r="J44" s="68" t="s">
        <v>478</v>
      </c>
      <c r="K44" s="65" t="str">
        <f>VLOOKUP(B44,Sheet1!$A$2:$C$102,3,FALSE)</f>
        <v>DSM2205-18</v>
      </c>
      <c r="L44" s="69" t="s">
        <v>663</v>
      </c>
      <c r="N44" s="39"/>
      <c r="P44" s="36">
        <v>41072</v>
      </c>
      <c r="Q44" s="34">
        <v>21</v>
      </c>
      <c r="R44" s="34" t="s">
        <v>229</v>
      </c>
      <c r="S44" s="34" t="str">
        <f t="shared" si="4"/>
        <v>41072-21-503375X</v>
      </c>
    </row>
    <row r="45" spans="1:19" ht="16.5" customHeight="1">
      <c r="A45" s="65" t="s">
        <v>563</v>
      </c>
      <c r="B45" s="66" t="s">
        <v>562</v>
      </c>
      <c r="C45" s="72">
        <v>1614</v>
      </c>
      <c r="D45" s="66" t="s">
        <v>52</v>
      </c>
      <c r="E45" s="66" t="s">
        <v>295</v>
      </c>
      <c r="F45" s="66" t="s">
        <v>295</v>
      </c>
      <c r="G45" s="66" t="s">
        <v>522</v>
      </c>
      <c r="H45" s="66" t="s">
        <v>88</v>
      </c>
      <c r="I45" s="66" t="s">
        <v>126</v>
      </c>
      <c r="J45" s="68" t="s">
        <v>478</v>
      </c>
      <c r="K45" s="65" t="str">
        <f>VLOOKUP(B45,Sheet1!$A$2:$C$102,3,FALSE)</f>
        <v>DSM2205-20</v>
      </c>
      <c r="L45" s="69" t="s">
        <v>663</v>
      </c>
      <c r="N45" s="39"/>
      <c r="P45" s="36">
        <v>41072</v>
      </c>
      <c r="Q45" s="34">
        <v>21</v>
      </c>
      <c r="R45" s="34" t="s">
        <v>193</v>
      </c>
      <c r="S45" s="34" t="str">
        <f t="shared" si="4"/>
        <v>41072-21-503408X</v>
      </c>
    </row>
    <row r="46" spans="1:19" ht="16.5" customHeight="1">
      <c r="A46" s="65" t="s">
        <v>560</v>
      </c>
      <c r="B46" s="66" t="s">
        <v>559</v>
      </c>
      <c r="C46" s="67">
        <v>1152.1199999999999</v>
      </c>
      <c r="D46" s="66" t="s">
        <v>52</v>
      </c>
      <c r="E46" s="66" t="s">
        <v>295</v>
      </c>
      <c r="F46" s="66" t="s">
        <v>295</v>
      </c>
      <c r="G46" s="66" t="s">
        <v>522</v>
      </c>
      <c r="H46" s="66" t="s">
        <v>88</v>
      </c>
      <c r="I46" s="66" t="s">
        <v>126</v>
      </c>
      <c r="J46" s="68" t="s">
        <v>478</v>
      </c>
      <c r="K46" s="65" t="str">
        <f>VLOOKUP(B46,Sheet1!$A$2:$C$102,3,FALSE)</f>
        <v>DSM2205-21</v>
      </c>
      <c r="L46" s="69" t="s">
        <v>663</v>
      </c>
      <c r="N46" s="39"/>
      <c r="P46" s="36">
        <v>41072</v>
      </c>
      <c r="Q46" s="34">
        <v>21</v>
      </c>
      <c r="R46" s="34" t="s">
        <v>205</v>
      </c>
      <c r="S46" s="34" t="str">
        <f t="shared" si="4"/>
        <v>41072-21-503411X</v>
      </c>
    </row>
    <row r="47" spans="1:19" ht="16.5" customHeight="1">
      <c r="A47" s="65" t="s">
        <v>556</v>
      </c>
      <c r="B47" s="66" t="s">
        <v>555</v>
      </c>
      <c r="C47" s="66">
        <v>307.60000000000002</v>
      </c>
      <c r="D47" s="66" t="s">
        <v>52</v>
      </c>
      <c r="E47" s="66" t="s">
        <v>295</v>
      </c>
      <c r="F47" s="66" t="s">
        <v>295</v>
      </c>
      <c r="G47" s="66" t="s">
        <v>522</v>
      </c>
      <c r="H47" s="66" t="s">
        <v>88</v>
      </c>
      <c r="I47" s="66" t="s">
        <v>126</v>
      </c>
      <c r="J47" s="68" t="s">
        <v>478</v>
      </c>
      <c r="K47" s="65" t="str">
        <f>VLOOKUP(B47,Sheet1!$A$2:$C$102,3,FALSE)</f>
        <v>DSM2205-22</v>
      </c>
      <c r="L47" s="69" t="s">
        <v>663</v>
      </c>
      <c r="N47" s="39"/>
      <c r="P47" s="36">
        <v>41072</v>
      </c>
      <c r="Q47" s="34">
        <v>21</v>
      </c>
      <c r="R47" s="34" t="s">
        <v>185</v>
      </c>
      <c r="S47" s="34" t="str">
        <f t="shared" si="4"/>
        <v>41072-21-503432X</v>
      </c>
    </row>
    <row r="48" spans="1:19" ht="16.5" customHeight="1">
      <c r="A48" s="65" t="s">
        <v>582</v>
      </c>
      <c r="B48" s="66" t="s">
        <v>581</v>
      </c>
      <c r="C48" s="67">
        <v>67638.240000000005</v>
      </c>
      <c r="D48" s="66" t="s">
        <v>52</v>
      </c>
      <c r="E48" s="66" t="s">
        <v>299</v>
      </c>
      <c r="F48" s="66" t="s">
        <v>299</v>
      </c>
      <c r="G48" s="66" t="s">
        <v>78</v>
      </c>
      <c r="H48" s="66" t="s">
        <v>88</v>
      </c>
      <c r="I48" s="66" t="s">
        <v>126</v>
      </c>
      <c r="J48" s="68" t="s">
        <v>478</v>
      </c>
      <c r="K48" s="65" t="str">
        <f>VLOOKUP(B48,Sheet1!$A$2:$C$102,3,FALSE)</f>
        <v>DSM2205-23</v>
      </c>
      <c r="L48" s="69" t="s">
        <v>663</v>
      </c>
      <c r="N48" s="39"/>
      <c r="P48" s="36">
        <v>41072</v>
      </c>
      <c r="Q48" s="34">
        <v>21</v>
      </c>
      <c r="R48" s="34" t="s">
        <v>223</v>
      </c>
      <c r="S48" s="34" t="str">
        <f t="shared" si="4"/>
        <v>41072-21-503389X</v>
      </c>
    </row>
    <row r="49" spans="1:19" ht="16.5" customHeight="1">
      <c r="A49" s="65" t="s">
        <v>323</v>
      </c>
      <c r="B49" s="66" t="s">
        <v>322</v>
      </c>
      <c r="C49" s="67">
        <v>5575.35</v>
      </c>
      <c r="D49" s="66" t="s">
        <v>52</v>
      </c>
      <c r="E49" s="66" t="s">
        <v>269</v>
      </c>
      <c r="F49" s="66" t="s">
        <v>269</v>
      </c>
      <c r="G49" s="66" t="s">
        <v>304</v>
      </c>
      <c r="H49" s="66" t="s">
        <v>88</v>
      </c>
      <c r="I49" s="66" t="s">
        <v>126</v>
      </c>
      <c r="J49" s="68" t="s">
        <v>626</v>
      </c>
      <c r="K49" s="65" t="str">
        <f>VLOOKUP(B49,Sheet1!$A$2:$C$102,3,FALSE)</f>
        <v>DSM2205-AL01</v>
      </c>
      <c r="L49" s="69" t="s">
        <v>664</v>
      </c>
      <c r="N49" s="39"/>
      <c r="P49" s="36">
        <v>41072</v>
      </c>
      <c r="Q49" s="34">
        <v>21</v>
      </c>
      <c r="R49" s="34" t="s">
        <v>206</v>
      </c>
      <c r="S49" s="34" t="str">
        <f t="shared" si="4"/>
        <v>41072-21-503412X</v>
      </c>
    </row>
    <row r="50" spans="1:19" ht="16.5" customHeight="1">
      <c r="A50" s="65" t="s">
        <v>359</v>
      </c>
      <c r="B50" s="66" t="s">
        <v>358</v>
      </c>
      <c r="C50" s="67">
        <v>4975.04</v>
      </c>
      <c r="D50" s="66" t="s">
        <v>52</v>
      </c>
      <c r="E50" s="66" t="s">
        <v>273</v>
      </c>
      <c r="F50" s="66" t="s">
        <v>273</v>
      </c>
      <c r="G50" s="66" t="s">
        <v>273</v>
      </c>
      <c r="H50" s="66" t="s">
        <v>88</v>
      </c>
      <c r="I50" s="66" t="s">
        <v>126</v>
      </c>
      <c r="J50" s="68" t="s">
        <v>626</v>
      </c>
      <c r="K50" s="65" t="str">
        <f>VLOOKUP(B50,Sheet1!$A$2:$C$102,3,FALSE)</f>
        <v>DSM2205-AL02</v>
      </c>
      <c r="L50" s="69" t="s">
        <v>664</v>
      </c>
      <c r="N50" s="39"/>
      <c r="P50" s="36">
        <v>41072</v>
      </c>
      <c r="Q50" s="34">
        <v>21</v>
      </c>
      <c r="R50" s="34" t="s">
        <v>207</v>
      </c>
      <c r="S50" s="34" t="str">
        <f t="shared" si="4"/>
        <v>41072-21-503413X</v>
      </c>
    </row>
    <row r="51" spans="1:19" ht="16.5" customHeight="1">
      <c r="A51" s="65" t="s">
        <v>362</v>
      </c>
      <c r="B51" s="66" t="s">
        <v>361</v>
      </c>
      <c r="C51" s="67">
        <v>29393.99</v>
      </c>
      <c r="D51" s="66" t="s">
        <v>52</v>
      </c>
      <c r="E51" s="66" t="s">
        <v>273</v>
      </c>
      <c r="F51" s="66" t="s">
        <v>273</v>
      </c>
      <c r="G51" s="66" t="s">
        <v>349</v>
      </c>
      <c r="H51" s="66" t="s">
        <v>88</v>
      </c>
      <c r="I51" s="66" t="s">
        <v>126</v>
      </c>
      <c r="J51" s="68" t="s">
        <v>626</v>
      </c>
      <c r="K51" s="65" t="str">
        <f>VLOOKUP(B51,Sheet1!$A$2:$C$102,3,FALSE)</f>
        <v>DSM2205-AL03</v>
      </c>
      <c r="L51" s="69" t="s">
        <v>664</v>
      </c>
      <c r="N51" s="39"/>
      <c r="P51" s="36">
        <v>41072</v>
      </c>
      <c r="Q51" s="34">
        <v>21</v>
      </c>
      <c r="R51" s="34" t="s">
        <v>209</v>
      </c>
      <c r="S51" s="34" t="str">
        <f t="shared" si="4"/>
        <v>41072-21-503415X</v>
      </c>
    </row>
    <row r="52" spans="1:19" ht="16.5" customHeight="1">
      <c r="A52" s="65" t="s">
        <v>365</v>
      </c>
      <c r="B52" s="66" t="s">
        <v>364</v>
      </c>
      <c r="C52" s="67">
        <v>28618.240000000002</v>
      </c>
      <c r="D52" s="66" t="s">
        <v>52</v>
      </c>
      <c r="E52" s="66" t="s">
        <v>273</v>
      </c>
      <c r="F52" s="66" t="s">
        <v>273</v>
      </c>
      <c r="G52" s="66" t="s">
        <v>349</v>
      </c>
      <c r="H52" s="66" t="s">
        <v>88</v>
      </c>
      <c r="I52" s="66" t="s">
        <v>126</v>
      </c>
      <c r="J52" s="68" t="s">
        <v>626</v>
      </c>
      <c r="K52" s="65" t="str">
        <f>VLOOKUP(B52,Sheet1!$A$2:$C$102,3,FALSE)</f>
        <v>DSM2205-AL04</v>
      </c>
      <c r="L52" s="69" t="s">
        <v>664</v>
      </c>
      <c r="N52" s="39"/>
      <c r="P52" s="36">
        <v>41072</v>
      </c>
      <c r="Q52" s="34">
        <v>21</v>
      </c>
      <c r="R52" s="34" t="s">
        <v>242</v>
      </c>
      <c r="S52" s="34" t="str">
        <f t="shared" ref="S52:S57" si="5">P52&amp;"-"&amp;Q52&amp;"-"&amp;R52</f>
        <v>41072-21-503245X</v>
      </c>
    </row>
    <row r="53" spans="1:19" ht="16.5" customHeight="1">
      <c r="A53" s="65" t="s">
        <v>368</v>
      </c>
      <c r="B53" s="66" t="s">
        <v>367</v>
      </c>
      <c r="C53" s="67">
        <v>13485.31</v>
      </c>
      <c r="D53" s="66" t="s">
        <v>52</v>
      </c>
      <c r="E53" s="66" t="s">
        <v>272</v>
      </c>
      <c r="F53" s="66" t="s">
        <v>272</v>
      </c>
      <c r="G53" s="66" t="s">
        <v>399</v>
      </c>
      <c r="H53" s="66" t="s">
        <v>88</v>
      </c>
      <c r="I53" s="66" t="s">
        <v>126</v>
      </c>
      <c r="J53" s="68" t="s">
        <v>626</v>
      </c>
      <c r="K53" s="65" t="str">
        <f>VLOOKUP(B53,Sheet1!$A$2:$C$102,3,FALSE)</f>
        <v>DSM2205-AL05</v>
      </c>
      <c r="L53" s="69" t="s">
        <v>664</v>
      </c>
      <c r="N53" s="39"/>
      <c r="P53" s="36">
        <v>41072</v>
      </c>
      <c r="Q53" s="34">
        <v>21</v>
      </c>
      <c r="R53" s="34" t="s">
        <v>201</v>
      </c>
      <c r="S53" s="34" t="str">
        <f t="shared" si="5"/>
        <v>41072-21-503234X</v>
      </c>
    </row>
    <row r="54" spans="1:19" ht="16.5" customHeight="1">
      <c r="A54" s="65" t="s">
        <v>610</v>
      </c>
      <c r="B54" s="66" t="s">
        <v>609</v>
      </c>
      <c r="C54" s="67">
        <v>304854.44</v>
      </c>
      <c r="D54" s="66" t="s">
        <v>52</v>
      </c>
      <c r="E54" s="66" t="s">
        <v>275</v>
      </c>
      <c r="F54" s="66" t="s">
        <v>275</v>
      </c>
      <c r="G54" s="66" t="s">
        <v>279</v>
      </c>
      <c r="H54" s="66" t="s">
        <v>88</v>
      </c>
      <c r="I54" s="66" t="s">
        <v>126</v>
      </c>
      <c r="J54" s="68" t="s">
        <v>626</v>
      </c>
      <c r="K54" s="65" t="str">
        <f>VLOOKUP(B54,Sheet1!$A$2:$C$102,3,FALSE)</f>
        <v>DSM2205-AL06</v>
      </c>
      <c r="L54" s="69" t="s">
        <v>664</v>
      </c>
      <c r="N54" s="39"/>
      <c r="P54" s="36">
        <v>41129</v>
      </c>
      <c r="Q54" s="34">
        <v>21</v>
      </c>
      <c r="R54" s="34" t="s">
        <v>226</v>
      </c>
      <c r="S54" s="34" t="str">
        <f t="shared" si="5"/>
        <v>41129-21-090060X</v>
      </c>
    </row>
    <row r="55" spans="1:19" ht="16.5" customHeight="1">
      <c r="A55" s="65" t="s">
        <v>613</v>
      </c>
      <c r="B55" s="66" t="s">
        <v>612</v>
      </c>
      <c r="C55" s="67">
        <v>13755.04</v>
      </c>
      <c r="D55" s="66" t="s">
        <v>52</v>
      </c>
      <c r="E55" s="66" t="s">
        <v>614</v>
      </c>
      <c r="F55" s="66" t="s">
        <v>614</v>
      </c>
      <c r="G55" s="66" t="s">
        <v>274</v>
      </c>
      <c r="H55" s="66" t="s">
        <v>88</v>
      </c>
      <c r="I55" s="66" t="s">
        <v>126</v>
      </c>
      <c r="J55" s="68" t="s">
        <v>626</v>
      </c>
      <c r="K55" s="65" t="str">
        <f>VLOOKUP(B55,Sheet1!$A$2:$C$102,3,FALSE)</f>
        <v>DSM2205-AL07</v>
      </c>
      <c r="L55" s="69" t="s">
        <v>664</v>
      </c>
      <c r="N55" s="39"/>
      <c r="P55" s="36">
        <v>41072</v>
      </c>
      <c r="Q55" s="34">
        <v>21</v>
      </c>
      <c r="R55" s="34" t="s">
        <v>177</v>
      </c>
      <c r="S55" s="34" t="str">
        <f t="shared" si="5"/>
        <v>41072-21-503341X</v>
      </c>
    </row>
    <row r="56" spans="1:19" ht="16.5" customHeight="1">
      <c r="A56" s="65" t="s">
        <v>618</v>
      </c>
      <c r="B56" s="66" t="s">
        <v>617</v>
      </c>
      <c r="C56" s="67">
        <v>27510.080000000002</v>
      </c>
      <c r="D56" s="66" t="s">
        <v>52</v>
      </c>
      <c r="E56" s="66" t="s">
        <v>274</v>
      </c>
      <c r="F56" s="66" t="s">
        <v>274</v>
      </c>
      <c r="G56" s="66" t="s">
        <v>277</v>
      </c>
      <c r="H56" s="66" t="s">
        <v>88</v>
      </c>
      <c r="I56" s="66" t="s">
        <v>126</v>
      </c>
      <c r="J56" s="68" t="s">
        <v>626</v>
      </c>
      <c r="K56" s="65" t="str">
        <f>VLOOKUP(B56,Sheet1!$A$2:$C$102,3,FALSE)</f>
        <v>DSM2205-AL08</v>
      </c>
      <c r="L56" s="69" t="s">
        <v>664</v>
      </c>
      <c r="N56" s="39"/>
      <c r="P56" s="36">
        <v>41072</v>
      </c>
      <c r="Q56" s="34">
        <v>21</v>
      </c>
      <c r="R56" s="34" t="s">
        <v>204</v>
      </c>
      <c r="S56" s="34" t="str">
        <f t="shared" si="5"/>
        <v>41072-21-503290X</v>
      </c>
    </row>
    <row r="57" spans="1:19" ht="16.5" customHeight="1">
      <c r="A57" s="65" t="s">
        <v>621</v>
      </c>
      <c r="B57" s="66" t="s">
        <v>620</v>
      </c>
      <c r="C57" s="67">
        <v>11150.7</v>
      </c>
      <c r="D57" s="66" t="s">
        <v>52</v>
      </c>
      <c r="E57" s="66" t="s">
        <v>277</v>
      </c>
      <c r="F57" s="66" t="s">
        <v>277</v>
      </c>
      <c r="G57" s="66" t="s">
        <v>435</v>
      </c>
      <c r="H57" s="66" t="s">
        <v>88</v>
      </c>
      <c r="I57" s="66" t="s">
        <v>126</v>
      </c>
      <c r="J57" s="68" t="s">
        <v>626</v>
      </c>
      <c r="K57" s="65" t="str">
        <f>VLOOKUP(B57,Sheet1!$A$2:$C$102,3,FALSE)</f>
        <v>DSM2205-AL09</v>
      </c>
      <c r="L57" s="69" t="s">
        <v>664</v>
      </c>
      <c r="N57" s="39"/>
      <c r="P57" s="36">
        <v>41072</v>
      </c>
      <c r="Q57" s="34">
        <v>21</v>
      </c>
      <c r="R57" s="34" t="s">
        <v>220</v>
      </c>
      <c r="S57" s="34" t="str">
        <f t="shared" si="5"/>
        <v>41072-21-503325X</v>
      </c>
    </row>
    <row r="58" spans="1:19" ht="16.5" customHeight="1">
      <c r="A58" s="65" t="s">
        <v>624</v>
      </c>
      <c r="B58" s="66" t="s">
        <v>623</v>
      </c>
      <c r="C58" s="67">
        <v>6218.8</v>
      </c>
      <c r="D58" s="66" t="s">
        <v>52</v>
      </c>
      <c r="E58" s="66" t="s">
        <v>279</v>
      </c>
      <c r="F58" s="66" t="s">
        <v>279</v>
      </c>
      <c r="G58" s="66" t="s">
        <v>373</v>
      </c>
      <c r="H58" s="66" t="s">
        <v>88</v>
      </c>
      <c r="I58" s="66" t="s">
        <v>126</v>
      </c>
      <c r="J58" s="68" t="s">
        <v>626</v>
      </c>
      <c r="K58" s="65" t="str">
        <f>VLOOKUP(B58,Sheet1!$A$2:$C$102,3,FALSE)</f>
        <v>DSM2205-AL10</v>
      </c>
      <c r="L58" s="69" t="s">
        <v>664</v>
      </c>
      <c r="N58" s="39"/>
      <c r="P58" s="36">
        <v>41072</v>
      </c>
      <c r="Q58" s="34">
        <v>21</v>
      </c>
      <c r="R58" s="34" t="s">
        <v>210</v>
      </c>
      <c r="S58" s="34" t="str">
        <f t="shared" si="4"/>
        <v>41072-21-503416X</v>
      </c>
    </row>
    <row r="59" spans="1:19">
      <c r="A59" s="65" t="s">
        <v>628</v>
      </c>
      <c r="B59" s="66" t="s">
        <v>627</v>
      </c>
      <c r="C59" s="67">
        <v>30184.32</v>
      </c>
      <c r="D59" s="66" t="s">
        <v>52</v>
      </c>
      <c r="E59" s="66" t="s">
        <v>280</v>
      </c>
      <c r="F59" s="66" t="s">
        <v>280</v>
      </c>
      <c r="G59" s="66" t="s">
        <v>394</v>
      </c>
      <c r="H59" s="66" t="s">
        <v>88</v>
      </c>
      <c r="I59" s="66" t="s">
        <v>126</v>
      </c>
      <c r="J59" s="68" t="s">
        <v>626</v>
      </c>
      <c r="K59" s="65" t="str">
        <f>VLOOKUP(B59,Sheet1!$A$2:$C$102,3,FALSE)</f>
        <v>DSM2205-AL11</v>
      </c>
      <c r="L59" s="69" t="s">
        <v>664</v>
      </c>
      <c r="N59" s="39"/>
      <c r="P59" s="36">
        <v>41072</v>
      </c>
      <c r="Q59" s="34">
        <v>21</v>
      </c>
      <c r="R59" s="34" t="s">
        <v>208</v>
      </c>
      <c r="S59" s="34" t="str">
        <f t="shared" si="4"/>
        <v>41072-21-503414X</v>
      </c>
    </row>
    <row r="60" spans="1:19">
      <c r="A60" s="65" t="s">
        <v>631</v>
      </c>
      <c r="B60" s="66" t="s">
        <v>630</v>
      </c>
      <c r="C60" s="67">
        <v>19788.080000000002</v>
      </c>
      <c r="D60" s="66" t="s">
        <v>52</v>
      </c>
      <c r="E60" s="66" t="s">
        <v>394</v>
      </c>
      <c r="F60" s="66" t="s">
        <v>394</v>
      </c>
      <c r="G60" s="66" t="s">
        <v>283</v>
      </c>
      <c r="H60" s="66" t="s">
        <v>88</v>
      </c>
      <c r="I60" s="66" t="s">
        <v>126</v>
      </c>
      <c r="J60" s="68" t="s">
        <v>626</v>
      </c>
      <c r="K60" s="65" t="str">
        <f>VLOOKUP(B60,Sheet1!$A$2:$C$102,3,FALSE)</f>
        <v>DSM2205-AL12</v>
      </c>
      <c r="L60" s="69" t="s">
        <v>664</v>
      </c>
      <c r="N60" s="39"/>
      <c r="P60" s="36">
        <v>41072</v>
      </c>
      <c r="Q60" s="34">
        <v>21</v>
      </c>
      <c r="R60" s="34" t="s">
        <v>184</v>
      </c>
      <c r="S60" s="34" t="str">
        <f t="shared" si="4"/>
        <v>41072-21-503431X</v>
      </c>
    </row>
    <row r="61" spans="1:19">
      <c r="A61" s="65" t="s">
        <v>634</v>
      </c>
      <c r="B61" s="66" t="s">
        <v>633</v>
      </c>
      <c r="C61" s="67">
        <v>319744.69</v>
      </c>
      <c r="D61" s="66" t="s">
        <v>52</v>
      </c>
      <c r="E61" s="66" t="s">
        <v>394</v>
      </c>
      <c r="F61" s="66" t="s">
        <v>394</v>
      </c>
      <c r="G61" s="66" t="s">
        <v>276</v>
      </c>
      <c r="H61" s="66" t="s">
        <v>88</v>
      </c>
      <c r="I61" s="66" t="s">
        <v>126</v>
      </c>
      <c r="J61" s="68" t="s">
        <v>626</v>
      </c>
      <c r="K61" s="65" t="str">
        <f>VLOOKUP(B61,Sheet1!$A$2:$C$102,3,FALSE)</f>
        <v>DSM2205-AL13</v>
      </c>
      <c r="L61" s="69" t="s">
        <v>664</v>
      </c>
      <c r="N61" s="39"/>
      <c r="P61" s="36">
        <v>41072</v>
      </c>
      <c r="Q61" s="34">
        <v>21</v>
      </c>
      <c r="R61" s="34" t="s">
        <v>211</v>
      </c>
      <c r="S61" s="34" t="str">
        <f t="shared" si="4"/>
        <v>41072-21-503420X</v>
      </c>
    </row>
    <row r="62" spans="1:19">
      <c r="A62" s="65" t="s">
        <v>637</v>
      </c>
      <c r="B62" s="66" t="s">
        <v>636</v>
      </c>
      <c r="C62" s="67">
        <v>9837.9</v>
      </c>
      <c r="D62" s="66" t="s">
        <v>52</v>
      </c>
      <c r="E62" s="66" t="s">
        <v>287</v>
      </c>
      <c r="F62" s="66" t="s">
        <v>287</v>
      </c>
      <c r="G62" s="66" t="s">
        <v>284</v>
      </c>
      <c r="H62" s="66" t="s">
        <v>88</v>
      </c>
      <c r="I62" s="66" t="s">
        <v>126</v>
      </c>
      <c r="J62" s="68" t="s">
        <v>626</v>
      </c>
      <c r="K62" s="65" t="str">
        <f>VLOOKUP(B62,Sheet1!$A$2:$C$102,3,FALSE)</f>
        <v>DSM2205-AL14</v>
      </c>
      <c r="L62" s="69" t="s">
        <v>664</v>
      </c>
      <c r="N62" s="39"/>
      <c r="P62" s="36">
        <v>41129</v>
      </c>
      <c r="Q62" s="34">
        <v>21</v>
      </c>
      <c r="R62" s="34" t="s">
        <v>227</v>
      </c>
      <c r="S62" s="34" t="str">
        <f t="shared" si="4"/>
        <v>41129-21-090144X</v>
      </c>
    </row>
    <row r="63" spans="1:19">
      <c r="A63" s="65" t="s">
        <v>640</v>
      </c>
      <c r="B63" s="66" t="s">
        <v>639</v>
      </c>
      <c r="C63" s="67">
        <v>30184.32</v>
      </c>
      <c r="D63" s="66" t="s">
        <v>52</v>
      </c>
      <c r="E63" s="66" t="s">
        <v>284</v>
      </c>
      <c r="F63" s="66" t="s">
        <v>284</v>
      </c>
      <c r="G63" s="66" t="s">
        <v>445</v>
      </c>
      <c r="H63" s="66" t="s">
        <v>88</v>
      </c>
      <c r="I63" s="66" t="s">
        <v>126</v>
      </c>
      <c r="J63" s="68" t="s">
        <v>626</v>
      </c>
      <c r="K63" s="65" t="str">
        <f>VLOOKUP(B63,Sheet1!$A$2:$C$102,3,FALSE)</f>
        <v>DSM2205-AL15</v>
      </c>
      <c r="L63" s="69" t="s">
        <v>664</v>
      </c>
      <c r="N63" s="39"/>
      <c r="P63" s="36">
        <v>41072</v>
      </c>
      <c r="Q63" s="34">
        <v>21</v>
      </c>
      <c r="R63" s="34" t="s">
        <v>183</v>
      </c>
      <c r="S63" s="34" t="str">
        <f t="shared" si="4"/>
        <v>41072-21-503475X</v>
      </c>
    </row>
    <row r="64" spans="1:19" ht="16.5" customHeight="1">
      <c r="A64" s="65" t="s">
        <v>643</v>
      </c>
      <c r="B64" s="66" t="s">
        <v>642</v>
      </c>
      <c r="C64" s="67">
        <v>19788.080000000002</v>
      </c>
      <c r="D64" s="66" t="s">
        <v>52</v>
      </c>
      <c r="E64" s="66" t="s">
        <v>276</v>
      </c>
      <c r="F64" s="66" t="s">
        <v>276</v>
      </c>
      <c r="G64" s="66" t="s">
        <v>285</v>
      </c>
      <c r="H64" s="66" t="s">
        <v>88</v>
      </c>
      <c r="I64" s="66" t="s">
        <v>126</v>
      </c>
      <c r="J64" s="68" t="s">
        <v>626</v>
      </c>
      <c r="K64" s="65" t="str">
        <f>VLOOKUP(B64,Sheet1!$A$2:$C$102,3,FALSE)</f>
        <v>DSM2205-AL16</v>
      </c>
      <c r="L64" s="69" t="s">
        <v>664</v>
      </c>
      <c r="N64" s="39"/>
      <c r="P64" s="36">
        <v>41072</v>
      </c>
      <c r="Q64" s="34">
        <v>21</v>
      </c>
      <c r="R64" s="34" t="s">
        <v>195</v>
      </c>
      <c r="S64" s="34" t="str">
        <f t="shared" si="4"/>
        <v>41072-21-503454X</v>
      </c>
    </row>
    <row r="65" spans="1:19" ht="16.5" customHeight="1">
      <c r="A65" s="65" t="s">
        <v>646</v>
      </c>
      <c r="B65" s="66" t="s">
        <v>645</v>
      </c>
      <c r="C65" s="67">
        <v>10636.35</v>
      </c>
      <c r="D65" s="66" t="s">
        <v>52</v>
      </c>
      <c r="E65" s="66" t="s">
        <v>517</v>
      </c>
      <c r="F65" s="66" t="s">
        <v>517</v>
      </c>
      <c r="G65" s="66" t="s">
        <v>285</v>
      </c>
      <c r="H65" s="66" t="s">
        <v>88</v>
      </c>
      <c r="I65" s="66" t="s">
        <v>126</v>
      </c>
      <c r="J65" s="68" t="s">
        <v>626</v>
      </c>
      <c r="K65" s="65" t="str">
        <f>VLOOKUP(B65,Sheet1!$A$2:$C$102,3,FALSE)</f>
        <v>DSM2205-AL17</v>
      </c>
      <c r="L65" s="69" t="s">
        <v>664</v>
      </c>
      <c r="N65" s="39"/>
      <c r="P65" s="36">
        <v>41072</v>
      </c>
      <c r="Q65" s="34">
        <v>21</v>
      </c>
      <c r="R65" s="34" t="s">
        <v>212</v>
      </c>
      <c r="S65" s="34" t="str">
        <f t="shared" si="4"/>
        <v>41072-21-503476X</v>
      </c>
    </row>
    <row r="66" spans="1:19">
      <c r="A66" s="65" t="s">
        <v>649</v>
      </c>
      <c r="B66" s="66" t="s">
        <v>648</v>
      </c>
      <c r="C66" s="67">
        <v>8177.18</v>
      </c>
      <c r="D66" s="66" t="s">
        <v>52</v>
      </c>
      <c r="E66" s="66" t="s">
        <v>295</v>
      </c>
      <c r="F66" s="66" t="s">
        <v>295</v>
      </c>
      <c r="G66" s="66" t="s">
        <v>522</v>
      </c>
      <c r="H66" s="66" t="s">
        <v>88</v>
      </c>
      <c r="I66" s="66" t="s">
        <v>126</v>
      </c>
      <c r="J66" s="68" t="s">
        <v>626</v>
      </c>
      <c r="K66" s="65" t="str">
        <f>VLOOKUP(B66,Sheet1!$A$2:$C$102,3,FALSE)</f>
        <v>DSM2205-AL18</v>
      </c>
      <c r="L66" s="69" t="s">
        <v>664</v>
      </c>
      <c r="N66" s="39"/>
      <c r="P66" s="36">
        <v>41072</v>
      </c>
      <c r="Q66" s="34">
        <v>21</v>
      </c>
      <c r="R66" s="34" t="s">
        <v>221</v>
      </c>
      <c r="S66" s="34" t="str">
        <f t="shared" si="4"/>
        <v>41072-21-503478X</v>
      </c>
    </row>
    <row r="67" spans="1:19" ht="16.5" customHeight="1">
      <c r="A67" s="65" t="s">
        <v>652</v>
      </c>
      <c r="B67" s="66" t="s">
        <v>651</v>
      </c>
      <c r="C67" s="67">
        <v>15092.16</v>
      </c>
      <c r="D67" s="66" t="s">
        <v>52</v>
      </c>
      <c r="E67" s="66" t="s">
        <v>299</v>
      </c>
      <c r="F67" s="66" t="s">
        <v>299</v>
      </c>
      <c r="G67" s="66" t="s">
        <v>382</v>
      </c>
      <c r="H67" s="66" t="s">
        <v>88</v>
      </c>
      <c r="I67" s="66" t="s">
        <v>126</v>
      </c>
      <c r="J67" s="68" t="s">
        <v>626</v>
      </c>
      <c r="K67" s="65" t="str">
        <f>VLOOKUP(B67,Sheet1!$A$2:$C$102,3,FALSE)</f>
        <v>DSM2205-AL19</v>
      </c>
      <c r="L67" s="69" t="s">
        <v>664</v>
      </c>
      <c r="N67" s="39"/>
      <c r="P67" s="36">
        <v>12235</v>
      </c>
      <c r="Q67" s="34">
        <v>21</v>
      </c>
      <c r="R67" s="34" t="s">
        <v>196</v>
      </c>
      <c r="S67" s="34" t="str">
        <f t="shared" si="4"/>
        <v>12235-21-090676X</v>
      </c>
    </row>
    <row r="68" spans="1:19" ht="16.5" customHeight="1">
      <c r="A68" s="65" t="s">
        <v>655</v>
      </c>
      <c r="B68" s="66" t="s">
        <v>654</v>
      </c>
      <c r="C68" s="67">
        <v>406497.68</v>
      </c>
      <c r="D68" s="66" t="s">
        <v>52</v>
      </c>
      <c r="E68" s="66" t="s">
        <v>302</v>
      </c>
      <c r="F68" s="66" t="s">
        <v>302</v>
      </c>
      <c r="G68" s="66" t="s">
        <v>78</v>
      </c>
      <c r="H68" s="66" t="s">
        <v>88</v>
      </c>
      <c r="I68" s="66" t="s">
        <v>126</v>
      </c>
      <c r="J68" s="68" t="s">
        <v>626</v>
      </c>
      <c r="K68" s="65" t="str">
        <f>VLOOKUP(B68,Sheet1!$A$2:$C$102,3,FALSE)</f>
        <v>DSM2205-AL20</v>
      </c>
      <c r="L68" s="69" t="s">
        <v>664</v>
      </c>
      <c r="N68" s="39"/>
      <c r="P68" s="36">
        <v>41072</v>
      </c>
      <c r="Q68" s="34">
        <v>21</v>
      </c>
      <c r="R68" s="34" t="s">
        <v>173</v>
      </c>
      <c r="S68" s="34" t="str">
        <f t="shared" si="4"/>
        <v>41072-21-503489X</v>
      </c>
    </row>
    <row r="69" spans="1:19" ht="16.5" customHeight="1">
      <c r="A69" s="65" t="s">
        <v>485</v>
      </c>
      <c r="B69" s="66" t="s">
        <v>484</v>
      </c>
      <c r="C69" s="72">
        <v>65718</v>
      </c>
      <c r="D69" s="66" t="s">
        <v>52</v>
      </c>
      <c r="E69" s="66" t="s">
        <v>394</v>
      </c>
      <c r="F69" s="66" t="s">
        <v>394</v>
      </c>
      <c r="G69" s="66" t="s">
        <v>284</v>
      </c>
      <c r="H69" s="66" t="s">
        <v>89</v>
      </c>
      <c r="I69" s="66" t="s">
        <v>152</v>
      </c>
      <c r="J69" s="68" t="s">
        <v>478</v>
      </c>
      <c r="K69" s="65" t="str">
        <f>VLOOKUP(B69,Sheet1!$A$2:$C$102,3,FALSE)</f>
        <v>DSM2205-AM01</v>
      </c>
      <c r="L69" s="69" t="s">
        <v>661</v>
      </c>
      <c r="N69" s="39"/>
      <c r="P69" s="36">
        <v>41072</v>
      </c>
      <c r="Q69" s="34">
        <v>21</v>
      </c>
      <c r="R69" s="34" t="s">
        <v>182</v>
      </c>
      <c r="S69" s="34" t="str">
        <f t="shared" si="4"/>
        <v>41072-21-503512X</v>
      </c>
    </row>
    <row r="70" spans="1:19" ht="16.5" customHeight="1">
      <c r="A70" s="65" t="s">
        <v>339</v>
      </c>
      <c r="B70" s="66" t="s">
        <v>338</v>
      </c>
      <c r="C70" s="67">
        <v>5540.84</v>
      </c>
      <c r="D70" s="66" t="s">
        <v>52</v>
      </c>
      <c r="E70" s="66" t="s">
        <v>272</v>
      </c>
      <c r="F70" s="66" t="s">
        <v>272</v>
      </c>
      <c r="G70" s="66" t="s">
        <v>394</v>
      </c>
      <c r="H70" s="66" t="s">
        <v>88</v>
      </c>
      <c r="I70" s="66" t="s">
        <v>126</v>
      </c>
      <c r="J70" s="68" t="s">
        <v>478</v>
      </c>
      <c r="K70" s="65" t="str">
        <f>VLOOKUP(B70,Sheet1!$A$2:$C$102,3,FALSE)</f>
        <v>DSM2205-EM01</v>
      </c>
      <c r="L70" s="69" t="s">
        <v>665</v>
      </c>
      <c r="N70" s="39"/>
      <c r="P70" s="36">
        <v>41072</v>
      </c>
      <c r="Q70" s="34">
        <v>21</v>
      </c>
      <c r="R70" s="34" t="s">
        <v>224</v>
      </c>
      <c r="S70" s="34" t="str">
        <f t="shared" si="4"/>
        <v>41072-21-902185X</v>
      </c>
    </row>
    <row r="71" spans="1:19" ht="16.5" customHeight="1">
      <c r="A71" s="65" t="s">
        <v>335</v>
      </c>
      <c r="B71" s="66" t="s">
        <v>334</v>
      </c>
      <c r="C71" s="67">
        <v>4823.07</v>
      </c>
      <c r="D71" s="66" t="s">
        <v>52</v>
      </c>
      <c r="E71" s="66" t="s">
        <v>272</v>
      </c>
      <c r="F71" s="66" t="s">
        <v>272</v>
      </c>
      <c r="G71" s="66" t="s">
        <v>277</v>
      </c>
      <c r="H71" s="66" t="s">
        <v>88</v>
      </c>
      <c r="I71" s="66" t="s">
        <v>126</v>
      </c>
      <c r="J71" s="68" t="s">
        <v>478</v>
      </c>
      <c r="K71" s="65" t="str">
        <f>VLOOKUP(B71,Sheet1!$A$2:$C$102,3,FALSE)</f>
        <v>DSM2205-EM02</v>
      </c>
      <c r="L71" s="69" t="s">
        <v>665</v>
      </c>
      <c r="N71" s="39"/>
      <c r="P71" s="36">
        <v>10576</v>
      </c>
      <c r="Q71" s="34">
        <v>21</v>
      </c>
      <c r="R71" s="34" t="s">
        <v>197</v>
      </c>
      <c r="S71" s="34" t="str">
        <f t="shared" si="4"/>
        <v>10576-21-090714X</v>
      </c>
    </row>
    <row r="72" spans="1:19" ht="16.5" customHeight="1">
      <c r="A72" s="65" t="s">
        <v>341</v>
      </c>
      <c r="B72" s="66" t="s">
        <v>340</v>
      </c>
      <c r="C72" s="67">
        <v>3115.93</v>
      </c>
      <c r="D72" s="66" t="s">
        <v>52</v>
      </c>
      <c r="E72" s="66" t="s">
        <v>272</v>
      </c>
      <c r="F72" s="66" t="s">
        <v>272</v>
      </c>
      <c r="G72" s="66" t="s">
        <v>78</v>
      </c>
      <c r="H72" s="66" t="s">
        <v>88</v>
      </c>
      <c r="I72" s="66" t="s">
        <v>126</v>
      </c>
      <c r="J72" s="68" t="s">
        <v>478</v>
      </c>
      <c r="K72" s="65" t="str">
        <f>VLOOKUP(B72,Sheet1!$A$2:$C$102,3,FALSE)</f>
        <v>DSM2205-EM03</v>
      </c>
      <c r="L72" s="69" t="s">
        <v>665</v>
      </c>
      <c r="N72" s="39"/>
      <c r="P72" s="36">
        <v>41072</v>
      </c>
      <c r="Q72" s="34">
        <v>21</v>
      </c>
      <c r="R72" s="34" t="s">
        <v>213</v>
      </c>
      <c r="S72" s="34" t="str">
        <f t="shared" si="4"/>
        <v>41072-21-503524X</v>
      </c>
    </row>
    <row r="73" spans="1:19" ht="16.5" customHeight="1">
      <c r="A73" s="65" t="s">
        <v>343</v>
      </c>
      <c r="B73" s="66" t="s">
        <v>342</v>
      </c>
      <c r="C73" s="67">
        <v>2784.53</v>
      </c>
      <c r="D73" s="66" t="s">
        <v>52</v>
      </c>
      <c r="E73" s="66" t="s">
        <v>272</v>
      </c>
      <c r="F73" s="66" t="s">
        <v>272</v>
      </c>
      <c r="G73" s="66" t="s">
        <v>275</v>
      </c>
      <c r="H73" s="66" t="s">
        <v>88</v>
      </c>
      <c r="I73" s="66" t="s">
        <v>126</v>
      </c>
      <c r="J73" s="68" t="s">
        <v>478</v>
      </c>
      <c r="K73" s="65" t="str">
        <f>VLOOKUP(B73,Sheet1!$A$2:$C$102,3,FALSE)</f>
        <v>DSM2205-EM04</v>
      </c>
      <c r="L73" s="69" t="s">
        <v>665</v>
      </c>
      <c r="N73" s="39"/>
      <c r="P73" s="36">
        <v>41072</v>
      </c>
      <c r="Q73" s="34">
        <v>21</v>
      </c>
      <c r="R73" s="34" t="s">
        <v>215</v>
      </c>
      <c r="S73" s="34" t="str">
        <f t="shared" si="4"/>
        <v>41072-21-503526X</v>
      </c>
    </row>
    <row r="74" spans="1:19" ht="16.5" customHeight="1">
      <c r="A74" s="65" t="s">
        <v>345</v>
      </c>
      <c r="B74" s="66" t="s">
        <v>344</v>
      </c>
      <c r="C74" s="72">
        <v>7931</v>
      </c>
      <c r="D74" s="66" t="s">
        <v>52</v>
      </c>
      <c r="E74" s="66" t="s">
        <v>272</v>
      </c>
      <c r="F74" s="66" t="s">
        <v>272</v>
      </c>
      <c r="G74" s="66" t="s">
        <v>275</v>
      </c>
      <c r="H74" s="66" t="s">
        <v>88</v>
      </c>
      <c r="I74" s="66" t="s">
        <v>126</v>
      </c>
      <c r="J74" s="68" t="s">
        <v>478</v>
      </c>
      <c r="K74" s="65" t="str">
        <f>VLOOKUP(B74,Sheet1!$A$2:$C$102,3,FALSE)</f>
        <v>DSM2205-EM05</v>
      </c>
      <c r="L74" s="69" t="s">
        <v>665</v>
      </c>
      <c r="N74" s="39"/>
      <c r="P74" s="36">
        <v>41072</v>
      </c>
      <c r="Q74" s="34">
        <v>21</v>
      </c>
      <c r="R74" s="34" t="s">
        <v>186</v>
      </c>
      <c r="S74" s="34" t="str">
        <f t="shared" si="4"/>
        <v>41072-21-503521X</v>
      </c>
    </row>
    <row r="75" spans="1:19" ht="16.5" customHeight="1">
      <c r="A75" s="65" t="s">
        <v>347</v>
      </c>
      <c r="B75" s="66" t="s">
        <v>346</v>
      </c>
      <c r="C75" s="67">
        <v>1486.3</v>
      </c>
      <c r="D75" s="66" t="s">
        <v>52</v>
      </c>
      <c r="E75" s="66" t="s">
        <v>272</v>
      </c>
      <c r="F75" s="66" t="s">
        <v>272</v>
      </c>
      <c r="G75" s="66" t="s">
        <v>399</v>
      </c>
      <c r="H75" s="66" t="s">
        <v>88</v>
      </c>
      <c r="I75" s="66" t="s">
        <v>126</v>
      </c>
      <c r="J75" s="68" t="s">
        <v>478</v>
      </c>
      <c r="K75" s="65" t="str">
        <f>VLOOKUP(B75,Sheet1!$A$2:$C$102,3,FALSE)</f>
        <v>DSM2205-EM06</v>
      </c>
      <c r="L75" s="69" t="s">
        <v>665</v>
      </c>
      <c r="N75" s="39"/>
      <c r="P75" s="36">
        <v>41072</v>
      </c>
      <c r="Q75" s="34">
        <v>21</v>
      </c>
      <c r="R75" s="34" t="s">
        <v>214</v>
      </c>
      <c r="S75" s="34" t="str">
        <f t="shared" si="4"/>
        <v>41072-21-503525X</v>
      </c>
    </row>
    <row r="76" spans="1:19" ht="16.5" customHeight="1">
      <c r="A76" s="65" t="s">
        <v>412</v>
      </c>
      <c r="B76" s="66" t="s">
        <v>411</v>
      </c>
      <c r="C76" s="67">
        <v>10857.65</v>
      </c>
      <c r="D76" s="66" t="s">
        <v>52</v>
      </c>
      <c r="E76" s="66" t="s">
        <v>272</v>
      </c>
      <c r="F76" s="66" t="s">
        <v>272</v>
      </c>
      <c r="G76" s="66" t="s">
        <v>399</v>
      </c>
      <c r="H76" s="66" t="s">
        <v>88</v>
      </c>
      <c r="I76" s="66" t="s">
        <v>126</v>
      </c>
      <c r="J76" s="68" t="s">
        <v>478</v>
      </c>
      <c r="K76" s="65" t="str">
        <f>VLOOKUP(B76,Sheet1!$A$2:$C$102,3,FALSE)</f>
        <v>DSM2205-EM07</v>
      </c>
      <c r="L76" s="69" t="s">
        <v>665</v>
      </c>
      <c r="N76" s="39"/>
      <c r="P76" s="36">
        <v>41072</v>
      </c>
      <c r="Q76" s="34">
        <v>21</v>
      </c>
      <c r="R76" s="34" t="s">
        <v>216</v>
      </c>
      <c r="S76" s="34" t="str">
        <f t="shared" si="4"/>
        <v>41072-21-503527X</v>
      </c>
    </row>
    <row r="77" spans="1:19" ht="16.5" customHeight="1">
      <c r="A77" s="73" t="s">
        <v>416</v>
      </c>
      <c r="B77" s="66" t="s">
        <v>415</v>
      </c>
      <c r="C77" s="66">
        <v>940.24</v>
      </c>
      <c r="D77" s="66" t="s">
        <v>52</v>
      </c>
      <c r="E77" s="66" t="s">
        <v>272</v>
      </c>
      <c r="F77" s="66" t="s">
        <v>272</v>
      </c>
      <c r="G77" s="66" t="s">
        <v>417</v>
      </c>
      <c r="H77" s="66" t="s">
        <v>88</v>
      </c>
      <c r="I77" s="66" t="s">
        <v>126</v>
      </c>
      <c r="J77" s="68" t="s">
        <v>478</v>
      </c>
      <c r="K77" s="73" t="str">
        <f>VLOOKUP(B77,Sheet1!$A$2:$C$102,3,FALSE)</f>
        <v>DSM2205-EM08</v>
      </c>
      <c r="L77" s="69" t="s">
        <v>665</v>
      </c>
      <c r="N77" s="39"/>
      <c r="P77" s="36">
        <v>41072</v>
      </c>
      <c r="Q77" s="34">
        <v>21</v>
      </c>
      <c r="R77" s="34" t="s">
        <v>217</v>
      </c>
      <c r="S77" s="34" t="str">
        <f t="shared" ref="S77:S85" si="6">P77&amp;"-"&amp;Q77&amp;"-"&amp;R77</f>
        <v>41072-21-503528X</v>
      </c>
    </row>
    <row r="78" spans="1:19" ht="16.5" customHeight="1">
      <c r="A78" s="65" t="s">
        <v>461</v>
      </c>
      <c r="B78" s="66" t="s">
        <v>460</v>
      </c>
      <c r="C78" s="67">
        <v>6823.72</v>
      </c>
      <c r="D78" s="66" t="s">
        <v>52</v>
      </c>
      <c r="E78" s="66" t="s">
        <v>277</v>
      </c>
      <c r="F78" s="66" t="s">
        <v>277</v>
      </c>
      <c r="G78" s="66" t="s">
        <v>285</v>
      </c>
      <c r="H78" s="66" t="s">
        <v>88</v>
      </c>
      <c r="I78" s="66" t="s">
        <v>126</v>
      </c>
      <c r="J78" s="68" t="s">
        <v>478</v>
      </c>
      <c r="K78" s="65" t="str">
        <f>VLOOKUP(B78,Sheet1!$A$2:$C$102,3,FALSE)</f>
        <v>DSM2205-EM09</v>
      </c>
      <c r="L78" s="69" t="s">
        <v>665</v>
      </c>
      <c r="N78" s="39"/>
      <c r="P78" s="36">
        <v>41072</v>
      </c>
      <c r="Q78" s="34">
        <v>21</v>
      </c>
      <c r="R78" s="34" t="s">
        <v>218</v>
      </c>
      <c r="S78" s="34" t="str">
        <f t="shared" si="6"/>
        <v>41072-21-503529X</v>
      </c>
    </row>
    <row r="79" spans="1:19" ht="16.5" customHeight="1">
      <c r="A79" s="65" t="s">
        <v>465</v>
      </c>
      <c r="B79" s="66" t="s">
        <v>464</v>
      </c>
      <c r="C79" s="67">
        <v>5308.46</v>
      </c>
      <c r="D79" s="66" t="s">
        <v>52</v>
      </c>
      <c r="E79" s="66" t="s">
        <v>277</v>
      </c>
      <c r="F79" s="66" t="s">
        <v>277</v>
      </c>
      <c r="G79" s="66" t="s">
        <v>283</v>
      </c>
      <c r="H79" s="66" t="s">
        <v>88</v>
      </c>
      <c r="I79" s="66" t="s">
        <v>126</v>
      </c>
      <c r="J79" s="68" t="s">
        <v>478</v>
      </c>
      <c r="K79" s="65" t="str">
        <f>VLOOKUP(B79,Sheet1!$A$2:$C$102,3,FALSE)</f>
        <v>DSM2205-EM10</v>
      </c>
      <c r="L79" s="69" t="s">
        <v>665</v>
      </c>
      <c r="N79" s="39"/>
      <c r="P79" s="36">
        <v>41072</v>
      </c>
      <c r="Q79" s="34">
        <v>21</v>
      </c>
      <c r="R79" s="34" t="s">
        <v>219</v>
      </c>
      <c r="S79" s="34" t="str">
        <f t="shared" si="6"/>
        <v>41072-21-503530X</v>
      </c>
    </row>
    <row r="80" spans="1:19" ht="16.5" customHeight="1">
      <c r="A80" s="65" t="s">
        <v>469</v>
      </c>
      <c r="B80" s="66" t="s">
        <v>468</v>
      </c>
      <c r="C80" s="72">
        <v>17905</v>
      </c>
      <c r="D80" s="66" t="s">
        <v>52</v>
      </c>
      <c r="E80" s="66" t="s">
        <v>277</v>
      </c>
      <c r="F80" s="66" t="s">
        <v>277</v>
      </c>
      <c r="G80" s="66" t="s">
        <v>283</v>
      </c>
      <c r="H80" s="66" t="s">
        <v>88</v>
      </c>
      <c r="I80" s="66" t="s">
        <v>126</v>
      </c>
      <c r="J80" s="68" t="s">
        <v>478</v>
      </c>
      <c r="K80" s="65" t="str">
        <f>VLOOKUP(B80,Sheet1!$A$2:$C$102,3,FALSE)</f>
        <v>DSM2205-EM11</v>
      </c>
      <c r="L80" s="69" t="s">
        <v>665</v>
      </c>
      <c r="N80" s="39"/>
      <c r="P80" s="36">
        <v>41072</v>
      </c>
      <c r="Q80" s="34">
        <v>21</v>
      </c>
      <c r="R80" s="34" t="s">
        <v>244</v>
      </c>
      <c r="S80" s="34" t="str">
        <f t="shared" si="6"/>
        <v>41072-21-503531X</v>
      </c>
    </row>
    <row r="81" spans="1:19" ht="16.5" customHeight="1">
      <c r="A81" s="65" t="s">
        <v>513</v>
      </c>
      <c r="B81" s="66" t="s">
        <v>512</v>
      </c>
      <c r="C81" s="67">
        <v>9210.09</v>
      </c>
      <c r="D81" s="66" t="s">
        <v>52</v>
      </c>
      <c r="E81" s="66" t="s">
        <v>284</v>
      </c>
      <c r="F81" s="66" t="s">
        <v>284</v>
      </c>
      <c r="G81" s="66" t="s">
        <v>285</v>
      </c>
      <c r="H81" s="66" t="s">
        <v>88</v>
      </c>
      <c r="I81" s="66" t="s">
        <v>126</v>
      </c>
      <c r="J81" s="68" t="s">
        <v>478</v>
      </c>
      <c r="K81" s="65" t="str">
        <f>VLOOKUP(B81,Sheet1!$A$2:$C$102,3,FALSE)</f>
        <v>DSM2205-EM12</v>
      </c>
      <c r="L81" s="69" t="s">
        <v>665</v>
      </c>
      <c r="N81" s="39"/>
      <c r="P81" s="36">
        <v>41072</v>
      </c>
      <c r="Q81" s="34">
        <v>21</v>
      </c>
      <c r="R81" s="34" t="s">
        <v>245</v>
      </c>
      <c r="S81" s="34" t="str">
        <f t="shared" si="6"/>
        <v>41072-21-503532X</v>
      </c>
    </row>
    <row r="82" spans="1:19" ht="16.5" customHeight="1">
      <c r="A82" s="65" t="s">
        <v>516</v>
      </c>
      <c r="B82" s="66" t="s">
        <v>515</v>
      </c>
      <c r="C82" s="72">
        <v>7931</v>
      </c>
      <c r="D82" s="66" t="s">
        <v>52</v>
      </c>
      <c r="E82" s="66" t="s">
        <v>284</v>
      </c>
      <c r="F82" s="66" t="s">
        <v>284</v>
      </c>
      <c r="G82" s="66" t="s">
        <v>517</v>
      </c>
      <c r="H82" s="66" t="s">
        <v>88</v>
      </c>
      <c r="I82" s="66" t="s">
        <v>126</v>
      </c>
      <c r="J82" s="68" t="s">
        <v>478</v>
      </c>
      <c r="K82" s="65" t="str">
        <f>VLOOKUP(B82,Sheet1!$A$2:$C$102,3,FALSE)</f>
        <v>DSM2205-EM13</v>
      </c>
      <c r="L82" s="69" t="s">
        <v>665</v>
      </c>
      <c r="N82" s="39"/>
      <c r="P82" s="36">
        <v>41072</v>
      </c>
      <c r="Q82" s="34">
        <v>21</v>
      </c>
      <c r="R82" s="34" t="s">
        <v>246</v>
      </c>
      <c r="S82" s="34" t="str">
        <f t="shared" si="6"/>
        <v>41072-21-503533X</v>
      </c>
    </row>
    <row r="83" spans="1:19" ht="16.5" customHeight="1">
      <c r="A83" s="65" t="s">
        <v>531</v>
      </c>
      <c r="B83" s="66" t="s">
        <v>530</v>
      </c>
      <c r="C83" s="72">
        <v>24034</v>
      </c>
      <c r="D83" s="66" t="s">
        <v>52</v>
      </c>
      <c r="E83" s="66" t="s">
        <v>517</v>
      </c>
      <c r="F83" s="66" t="s">
        <v>517</v>
      </c>
      <c r="G83" s="66" t="s">
        <v>522</v>
      </c>
      <c r="H83" s="66" t="s">
        <v>88</v>
      </c>
      <c r="I83" s="66" t="s">
        <v>126</v>
      </c>
      <c r="J83" s="68" t="s">
        <v>478</v>
      </c>
      <c r="K83" s="65" t="str">
        <f>VLOOKUP(B83,Sheet1!$A$2:$C$102,3,FALSE)</f>
        <v>DSM2205-EM14</v>
      </c>
      <c r="L83" s="69" t="s">
        <v>665</v>
      </c>
      <c r="N83" s="39"/>
      <c r="P83" s="36">
        <v>41072</v>
      </c>
      <c r="Q83" s="34">
        <v>21</v>
      </c>
      <c r="R83" s="34" t="s">
        <v>247</v>
      </c>
      <c r="S83" s="34" t="str">
        <f t="shared" si="6"/>
        <v>41072-21-503534X</v>
      </c>
    </row>
    <row r="84" spans="1:19">
      <c r="A84" s="65" t="s">
        <v>570</v>
      </c>
      <c r="B84" s="66" t="s">
        <v>569</v>
      </c>
      <c r="C84" s="67">
        <v>2872.75</v>
      </c>
      <c r="D84" s="66" t="s">
        <v>52</v>
      </c>
      <c r="E84" s="66" t="s">
        <v>299</v>
      </c>
      <c r="F84" s="66" t="s">
        <v>299</v>
      </c>
      <c r="G84" s="66" t="s">
        <v>78</v>
      </c>
      <c r="H84" s="66" t="s">
        <v>88</v>
      </c>
      <c r="I84" s="66" t="s">
        <v>126</v>
      </c>
      <c r="J84" s="68" t="s">
        <v>478</v>
      </c>
      <c r="K84" s="65" t="str">
        <f>VLOOKUP(B84,Sheet1!$A$2:$C$102,3,FALSE)</f>
        <v>DSM2205-EM15</v>
      </c>
      <c r="L84" s="69" t="s">
        <v>665</v>
      </c>
      <c r="N84" s="39"/>
      <c r="P84" s="36">
        <v>41072</v>
      </c>
      <c r="Q84" s="34">
        <v>21</v>
      </c>
      <c r="R84" s="34" t="s">
        <v>222</v>
      </c>
      <c r="S84" s="34" t="str">
        <f t="shared" si="6"/>
        <v>41072-21-503535X</v>
      </c>
    </row>
    <row r="85" spans="1:19">
      <c r="A85" s="65" t="s">
        <v>572</v>
      </c>
      <c r="B85" s="66" t="s">
        <v>571</v>
      </c>
      <c r="C85" s="67">
        <v>11049.07</v>
      </c>
      <c r="D85" s="66" t="s">
        <v>52</v>
      </c>
      <c r="E85" s="66" t="s">
        <v>299</v>
      </c>
      <c r="F85" s="66" t="s">
        <v>299</v>
      </c>
      <c r="G85" s="66" t="s">
        <v>78</v>
      </c>
      <c r="H85" s="66" t="s">
        <v>88</v>
      </c>
      <c r="I85" s="66" t="s">
        <v>126</v>
      </c>
      <c r="J85" s="68" t="s">
        <v>478</v>
      </c>
      <c r="K85" s="65" t="str">
        <f>VLOOKUP(B85,Sheet1!$A$2:$C$102,3,FALSE)</f>
        <v>DSM2205-EM16</v>
      </c>
      <c r="L85" s="69" t="s">
        <v>665</v>
      </c>
      <c r="N85" s="39"/>
      <c r="P85" s="36">
        <v>41072</v>
      </c>
      <c r="Q85" s="34">
        <v>21</v>
      </c>
      <c r="R85" s="34" t="s">
        <v>248</v>
      </c>
      <c r="S85" s="34" t="str">
        <f t="shared" si="6"/>
        <v>41072-21-503536X</v>
      </c>
    </row>
    <row r="86" spans="1:19">
      <c r="A86" s="65" t="s">
        <v>566</v>
      </c>
      <c r="B86" s="66" t="s">
        <v>565</v>
      </c>
      <c r="C86" s="67">
        <v>2435.8200000000002</v>
      </c>
      <c r="D86" s="66" t="s">
        <v>52</v>
      </c>
      <c r="E86" s="66" t="s">
        <v>299</v>
      </c>
      <c r="F86" s="66" t="s">
        <v>299</v>
      </c>
      <c r="G86" s="66" t="s">
        <v>78</v>
      </c>
      <c r="H86" s="66" t="s">
        <v>88</v>
      </c>
      <c r="I86" s="66" t="s">
        <v>126</v>
      </c>
      <c r="J86" s="68" t="s">
        <v>478</v>
      </c>
      <c r="K86" s="65" t="str">
        <f>VLOOKUP(B86,Sheet1!$A$2:$C$102,3,FALSE)</f>
        <v>DSM2205-EM17</v>
      </c>
      <c r="L86" s="69" t="s">
        <v>665</v>
      </c>
      <c r="N86" s="39"/>
    </row>
    <row r="87" spans="1:19">
      <c r="A87" s="65" t="s">
        <v>575</v>
      </c>
      <c r="B87" s="66" t="s">
        <v>574</v>
      </c>
      <c r="C87" s="66">
        <v>590.94000000000005</v>
      </c>
      <c r="D87" s="66" t="s">
        <v>52</v>
      </c>
      <c r="E87" s="66" t="s">
        <v>299</v>
      </c>
      <c r="F87" s="66" t="s">
        <v>299</v>
      </c>
      <c r="G87" s="66" t="s">
        <v>382</v>
      </c>
      <c r="H87" s="66" t="s">
        <v>88</v>
      </c>
      <c r="I87" s="66" t="s">
        <v>126</v>
      </c>
      <c r="J87" s="68" t="s">
        <v>478</v>
      </c>
      <c r="K87" s="65" t="str">
        <f>VLOOKUP(B87,Sheet1!$A$2:$C$102,3,FALSE)</f>
        <v>DSM2205-EM18</v>
      </c>
      <c r="L87" s="69" t="s">
        <v>665</v>
      </c>
      <c r="N87" s="39"/>
    </row>
    <row r="88" spans="1:19">
      <c r="A88" s="65" t="s">
        <v>578</v>
      </c>
      <c r="B88" s="66" t="s">
        <v>577</v>
      </c>
      <c r="C88" s="66">
        <v>765.12</v>
      </c>
      <c r="D88" s="66" t="s">
        <v>52</v>
      </c>
      <c r="E88" s="66" t="s">
        <v>299</v>
      </c>
      <c r="F88" s="66" t="s">
        <v>299</v>
      </c>
      <c r="G88" s="66" t="s">
        <v>579</v>
      </c>
      <c r="H88" s="66" t="s">
        <v>88</v>
      </c>
      <c r="I88" s="66" t="s">
        <v>126</v>
      </c>
      <c r="J88" s="68" t="s">
        <v>478</v>
      </c>
      <c r="K88" s="65" t="str">
        <f>VLOOKUP(B88,Sheet1!$A$2:$C$102,3,FALSE)</f>
        <v>DSM2205-EM19</v>
      </c>
      <c r="L88" s="69" t="s">
        <v>665</v>
      </c>
      <c r="N88" s="39"/>
    </row>
    <row r="89" spans="1:19">
      <c r="A89" s="65" t="s">
        <v>592</v>
      </c>
      <c r="B89" s="66" t="s">
        <v>591</v>
      </c>
      <c r="C89" s="72">
        <v>7931</v>
      </c>
      <c r="D89" s="66" t="s">
        <v>52</v>
      </c>
      <c r="E89" s="66" t="s">
        <v>302</v>
      </c>
      <c r="F89" s="66" t="s">
        <v>302</v>
      </c>
      <c r="G89" s="66" t="s">
        <v>78</v>
      </c>
      <c r="H89" s="66" t="s">
        <v>88</v>
      </c>
      <c r="I89" s="66" t="s">
        <v>126</v>
      </c>
      <c r="J89" s="68" t="s">
        <v>478</v>
      </c>
      <c r="K89" s="65" t="str">
        <f>VLOOKUP(B89,Sheet1!$A$2:$C$102,3,FALSE)</f>
        <v>DSM2205-EM20</v>
      </c>
      <c r="L89" s="69" t="s">
        <v>665</v>
      </c>
      <c r="N89" s="39"/>
    </row>
    <row r="90" spans="1:19">
      <c r="A90" s="54" t="s">
        <v>421</v>
      </c>
      <c r="B90" s="62" t="s">
        <v>420</v>
      </c>
      <c r="C90" s="51">
        <v>6486.52</v>
      </c>
      <c r="D90" s="62" t="s">
        <v>52</v>
      </c>
      <c r="E90" s="62" t="s">
        <v>275</v>
      </c>
      <c r="F90" s="62" t="s">
        <v>275</v>
      </c>
      <c r="G90" s="62" t="s">
        <v>276</v>
      </c>
      <c r="H90" s="62" t="s">
        <v>88</v>
      </c>
      <c r="I90" s="62" t="s">
        <v>126</v>
      </c>
      <c r="J90" s="38" t="s">
        <v>478</v>
      </c>
      <c r="K90" s="54" t="str">
        <f>VLOOKUP(B90,Sheet1!$A$2:$C$102,3,FALSE)</f>
        <v>DSM2205-K01</v>
      </c>
      <c r="L90" s="37" t="s">
        <v>666</v>
      </c>
      <c r="N90" s="39"/>
    </row>
    <row r="91" spans="1:19" ht="16.5" customHeight="1">
      <c r="A91" s="54" t="s">
        <v>489</v>
      </c>
      <c r="B91" s="62" t="s">
        <v>488</v>
      </c>
      <c r="C91" s="51">
        <v>7552.08</v>
      </c>
      <c r="D91" s="62" t="s">
        <v>52</v>
      </c>
      <c r="E91" s="62" t="s">
        <v>283</v>
      </c>
      <c r="F91" s="62" t="s">
        <v>283</v>
      </c>
      <c r="G91" s="62" t="s">
        <v>491</v>
      </c>
      <c r="H91" s="62" t="s">
        <v>88</v>
      </c>
      <c r="I91" s="62" t="s">
        <v>126</v>
      </c>
      <c r="J91" s="38" t="s">
        <v>478</v>
      </c>
      <c r="K91" s="54" t="str">
        <f>VLOOKUP(B91,Sheet1!$A$2:$C$102,3,FALSE)</f>
        <v>DSM2205-K02</v>
      </c>
      <c r="L91" s="37" t="s">
        <v>666</v>
      </c>
      <c r="N91" s="39"/>
      <c r="P91" s="36">
        <v>41072</v>
      </c>
      <c r="Q91" s="34">
        <v>21</v>
      </c>
      <c r="R91" s="34" t="s">
        <v>168</v>
      </c>
      <c r="S91" s="34" t="str">
        <f>P91&amp;"-"&amp;Q91&amp;"-"&amp;R91</f>
        <v>41072-21-503208X</v>
      </c>
    </row>
    <row r="92" spans="1:19">
      <c r="A92" s="65" t="s">
        <v>551</v>
      </c>
      <c r="B92" s="66" t="s">
        <v>550</v>
      </c>
      <c r="C92" s="67">
        <v>115282.24000000001</v>
      </c>
      <c r="D92" s="66" t="s">
        <v>52</v>
      </c>
      <c r="E92" s="66" t="s">
        <v>285</v>
      </c>
      <c r="F92" s="66" t="s">
        <v>285</v>
      </c>
      <c r="G92" s="66" t="s">
        <v>553</v>
      </c>
      <c r="H92" s="66" t="s">
        <v>88</v>
      </c>
      <c r="I92" s="66" t="s">
        <v>126</v>
      </c>
      <c r="J92" s="68" t="s">
        <v>478</v>
      </c>
      <c r="K92" s="65" t="str">
        <f>VLOOKUP(B92,Sheet1!$A$2:$C$102,3,FALSE)</f>
        <v>DSM2205-MC01</v>
      </c>
      <c r="L92" s="69" t="s">
        <v>667</v>
      </c>
    </row>
    <row r="93" spans="1:19">
      <c r="A93" s="65" t="s">
        <v>588</v>
      </c>
      <c r="B93" s="66" t="s">
        <v>587</v>
      </c>
      <c r="C93" s="72">
        <v>19524456</v>
      </c>
      <c r="D93" s="66" t="s">
        <v>256</v>
      </c>
      <c r="E93" s="66" t="s">
        <v>302</v>
      </c>
      <c r="F93" s="66" t="s">
        <v>302</v>
      </c>
      <c r="G93" s="66" t="s">
        <v>78</v>
      </c>
      <c r="H93" s="66" t="s">
        <v>88</v>
      </c>
      <c r="I93" s="66" t="s">
        <v>126</v>
      </c>
      <c r="J93" s="68" t="s">
        <v>478</v>
      </c>
      <c r="K93" s="65" t="str">
        <f>VLOOKUP(B93,Sheet1!$A$2:$C$102,3,FALSE)</f>
        <v>DSM2205-R01</v>
      </c>
      <c r="L93" s="69" t="s">
        <v>662</v>
      </c>
    </row>
    <row r="94" spans="1:19">
      <c r="A94" s="65" t="s">
        <v>603</v>
      </c>
      <c r="B94" s="66" t="s">
        <v>602</v>
      </c>
      <c r="C94" s="72">
        <v>2316410</v>
      </c>
      <c r="D94" s="66" t="s">
        <v>256</v>
      </c>
      <c r="E94" s="66" t="s">
        <v>348</v>
      </c>
      <c r="F94" s="66" t="s">
        <v>348</v>
      </c>
      <c r="G94" s="66" t="s">
        <v>78</v>
      </c>
      <c r="H94" s="66" t="s">
        <v>88</v>
      </c>
      <c r="I94" s="66" t="s">
        <v>126</v>
      </c>
      <c r="J94" s="68" t="s">
        <v>478</v>
      </c>
      <c r="K94" s="65" t="str">
        <f>VLOOKUP(B94,Sheet1!$A$2:$C$102,3,FALSE)</f>
        <v>DSM2205-R02</v>
      </c>
      <c r="L94" s="69" t="s">
        <v>662</v>
      </c>
    </row>
    <row r="95" spans="1:19">
      <c r="A95" s="65" t="s">
        <v>371</v>
      </c>
      <c r="B95" s="66" t="s">
        <v>370</v>
      </c>
      <c r="C95" s="72">
        <v>12963814</v>
      </c>
      <c r="D95" s="66" t="s">
        <v>264</v>
      </c>
      <c r="E95" s="66" t="s">
        <v>279</v>
      </c>
      <c r="F95" s="66" t="s">
        <v>279</v>
      </c>
      <c r="G95" s="66" t="s">
        <v>373</v>
      </c>
      <c r="H95" s="66" t="s">
        <v>268</v>
      </c>
      <c r="I95" s="66" t="s">
        <v>126</v>
      </c>
      <c r="J95" s="68" t="s">
        <v>375</v>
      </c>
      <c r="K95" s="65" t="str">
        <f>VLOOKUP(B95,Sheet1!$A$2:$C$102,3,FALSE)</f>
        <v>DSM2205-SK01</v>
      </c>
      <c r="L95" s="69" t="s">
        <v>668</v>
      </c>
    </row>
    <row r="96" spans="1:19">
      <c r="A96" s="65" t="s">
        <v>377</v>
      </c>
      <c r="B96" s="66" t="s">
        <v>376</v>
      </c>
      <c r="C96" s="72">
        <v>13909442</v>
      </c>
      <c r="D96" s="66" t="s">
        <v>264</v>
      </c>
      <c r="E96" s="66" t="s">
        <v>295</v>
      </c>
      <c r="F96" s="66" t="s">
        <v>295</v>
      </c>
      <c r="G96" s="66" t="s">
        <v>299</v>
      </c>
      <c r="H96" s="66" t="s">
        <v>268</v>
      </c>
      <c r="I96" s="66" t="s">
        <v>126</v>
      </c>
      <c r="J96" s="68" t="s">
        <v>375</v>
      </c>
      <c r="K96" s="65" t="str">
        <f>VLOOKUP(B96,Sheet1!$A$2:$C$102,3,FALSE)</f>
        <v>DSM2205-SK02</v>
      </c>
      <c r="L96" s="69" t="s">
        <v>668</v>
      </c>
    </row>
    <row r="97" spans="1:19">
      <c r="A97" s="65" t="s">
        <v>381</v>
      </c>
      <c r="B97" s="66" t="s">
        <v>380</v>
      </c>
      <c r="C97" s="72">
        <v>317584</v>
      </c>
      <c r="D97" s="66" t="s">
        <v>264</v>
      </c>
      <c r="E97" s="66" t="s">
        <v>382</v>
      </c>
      <c r="F97" s="66" t="s">
        <v>382</v>
      </c>
      <c r="G97" s="66" t="s">
        <v>302</v>
      </c>
      <c r="H97" s="66" t="s">
        <v>268</v>
      </c>
      <c r="I97" s="66" t="s">
        <v>126</v>
      </c>
      <c r="J97" s="68" t="s">
        <v>375</v>
      </c>
      <c r="K97" s="65" t="str">
        <f>VLOOKUP(B97,Sheet1!$A$2:$C$102,3,FALSE)</f>
        <v>DSM2205-SK03</v>
      </c>
      <c r="L97" s="69" t="s">
        <v>668</v>
      </c>
    </row>
    <row r="98" spans="1:19">
      <c r="A98" s="65" t="s">
        <v>430</v>
      </c>
      <c r="B98" s="66" t="s">
        <v>429</v>
      </c>
      <c r="C98" s="72">
        <v>53696</v>
      </c>
      <c r="D98" s="66" t="s">
        <v>52</v>
      </c>
      <c r="E98" s="66" t="s">
        <v>274</v>
      </c>
      <c r="F98" s="66" t="s">
        <v>274</v>
      </c>
      <c r="G98" s="66" t="s">
        <v>394</v>
      </c>
      <c r="H98" s="66" t="s">
        <v>89</v>
      </c>
      <c r="I98" s="66" t="s">
        <v>125</v>
      </c>
      <c r="J98" s="68" t="s">
        <v>478</v>
      </c>
      <c r="K98" s="65" t="str">
        <f>VLOOKUP(B98,Sheet1!$A$2:$C$102,3,FALSE)</f>
        <v>DSM2205-SM01</v>
      </c>
      <c r="L98" s="69" t="s">
        <v>669</v>
      </c>
    </row>
    <row r="99" spans="1:19">
      <c r="A99" s="65" t="s">
        <v>586</v>
      </c>
      <c r="B99" s="66" t="s">
        <v>585</v>
      </c>
      <c r="C99" s="72">
        <v>59214</v>
      </c>
      <c r="D99" s="66" t="s">
        <v>52</v>
      </c>
      <c r="E99" s="66" t="s">
        <v>382</v>
      </c>
      <c r="F99" s="66" t="s">
        <v>382</v>
      </c>
      <c r="G99" s="66" t="s">
        <v>78</v>
      </c>
      <c r="H99" s="66" t="s">
        <v>89</v>
      </c>
      <c r="I99" s="66" t="s">
        <v>125</v>
      </c>
      <c r="J99" s="68" t="s">
        <v>478</v>
      </c>
      <c r="K99" s="65" t="str">
        <f>VLOOKUP(B99,Sheet1!$A$2:$C$102,3,FALSE)</f>
        <v>DSM2205-SM02</v>
      </c>
      <c r="L99" s="69" t="s">
        <v>669</v>
      </c>
    </row>
    <row r="100" spans="1:19">
      <c r="A100" s="54"/>
      <c r="B100" s="62"/>
      <c r="C100" s="50"/>
      <c r="D100" s="62"/>
      <c r="E100" s="62"/>
      <c r="F100" s="62"/>
      <c r="G100" s="62"/>
      <c r="H100" s="62"/>
      <c r="I100" s="62"/>
      <c r="J100" s="38"/>
      <c r="K100" s="54"/>
      <c r="L100" s="37"/>
    </row>
    <row r="101" spans="1:19">
      <c r="A101" s="56" t="s">
        <v>584</v>
      </c>
      <c r="B101" s="48" t="s">
        <v>583</v>
      </c>
      <c r="C101" s="49">
        <v>178432.4</v>
      </c>
      <c r="D101" s="48" t="s">
        <v>52</v>
      </c>
      <c r="E101" s="48" t="s">
        <v>299</v>
      </c>
      <c r="F101" s="48" t="s">
        <v>299</v>
      </c>
      <c r="G101" s="48" t="s">
        <v>78</v>
      </c>
      <c r="H101" s="48" t="s">
        <v>88</v>
      </c>
      <c r="I101" s="48" t="s">
        <v>126</v>
      </c>
      <c r="J101" s="44" t="s">
        <v>478</v>
      </c>
      <c r="K101" s="56" t="str">
        <f>VLOOKUP(B101,Sheet1!$A$2:$C$102,3,FALSE)</f>
        <v>DSM2206-01</v>
      </c>
      <c r="L101" s="43" t="s">
        <v>663</v>
      </c>
    </row>
    <row r="102" spans="1:19" ht="16.5" customHeight="1">
      <c r="A102" s="56" t="s">
        <v>606</v>
      </c>
      <c r="B102" s="48" t="s">
        <v>605</v>
      </c>
      <c r="C102" s="48">
        <v>984.96</v>
      </c>
      <c r="D102" s="48" t="s">
        <v>52</v>
      </c>
      <c r="E102" s="48" t="s">
        <v>348</v>
      </c>
      <c r="F102" s="48" t="s">
        <v>348</v>
      </c>
      <c r="G102" s="48" t="s">
        <v>78</v>
      </c>
      <c r="H102" s="48" t="s">
        <v>88</v>
      </c>
      <c r="I102" s="48" t="s">
        <v>126</v>
      </c>
      <c r="J102" s="44" t="s">
        <v>478</v>
      </c>
      <c r="K102" s="56" t="str">
        <f>VLOOKUP(B102,Sheet1!$A$2:$C$102,3,FALSE)</f>
        <v>DSM2206-03</v>
      </c>
      <c r="L102" s="43" t="s">
        <v>663</v>
      </c>
      <c r="N102" s="39"/>
      <c r="P102" s="36">
        <v>41072</v>
      </c>
      <c r="Q102" s="34">
        <v>21</v>
      </c>
      <c r="R102" s="34" t="s">
        <v>217</v>
      </c>
      <c r="S102" s="34" t="str">
        <f>P102&amp;"-"&amp;Q102&amp;"-"&amp;R102</f>
        <v>41072-21-503528X</v>
      </c>
    </row>
    <row r="103" spans="1:19">
      <c r="A103" s="56" t="s">
        <v>657</v>
      </c>
      <c r="B103" s="48" t="s">
        <v>656</v>
      </c>
      <c r="C103" s="49">
        <v>7462.56</v>
      </c>
      <c r="D103" s="48" t="s">
        <v>52</v>
      </c>
      <c r="E103" s="48" t="s">
        <v>302</v>
      </c>
      <c r="F103" s="48" t="s">
        <v>302</v>
      </c>
      <c r="G103" s="48" t="s">
        <v>78</v>
      </c>
      <c r="H103" s="48" t="s">
        <v>88</v>
      </c>
      <c r="I103" s="48" t="s">
        <v>126</v>
      </c>
      <c r="J103" s="44" t="s">
        <v>626</v>
      </c>
      <c r="K103" s="56" t="str">
        <f>VLOOKUP(B103,Sheet1!$A$2:$C$102,3,FALSE)</f>
        <v>DSM2206-AL01</v>
      </c>
      <c r="L103" s="43" t="s">
        <v>664</v>
      </c>
    </row>
    <row r="104" spans="1:19">
      <c r="A104" s="56" t="s">
        <v>659</v>
      </c>
      <c r="B104" s="48" t="s">
        <v>658</v>
      </c>
      <c r="C104" s="49">
        <v>6529.74</v>
      </c>
      <c r="D104" s="48" t="s">
        <v>52</v>
      </c>
      <c r="E104" s="48" t="s">
        <v>348</v>
      </c>
      <c r="F104" s="48" t="s">
        <v>348</v>
      </c>
      <c r="G104" s="48" t="s">
        <v>78</v>
      </c>
      <c r="H104" s="48" t="s">
        <v>88</v>
      </c>
      <c r="I104" s="48" t="s">
        <v>126</v>
      </c>
      <c r="J104" s="44" t="s">
        <v>626</v>
      </c>
      <c r="K104" s="56" t="str">
        <f>VLOOKUP(B104,Sheet1!$A$2:$C$102,3,FALSE)</f>
        <v>DSM2206-AL02</v>
      </c>
      <c r="L104" s="43" t="s">
        <v>664</v>
      </c>
    </row>
  </sheetData>
  <autoFilter ref="A1:T1" xr:uid="{00000000-0009-0000-0000-000065000000}"/>
  <sortState ref="A2:L104">
    <sortCondition ref="A6:A104"/>
  </sortState>
  <phoneticPr fontId="2" type="noConversion"/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AC125"/>
  <sheetViews>
    <sheetView topLeftCell="A67" workbookViewId="0">
      <selection activeCell="D92" sqref="D92"/>
    </sheetView>
  </sheetViews>
  <sheetFormatPr defaultRowHeight="17.399999999999999"/>
  <cols>
    <col min="1" max="1" width="16.19921875" bestFit="1" customWidth="1"/>
    <col min="3" max="3" width="16" bestFit="1" customWidth="1"/>
    <col min="4" max="5" width="11.09765625" bestFit="1" customWidth="1"/>
    <col min="7" max="7" width="13" bestFit="1" customWidth="1"/>
    <col min="9" max="9" width="13" bestFit="1" customWidth="1"/>
    <col min="10" max="11" width="9.19921875" bestFit="1" customWidth="1"/>
    <col min="14" max="14" width="11.09765625" bestFit="1" customWidth="1"/>
    <col min="16" max="16" width="8.19921875" bestFit="1" customWidth="1"/>
    <col min="17" max="18" width="14.3984375" bestFit="1" customWidth="1"/>
    <col min="19" max="19" width="20.59765625" bestFit="1" customWidth="1"/>
    <col min="20" max="20" width="29.19921875" bestFit="1" customWidth="1"/>
    <col min="21" max="21" width="12.8984375" bestFit="1" customWidth="1"/>
    <col min="23" max="23" width="18.59765625" bestFit="1" customWidth="1"/>
    <col min="24" max="24" width="57.3984375" bestFit="1" customWidth="1"/>
    <col min="25" max="25" width="17.69921875" bestFit="1" customWidth="1"/>
    <col min="26" max="26" width="7.8984375" bestFit="1" customWidth="1"/>
    <col min="27" max="27" width="7.09765625" bestFit="1" customWidth="1"/>
    <col min="28" max="28" width="11.59765625" bestFit="1" customWidth="1"/>
    <col min="29" max="29" width="7.09765625" style="19" customWidth="1"/>
  </cols>
  <sheetData>
    <row r="1" spans="1:29">
      <c r="A1" s="46" t="s">
        <v>48</v>
      </c>
      <c r="B1" s="46" t="s">
        <v>230</v>
      </c>
      <c r="C1" s="46" t="s">
        <v>55</v>
      </c>
      <c r="D1" s="46" t="s">
        <v>51</v>
      </c>
      <c r="E1" s="46" t="s">
        <v>56</v>
      </c>
      <c r="F1" s="46" t="s">
        <v>90</v>
      </c>
      <c r="G1" s="46" t="s">
        <v>91</v>
      </c>
      <c r="H1" s="46" t="s">
        <v>92</v>
      </c>
      <c r="I1" s="46" t="s">
        <v>93</v>
      </c>
      <c r="J1" s="46" t="s">
        <v>94</v>
      </c>
      <c r="K1" s="46" t="s">
        <v>95</v>
      </c>
      <c r="L1" s="46" t="s">
        <v>96</v>
      </c>
      <c r="M1" s="46" t="s">
        <v>97</v>
      </c>
      <c r="N1" s="46" t="s">
        <v>57</v>
      </c>
      <c r="O1" s="46" t="s">
        <v>58</v>
      </c>
      <c r="P1" s="46" t="s">
        <v>59</v>
      </c>
      <c r="Q1" s="46" t="s">
        <v>60</v>
      </c>
      <c r="R1" s="46" t="s">
        <v>61</v>
      </c>
      <c r="S1" s="46" t="s">
        <v>62</v>
      </c>
      <c r="T1" s="46" t="s">
        <v>63</v>
      </c>
      <c r="U1" s="46" t="s">
        <v>64</v>
      </c>
      <c r="V1" s="46" t="s">
        <v>65</v>
      </c>
      <c r="W1" s="46" t="s">
        <v>66</v>
      </c>
      <c r="X1" s="46" t="s">
        <v>67</v>
      </c>
      <c r="Y1" s="46" t="s">
        <v>68</v>
      </c>
      <c r="Z1" s="46" t="s">
        <v>69</v>
      </c>
      <c r="AA1" s="46" t="s">
        <v>70</v>
      </c>
      <c r="AB1" s="46" t="s">
        <v>71</v>
      </c>
      <c r="AC1" s="28" t="s">
        <v>232</v>
      </c>
    </row>
    <row r="2" spans="1:29">
      <c r="A2" s="62" t="s">
        <v>370</v>
      </c>
      <c r="B2" s="62" t="s">
        <v>110</v>
      </c>
      <c r="C2" s="62" t="s">
        <v>371</v>
      </c>
      <c r="D2" s="62" t="s">
        <v>279</v>
      </c>
      <c r="E2" s="62" t="s">
        <v>372</v>
      </c>
      <c r="F2" s="63">
        <v>34</v>
      </c>
      <c r="G2" s="62" t="s">
        <v>98</v>
      </c>
      <c r="H2" s="63">
        <v>34</v>
      </c>
      <c r="I2" s="62" t="s">
        <v>99</v>
      </c>
      <c r="J2" s="64">
        <v>9115.2000000000007</v>
      </c>
      <c r="K2" s="64">
        <v>9115.2000000000007</v>
      </c>
      <c r="L2" s="62" t="s">
        <v>98</v>
      </c>
      <c r="M2" s="62" t="s">
        <v>100</v>
      </c>
      <c r="N2" s="62" t="s">
        <v>373</v>
      </c>
      <c r="O2" s="62" t="s">
        <v>264</v>
      </c>
      <c r="P2" s="64">
        <v>1252.45</v>
      </c>
      <c r="Q2" s="63">
        <v>99105</v>
      </c>
      <c r="R2" s="63">
        <v>124123520</v>
      </c>
      <c r="S2" s="62" t="s">
        <v>374</v>
      </c>
      <c r="T2" s="62" t="s">
        <v>72</v>
      </c>
      <c r="U2" s="64">
        <v>12963814</v>
      </c>
      <c r="V2" s="62" t="s">
        <v>265</v>
      </c>
      <c r="W2" s="62" t="s">
        <v>74</v>
      </c>
      <c r="X2" s="62" t="s">
        <v>266</v>
      </c>
      <c r="Y2" s="62" t="s">
        <v>267</v>
      </c>
      <c r="Z2" s="63">
        <v>626225</v>
      </c>
      <c r="AA2" s="63">
        <v>14000</v>
      </c>
      <c r="AB2" s="62" t="s">
        <v>78</v>
      </c>
      <c r="AC2" s="31" t="s">
        <v>375</v>
      </c>
    </row>
    <row r="3" spans="1:29">
      <c r="A3" s="62" t="s">
        <v>376</v>
      </c>
      <c r="B3" s="62" t="s">
        <v>110</v>
      </c>
      <c r="C3" s="62" t="s">
        <v>377</v>
      </c>
      <c r="D3" s="62" t="s">
        <v>295</v>
      </c>
      <c r="E3" s="62" t="s">
        <v>378</v>
      </c>
      <c r="F3" s="63">
        <v>34</v>
      </c>
      <c r="G3" s="62" t="s">
        <v>98</v>
      </c>
      <c r="H3" s="63">
        <v>34</v>
      </c>
      <c r="I3" s="62" t="s">
        <v>99</v>
      </c>
      <c r="J3" s="64">
        <v>9115.2000000000007</v>
      </c>
      <c r="K3" s="64">
        <v>9115.2000000000007</v>
      </c>
      <c r="L3" s="62" t="s">
        <v>98</v>
      </c>
      <c r="M3" s="62" t="s">
        <v>100</v>
      </c>
      <c r="N3" s="62" t="s">
        <v>299</v>
      </c>
      <c r="O3" s="62" t="s">
        <v>264</v>
      </c>
      <c r="P3" s="64">
        <v>1265.3900000000001</v>
      </c>
      <c r="Q3" s="63">
        <v>107484</v>
      </c>
      <c r="R3" s="63">
        <v>136009399</v>
      </c>
      <c r="S3" s="62" t="s">
        <v>379</v>
      </c>
      <c r="T3" s="62" t="s">
        <v>72</v>
      </c>
      <c r="U3" s="64">
        <v>13909442</v>
      </c>
      <c r="V3" s="62" t="s">
        <v>265</v>
      </c>
      <c r="W3" s="62" t="s">
        <v>74</v>
      </c>
      <c r="X3" s="62" t="s">
        <v>266</v>
      </c>
      <c r="Y3" s="62" t="s">
        <v>267</v>
      </c>
      <c r="Z3" s="63">
        <v>632695</v>
      </c>
      <c r="AA3" s="63">
        <v>14000</v>
      </c>
      <c r="AB3" s="62" t="s">
        <v>78</v>
      </c>
      <c r="AC3" s="31" t="s">
        <v>375</v>
      </c>
    </row>
    <row r="4" spans="1:29">
      <c r="A4" s="27" t="s">
        <v>380</v>
      </c>
      <c r="B4" s="27" t="s">
        <v>110</v>
      </c>
      <c r="C4" s="27" t="s">
        <v>381</v>
      </c>
      <c r="D4" s="27" t="s">
        <v>382</v>
      </c>
      <c r="E4" s="27" t="s">
        <v>383</v>
      </c>
      <c r="F4" s="29">
        <v>1</v>
      </c>
      <c r="G4" s="27" t="s">
        <v>98</v>
      </c>
      <c r="H4" s="29">
        <v>1</v>
      </c>
      <c r="I4" s="27" t="s">
        <v>99</v>
      </c>
      <c r="J4" s="30">
        <v>200.6</v>
      </c>
      <c r="K4" s="30">
        <v>200.6</v>
      </c>
      <c r="L4" s="27" t="s">
        <v>98</v>
      </c>
      <c r="M4" s="27" t="s">
        <v>100</v>
      </c>
      <c r="N4" s="27" t="s">
        <v>302</v>
      </c>
      <c r="O4" s="27" t="s">
        <v>264</v>
      </c>
      <c r="P4" s="30">
        <v>1254.01</v>
      </c>
      <c r="Q4" s="29">
        <v>2382</v>
      </c>
      <c r="R4" s="29">
        <v>2987118</v>
      </c>
      <c r="S4" s="27" t="s">
        <v>384</v>
      </c>
      <c r="T4" s="27" t="s">
        <v>72</v>
      </c>
      <c r="U4" s="30">
        <v>317584</v>
      </c>
      <c r="V4" s="27" t="s">
        <v>265</v>
      </c>
      <c r="W4" s="27" t="s">
        <v>74</v>
      </c>
      <c r="X4" s="27" t="s">
        <v>266</v>
      </c>
      <c r="Y4" s="27" t="s">
        <v>267</v>
      </c>
      <c r="Z4" s="29">
        <v>125401</v>
      </c>
      <c r="AA4" s="29">
        <v>14000</v>
      </c>
      <c r="AB4" s="27" t="s">
        <v>78</v>
      </c>
      <c r="AC4" s="31" t="s">
        <v>375</v>
      </c>
    </row>
    <row r="5" spans="1:29">
      <c r="A5" s="62" t="s">
        <v>300</v>
      </c>
      <c r="B5" s="62" t="s">
        <v>110</v>
      </c>
      <c r="C5" s="62" t="s">
        <v>301</v>
      </c>
      <c r="D5" s="62" t="s">
        <v>269</v>
      </c>
      <c r="E5" s="62" t="s">
        <v>302</v>
      </c>
      <c r="F5" s="63">
        <v>52</v>
      </c>
      <c r="G5" s="62" t="s">
        <v>98</v>
      </c>
      <c r="H5" s="63">
        <v>52</v>
      </c>
      <c r="I5" s="62" t="s">
        <v>99</v>
      </c>
      <c r="J5" s="64">
        <v>6380</v>
      </c>
      <c r="K5" s="64">
        <v>6380</v>
      </c>
      <c r="L5" s="62" t="s">
        <v>98</v>
      </c>
      <c r="M5" s="62" t="s">
        <v>100</v>
      </c>
      <c r="N5" s="62" t="s">
        <v>273</v>
      </c>
      <c r="O5" s="62" t="s">
        <v>52</v>
      </c>
      <c r="P5" s="64">
        <v>1241.81</v>
      </c>
      <c r="Q5" s="63">
        <v>106360</v>
      </c>
      <c r="R5" s="63">
        <v>132078663</v>
      </c>
      <c r="S5" s="62" t="s">
        <v>326</v>
      </c>
      <c r="T5" s="62" t="s">
        <v>72</v>
      </c>
      <c r="U5" s="64">
        <v>106359.8</v>
      </c>
      <c r="V5" s="62" t="s">
        <v>77</v>
      </c>
      <c r="W5" s="62" t="s">
        <v>74</v>
      </c>
      <c r="X5" s="62" t="s">
        <v>150</v>
      </c>
      <c r="Y5" s="62" t="s">
        <v>151</v>
      </c>
      <c r="Z5" s="63">
        <v>0</v>
      </c>
      <c r="AA5" s="63">
        <v>0</v>
      </c>
      <c r="AB5" s="62" t="s">
        <v>78</v>
      </c>
      <c r="AC5" s="31" t="s">
        <v>478</v>
      </c>
    </row>
    <row r="6" spans="1:29">
      <c r="A6" s="62" t="s">
        <v>303</v>
      </c>
      <c r="B6" s="62" t="s">
        <v>110</v>
      </c>
      <c r="C6" s="62" t="s">
        <v>288</v>
      </c>
      <c r="D6" s="62" t="s">
        <v>304</v>
      </c>
      <c r="E6" s="62" t="s">
        <v>302</v>
      </c>
      <c r="F6" s="63">
        <v>2</v>
      </c>
      <c r="G6" s="62" t="s">
        <v>98</v>
      </c>
      <c r="H6" s="63">
        <v>2</v>
      </c>
      <c r="I6" s="62" t="s">
        <v>99</v>
      </c>
      <c r="J6" s="64">
        <v>88.35</v>
      </c>
      <c r="K6" s="64">
        <v>88.35</v>
      </c>
      <c r="L6" s="62" t="s">
        <v>98</v>
      </c>
      <c r="M6" s="62" t="s">
        <v>100</v>
      </c>
      <c r="N6" s="62" t="s">
        <v>275</v>
      </c>
      <c r="O6" s="62" t="s">
        <v>52</v>
      </c>
      <c r="P6" s="64">
        <v>1241.81</v>
      </c>
      <c r="Q6" s="63">
        <v>674</v>
      </c>
      <c r="R6" s="63">
        <v>837488</v>
      </c>
      <c r="S6" s="62" t="s">
        <v>385</v>
      </c>
      <c r="T6" s="62" t="s">
        <v>72</v>
      </c>
      <c r="U6" s="64">
        <v>674.41</v>
      </c>
      <c r="V6" s="62" t="s">
        <v>73</v>
      </c>
      <c r="W6" s="62" t="s">
        <v>74</v>
      </c>
      <c r="X6" s="62" t="s">
        <v>75</v>
      </c>
      <c r="Y6" s="62" t="s">
        <v>76</v>
      </c>
      <c r="Z6" s="63">
        <v>0</v>
      </c>
      <c r="AA6" s="63">
        <v>0</v>
      </c>
      <c r="AB6" s="62" t="s">
        <v>305</v>
      </c>
      <c r="AC6" s="31" t="s">
        <v>478</v>
      </c>
    </row>
    <row r="7" spans="1:29">
      <c r="A7" s="62" t="s">
        <v>306</v>
      </c>
      <c r="B7" s="62" t="s">
        <v>110</v>
      </c>
      <c r="C7" s="62" t="s">
        <v>289</v>
      </c>
      <c r="D7" s="62" t="s">
        <v>304</v>
      </c>
      <c r="E7" s="62" t="s">
        <v>302</v>
      </c>
      <c r="F7" s="63">
        <v>10</v>
      </c>
      <c r="G7" s="62" t="s">
        <v>98</v>
      </c>
      <c r="H7" s="63">
        <v>10</v>
      </c>
      <c r="I7" s="62" t="s">
        <v>99</v>
      </c>
      <c r="J7" s="64">
        <v>382.87</v>
      </c>
      <c r="K7" s="64">
        <v>382.87</v>
      </c>
      <c r="L7" s="62" t="s">
        <v>98</v>
      </c>
      <c r="M7" s="62" t="s">
        <v>100</v>
      </c>
      <c r="N7" s="62" t="s">
        <v>275</v>
      </c>
      <c r="O7" s="62" t="s">
        <v>52</v>
      </c>
      <c r="P7" s="64">
        <v>1241.81</v>
      </c>
      <c r="Q7" s="63">
        <v>3379</v>
      </c>
      <c r="R7" s="63">
        <v>4196075</v>
      </c>
      <c r="S7" s="62" t="s">
        <v>385</v>
      </c>
      <c r="T7" s="62" t="s">
        <v>72</v>
      </c>
      <c r="U7" s="64">
        <v>3379</v>
      </c>
      <c r="V7" s="62" t="s">
        <v>73</v>
      </c>
      <c r="W7" s="62" t="s">
        <v>74</v>
      </c>
      <c r="X7" s="62" t="s">
        <v>75</v>
      </c>
      <c r="Y7" s="62" t="s">
        <v>76</v>
      </c>
      <c r="Z7" s="63">
        <v>0</v>
      </c>
      <c r="AA7" s="63">
        <v>0</v>
      </c>
      <c r="AB7" s="62" t="s">
        <v>307</v>
      </c>
      <c r="AC7" s="31" t="s">
        <v>478</v>
      </c>
    </row>
    <row r="8" spans="1:29">
      <c r="A8" s="62" t="s">
        <v>308</v>
      </c>
      <c r="B8" s="62" t="s">
        <v>110</v>
      </c>
      <c r="C8" s="62" t="s">
        <v>290</v>
      </c>
      <c r="D8" s="62" t="s">
        <v>304</v>
      </c>
      <c r="E8" s="62" t="s">
        <v>302</v>
      </c>
      <c r="F8" s="63">
        <v>4</v>
      </c>
      <c r="G8" s="62" t="s">
        <v>98</v>
      </c>
      <c r="H8" s="63">
        <v>4</v>
      </c>
      <c r="I8" s="62" t="s">
        <v>99</v>
      </c>
      <c r="J8" s="64">
        <v>275.56</v>
      </c>
      <c r="K8" s="64">
        <v>275.56</v>
      </c>
      <c r="L8" s="62" t="s">
        <v>98</v>
      </c>
      <c r="M8" s="62" t="s">
        <v>100</v>
      </c>
      <c r="N8" s="62" t="s">
        <v>275</v>
      </c>
      <c r="O8" s="62" t="s">
        <v>52</v>
      </c>
      <c r="P8" s="64">
        <v>1241.81</v>
      </c>
      <c r="Q8" s="63">
        <v>1586</v>
      </c>
      <c r="R8" s="63">
        <v>1969659</v>
      </c>
      <c r="S8" s="62" t="s">
        <v>386</v>
      </c>
      <c r="T8" s="62" t="s">
        <v>72</v>
      </c>
      <c r="U8" s="64">
        <v>1586.12</v>
      </c>
      <c r="V8" s="62" t="s">
        <v>73</v>
      </c>
      <c r="W8" s="62" t="s">
        <v>74</v>
      </c>
      <c r="X8" s="62" t="s">
        <v>75</v>
      </c>
      <c r="Y8" s="62" t="s">
        <v>76</v>
      </c>
      <c r="Z8" s="63">
        <v>0</v>
      </c>
      <c r="AA8" s="63">
        <v>0</v>
      </c>
      <c r="AB8" s="62" t="s">
        <v>309</v>
      </c>
      <c r="AC8" s="31" t="s">
        <v>478</v>
      </c>
    </row>
    <row r="9" spans="1:29">
      <c r="A9" s="62" t="s">
        <v>310</v>
      </c>
      <c r="B9" s="62" t="s">
        <v>110</v>
      </c>
      <c r="C9" s="62" t="s">
        <v>291</v>
      </c>
      <c r="D9" s="62" t="s">
        <v>304</v>
      </c>
      <c r="E9" s="62" t="s">
        <v>302</v>
      </c>
      <c r="F9" s="63">
        <v>15</v>
      </c>
      <c r="G9" s="62" t="s">
        <v>98</v>
      </c>
      <c r="H9" s="63">
        <v>15</v>
      </c>
      <c r="I9" s="62" t="s">
        <v>99</v>
      </c>
      <c r="J9" s="64">
        <v>3983</v>
      </c>
      <c r="K9" s="64">
        <v>3983</v>
      </c>
      <c r="L9" s="62" t="s">
        <v>98</v>
      </c>
      <c r="M9" s="62" t="s">
        <v>100</v>
      </c>
      <c r="N9" s="62" t="s">
        <v>275</v>
      </c>
      <c r="O9" s="62" t="s">
        <v>52</v>
      </c>
      <c r="P9" s="64">
        <v>1241.81</v>
      </c>
      <c r="Q9" s="63">
        <v>33253</v>
      </c>
      <c r="R9" s="63">
        <v>41293783</v>
      </c>
      <c r="S9" s="62" t="s">
        <v>385</v>
      </c>
      <c r="T9" s="62" t="s">
        <v>72</v>
      </c>
      <c r="U9" s="64">
        <v>33252.9</v>
      </c>
      <c r="V9" s="62" t="s">
        <v>73</v>
      </c>
      <c r="W9" s="62" t="s">
        <v>74</v>
      </c>
      <c r="X9" s="62" t="s">
        <v>75</v>
      </c>
      <c r="Y9" s="62" t="s">
        <v>76</v>
      </c>
      <c r="Z9" s="63">
        <v>0</v>
      </c>
      <c r="AA9" s="63">
        <v>0</v>
      </c>
      <c r="AB9" s="62" t="s">
        <v>311</v>
      </c>
      <c r="AC9" s="31" t="s">
        <v>478</v>
      </c>
    </row>
    <row r="10" spans="1:29">
      <c r="A10" s="62" t="s">
        <v>312</v>
      </c>
      <c r="B10" s="62" t="s">
        <v>110</v>
      </c>
      <c r="C10" s="62" t="s">
        <v>292</v>
      </c>
      <c r="D10" s="62" t="s">
        <v>304</v>
      </c>
      <c r="E10" s="62" t="s">
        <v>302</v>
      </c>
      <c r="F10" s="63">
        <v>9</v>
      </c>
      <c r="G10" s="62" t="s">
        <v>98</v>
      </c>
      <c r="H10" s="63">
        <v>9</v>
      </c>
      <c r="I10" s="62" t="s">
        <v>99</v>
      </c>
      <c r="J10" s="64">
        <v>2221.16</v>
      </c>
      <c r="K10" s="64">
        <v>2221.16</v>
      </c>
      <c r="L10" s="62" t="s">
        <v>98</v>
      </c>
      <c r="M10" s="62" t="s">
        <v>100</v>
      </c>
      <c r="N10" s="62" t="s">
        <v>275</v>
      </c>
      <c r="O10" s="62" t="s">
        <v>52</v>
      </c>
      <c r="P10" s="64">
        <v>1241.81</v>
      </c>
      <c r="Q10" s="63">
        <v>18439</v>
      </c>
      <c r="R10" s="63">
        <v>22897386</v>
      </c>
      <c r="S10" s="62" t="s">
        <v>387</v>
      </c>
      <c r="T10" s="62" t="s">
        <v>72</v>
      </c>
      <c r="U10" s="64">
        <v>18438.72</v>
      </c>
      <c r="V10" s="62" t="s">
        <v>73</v>
      </c>
      <c r="W10" s="62" t="s">
        <v>74</v>
      </c>
      <c r="X10" s="62" t="s">
        <v>75</v>
      </c>
      <c r="Y10" s="62" t="s">
        <v>76</v>
      </c>
      <c r="Z10" s="63">
        <v>0</v>
      </c>
      <c r="AA10" s="63">
        <v>0</v>
      </c>
      <c r="AB10" s="62" t="s">
        <v>278</v>
      </c>
      <c r="AC10" s="31" t="s">
        <v>478</v>
      </c>
    </row>
    <row r="11" spans="1:29">
      <c r="A11" s="62" t="s">
        <v>313</v>
      </c>
      <c r="B11" s="62" t="s">
        <v>110</v>
      </c>
      <c r="C11" s="62" t="s">
        <v>314</v>
      </c>
      <c r="D11" s="62" t="s">
        <v>304</v>
      </c>
      <c r="E11" s="62" t="s">
        <v>302</v>
      </c>
      <c r="F11" s="63">
        <v>1</v>
      </c>
      <c r="G11" s="62" t="s">
        <v>98</v>
      </c>
      <c r="H11" s="63">
        <v>1</v>
      </c>
      <c r="I11" s="62" t="s">
        <v>98</v>
      </c>
      <c r="J11" s="64">
        <v>241</v>
      </c>
      <c r="K11" s="64">
        <v>264</v>
      </c>
      <c r="L11" s="62" t="s">
        <v>98</v>
      </c>
      <c r="M11" s="62" t="s">
        <v>100</v>
      </c>
      <c r="N11" s="62" t="s">
        <v>272</v>
      </c>
      <c r="O11" s="62" t="s">
        <v>52</v>
      </c>
      <c r="P11" s="64">
        <v>1241.81</v>
      </c>
      <c r="Q11" s="63">
        <v>2057</v>
      </c>
      <c r="R11" s="63">
        <v>2554949</v>
      </c>
      <c r="S11" s="62" t="s">
        <v>388</v>
      </c>
      <c r="T11" s="62" t="s">
        <v>72</v>
      </c>
      <c r="U11" s="64">
        <v>2057.44</v>
      </c>
      <c r="V11" s="62" t="s">
        <v>79</v>
      </c>
      <c r="W11" s="62" t="s">
        <v>74</v>
      </c>
      <c r="X11" s="62" t="s">
        <v>261</v>
      </c>
      <c r="Y11" s="62" t="s">
        <v>262</v>
      </c>
      <c r="Z11" s="63">
        <v>0</v>
      </c>
      <c r="AA11" s="63">
        <v>0</v>
      </c>
      <c r="AB11" s="62" t="s">
        <v>315</v>
      </c>
      <c r="AC11" s="31" t="s">
        <v>478</v>
      </c>
    </row>
    <row r="12" spans="1:29">
      <c r="A12" s="62" t="s">
        <v>316</v>
      </c>
      <c r="B12" s="62" t="s">
        <v>110</v>
      </c>
      <c r="C12" s="62" t="s">
        <v>317</v>
      </c>
      <c r="D12" s="62" t="s">
        <v>304</v>
      </c>
      <c r="E12" s="62" t="s">
        <v>389</v>
      </c>
      <c r="F12" s="63">
        <v>28</v>
      </c>
      <c r="G12" s="62" t="s">
        <v>98</v>
      </c>
      <c r="H12" s="63" t="s">
        <v>78</v>
      </c>
      <c r="I12" s="62" t="s">
        <v>78</v>
      </c>
      <c r="J12" s="64">
        <v>4614.42</v>
      </c>
      <c r="K12" s="64" t="s">
        <v>78</v>
      </c>
      <c r="L12" s="62" t="s">
        <v>98</v>
      </c>
      <c r="M12" s="62" t="s">
        <v>102</v>
      </c>
      <c r="N12" s="62" t="s">
        <v>78</v>
      </c>
      <c r="O12" s="62" t="s">
        <v>256</v>
      </c>
      <c r="P12" s="64">
        <v>1241.81</v>
      </c>
      <c r="Q12" s="63">
        <v>71258</v>
      </c>
      <c r="R12" s="63">
        <v>88488766</v>
      </c>
      <c r="S12" s="62" t="s">
        <v>78</v>
      </c>
      <c r="T12" s="62" t="s">
        <v>72</v>
      </c>
      <c r="U12" s="64">
        <v>88488766</v>
      </c>
      <c r="V12" s="62" t="s">
        <v>79</v>
      </c>
      <c r="W12" s="62" t="s">
        <v>81</v>
      </c>
      <c r="X12" s="62" t="s">
        <v>257</v>
      </c>
      <c r="Y12" s="62" t="s">
        <v>258</v>
      </c>
      <c r="Z12" s="63">
        <v>0</v>
      </c>
      <c r="AA12" s="63">
        <v>0</v>
      </c>
      <c r="AB12" s="62" t="s">
        <v>318</v>
      </c>
      <c r="AC12" s="31" t="s">
        <v>478</v>
      </c>
    </row>
    <row r="13" spans="1:29">
      <c r="A13" s="62" t="s">
        <v>319</v>
      </c>
      <c r="B13" s="62" t="s">
        <v>110</v>
      </c>
      <c r="C13" s="62" t="s">
        <v>320</v>
      </c>
      <c r="D13" s="62" t="s">
        <v>304</v>
      </c>
      <c r="E13" s="62" t="s">
        <v>302</v>
      </c>
      <c r="F13" s="63">
        <v>8</v>
      </c>
      <c r="G13" s="62" t="s">
        <v>98</v>
      </c>
      <c r="H13" s="63">
        <v>8</v>
      </c>
      <c r="I13" s="62" t="s">
        <v>98</v>
      </c>
      <c r="J13" s="64">
        <v>1669.33</v>
      </c>
      <c r="K13" s="64">
        <v>1610</v>
      </c>
      <c r="L13" s="62" t="s">
        <v>98</v>
      </c>
      <c r="M13" s="62" t="s">
        <v>100</v>
      </c>
      <c r="N13" s="62" t="s">
        <v>272</v>
      </c>
      <c r="O13" s="62" t="s">
        <v>256</v>
      </c>
      <c r="P13" s="64">
        <v>1241.81</v>
      </c>
      <c r="Q13" s="63">
        <v>20980</v>
      </c>
      <c r="R13" s="63">
        <v>26052784</v>
      </c>
      <c r="S13" s="62" t="s">
        <v>327</v>
      </c>
      <c r="T13" s="62" t="s">
        <v>72</v>
      </c>
      <c r="U13" s="64">
        <v>26052784</v>
      </c>
      <c r="V13" s="62" t="s">
        <v>79</v>
      </c>
      <c r="W13" s="62" t="s">
        <v>81</v>
      </c>
      <c r="X13" s="62" t="s">
        <v>257</v>
      </c>
      <c r="Y13" s="62" t="s">
        <v>258</v>
      </c>
      <c r="Z13" s="63">
        <v>0</v>
      </c>
      <c r="AA13" s="63">
        <v>0</v>
      </c>
      <c r="AB13" s="62" t="s">
        <v>321</v>
      </c>
      <c r="AC13" s="31" t="s">
        <v>478</v>
      </c>
    </row>
    <row r="14" spans="1:29">
      <c r="A14" s="62" t="s">
        <v>325</v>
      </c>
      <c r="B14" s="62" t="s">
        <v>110</v>
      </c>
      <c r="C14" s="62" t="s">
        <v>293</v>
      </c>
      <c r="D14" s="62" t="s">
        <v>273</v>
      </c>
      <c r="E14" s="62" t="s">
        <v>348</v>
      </c>
      <c r="F14" s="63">
        <v>11</v>
      </c>
      <c r="G14" s="62" t="s">
        <v>255</v>
      </c>
      <c r="H14" s="63">
        <v>11</v>
      </c>
      <c r="I14" s="62" t="s">
        <v>98</v>
      </c>
      <c r="J14" s="64">
        <v>3185.6</v>
      </c>
      <c r="K14" s="64">
        <v>3038</v>
      </c>
      <c r="L14" s="62" t="s">
        <v>255</v>
      </c>
      <c r="M14" s="62" t="s">
        <v>100</v>
      </c>
      <c r="N14" s="62" t="s">
        <v>349</v>
      </c>
      <c r="O14" s="62" t="s">
        <v>52</v>
      </c>
      <c r="P14" s="64">
        <v>1241.81</v>
      </c>
      <c r="Q14" s="63">
        <v>23184</v>
      </c>
      <c r="R14" s="63">
        <v>28790123</v>
      </c>
      <c r="S14" s="62" t="s">
        <v>328</v>
      </c>
      <c r="T14" s="62" t="s">
        <v>72</v>
      </c>
      <c r="U14" s="64">
        <v>23184</v>
      </c>
      <c r="V14" s="62" t="s">
        <v>77</v>
      </c>
      <c r="W14" s="62" t="s">
        <v>81</v>
      </c>
      <c r="X14" s="62" t="s">
        <v>75</v>
      </c>
      <c r="Y14" s="62" t="s">
        <v>76</v>
      </c>
      <c r="Z14" s="63">
        <v>0</v>
      </c>
      <c r="AA14" s="63">
        <v>0</v>
      </c>
      <c r="AB14" s="62" t="s">
        <v>78</v>
      </c>
      <c r="AC14" s="31" t="s">
        <v>478</v>
      </c>
    </row>
    <row r="15" spans="1:29">
      <c r="A15" s="62" t="s">
        <v>329</v>
      </c>
      <c r="B15" s="62" t="s">
        <v>110</v>
      </c>
      <c r="C15" s="62" t="s">
        <v>330</v>
      </c>
      <c r="D15" s="62" t="s">
        <v>272</v>
      </c>
      <c r="E15" s="62" t="s">
        <v>350</v>
      </c>
      <c r="F15" s="63">
        <v>68</v>
      </c>
      <c r="G15" s="62" t="s">
        <v>98</v>
      </c>
      <c r="H15" s="63">
        <v>68</v>
      </c>
      <c r="I15" s="62" t="s">
        <v>99</v>
      </c>
      <c r="J15" s="64">
        <v>11588.32</v>
      </c>
      <c r="K15" s="64">
        <v>11588.32</v>
      </c>
      <c r="L15" s="62" t="s">
        <v>98</v>
      </c>
      <c r="M15" s="62" t="s">
        <v>100</v>
      </c>
      <c r="N15" s="62" t="s">
        <v>283</v>
      </c>
      <c r="O15" s="62" t="s">
        <v>52</v>
      </c>
      <c r="P15" s="64">
        <v>1241.81</v>
      </c>
      <c r="Q15" s="63">
        <v>95595</v>
      </c>
      <c r="R15" s="63">
        <v>118710280</v>
      </c>
      <c r="S15" s="62" t="s">
        <v>390</v>
      </c>
      <c r="T15" s="62" t="s">
        <v>72</v>
      </c>
      <c r="U15" s="64">
        <v>95594.559999999998</v>
      </c>
      <c r="V15" s="62" t="s">
        <v>79</v>
      </c>
      <c r="W15" s="62" t="s">
        <v>74</v>
      </c>
      <c r="X15" s="62" t="s">
        <v>80</v>
      </c>
      <c r="Y15" s="62" t="s">
        <v>158</v>
      </c>
      <c r="Z15" s="63">
        <v>0</v>
      </c>
      <c r="AA15" s="63">
        <v>0</v>
      </c>
      <c r="AB15" s="62" t="s">
        <v>159</v>
      </c>
      <c r="AC15" s="31" t="s">
        <v>478</v>
      </c>
    </row>
    <row r="16" spans="1:29">
      <c r="A16" s="62" t="s">
        <v>331</v>
      </c>
      <c r="B16" s="62" t="s">
        <v>110</v>
      </c>
      <c r="C16" s="62" t="s">
        <v>332</v>
      </c>
      <c r="D16" s="62" t="s">
        <v>272</v>
      </c>
      <c r="E16" s="62" t="s">
        <v>350</v>
      </c>
      <c r="F16" s="63">
        <v>42</v>
      </c>
      <c r="G16" s="62" t="s">
        <v>98</v>
      </c>
      <c r="H16" s="63">
        <v>42</v>
      </c>
      <c r="I16" s="62" t="s">
        <v>99</v>
      </c>
      <c r="J16" s="64">
        <v>9055.2800000000007</v>
      </c>
      <c r="K16" s="64">
        <v>9055.2800000000007</v>
      </c>
      <c r="L16" s="62" t="s">
        <v>98</v>
      </c>
      <c r="M16" s="62" t="s">
        <v>100</v>
      </c>
      <c r="N16" s="62" t="s">
        <v>373</v>
      </c>
      <c r="O16" s="62" t="s">
        <v>52</v>
      </c>
      <c r="P16" s="64">
        <v>1241.81</v>
      </c>
      <c r="Q16" s="63">
        <v>68441</v>
      </c>
      <c r="R16" s="63">
        <v>84990221</v>
      </c>
      <c r="S16" s="62" t="s">
        <v>391</v>
      </c>
      <c r="T16" s="62" t="s">
        <v>72</v>
      </c>
      <c r="U16" s="64">
        <v>68440.600000000006</v>
      </c>
      <c r="V16" s="62" t="s">
        <v>79</v>
      </c>
      <c r="W16" s="62" t="s">
        <v>74</v>
      </c>
      <c r="X16" s="62" t="s">
        <v>80</v>
      </c>
      <c r="Y16" s="62" t="s">
        <v>158</v>
      </c>
      <c r="Z16" s="63">
        <v>0</v>
      </c>
      <c r="AA16" s="63">
        <v>0</v>
      </c>
      <c r="AB16" s="62" t="s">
        <v>333</v>
      </c>
      <c r="AC16" s="31" t="s">
        <v>478</v>
      </c>
    </row>
    <row r="17" spans="1:29">
      <c r="A17" s="62" t="s">
        <v>334</v>
      </c>
      <c r="B17" s="62" t="s">
        <v>110</v>
      </c>
      <c r="C17" s="62" t="s">
        <v>335</v>
      </c>
      <c r="D17" s="62" t="s">
        <v>272</v>
      </c>
      <c r="E17" s="62" t="s">
        <v>350</v>
      </c>
      <c r="F17" s="63">
        <v>2</v>
      </c>
      <c r="G17" s="62" t="s">
        <v>98</v>
      </c>
      <c r="H17" s="63">
        <v>2</v>
      </c>
      <c r="I17" s="62" t="s">
        <v>98</v>
      </c>
      <c r="J17" s="64">
        <v>303.64999999999998</v>
      </c>
      <c r="K17" s="64">
        <v>328</v>
      </c>
      <c r="L17" s="62" t="s">
        <v>98</v>
      </c>
      <c r="M17" s="62" t="s">
        <v>100</v>
      </c>
      <c r="N17" s="62" t="s">
        <v>277</v>
      </c>
      <c r="O17" s="62" t="s">
        <v>52</v>
      </c>
      <c r="P17" s="64">
        <v>1241.81</v>
      </c>
      <c r="Q17" s="63">
        <v>4823</v>
      </c>
      <c r="R17" s="63">
        <v>5989336</v>
      </c>
      <c r="S17" s="62" t="s">
        <v>392</v>
      </c>
      <c r="T17" s="62" t="s">
        <v>72</v>
      </c>
      <c r="U17" s="64">
        <v>4823.07</v>
      </c>
      <c r="V17" s="62" t="s">
        <v>77</v>
      </c>
      <c r="W17" s="62" t="s">
        <v>81</v>
      </c>
      <c r="X17" s="62" t="s">
        <v>84</v>
      </c>
      <c r="Y17" s="62" t="s">
        <v>85</v>
      </c>
      <c r="Z17" s="63">
        <v>0</v>
      </c>
      <c r="AA17" s="63">
        <v>0</v>
      </c>
      <c r="AB17" s="62" t="s">
        <v>351</v>
      </c>
      <c r="AC17" s="31" t="s">
        <v>478</v>
      </c>
    </row>
    <row r="18" spans="1:29">
      <c r="A18" s="62" t="s">
        <v>336</v>
      </c>
      <c r="B18" s="62" t="s">
        <v>110</v>
      </c>
      <c r="C18" s="62" t="s">
        <v>337</v>
      </c>
      <c r="D18" s="62" t="s">
        <v>272</v>
      </c>
      <c r="E18" s="62" t="s">
        <v>350</v>
      </c>
      <c r="F18" s="63">
        <v>15</v>
      </c>
      <c r="G18" s="62" t="s">
        <v>98</v>
      </c>
      <c r="H18" s="63">
        <v>15</v>
      </c>
      <c r="I18" s="62" t="s">
        <v>98</v>
      </c>
      <c r="J18" s="64">
        <v>1590</v>
      </c>
      <c r="K18" s="64">
        <v>1846</v>
      </c>
      <c r="L18" s="62" t="s">
        <v>98</v>
      </c>
      <c r="M18" s="62" t="s">
        <v>100</v>
      </c>
      <c r="N18" s="62" t="s">
        <v>275</v>
      </c>
      <c r="O18" s="62" t="s">
        <v>52</v>
      </c>
      <c r="P18" s="64">
        <v>1241.81</v>
      </c>
      <c r="Q18" s="63">
        <v>15012</v>
      </c>
      <c r="R18" s="63">
        <v>18642051</v>
      </c>
      <c r="S18" s="62" t="s">
        <v>393</v>
      </c>
      <c r="T18" s="62" t="s">
        <v>72</v>
      </c>
      <c r="U18" s="64">
        <v>15012</v>
      </c>
      <c r="V18" s="62" t="s">
        <v>79</v>
      </c>
      <c r="W18" s="62" t="s">
        <v>74</v>
      </c>
      <c r="X18" s="62" t="s">
        <v>80</v>
      </c>
      <c r="Y18" s="62" t="s">
        <v>158</v>
      </c>
      <c r="Z18" s="63">
        <v>0</v>
      </c>
      <c r="AA18" s="63">
        <v>0</v>
      </c>
      <c r="AB18" s="62" t="s">
        <v>238</v>
      </c>
      <c r="AC18" s="31" t="s">
        <v>478</v>
      </c>
    </row>
    <row r="19" spans="1:29">
      <c r="A19" s="62" t="s">
        <v>338</v>
      </c>
      <c r="B19" s="62" t="s">
        <v>110</v>
      </c>
      <c r="C19" s="62" t="s">
        <v>339</v>
      </c>
      <c r="D19" s="62" t="s">
        <v>272</v>
      </c>
      <c r="E19" s="62" t="s">
        <v>350</v>
      </c>
      <c r="F19" s="63">
        <v>3</v>
      </c>
      <c r="G19" s="62" t="s">
        <v>98</v>
      </c>
      <c r="H19" s="63">
        <v>3</v>
      </c>
      <c r="I19" s="62" t="s">
        <v>99</v>
      </c>
      <c r="J19" s="64">
        <v>457.2</v>
      </c>
      <c r="K19" s="64">
        <v>457.2</v>
      </c>
      <c r="L19" s="62" t="s">
        <v>98</v>
      </c>
      <c r="M19" s="62" t="s">
        <v>100</v>
      </c>
      <c r="N19" s="62" t="s">
        <v>394</v>
      </c>
      <c r="O19" s="62" t="s">
        <v>52</v>
      </c>
      <c r="P19" s="64">
        <v>1241.81</v>
      </c>
      <c r="Q19" s="63">
        <v>5541</v>
      </c>
      <c r="R19" s="63">
        <v>6880670</v>
      </c>
      <c r="S19" s="62" t="s">
        <v>395</v>
      </c>
      <c r="T19" s="62" t="s">
        <v>72</v>
      </c>
      <c r="U19" s="64">
        <v>5540.84</v>
      </c>
      <c r="V19" s="62" t="s">
        <v>77</v>
      </c>
      <c r="W19" s="62" t="s">
        <v>74</v>
      </c>
      <c r="X19" s="62" t="s">
        <v>82</v>
      </c>
      <c r="Y19" s="62" t="s">
        <v>83</v>
      </c>
      <c r="Z19" s="63">
        <v>0</v>
      </c>
      <c r="AA19" s="63">
        <v>0</v>
      </c>
      <c r="AB19" s="62" t="s">
        <v>352</v>
      </c>
      <c r="AC19" s="31" t="s">
        <v>478</v>
      </c>
    </row>
    <row r="20" spans="1:29">
      <c r="A20" s="62" t="s">
        <v>340</v>
      </c>
      <c r="B20" s="62" t="s">
        <v>110</v>
      </c>
      <c r="C20" s="62" t="s">
        <v>341</v>
      </c>
      <c r="D20" s="62" t="s">
        <v>272</v>
      </c>
      <c r="E20" s="62" t="s">
        <v>396</v>
      </c>
      <c r="F20" s="63">
        <v>2</v>
      </c>
      <c r="G20" s="62" t="s">
        <v>98</v>
      </c>
      <c r="H20" s="63" t="s">
        <v>78</v>
      </c>
      <c r="I20" s="62" t="s">
        <v>78</v>
      </c>
      <c r="J20" s="64">
        <v>271.7</v>
      </c>
      <c r="K20" s="64" t="s">
        <v>78</v>
      </c>
      <c r="L20" s="62" t="s">
        <v>98</v>
      </c>
      <c r="M20" s="62" t="s">
        <v>102</v>
      </c>
      <c r="N20" s="62" t="s">
        <v>78</v>
      </c>
      <c r="O20" s="62" t="s">
        <v>52</v>
      </c>
      <c r="P20" s="64">
        <v>1241.81</v>
      </c>
      <c r="Q20" s="63">
        <v>3116</v>
      </c>
      <c r="R20" s="63">
        <v>3869393</v>
      </c>
      <c r="S20" s="62" t="s">
        <v>78</v>
      </c>
      <c r="T20" s="62" t="s">
        <v>72</v>
      </c>
      <c r="U20" s="64">
        <v>3115.93</v>
      </c>
      <c r="V20" s="62" t="s">
        <v>77</v>
      </c>
      <c r="W20" s="62" t="s">
        <v>81</v>
      </c>
      <c r="X20" s="62" t="s">
        <v>106</v>
      </c>
      <c r="Y20" s="62" t="s">
        <v>107</v>
      </c>
      <c r="Z20" s="63">
        <v>0</v>
      </c>
      <c r="AA20" s="63">
        <v>0</v>
      </c>
      <c r="AB20" s="62" t="s">
        <v>353</v>
      </c>
      <c r="AC20" s="31" t="s">
        <v>478</v>
      </c>
    </row>
    <row r="21" spans="1:29">
      <c r="A21" s="62" t="s">
        <v>342</v>
      </c>
      <c r="B21" s="62" t="s">
        <v>110</v>
      </c>
      <c r="C21" s="62" t="s">
        <v>343</v>
      </c>
      <c r="D21" s="62" t="s">
        <v>272</v>
      </c>
      <c r="E21" s="62" t="s">
        <v>350</v>
      </c>
      <c r="F21" s="63">
        <v>1</v>
      </c>
      <c r="G21" s="62" t="s">
        <v>98</v>
      </c>
      <c r="H21" s="63">
        <v>1</v>
      </c>
      <c r="I21" s="62" t="s">
        <v>98</v>
      </c>
      <c r="J21" s="64">
        <v>212</v>
      </c>
      <c r="K21" s="64">
        <v>215</v>
      </c>
      <c r="L21" s="62" t="s">
        <v>98</v>
      </c>
      <c r="M21" s="62" t="s">
        <v>100</v>
      </c>
      <c r="N21" s="62" t="s">
        <v>275</v>
      </c>
      <c r="O21" s="62" t="s">
        <v>52</v>
      </c>
      <c r="P21" s="64">
        <v>1241.81</v>
      </c>
      <c r="Q21" s="63">
        <v>2785</v>
      </c>
      <c r="R21" s="63">
        <v>3457857</v>
      </c>
      <c r="S21" s="62" t="s">
        <v>397</v>
      </c>
      <c r="T21" s="62" t="s">
        <v>72</v>
      </c>
      <c r="U21" s="64">
        <v>2784.53</v>
      </c>
      <c r="V21" s="62" t="s">
        <v>77</v>
      </c>
      <c r="W21" s="62" t="s">
        <v>81</v>
      </c>
      <c r="X21" s="62" t="s">
        <v>119</v>
      </c>
      <c r="Y21" s="62" t="s">
        <v>120</v>
      </c>
      <c r="Z21" s="63">
        <v>0</v>
      </c>
      <c r="AA21" s="63">
        <v>0</v>
      </c>
      <c r="AB21" s="62" t="s">
        <v>354</v>
      </c>
      <c r="AC21" s="31" t="s">
        <v>478</v>
      </c>
    </row>
    <row r="22" spans="1:29">
      <c r="A22" s="62" t="s">
        <v>344</v>
      </c>
      <c r="B22" s="62" t="s">
        <v>110</v>
      </c>
      <c r="C22" s="62" t="s">
        <v>345</v>
      </c>
      <c r="D22" s="62" t="s">
        <v>272</v>
      </c>
      <c r="E22" s="62" t="s">
        <v>350</v>
      </c>
      <c r="F22" s="63">
        <v>3</v>
      </c>
      <c r="G22" s="62" t="s">
        <v>98</v>
      </c>
      <c r="H22" s="63">
        <v>3</v>
      </c>
      <c r="I22" s="62" t="s">
        <v>98</v>
      </c>
      <c r="J22" s="64">
        <v>561</v>
      </c>
      <c r="K22" s="64">
        <v>551</v>
      </c>
      <c r="L22" s="62" t="s">
        <v>98</v>
      </c>
      <c r="M22" s="62" t="s">
        <v>100</v>
      </c>
      <c r="N22" s="62" t="s">
        <v>275</v>
      </c>
      <c r="O22" s="62" t="s">
        <v>52</v>
      </c>
      <c r="P22" s="64">
        <v>1241.81</v>
      </c>
      <c r="Q22" s="63">
        <v>7931</v>
      </c>
      <c r="R22" s="63">
        <v>9848795</v>
      </c>
      <c r="S22" s="62" t="s">
        <v>398</v>
      </c>
      <c r="T22" s="62" t="s">
        <v>72</v>
      </c>
      <c r="U22" s="64">
        <v>7931</v>
      </c>
      <c r="V22" s="62" t="s">
        <v>77</v>
      </c>
      <c r="W22" s="62" t="s">
        <v>81</v>
      </c>
      <c r="X22" s="62" t="s">
        <v>119</v>
      </c>
      <c r="Y22" s="62" t="s">
        <v>120</v>
      </c>
      <c r="Z22" s="63">
        <v>0</v>
      </c>
      <c r="AA22" s="63">
        <v>0</v>
      </c>
      <c r="AB22" s="62" t="s">
        <v>355</v>
      </c>
      <c r="AC22" s="31" t="s">
        <v>478</v>
      </c>
    </row>
    <row r="23" spans="1:29">
      <c r="A23" s="62" t="s">
        <v>346</v>
      </c>
      <c r="B23" s="62" t="s">
        <v>110</v>
      </c>
      <c r="C23" s="62" t="s">
        <v>347</v>
      </c>
      <c r="D23" s="62" t="s">
        <v>272</v>
      </c>
      <c r="E23" s="62" t="s">
        <v>350</v>
      </c>
      <c r="F23" s="63">
        <v>1</v>
      </c>
      <c r="G23" s="62" t="s">
        <v>98</v>
      </c>
      <c r="H23" s="63">
        <v>1</v>
      </c>
      <c r="I23" s="62" t="s">
        <v>98</v>
      </c>
      <c r="J23" s="64">
        <v>96.7</v>
      </c>
      <c r="K23" s="64">
        <v>103</v>
      </c>
      <c r="L23" s="62" t="s">
        <v>98</v>
      </c>
      <c r="M23" s="62" t="s">
        <v>100</v>
      </c>
      <c r="N23" s="62" t="s">
        <v>399</v>
      </c>
      <c r="O23" s="62" t="s">
        <v>52</v>
      </c>
      <c r="P23" s="64">
        <v>1241.81</v>
      </c>
      <c r="Q23" s="63">
        <v>1486</v>
      </c>
      <c r="R23" s="63">
        <v>1845702</v>
      </c>
      <c r="S23" s="62" t="s">
        <v>400</v>
      </c>
      <c r="T23" s="62" t="s">
        <v>72</v>
      </c>
      <c r="U23" s="64">
        <v>1486.3</v>
      </c>
      <c r="V23" s="62" t="s">
        <v>77</v>
      </c>
      <c r="W23" s="62" t="s">
        <v>81</v>
      </c>
      <c r="X23" s="62" t="s">
        <v>281</v>
      </c>
      <c r="Y23" s="62" t="s">
        <v>282</v>
      </c>
      <c r="Z23" s="63">
        <v>0</v>
      </c>
      <c r="AA23" s="63">
        <v>0</v>
      </c>
      <c r="AB23" s="62" t="s">
        <v>356</v>
      </c>
      <c r="AC23" s="31" t="s">
        <v>478</v>
      </c>
    </row>
    <row r="24" spans="1:29">
      <c r="A24" s="62" t="s">
        <v>401</v>
      </c>
      <c r="B24" s="62" t="s">
        <v>110</v>
      </c>
      <c r="C24" s="62" t="s">
        <v>402</v>
      </c>
      <c r="D24" s="62" t="s">
        <v>272</v>
      </c>
      <c r="E24" s="62" t="s">
        <v>350</v>
      </c>
      <c r="F24" s="63">
        <v>1</v>
      </c>
      <c r="G24" s="62" t="s">
        <v>98</v>
      </c>
      <c r="H24" s="63">
        <v>1</v>
      </c>
      <c r="I24" s="62" t="s">
        <v>98</v>
      </c>
      <c r="J24" s="64">
        <v>130.91999999999999</v>
      </c>
      <c r="K24" s="64">
        <v>130</v>
      </c>
      <c r="L24" s="62" t="s">
        <v>98</v>
      </c>
      <c r="M24" s="62" t="s">
        <v>100</v>
      </c>
      <c r="N24" s="62" t="s">
        <v>399</v>
      </c>
      <c r="O24" s="62" t="s">
        <v>52</v>
      </c>
      <c r="P24" s="64">
        <v>1241.81</v>
      </c>
      <c r="Q24" s="63">
        <v>1272</v>
      </c>
      <c r="R24" s="63">
        <v>1579731</v>
      </c>
      <c r="S24" s="62" t="s">
        <v>403</v>
      </c>
      <c r="T24" s="62" t="s">
        <v>72</v>
      </c>
      <c r="U24" s="64">
        <v>1272.1199999999999</v>
      </c>
      <c r="V24" s="62" t="s">
        <v>77</v>
      </c>
      <c r="W24" s="62" t="s">
        <v>81</v>
      </c>
      <c r="X24" s="62" t="s">
        <v>404</v>
      </c>
      <c r="Y24" s="62" t="s">
        <v>405</v>
      </c>
      <c r="Z24" s="63">
        <v>0</v>
      </c>
      <c r="AA24" s="63">
        <v>0</v>
      </c>
      <c r="AB24" s="62" t="s">
        <v>406</v>
      </c>
      <c r="AC24" s="31" t="s">
        <v>478</v>
      </c>
    </row>
    <row r="25" spans="1:29">
      <c r="A25" s="62" t="s">
        <v>407</v>
      </c>
      <c r="B25" s="62" t="s">
        <v>110</v>
      </c>
      <c r="C25" s="62" t="s">
        <v>408</v>
      </c>
      <c r="D25" s="62" t="s">
        <v>272</v>
      </c>
      <c r="E25" s="62" t="s">
        <v>350</v>
      </c>
      <c r="F25" s="63">
        <v>4</v>
      </c>
      <c r="G25" s="62" t="s">
        <v>98</v>
      </c>
      <c r="H25" s="63">
        <v>4</v>
      </c>
      <c r="I25" s="62" t="s">
        <v>98</v>
      </c>
      <c r="J25" s="64">
        <v>5.28</v>
      </c>
      <c r="K25" s="64">
        <v>5.3</v>
      </c>
      <c r="L25" s="62" t="s">
        <v>98</v>
      </c>
      <c r="M25" s="62" t="s">
        <v>100</v>
      </c>
      <c r="N25" s="62" t="s">
        <v>399</v>
      </c>
      <c r="O25" s="62" t="s">
        <v>52</v>
      </c>
      <c r="P25" s="64">
        <v>1241.81</v>
      </c>
      <c r="Q25" s="63">
        <v>2638</v>
      </c>
      <c r="R25" s="63">
        <v>3276279</v>
      </c>
      <c r="S25" s="62" t="s">
        <v>409</v>
      </c>
      <c r="T25" s="62" t="s">
        <v>72</v>
      </c>
      <c r="U25" s="64">
        <v>2638.31</v>
      </c>
      <c r="V25" s="62" t="s">
        <v>79</v>
      </c>
      <c r="W25" s="62" t="s">
        <v>81</v>
      </c>
      <c r="X25" s="62" t="s">
        <v>80</v>
      </c>
      <c r="Y25" s="62" t="s">
        <v>158</v>
      </c>
      <c r="Z25" s="63">
        <v>0</v>
      </c>
      <c r="AA25" s="63">
        <v>0</v>
      </c>
      <c r="AB25" s="62" t="s">
        <v>410</v>
      </c>
      <c r="AC25" s="31" t="s">
        <v>478</v>
      </c>
    </row>
    <row r="26" spans="1:29">
      <c r="A26" s="62" t="s">
        <v>411</v>
      </c>
      <c r="B26" s="62" t="s">
        <v>110</v>
      </c>
      <c r="C26" s="62" t="s">
        <v>412</v>
      </c>
      <c r="D26" s="62" t="s">
        <v>272</v>
      </c>
      <c r="E26" s="62" t="s">
        <v>350</v>
      </c>
      <c r="F26" s="63">
        <v>4</v>
      </c>
      <c r="G26" s="62" t="s">
        <v>98</v>
      </c>
      <c r="H26" s="63">
        <v>4</v>
      </c>
      <c r="I26" s="62" t="s">
        <v>98</v>
      </c>
      <c r="J26" s="64">
        <v>846.78</v>
      </c>
      <c r="K26" s="64">
        <v>846.78</v>
      </c>
      <c r="L26" s="62" t="s">
        <v>98</v>
      </c>
      <c r="M26" s="62" t="s">
        <v>100</v>
      </c>
      <c r="N26" s="62" t="s">
        <v>399</v>
      </c>
      <c r="O26" s="62" t="s">
        <v>52</v>
      </c>
      <c r="P26" s="64">
        <v>1241.81</v>
      </c>
      <c r="Q26" s="63">
        <v>10858</v>
      </c>
      <c r="R26" s="63">
        <v>13483138</v>
      </c>
      <c r="S26" s="62" t="s">
        <v>413</v>
      </c>
      <c r="T26" s="62" t="s">
        <v>72</v>
      </c>
      <c r="U26" s="64">
        <v>10857.65</v>
      </c>
      <c r="V26" s="62" t="s">
        <v>77</v>
      </c>
      <c r="W26" s="62" t="s">
        <v>81</v>
      </c>
      <c r="X26" s="62" t="s">
        <v>108</v>
      </c>
      <c r="Y26" s="62" t="s">
        <v>109</v>
      </c>
      <c r="Z26" s="63">
        <v>0</v>
      </c>
      <c r="AA26" s="63">
        <v>0</v>
      </c>
      <c r="AB26" s="62" t="s">
        <v>414</v>
      </c>
      <c r="AC26" s="31" t="s">
        <v>478</v>
      </c>
    </row>
    <row r="27" spans="1:29">
      <c r="A27" s="62" t="s">
        <v>415</v>
      </c>
      <c r="B27" s="62" t="s">
        <v>110</v>
      </c>
      <c r="C27" s="62" t="s">
        <v>416</v>
      </c>
      <c r="D27" s="62" t="s">
        <v>272</v>
      </c>
      <c r="E27" s="62" t="s">
        <v>350</v>
      </c>
      <c r="F27" s="63">
        <v>1</v>
      </c>
      <c r="G27" s="62" t="s">
        <v>98</v>
      </c>
      <c r="H27" s="63">
        <v>1</v>
      </c>
      <c r="I27" s="62" t="s">
        <v>98</v>
      </c>
      <c r="J27" s="64">
        <v>86</v>
      </c>
      <c r="K27" s="64">
        <v>86</v>
      </c>
      <c r="L27" s="62" t="s">
        <v>98</v>
      </c>
      <c r="M27" s="62" t="s">
        <v>100</v>
      </c>
      <c r="N27" s="62" t="s">
        <v>417</v>
      </c>
      <c r="O27" s="62" t="s">
        <v>52</v>
      </c>
      <c r="P27" s="64">
        <v>1241.81</v>
      </c>
      <c r="Q27" s="63">
        <v>940</v>
      </c>
      <c r="R27" s="63">
        <v>1167599</v>
      </c>
      <c r="S27" s="62" t="s">
        <v>418</v>
      </c>
      <c r="T27" s="62" t="s">
        <v>72</v>
      </c>
      <c r="U27" s="64">
        <v>940.24</v>
      </c>
      <c r="V27" s="62" t="s">
        <v>77</v>
      </c>
      <c r="W27" s="62" t="s">
        <v>81</v>
      </c>
      <c r="X27" s="62" t="s">
        <v>156</v>
      </c>
      <c r="Y27" s="62" t="s">
        <v>157</v>
      </c>
      <c r="Z27" s="63">
        <v>0</v>
      </c>
      <c r="AA27" s="63">
        <v>0</v>
      </c>
      <c r="AB27" s="62" t="s">
        <v>419</v>
      </c>
      <c r="AC27" s="31" t="s">
        <v>478</v>
      </c>
    </row>
    <row r="28" spans="1:29">
      <c r="A28" s="62" t="s">
        <v>420</v>
      </c>
      <c r="B28" s="62" t="s">
        <v>110</v>
      </c>
      <c r="C28" s="62" t="s">
        <v>421</v>
      </c>
      <c r="D28" s="62" t="s">
        <v>275</v>
      </c>
      <c r="E28" s="62" t="s">
        <v>422</v>
      </c>
      <c r="F28" s="63">
        <v>1</v>
      </c>
      <c r="G28" s="62" t="s">
        <v>98</v>
      </c>
      <c r="H28" s="63">
        <v>1</v>
      </c>
      <c r="I28" s="62" t="s">
        <v>99</v>
      </c>
      <c r="J28" s="64">
        <v>156.19999999999999</v>
      </c>
      <c r="K28" s="64">
        <v>156.19999999999999</v>
      </c>
      <c r="L28" s="62" t="s">
        <v>98</v>
      </c>
      <c r="M28" s="62" t="s">
        <v>100</v>
      </c>
      <c r="N28" s="62" t="s">
        <v>276</v>
      </c>
      <c r="O28" s="62" t="s">
        <v>52</v>
      </c>
      <c r="P28" s="64">
        <v>1252.45</v>
      </c>
      <c r="Q28" s="63">
        <v>6487</v>
      </c>
      <c r="R28" s="63">
        <v>8124041</v>
      </c>
      <c r="S28" s="62" t="s">
        <v>423</v>
      </c>
      <c r="T28" s="62" t="s">
        <v>72</v>
      </c>
      <c r="U28" s="64">
        <v>6486.52</v>
      </c>
      <c r="V28" s="62" t="s">
        <v>79</v>
      </c>
      <c r="W28" s="62" t="s">
        <v>74</v>
      </c>
      <c r="X28" s="62" t="s">
        <v>145</v>
      </c>
      <c r="Y28" s="62" t="s">
        <v>424</v>
      </c>
      <c r="Z28" s="63">
        <v>0</v>
      </c>
      <c r="AA28" s="63">
        <v>0</v>
      </c>
      <c r="AB28" s="62" t="s">
        <v>425</v>
      </c>
      <c r="AC28" s="31" t="s">
        <v>478</v>
      </c>
    </row>
    <row r="29" spans="1:29">
      <c r="A29" s="62" t="s">
        <v>426</v>
      </c>
      <c r="B29" s="62" t="s">
        <v>110</v>
      </c>
      <c r="C29" s="62" t="s">
        <v>369</v>
      </c>
      <c r="D29" s="62" t="s">
        <v>275</v>
      </c>
      <c r="E29" s="62" t="s">
        <v>427</v>
      </c>
      <c r="F29" s="63">
        <v>25</v>
      </c>
      <c r="G29" s="62" t="s">
        <v>98</v>
      </c>
      <c r="H29" s="63" t="s">
        <v>78</v>
      </c>
      <c r="I29" s="62" t="s">
        <v>78</v>
      </c>
      <c r="J29" s="64">
        <v>3178</v>
      </c>
      <c r="K29" s="64" t="s">
        <v>78</v>
      </c>
      <c r="L29" s="62" t="s">
        <v>98</v>
      </c>
      <c r="M29" s="62" t="s">
        <v>102</v>
      </c>
      <c r="N29" s="62" t="s">
        <v>78</v>
      </c>
      <c r="O29" s="62" t="s">
        <v>256</v>
      </c>
      <c r="P29" s="64">
        <v>1252.45</v>
      </c>
      <c r="Q29" s="63">
        <v>47364</v>
      </c>
      <c r="R29" s="63">
        <v>59320440</v>
      </c>
      <c r="S29" s="62" t="s">
        <v>78</v>
      </c>
      <c r="T29" s="62" t="s">
        <v>72</v>
      </c>
      <c r="U29" s="64">
        <v>59320440</v>
      </c>
      <c r="V29" s="62" t="s">
        <v>79</v>
      </c>
      <c r="W29" s="62" t="s">
        <v>81</v>
      </c>
      <c r="X29" s="62" t="s">
        <v>257</v>
      </c>
      <c r="Y29" s="62" t="s">
        <v>258</v>
      </c>
      <c r="Z29" s="63">
        <v>0</v>
      </c>
      <c r="AA29" s="63">
        <v>0</v>
      </c>
      <c r="AB29" s="62" t="s">
        <v>428</v>
      </c>
      <c r="AC29" s="31" t="s">
        <v>478</v>
      </c>
    </row>
    <row r="30" spans="1:29">
      <c r="A30" s="62" t="s">
        <v>429</v>
      </c>
      <c r="B30" s="62" t="s">
        <v>110</v>
      </c>
      <c r="C30" s="62" t="s">
        <v>430</v>
      </c>
      <c r="D30" s="62" t="s">
        <v>274</v>
      </c>
      <c r="E30" s="62" t="s">
        <v>431</v>
      </c>
      <c r="F30" s="63">
        <v>16</v>
      </c>
      <c r="G30" s="62" t="s">
        <v>98</v>
      </c>
      <c r="H30" s="63">
        <v>16</v>
      </c>
      <c r="I30" s="62" t="s">
        <v>99</v>
      </c>
      <c r="J30" s="64">
        <v>4320</v>
      </c>
      <c r="K30" s="64">
        <v>4320</v>
      </c>
      <c r="L30" s="62" t="s">
        <v>98</v>
      </c>
      <c r="M30" s="62" t="s">
        <v>100</v>
      </c>
      <c r="N30" s="62" t="s">
        <v>394</v>
      </c>
      <c r="O30" s="62" t="s">
        <v>52</v>
      </c>
      <c r="P30" s="64">
        <v>1252.45</v>
      </c>
      <c r="Q30" s="63">
        <v>53696</v>
      </c>
      <c r="R30" s="63">
        <v>67251555</v>
      </c>
      <c r="S30" s="62" t="s">
        <v>432</v>
      </c>
      <c r="T30" s="62" t="s">
        <v>72</v>
      </c>
      <c r="U30" s="64">
        <v>53696</v>
      </c>
      <c r="V30" s="62" t="s">
        <v>77</v>
      </c>
      <c r="W30" s="62" t="s">
        <v>74</v>
      </c>
      <c r="X30" s="62" t="s">
        <v>123</v>
      </c>
      <c r="Y30" s="62" t="s">
        <v>124</v>
      </c>
      <c r="Z30" s="63">
        <v>0</v>
      </c>
      <c r="AA30" s="63">
        <v>0</v>
      </c>
      <c r="AB30" s="62" t="s">
        <v>78</v>
      </c>
      <c r="AC30" s="31" t="s">
        <v>478</v>
      </c>
    </row>
    <row r="31" spans="1:29">
      <c r="A31" s="62" t="s">
        <v>433</v>
      </c>
      <c r="B31" s="62" t="s">
        <v>110</v>
      </c>
      <c r="C31" s="62" t="s">
        <v>434</v>
      </c>
      <c r="D31" s="62" t="s">
        <v>274</v>
      </c>
      <c r="E31" s="62" t="s">
        <v>431</v>
      </c>
      <c r="F31" s="63">
        <v>13</v>
      </c>
      <c r="G31" s="62" t="s">
        <v>255</v>
      </c>
      <c r="H31" s="63">
        <v>13</v>
      </c>
      <c r="I31" s="62" t="s">
        <v>98</v>
      </c>
      <c r="J31" s="64">
        <v>2571.4</v>
      </c>
      <c r="K31" s="64">
        <v>3200</v>
      </c>
      <c r="L31" s="62" t="s">
        <v>255</v>
      </c>
      <c r="M31" s="62" t="s">
        <v>100</v>
      </c>
      <c r="N31" s="62" t="s">
        <v>435</v>
      </c>
      <c r="O31" s="62" t="s">
        <v>52</v>
      </c>
      <c r="P31" s="64">
        <v>1252.45</v>
      </c>
      <c r="Q31" s="63">
        <v>40536</v>
      </c>
      <c r="R31" s="63">
        <v>50769576</v>
      </c>
      <c r="S31" s="62" t="s">
        <v>436</v>
      </c>
      <c r="T31" s="62" t="s">
        <v>72</v>
      </c>
      <c r="U31" s="64">
        <v>40536.21</v>
      </c>
      <c r="V31" s="62" t="s">
        <v>79</v>
      </c>
      <c r="W31" s="62" t="s">
        <v>81</v>
      </c>
      <c r="X31" s="62" t="s">
        <v>75</v>
      </c>
      <c r="Y31" s="62" t="s">
        <v>76</v>
      </c>
      <c r="Z31" s="63">
        <v>0</v>
      </c>
      <c r="AA31" s="63">
        <v>0</v>
      </c>
      <c r="AB31" s="62" t="s">
        <v>78</v>
      </c>
      <c r="AC31" s="31" t="s">
        <v>478</v>
      </c>
    </row>
    <row r="32" spans="1:29">
      <c r="A32" s="62" t="s">
        <v>437</v>
      </c>
      <c r="B32" s="62" t="s">
        <v>110</v>
      </c>
      <c r="C32" s="62" t="s">
        <v>438</v>
      </c>
      <c r="D32" s="62" t="s">
        <v>274</v>
      </c>
      <c r="E32" s="62" t="s">
        <v>431</v>
      </c>
      <c r="F32" s="63">
        <v>14</v>
      </c>
      <c r="G32" s="62" t="s">
        <v>255</v>
      </c>
      <c r="H32" s="63">
        <v>14</v>
      </c>
      <c r="I32" s="62" t="s">
        <v>98</v>
      </c>
      <c r="J32" s="64">
        <v>2728.88</v>
      </c>
      <c r="K32" s="64">
        <v>2714</v>
      </c>
      <c r="L32" s="62" t="s">
        <v>255</v>
      </c>
      <c r="M32" s="62" t="s">
        <v>100</v>
      </c>
      <c r="N32" s="62" t="s">
        <v>435</v>
      </c>
      <c r="O32" s="62" t="s">
        <v>52</v>
      </c>
      <c r="P32" s="64">
        <v>1252.45</v>
      </c>
      <c r="Q32" s="63">
        <v>19817</v>
      </c>
      <c r="R32" s="63">
        <v>24820152</v>
      </c>
      <c r="S32" s="62" t="s">
        <v>439</v>
      </c>
      <c r="T32" s="62" t="s">
        <v>72</v>
      </c>
      <c r="U32" s="64">
        <v>19817.28</v>
      </c>
      <c r="V32" s="62" t="s">
        <v>79</v>
      </c>
      <c r="W32" s="62" t="s">
        <v>81</v>
      </c>
      <c r="X32" s="62" t="s">
        <v>75</v>
      </c>
      <c r="Y32" s="62" t="s">
        <v>76</v>
      </c>
      <c r="Z32" s="63">
        <v>0</v>
      </c>
      <c r="AA32" s="63">
        <v>0</v>
      </c>
      <c r="AB32" s="62" t="s">
        <v>78</v>
      </c>
      <c r="AC32" s="31" t="s">
        <v>478</v>
      </c>
    </row>
    <row r="33" spans="1:29">
      <c r="A33" s="62" t="s">
        <v>440</v>
      </c>
      <c r="B33" s="62" t="s">
        <v>110</v>
      </c>
      <c r="C33" s="62" t="s">
        <v>441</v>
      </c>
      <c r="D33" s="62" t="s">
        <v>274</v>
      </c>
      <c r="E33" s="62" t="s">
        <v>431</v>
      </c>
      <c r="F33" s="63">
        <v>13</v>
      </c>
      <c r="G33" s="62" t="s">
        <v>255</v>
      </c>
      <c r="H33" s="63">
        <v>13</v>
      </c>
      <c r="I33" s="62" t="s">
        <v>98</v>
      </c>
      <c r="J33" s="64">
        <v>2533.96</v>
      </c>
      <c r="K33" s="64">
        <v>2464</v>
      </c>
      <c r="L33" s="62" t="s">
        <v>255</v>
      </c>
      <c r="M33" s="62" t="s">
        <v>100</v>
      </c>
      <c r="N33" s="62" t="s">
        <v>435</v>
      </c>
      <c r="O33" s="62" t="s">
        <v>52</v>
      </c>
      <c r="P33" s="64">
        <v>1252.45</v>
      </c>
      <c r="Q33" s="63">
        <v>18402</v>
      </c>
      <c r="R33" s="63">
        <v>23047284</v>
      </c>
      <c r="S33" s="62" t="s">
        <v>442</v>
      </c>
      <c r="T33" s="62" t="s">
        <v>72</v>
      </c>
      <c r="U33" s="64">
        <v>18401.759999999998</v>
      </c>
      <c r="V33" s="62" t="s">
        <v>79</v>
      </c>
      <c r="W33" s="62" t="s">
        <v>81</v>
      </c>
      <c r="X33" s="62" t="s">
        <v>75</v>
      </c>
      <c r="Y33" s="62" t="s">
        <v>76</v>
      </c>
      <c r="Z33" s="63">
        <v>0</v>
      </c>
      <c r="AA33" s="63">
        <v>0</v>
      </c>
      <c r="AB33" s="62" t="s">
        <v>78</v>
      </c>
      <c r="AC33" s="31" t="s">
        <v>478</v>
      </c>
    </row>
    <row r="34" spans="1:29">
      <c r="A34" s="62" t="s">
        <v>443</v>
      </c>
      <c r="B34" s="62" t="s">
        <v>110</v>
      </c>
      <c r="C34" s="62" t="s">
        <v>444</v>
      </c>
      <c r="D34" s="62" t="s">
        <v>277</v>
      </c>
      <c r="E34" s="62" t="s">
        <v>372</v>
      </c>
      <c r="F34" s="63">
        <v>107</v>
      </c>
      <c r="G34" s="62" t="s">
        <v>98</v>
      </c>
      <c r="H34" s="63">
        <v>107</v>
      </c>
      <c r="I34" s="62" t="s">
        <v>99</v>
      </c>
      <c r="J34" s="64">
        <v>20153.12</v>
      </c>
      <c r="K34" s="64">
        <v>20153.12</v>
      </c>
      <c r="L34" s="62" t="s">
        <v>98</v>
      </c>
      <c r="M34" s="62" t="s">
        <v>100</v>
      </c>
      <c r="N34" s="62" t="s">
        <v>445</v>
      </c>
      <c r="O34" s="62" t="s">
        <v>52</v>
      </c>
      <c r="P34" s="64">
        <v>1252.45</v>
      </c>
      <c r="Q34" s="63">
        <v>163789</v>
      </c>
      <c r="R34" s="63">
        <v>205138134</v>
      </c>
      <c r="S34" s="62" t="s">
        <v>446</v>
      </c>
      <c r="T34" s="62" t="s">
        <v>72</v>
      </c>
      <c r="U34" s="64">
        <v>163789.48000000001</v>
      </c>
      <c r="V34" s="62" t="s">
        <v>79</v>
      </c>
      <c r="W34" s="62" t="s">
        <v>74</v>
      </c>
      <c r="X34" s="62" t="s">
        <v>80</v>
      </c>
      <c r="Y34" s="62" t="s">
        <v>158</v>
      </c>
      <c r="Z34" s="63">
        <v>0</v>
      </c>
      <c r="AA34" s="63">
        <v>0</v>
      </c>
      <c r="AB34" s="62" t="s">
        <v>159</v>
      </c>
      <c r="AC34" s="31" t="s">
        <v>478</v>
      </c>
    </row>
    <row r="35" spans="1:29">
      <c r="A35" s="62" t="s">
        <v>447</v>
      </c>
      <c r="B35" s="62" t="s">
        <v>110</v>
      </c>
      <c r="C35" s="62" t="s">
        <v>448</v>
      </c>
      <c r="D35" s="62" t="s">
        <v>277</v>
      </c>
      <c r="E35" s="62" t="s">
        <v>372</v>
      </c>
      <c r="F35" s="63">
        <v>1</v>
      </c>
      <c r="G35" s="62" t="s">
        <v>98</v>
      </c>
      <c r="H35" s="63">
        <v>1</v>
      </c>
      <c r="I35" s="62" t="s">
        <v>99</v>
      </c>
      <c r="J35" s="64">
        <v>194</v>
      </c>
      <c r="K35" s="64">
        <v>194</v>
      </c>
      <c r="L35" s="62" t="s">
        <v>98</v>
      </c>
      <c r="M35" s="62" t="s">
        <v>100</v>
      </c>
      <c r="N35" s="62" t="s">
        <v>445</v>
      </c>
      <c r="O35" s="62" t="s">
        <v>52</v>
      </c>
      <c r="P35" s="64">
        <v>1252.45</v>
      </c>
      <c r="Q35" s="63">
        <v>4176</v>
      </c>
      <c r="R35" s="63">
        <v>5230231</v>
      </c>
      <c r="S35" s="62" t="s">
        <v>449</v>
      </c>
      <c r="T35" s="62" t="s">
        <v>72</v>
      </c>
      <c r="U35" s="64">
        <v>4176</v>
      </c>
      <c r="V35" s="62" t="s">
        <v>79</v>
      </c>
      <c r="W35" s="62" t="s">
        <v>74</v>
      </c>
      <c r="X35" s="62" t="s">
        <v>270</v>
      </c>
      <c r="Y35" s="62" t="s">
        <v>271</v>
      </c>
      <c r="Z35" s="63">
        <v>0</v>
      </c>
      <c r="AA35" s="63">
        <v>0</v>
      </c>
      <c r="AB35" s="62" t="s">
        <v>450</v>
      </c>
      <c r="AC35" s="31" t="s">
        <v>478</v>
      </c>
    </row>
    <row r="36" spans="1:29">
      <c r="A36" s="62" t="s">
        <v>451</v>
      </c>
      <c r="B36" s="62" t="s">
        <v>110</v>
      </c>
      <c r="C36" s="62" t="s">
        <v>452</v>
      </c>
      <c r="D36" s="62" t="s">
        <v>277</v>
      </c>
      <c r="E36" s="62" t="s">
        <v>372</v>
      </c>
      <c r="F36" s="63">
        <v>2</v>
      </c>
      <c r="G36" s="62" t="s">
        <v>98</v>
      </c>
      <c r="H36" s="63">
        <v>2</v>
      </c>
      <c r="I36" s="62" t="s">
        <v>98</v>
      </c>
      <c r="J36" s="64">
        <v>37</v>
      </c>
      <c r="K36" s="64">
        <v>37</v>
      </c>
      <c r="L36" s="62" t="s">
        <v>98</v>
      </c>
      <c r="M36" s="62" t="s">
        <v>100</v>
      </c>
      <c r="N36" s="62" t="s">
        <v>283</v>
      </c>
      <c r="O36" s="62" t="s">
        <v>52</v>
      </c>
      <c r="P36" s="64">
        <v>1252.45</v>
      </c>
      <c r="Q36" s="63">
        <v>1670</v>
      </c>
      <c r="R36" s="63">
        <v>2091591</v>
      </c>
      <c r="S36" s="62" t="s">
        <v>453</v>
      </c>
      <c r="T36" s="62" t="s">
        <v>72</v>
      </c>
      <c r="U36" s="64">
        <v>1670</v>
      </c>
      <c r="V36" s="62" t="s">
        <v>79</v>
      </c>
      <c r="W36" s="62" t="s">
        <v>74</v>
      </c>
      <c r="X36" s="62" t="s">
        <v>261</v>
      </c>
      <c r="Y36" s="62" t="s">
        <v>262</v>
      </c>
      <c r="Z36" s="63">
        <v>0</v>
      </c>
      <c r="AA36" s="63">
        <v>0</v>
      </c>
      <c r="AB36" s="62" t="s">
        <v>315</v>
      </c>
      <c r="AC36" s="31" t="s">
        <v>478</v>
      </c>
    </row>
    <row r="37" spans="1:29">
      <c r="A37" s="62" t="s">
        <v>454</v>
      </c>
      <c r="B37" s="62" t="s">
        <v>110</v>
      </c>
      <c r="C37" s="62" t="s">
        <v>455</v>
      </c>
      <c r="D37" s="62" t="s">
        <v>277</v>
      </c>
      <c r="E37" s="62" t="s">
        <v>372</v>
      </c>
      <c r="F37" s="63">
        <v>3</v>
      </c>
      <c r="G37" s="62" t="s">
        <v>98</v>
      </c>
      <c r="H37" s="63">
        <v>3</v>
      </c>
      <c r="I37" s="62" t="s">
        <v>98</v>
      </c>
      <c r="J37" s="64">
        <v>286.88</v>
      </c>
      <c r="K37" s="64">
        <v>286.89999999999998</v>
      </c>
      <c r="L37" s="62" t="s">
        <v>98</v>
      </c>
      <c r="M37" s="62" t="s">
        <v>100</v>
      </c>
      <c r="N37" s="62" t="s">
        <v>435</v>
      </c>
      <c r="O37" s="62" t="s">
        <v>52</v>
      </c>
      <c r="P37" s="64">
        <v>1252.45</v>
      </c>
      <c r="Q37" s="63">
        <v>2633</v>
      </c>
      <c r="R37" s="63">
        <v>3297412</v>
      </c>
      <c r="S37" s="62" t="s">
        <v>456</v>
      </c>
      <c r="T37" s="62" t="s">
        <v>72</v>
      </c>
      <c r="U37" s="64">
        <v>2632.77</v>
      </c>
      <c r="V37" s="62" t="s">
        <v>77</v>
      </c>
      <c r="W37" s="62" t="s">
        <v>81</v>
      </c>
      <c r="X37" s="62" t="s">
        <v>457</v>
      </c>
      <c r="Y37" s="62" t="s">
        <v>458</v>
      </c>
      <c r="Z37" s="63">
        <v>0</v>
      </c>
      <c r="AA37" s="63">
        <v>0</v>
      </c>
      <c r="AB37" s="62" t="s">
        <v>459</v>
      </c>
      <c r="AC37" s="31" t="s">
        <v>478</v>
      </c>
    </row>
    <row r="38" spans="1:29">
      <c r="A38" s="62" t="s">
        <v>460</v>
      </c>
      <c r="B38" s="62" t="s">
        <v>110</v>
      </c>
      <c r="C38" s="62" t="s">
        <v>461</v>
      </c>
      <c r="D38" s="62" t="s">
        <v>277</v>
      </c>
      <c r="E38" s="62" t="s">
        <v>372</v>
      </c>
      <c r="F38" s="63">
        <v>2</v>
      </c>
      <c r="G38" s="62" t="s">
        <v>98</v>
      </c>
      <c r="H38" s="63">
        <v>2</v>
      </c>
      <c r="I38" s="62" t="s">
        <v>99</v>
      </c>
      <c r="J38" s="64">
        <v>414.8</v>
      </c>
      <c r="K38" s="64">
        <v>414.8</v>
      </c>
      <c r="L38" s="62" t="s">
        <v>98</v>
      </c>
      <c r="M38" s="62" t="s">
        <v>100</v>
      </c>
      <c r="N38" s="62" t="s">
        <v>285</v>
      </c>
      <c r="O38" s="62" t="s">
        <v>52</v>
      </c>
      <c r="P38" s="64">
        <v>1252.45</v>
      </c>
      <c r="Q38" s="63">
        <v>6824</v>
      </c>
      <c r="R38" s="63">
        <v>8546368</v>
      </c>
      <c r="S38" s="62" t="s">
        <v>462</v>
      </c>
      <c r="T38" s="62" t="s">
        <v>72</v>
      </c>
      <c r="U38" s="64">
        <v>6823.72</v>
      </c>
      <c r="V38" s="62" t="s">
        <v>77</v>
      </c>
      <c r="W38" s="62" t="s">
        <v>74</v>
      </c>
      <c r="X38" s="62" t="s">
        <v>82</v>
      </c>
      <c r="Y38" s="62" t="s">
        <v>83</v>
      </c>
      <c r="Z38" s="63">
        <v>0</v>
      </c>
      <c r="AA38" s="63">
        <v>0</v>
      </c>
      <c r="AB38" s="62" t="s">
        <v>463</v>
      </c>
      <c r="AC38" s="31" t="s">
        <v>478</v>
      </c>
    </row>
    <row r="39" spans="1:29">
      <c r="A39" s="62" t="s">
        <v>464</v>
      </c>
      <c r="B39" s="62" t="s">
        <v>110</v>
      </c>
      <c r="C39" s="62" t="s">
        <v>465</v>
      </c>
      <c r="D39" s="62" t="s">
        <v>277</v>
      </c>
      <c r="E39" s="62" t="s">
        <v>372</v>
      </c>
      <c r="F39" s="63">
        <v>2</v>
      </c>
      <c r="G39" s="62" t="s">
        <v>98</v>
      </c>
      <c r="H39" s="63">
        <v>2</v>
      </c>
      <c r="I39" s="62" t="s">
        <v>98</v>
      </c>
      <c r="J39" s="64">
        <v>363</v>
      </c>
      <c r="K39" s="64">
        <v>363</v>
      </c>
      <c r="L39" s="62" t="s">
        <v>98</v>
      </c>
      <c r="M39" s="62" t="s">
        <v>100</v>
      </c>
      <c r="N39" s="62" t="s">
        <v>283</v>
      </c>
      <c r="O39" s="62" t="s">
        <v>52</v>
      </c>
      <c r="P39" s="64">
        <v>1252.45</v>
      </c>
      <c r="Q39" s="63">
        <v>5308</v>
      </c>
      <c r="R39" s="63">
        <v>6648580</v>
      </c>
      <c r="S39" s="62" t="s">
        <v>466</v>
      </c>
      <c r="T39" s="62" t="s">
        <v>72</v>
      </c>
      <c r="U39" s="64">
        <v>5308.46</v>
      </c>
      <c r="V39" s="62" t="s">
        <v>77</v>
      </c>
      <c r="W39" s="62" t="s">
        <v>81</v>
      </c>
      <c r="X39" s="62" t="s">
        <v>84</v>
      </c>
      <c r="Y39" s="62" t="s">
        <v>85</v>
      </c>
      <c r="Z39" s="63">
        <v>0</v>
      </c>
      <c r="AA39" s="63">
        <v>0</v>
      </c>
      <c r="AB39" s="62" t="s">
        <v>467</v>
      </c>
      <c r="AC39" s="31" t="s">
        <v>478</v>
      </c>
    </row>
    <row r="40" spans="1:29">
      <c r="A40" s="62" t="s">
        <v>468</v>
      </c>
      <c r="B40" s="62" t="s">
        <v>110</v>
      </c>
      <c r="C40" s="62" t="s">
        <v>469</v>
      </c>
      <c r="D40" s="62" t="s">
        <v>277</v>
      </c>
      <c r="E40" s="62" t="s">
        <v>372</v>
      </c>
      <c r="F40" s="63">
        <v>7</v>
      </c>
      <c r="G40" s="62" t="s">
        <v>98</v>
      </c>
      <c r="H40" s="63">
        <v>7</v>
      </c>
      <c r="I40" s="62" t="s">
        <v>98</v>
      </c>
      <c r="J40" s="64">
        <v>1295</v>
      </c>
      <c r="K40" s="64">
        <v>1267</v>
      </c>
      <c r="L40" s="62" t="s">
        <v>98</v>
      </c>
      <c r="M40" s="62" t="s">
        <v>100</v>
      </c>
      <c r="N40" s="62" t="s">
        <v>283</v>
      </c>
      <c r="O40" s="62" t="s">
        <v>52</v>
      </c>
      <c r="P40" s="64">
        <v>1252.45</v>
      </c>
      <c r="Q40" s="63">
        <v>17905</v>
      </c>
      <c r="R40" s="63">
        <v>22425117</v>
      </c>
      <c r="S40" s="62" t="s">
        <v>470</v>
      </c>
      <c r="T40" s="62" t="s">
        <v>72</v>
      </c>
      <c r="U40" s="64">
        <v>17905</v>
      </c>
      <c r="V40" s="62" t="s">
        <v>77</v>
      </c>
      <c r="W40" s="62" t="s">
        <v>81</v>
      </c>
      <c r="X40" s="62" t="s">
        <v>119</v>
      </c>
      <c r="Y40" s="62" t="s">
        <v>120</v>
      </c>
      <c r="Z40" s="63">
        <v>0</v>
      </c>
      <c r="AA40" s="63">
        <v>0</v>
      </c>
      <c r="AB40" s="62" t="s">
        <v>471</v>
      </c>
      <c r="AC40" s="31" t="s">
        <v>478</v>
      </c>
    </row>
    <row r="41" spans="1:29">
      <c r="A41" s="62" t="s">
        <v>472</v>
      </c>
      <c r="B41" s="62" t="s">
        <v>110</v>
      </c>
      <c r="C41" s="62" t="s">
        <v>473</v>
      </c>
      <c r="D41" s="62" t="s">
        <v>277</v>
      </c>
      <c r="E41" s="62" t="s">
        <v>372</v>
      </c>
      <c r="F41" s="63">
        <v>5</v>
      </c>
      <c r="G41" s="62" t="s">
        <v>98</v>
      </c>
      <c r="H41" s="63">
        <v>5</v>
      </c>
      <c r="I41" s="62" t="s">
        <v>98</v>
      </c>
      <c r="J41" s="64">
        <v>1371.72</v>
      </c>
      <c r="K41" s="64">
        <v>1149</v>
      </c>
      <c r="L41" s="62" t="s">
        <v>98</v>
      </c>
      <c r="M41" s="62" t="s">
        <v>100</v>
      </c>
      <c r="N41" s="62" t="s">
        <v>373</v>
      </c>
      <c r="O41" s="62" t="s">
        <v>52</v>
      </c>
      <c r="P41" s="64">
        <v>1252.45</v>
      </c>
      <c r="Q41" s="63">
        <v>11883</v>
      </c>
      <c r="R41" s="63">
        <v>14882337</v>
      </c>
      <c r="S41" s="62" t="s">
        <v>474</v>
      </c>
      <c r="T41" s="62" t="s">
        <v>72</v>
      </c>
      <c r="U41" s="64">
        <v>11882.58</v>
      </c>
      <c r="V41" s="62" t="s">
        <v>77</v>
      </c>
      <c r="W41" s="62" t="s">
        <v>81</v>
      </c>
      <c r="X41" s="62" t="s">
        <v>253</v>
      </c>
      <c r="Y41" s="62" t="s">
        <v>254</v>
      </c>
      <c r="Z41" s="63">
        <v>0</v>
      </c>
      <c r="AA41" s="63">
        <v>0</v>
      </c>
      <c r="AB41" s="62" t="s">
        <v>78</v>
      </c>
      <c r="AC41" s="31" t="s">
        <v>478</v>
      </c>
    </row>
    <row r="42" spans="1:29">
      <c r="A42" s="62" t="s">
        <v>475</v>
      </c>
      <c r="B42" s="62" t="s">
        <v>110</v>
      </c>
      <c r="C42" s="62" t="s">
        <v>476</v>
      </c>
      <c r="D42" s="62" t="s">
        <v>279</v>
      </c>
      <c r="E42" s="62" t="s">
        <v>372</v>
      </c>
      <c r="F42" s="63">
        <v>15</v>
      </c>
      <c r="G42" s="62" t="s">
        <v>98</v>
      </c>
      <c r="H42" s="63">
        <v>15</v>
      </c>
      <c r="I42" s="62" t="s">
        <v>98</v>
      </c>
      <c r="J42" s="64">
        <v>1590</v>
      </c>
      <c r="K42" s="64">
        <v>1845</v>
      </c>
      <c r="L42" s="62" t="s">
        <v>98</v>
      </c>
      <c r="M42" s="62" t="s">
        <v>100</v>
      </c>
      <c r="N42" s="62" t="s">
        <v>280</v>
      </c>
      <c r="O42" s="62" t="s">
        <v>52</v>
      </c>
      <c r="P42" s="64">
        <v>1252.45</v>
      </c>
      <c r="Q42" s="63">
        <v>15012</v>
      </c>
      <c r="R42" s="63">
        <v>18801779</v>
      </c>
      <c r="S42" s="62" t="s">
        <v>477</v>
      </c>
      <c r="T42" s="62" t="s">
        <v>72</v>
      </c>
      <c r="U42" s="64">
        <v>15012</v>
      </c>
      <c r="V42" s="62" t="s">
        <v>79</v>
      </c>
      <c r="W42" s="62" t="s">
        <v>74</v>
      </c>
      <c r="X42" s="62" t="s">
        <v>80</v>
      </c>
      <c r="Y42" s="62" t="s">
        <v>158</v>
      </c>
      <c r="Z42" s="63">
        <v>0</v>
      </c>
      <c r="AA42" s="63">
        <v>0</v>
      </c>
      <c r="AB42" s="62" t="s">
        <v>238</v>
      </c>
      <c r="AC42" s="31" t="s">
        <v>478</v>
      </c>
    </row>
    <row r="43" spans="1:29">
      <c r="A43" s="62" t="s">
        <v>479</v>
      </c>
      <c r="B43" s="62" t="s">
        <v>110</v>
      </c>
      <c r="C43" s="62" t="s">
        <v>480</v>
      </c>
      <c r="D43" s="62" t="s">
        <v>280</v>
      </c>
      <c r="E43" s="62" t="s">
        <v>481</v>
      </c>
      <c r="F43" s="63">
        <v>16</v>
      </c>
      <c r="G43" s="62" t="s">
        <v>98</v>
      </c>
      <c r="H43" s="63">
        <v>16</v>
      </c>
      <c r="I43" s="62" t="s">
        <v>99</v>
      </c>
      <c r="J43" s="64">
        <v>6705</v>
      </c>
      <c r="K43" s="64">
        <v>6705</v>
      </c>
      <c r="L43" s="62" t="s">
        <v>98</v>
      </c>
      <c r="M43" s="62" t="s">
        <v>100</v>
      </c>
      <c r="N43" s="62" t="s">
        <v>445</v>
      </c>
      <c r="O43" s="62" t="s">
        <v>52</v>
      </c>
      <c r="P43" s="64">
        <v>1264.9100000000001</v>
      </c>
      <c r="Q43" s="63">
        <v>50216</v>
      </c>
      <c r="R43" s="63">
        <v>63518315</v>
      </c>
      <c r="S43" s="62" t="s">
        <v>482</v>
      </c>
      <c r="T43" s="62" t="s">
        <v>72</v>
      </c>
      <c r="U43" s="64">
        <v>50215.68</v>
      </c>
      <c r="V43" s="62" t="s">
        <v>73</v>
      </c>
      <c r="W43" s="62" t="s">
        <v>74</v>
      </c>
      <c r="X43" s="62" t="s">
        <v>75</v>
      </c>
      <c r="Y43" s="62" t="s">
        <v>76</v>
      </c>
      <c r="Z43" s="63">
        <v>0</v>
      </c>
      <c r="AA43" s="63">
        <v>0</v>
      </c>
      <c r="AB43" s="62" t="s">
        <v>483</v>
      </c>
      <c r="AC43" s="31" t="s">
        <v>478</v>
      </c>
    </row>
    <row r="44" spans="1:29">
      <c r="A44" s="62" t="s">
        <v>484</v>
      </c>
      <c r="B44" s="62" t="s">
        <v>110</v>
      </c>
      <c r="C44" s="62" t="s">
        <v>485</v>
      </c>
      <c r="D44" s="62" t="s">
        <v>394</v>
      </c>
      <c r="E44" s="62" t="s">
        <v>486</v>
      </c>
      <c r="F44" s="63">
        <v>30</v>
      </c>
      <c r="G44" s="62" t="s">
        <v>98</v>
      </c>
      <c r="H44" s="63">
        <v>30</v>
      </c>
      <c r="I44" s="62" t="s">
        <v>99</v>
      </c>
      <c r="J44" s="64">
        <v>4100</v>
      </c>
      <c r="K44" s="64">
        <v>4100</v>
      </c>
      <c r="L44" s="62" t="s">
        <v>98</v>
      </c>
      <c r="M44" s="62" t="s">
        <v>100</v>
      </c>
      <c r="N44" s="62" t="s">
        <v>284</v>
      </c>
      <c r="O44" s="62" t="s">
        <v>52</v>
      </c>
      <c r="P44" s="64">
        <v>1264.9100000000001</v>
      </c>
      <c r="Q44" s="63">
        <v>65718</v>
      </c>
      <c r="R44" s="63">
        <v>83127355</v>
      </c>
      <c r="S44" s="62" t="s">
        <v>487</v>
      </c>
      <c r="T44" s="62" t="s">
        <v>72</v>
      </c>
      <c r="U44" s="64">
        <v>65718</v>
      </c>
      <c r="V44" s="62" t="s">
        <v>77</v>
      </c>
      <c r="W44" s="62" t="s">
        <v>74</v>
      </c>
      <c r="X44" s="62" t="s">
        <v>150</v>
      </c>
      <c r="Y44" s="62" t="s">
        <v>151</v>
      </c>
      <c r="Z44" s="63">
        <v>0</v>
      </c>
      <c r="AA44" s="63">
        <v>0</v>
      </c>
      <c r="AB44" s="62" t="s">
        <v>78</v>
      </c>
      <c r="AC44" s="31" t="s">
        <v>478</v>
      </c>
    </row>
    <row r="45" spans="1:29">
      <c r="A45" s="62" t="s">
        <v>488</v>
      </c>
      <c r="B45" s="62" t="s">
        <v>110</v>
      </c>
      <c r="C45" s="62" t="s">
        <v>489</v>
      </c>
      <c r="D45" s="62" t="s">
        <v>283</v>
      </c>
      <c r="E45" s="62" t="s">
        <v>490</v>
      </c>
      <c r="F45" s="63">
        <v>2</v>
      </c>
      <c r="G45" s="62" t="s">
        <v>98</v>
      </c>
      <c r="H45" s="63">
        <v>2</v>
      </c>
      <c r="I45" s="62" t="s">
        <v>98</v>
      </c>
      <c r="J45" s="64">
        <v>332.8</v>
      </c>
      <c r="K45" s="64">
        <v>385</v>
      </c>
      <c r="L45" s="62" t="s">
        <v>98</v>
      </c>
      <c r="M45" s="62" t="s">
        <v>100</v>
      </c>
      <c r="N45" s="62" t="s">
        <v>491</v>
      </c>
      <c r="O45" s="62" t="s">
        <v>52</v>
      </c>
      <c r="P45" s="64">
        <v>1264.9100000000001</v>
      </c>
      <c r="Q45" s="63">
        <v>7552</v>
      </c>
      <c r="R45" s="63">
        <v>9552701</v>
      </c>
      <c r="S45" s="62" t="s">
        <v>492</v>
      </c>
      <c r="T45" s="62" t="s">
        <v>72</v>
      </c>
      <c r="U45" s="64">
        <v>7552.08</v>
      </c>
      <c r="V45" s="62" t="s">
        <v>79</v>
      </c>
      <c r="W45" s="62" t="s">
        <v>74</v>
      </c>
      <c r="X45" s="62" t="s">
        <v>145</v>
      </c>
      <c r="Y45" s="62" t="s">
        <v>424</v>
      </c>
      <c r="Z45" s="63">
        <v>0</v>
      </c>
      <c r="AA45" s="63">
        <v>0</v>
      </c>
      <c r="AB45" s="62" t="s">
        <v>493</v>
      </c>
      <c r="AC45" s="31" t="s">
        <v>478</v>
      </c>
    </row>
    <row r="46" spans="1:29">
      <c r="A46" s="62" t="s">
        <v>494</v>
      </c>
      <c r="B46" s="62" t="s">
        <v>110</v>
      </c>
      <c r="C46" s="62" t="s">
        <v>495</v>
      </c>
      <c r="D46" s="62" t="s">
        <v>284</v>
      </c>
      <c r="E46" s="62" t="s">
        <v>496</v>
      </c>
      <c r="F46" s="63">
        <v>51</v>
      </c>
      <c r="G46" s="62" t="s">
        <v>98</v>
      </c>
      <c r="H46" s="63" t="s">
        <v>78</v>
      </c>
      <c r="I46" s="62" t="s">
        <v>78</v>
      </c>
      <c r="J46" s="64">
        <v>13345.16</v>
      </c>
      <c r="K46" s="64" t="s">
        <v>78</v>
      </c>
      <c r="L46" s="62" t="s">
        <v>98</v>
      </c>
      <c r="M46" s="62" t="s">
        <v>102</v>
      </c>
      <c r="N46" s="62" t="s">
        <v>78</v>
      </c>
      <c r="O46" s="62" t="s">
        <v>52</v>
      </c>
      <c r="P46" s="64">
        <v>1264.9100000000001</v>
      </c>
      <c r="Q46" s="63">
        <v>96313</v>
      </c>
      <c r="R46" s="63">
        <v>121827225</v>
      </c>
      <c r="S46" s="62" t="s">
        <v>78</v>
      </c>
      <c r="T46" s="62" t="s">
        <v>72</v>
      </c>
      <c r="U46" s="64">
        <v>96312.960000000006</v>
      </c>
      <c r="V46" s="62" t="s">
        <v>73</v>
      </c>
      <c r="W46" s="62" t="s">
        <v>74</v>
      </c>
      <c r="X46" s="62" t="s">
        <v>75</v>
      </c>
      <c r="Y46" s="62" t="s">
        <v>76</v>
      </c>
      <c r="Z46" s="63">
        <v>0</v>
      </c>
      <c r="AA46" s="63">
        <v>0</v>
      </c>
      <c r="AB46" s="62" t="s">
        <v>497</v>
      </c>
      <c r="AC46" s="31" t="s">
        <v>478</v>
      </c>
    </row>
    <row r="47" spans="1:29">
      <c r="A47" s="62" t="s">
        <v>498</v>
      </c>
      <c r="B47" s="62" t="s">
        <v>110</v>
      </c>
      <c r="C47" s="62" t="s">
        <v>499</v>
      </c>
      <c r="D47" s="62" t="s">
        <v>284</v>
      </c>
      <c r="E47" s="62" t="s">
        <v>496</v>
      </c>
      <c r="F47" s="63">
        <v>1</v>
      </c>
      <c r="G47" s="62" t="s">
        <v>98</v>
      </c>
      <c r="H47" s="63">
        <v>1</v>
      </c>
      <c r="I47" s="62" t="s">
        <v>99</v>
      </c>
      <c r="J47" s="64">
        <v>140</v>
      </c>
      <c r="K47" s="64">
        <v>140</v>
      </c>
      <c r="L47" s="62" t="s">
        <v>98</v>
      </c>
      <c r="M47" s="62" t="s">
        <v>100</v>
      </c>
      <c r="N47" s="62" t="s">
        <v>299</v>
      </c>
      <c r="O47" s="62" t="s">
        <v>52</v>
      </c>
      <c r="P47" s="64">
        <v>1264.9100000000001</v>
      </c>
      <c r="Q47" s="63">
        <v>1067</v>
      </c>
      <c r="R47" s="63">
        <v>1349405</v>
      </c>
      <c r="S47" s="62" t="s">
        <v>500</v>
      </c>
      <c r="T47" s="62" t="s">
        <v>72</v>
      </c>
      <c r="U47" s="64">
        <v>1066.8</v>
      </c>
      <c r="V47" s="62" t="s">
        <v>73</v>
      </c>
      <c r="W47" s="62" t="s">
        <v>74</v>
      </c>
      <c r="X47" s="62" t="s">
        <v>75</v>
      </c>
      <c r="Y47" s="62" t="s">
        <v>76</v>
      </c>
      <c r="Z47" s="63">
        <v>0</v>
      </c>
      <c r="AA47" s="63">
        <v>0</v>
      </c>
      <c r="AB47" s="62" t="s">
        <v>501</v>
      </c>
      <c r="AC47" s="31" t="s">
        <v>478</v>
      </c>
    </row>
    <row r="48" spans="1:29">
      <c r="A48" s="62" t="s">
        <v>502</v>
      </c>
      <c r="B48" s="62" t="s">
        <v>110</v>
      </c>
      <c r="C48" s="62" t="s">
        <v>503</v>
      </c>
      <c r="D48" s="62" t="s">
        <v>284</v>
      </c>
      <c r="E48" s="62" t="s">
        <v>496</v>
      </c>
      <c r="F48" s="63">
        <v>37</v>
      </c>
      <c r="G48" s="62" t="s">
        <v>98</v>
      </c>
      <c r="H48" s="63">
        <v>37</v>
      </c>
      <c r="I48" s="62" t="s">
        <v>99</v>
      </c>
      <c r="J48" s="64">
        <v>9318.36</v>
      </c>
      <c r="K48" s="64">
        <v>9318.36</v>
      </c>
      <c r="L48" s="62" t="s">
        <v>98</v>
      </c>
      <c r="M48" s="62" t="s">
        <v>100</v>
      </c>
      <c r="N48" s="62" t="s">
        <v>299</v>
      </c>
      <c r="O48" s="62" t="s">
        <v>52</v>
      </c>
      <c r="P48" s="64">
        <v>1264.9100000000001</v>
      </c>
      <c r="Q48" s="63">
        <v>82179</v>
      </c>
      <c r="R48" s="63">
        <v>103948684</v>
      </c>
      <c r="S48" s="62" t="s">
        <v>504</v>
      </c>
      <c r="T48" s="62" t="s">
        <v>72</v>
      </c>
      <c r="U48" s="64">
        <v>82178.720000000001</v>
      </c>
      <c r="V48" s="62" t="s">
        <v>73</v>
      </c>
      <c r="W48" s="62" t="s">
        <v>74</v>
      </c>
      <c r="X48" s="62" t="s">
        <v>75</v>
      </c>
      <c r="Y48" s="62" t="s">
        <v>76</v>
      </c>
      <c r="Z48" s="63">
        <v>0</v>
      </c>
      <c r="AA48" s="63">
        <v>0</v>
      </c>
      <c r="AB48" s="62" t="s">
        <v>505</v>
      </c>
      <c r="AC48" s="31" t="s">
        <v>478</v>
      </c>
    </row>
    <row r="49" spans="1:29">
      <c r="A49" s="62" t="s">
        <v>506</v>
      </c>
      <c r="B49" s="62" t="s">
        <v>110</v>
      </c>
      <c r="C49" s="62" t="s">
        <v>507</v>
      </c>
      <c r="D49" s="62" t="s">
        <v>284</v>
      </c>
      <c r="E49" s="62" t="s">
        <v>496</v>
      </c>
      <c r="F49" s="63">
        <v>1</v>
      </c>
      <c r="G49" s="62" t="s">
        <v>98</v>
      </c>
      <c r="H49" s="63" t="s">
        <v>78</v>
      </c>
      <c r="I49" s="62" t="s">
        <v>78</v>
      </c>
      <c r="J49" s="64">
        <v>73</v>
      </c>
      <c r="K49" s="64" t="s">
        <v>78</v>
      </c>
      <c r="L49" s="62" t="s">
        <v>98</v>
      </c>
      <c r="M49" s="62" t="s">
        <v>102</v>
      </c>
      <c r="N49" s="62" t="s">
        <v>78</v>
      </c>
      <c r="O49" s="62" t="s">
        <v>52</v>
      </c>
      <c r="P49" s="64">
        <v>1264.9100000000001</v>
      </c>
      <c r="Q49" s="63">
        <v>533</v>
      </c>
      <c r="R49" s="63">
        <v>674702</v>
      </c>
      <c r="S49" s="62" t="s">
        <v>78</v>
      </c>
      <c r="T49" s="62" t="s">
        <v>72</v>
      </c>
      <c r="U49" s="64">
        <v>533.4</v>
      </c>
      <c r="V49" s="62" t="s">
        <v>73</v>
      </c>
      <c r="W49" s="62" t="s">
        <v>74</v>
      </c>
      <c r="X49" s="62" t="s">
        <v>75</v>
      </c>
      <c r="Y49" s="62" t="s">
        <v>76</v>
      </c>
      <c r="Z49" s="63">
        <v>0</v>
      </c>
      <c r="AA49" s="63">
        <v>0</v>
      </c>
      <c r="AB49" s="62" t="s">
        <v>508</v>
      </c>
      <c r="AC49" s="31" t="s">
        <v>478</v>
      </c>
    </row>
    <row r="50" spans="1:29">
      <c r="A50" s="62" t="s">
        <v>509</v>
      </c>
      <c r="B50" s="62" t="s">
        <v>110</v>
      </c>
      <c r="C50" s="62" t="s">
        <v>510</v>
      </c>
      <c r="D50" s="62" t="s">
        <v>284</v>
      </c>
      <c r="E50" s="62" t="s">
        <v>496</v>
      </c>
      <c r="F50" s="63">
        <v>1</v>
      </c>
      <c r="G50" s="62" t="s">
        <v>98</v>
      </c>
      <c r="H50" s="63" t="s">
        <v>78</v>
      </c>
      <c r="I50" s="62" t="s">
        <v>78</v>
      </c>
      <c r="J50" s="64">
        <v>140</v>
      </c>
      <c r="K50" s="64" t="s">
        <v>78</v>
      </c>
      <c r="L50" s="62" t="s">
        <v>98</v>
      </c>
      <c r="M50" s="62" t="s">
        <v>102</v>
      </c>
      <c r="N50" s="62" t="s">
        <v>78</v>
      </c>
      <c r="O50" s="62" t="s">
        <v>52</v>
      </c>
      <c r="P50" s="64">
        <v>1264.9100000000001</v>
      </c>
      <c r="Q50" s="63">
        <v>1067</v>
      </c>
      <c r="R50" s="63">
        <v>1349405</v>
      </c>
      <c r="S50" s="62" t="s">
        <v>78</v>
      </c>
      <c r="T50" s="62" t="s">
        <v>72</v>
      </c>
      <c r="U50" s="64">
        <v>1066.8</v>
      </c>
      <c r="V50" s="62" t="s">
        <v>73</v>
      </c>
      <c r="W50" s="62" t="s">
        <v>74</v>
      </c>
      <c r="X50" s="62" t="s">
        <v>75</v>
      </c>
      <c r="Y50" s="62" t="s">
        <v>76</v>
      </c>
      <c r="Z50" s="63">
        <v>0</v>
      </c>
      <c r="AA50" s="63">
        <v>0</v>
      </c>
      <c r="AB50" s="62" t="s">
        <v>511</v>
      </c>
      <c r="AC50" s="31" t="s">
        <v>478</v>
      </c>
    </row>
    <row r="51" spans="1:29">
      <c r="A51" s="62" t="s">
        <v>512</v>
      </c>
      <c r="B51" s="62" t="s">
        <v>110</v>
      </c>
      <c r="C51" s="62" t="s">
        <v>513</v>
      </c>
      <c r="D51" s="62" t="s">
        <v>284</v>
      </c>
      <c r="E51" s="62" t="s">
        <v>496</v>
      </c>
      <c r="F51" s="63">
        <v>3</v>
      </c>
      <c r="G51" s="62" t="s">
        <v>98</v>
      </c>
      <c r="H51" s="63">
        <v>3</v>
      </c>
      <c r="I51" s="62" t="s">
        <v>98</v>
      </c>
      <c r="J51" s="64">
        <v>681</v>
      </c>
      <c r="K51" s="64">
        <v>681</v>
      </c>
      <c r="L51" s="62" t="s">
        <v>98</v>
      </c>
      <c r="M51" s="62" t="s">
        <v>100</v>
      </c>
      <c r="N51" s="62" t="s">
        <v>285</v>
      </c>
      <c r="O51" s="62" t="s">
        <v>52</v>
      </c>
      <c r="P51" s="64">
        <v>1264.9100000000001</v>
      </c>
      <c r="Q51" s="63">
        <v>9210</v>
      </c>
      <c r="R51" s="63">
        <v>11649934</v>
      </c>
      <c r="S51" s="62" t="s">
        <v>514</v>
      </c>
      <c r="T51" s="62" t="s">
        <v>72</v>
      </c>
      <c r="U51" s="64">
        <v>9210.09</v>
      </c>
      <c r="V51" s="62" t="s">
        <v>77</v>
      </c>
      <c r="W51" s="62" t="s">
        <v>81</v>
      </c>
      <c r="X51" s="62" t="s">
        <v>84</v>
      </c>
      <c r="Y51" s="62" t="s">
        <v>85</v>
      </c>
      <c r="Z51" s="63">
        <v>0</v>
      </c>
      <c r="AA51" s="63">
        <v>0</v>
      </c>
      <c r="AB51" s="62" t="s">
        <v>467</v>
      </c>
      <c r="AC51" s="31" t="s">
        <v>478</v>
      </c>
    </row>
    <row r="52" spans="1:29">
      <c r="A52" s="62" t="s">
        <v>515</v>
      </c>
      <c r="B52" s="62" t="s">
        <v>110</v>
      </c>
      <c r="C52" s="62" t="s">
        <v>516</v>
      </c>
      <c r="D52" s="62" t="s">
        <v>284</v>
      </c>
      <c r="E52" s="62" t="s">
        <v>496</v>
      </c>
      <c r="F52" s="63">
        <v>3</v>
      </c>
      <c r="G52" s="62" t="s">
        <v>98</v>
      </c>
      <c r="H52" s="63">
        <v>3</v>
      </c>
      <c r="I52" s="62" t="s">
        <v>98</v>
      </c>
      <c r="J52" s="64">
        <v>561</v>
      </c>
      <c r="K52" s="64">
        <v>554</v>
      </c>
      <c r="L52" s="62" t="s">
        <v>98</v>
      </c>
      <c r="M52" s="62" t="s">
        <v>100</v>
      </c>
      <c r="N52" s="62" t="s">
        <v>517</v>
      </c>
      <c r="O52" s="62" t="s">
        <v>52</v>
      </c>
      <c r="P52" s="64">
        <v>1264.9100000000001</v>
      </c>
      <c r="Q52" s="63">
        <v>7931</v>
      </c>
      <c r="R52" s="63">
        <v>10032001</v>
      </c>
      <c r="S52" s="62" t="s">
        <v>518</v>
      </c>
      <c r="T52" s="62" t="s">
        <v>72</v>
      </c>
      <c r="U52" s="64">
        <v>7931</v>
      </c>
      <c r="V52" s="62" t="s">
        <v>77</v>
      </c>
      <c r="W52" s="62" t="s">
        <v>81</v>
      </c>
      <c r="X52" s="62" t="s">
        <v>119</v>
      </c>
      <c r="Y52" s="62" t="s">
        <v>120</v>
      </c>
      <c r="Z52" s="63">
        <v>0</v>
      </c>
      <c r="AA52" s="63">
        <v>0</v>
      </c>
      <c r="AB52" s="62" t="s">
        <v>519</v>
      </c>
      <c r="AC52" s="31" t="s">
        <v>478</v>
      </c>
    </row>
    <row r="53" spans="1:29">
      <c r="A53" s="62" t="s">
        <v>520</v>
      </c>
      <c r="B53" s="62" t="s">
        <v>110</v>
      </c>
      <c r="C53" s="62" t="s">
        <v>521</v>
      </c>
      <c r="D53" s="62" t="s">
        <v>284</v>
      </c>
      <c r="E53" s="62" t="s">
        <v>496</v>
      </c>
      <c r="F53" s="63">
        <v>14</v>
      </c>
      <c r="G53" s="62" t="s">
        <v>98</v>
      </c>
      <c r="H53" s="63">
        <v>14</v>
      </c>
      <c r="I53" s="62" t="s">
        <v>99</v>
      </c>
      <c r="J53" s="64">
        <v>4163.6000000000004</v>
      </c>
      <c r="K53" s="64">
        <v>4163.6000000000004</v>
      </c>
      <c r="L53" s="62" t="s">
        <v>98</v>
      </c>
      <c r="M53" s="62" t="s">
        <v>100</v>
      </c>
      <c r="N53" s="62" t="s">
        <v>522</v>
      </c>
      <c r="O53" s="62" t="s">
        <v>52</v>
      </c>
      <c r="P53" s="64">
        <v>1264.9100000000001</v>
      </c>
      <c r="Q53" s="63">
        <v>35400</v>
      </c>
      <c r="R53" s="63">
        <v>44778267</v>
      </c>
      <c r="S53" s="62" t="s">
        <v>523</v>
      </c>
      <c r="T53" s="62" t="s">
        <v>72</v>
      </c>
      <c r="U53" s="64">
        <v>35400.36</v>
      </c>
      <c r="V53" s="62" t="s">
        <v>77</v>
      </c>
      <c r="W53" s="62" t="s">
        <v>74</v>
      </c>
      <c r="X53" s="62" t="s">
        <v>253</v>
      </c>
      <c r="Y53" s="62" t="s">
        <v>254</v>
      </c>
      <c r="Z53" s="63">
        <v>0</v>
      </c>
      <c r="AA53" s="63">
        <v>0</v>
      </c>
      <c r="AB53" s="62" t="s">
        <v>524</v>
      </c>
      <c r="AC53" s="31" t="s">
        <v>478</v>
      </c>
    </row>
    <row r="54" spans="1:29">
      <c r="A54" s="62" t="s">
        <v>525</v>
      </c>
      <c r="B54" s="62" t="s">
        <v>110</v>
      </c>
      <c r="C54" s="62" t="s">
        <v>526</v>
      </c>
      <c r="D54" s="62" t="s">
        <v>276</v>
      </c>
      <c r="E54" s="62" t="s">
        <v>527</v>
      </c>
      <c r="F54" s="63">
        <v>1</v>
      </c>
      <c r="G54" s="62" t="s">
        <v>98</v>
      </c>
      <c r="H54" s="63">
        <v>1</v>
      </c>
      <c r="I54" s="62" t="s">
        <v>98</v>
      </c>
      <c r="J54" s="64">
        <v>5.48</v>
      </c>
      <c r="K54" s="64">
        <v>5.5</v>
      </c>
      <c r="L54" s="62" t="s">
        <v>98</v>
      </c>
      <c r="M54" s="62" t="s">
        <v>100</v>
      </c>
      <c r="N54" s="62" t="s">
        <v>517</v>
      </c>
      <c r="O54" s="62" t="s">
        <v>52</v>
      </c>
      <c r="P54" s="64">
        <v>1265.3900000000001</v>
      </c>
      <c r="Q54" s="63">
        <v>172</v>
      </c>
      <c r="R54" s="63">
        <v>217849</v>
      </c>
      <c r="S54" s="62" t="s">
        <v>528</v>
      </c>
      <c r="T54" s="62" t="s">
        <v>72</v>
      </c>
      <c r="U54" s="64">
        <v>172.16</v>
      </c>
      <c r="V54" s="62" t="s">
        <v>79</v>
      </c>
      <c r="W54" s="62" t="s">
        <v>74</v>
      </c>
      <c r="X54" s="62" t="s">
        <v>80</v>
      </c>
      <c r="Y54" s="62" t="s">
        <v>158</v>
      </c>
      <c r="Z54" s="63">
        <v>0</v>
      </c>
      <c r="AA54" s="63">
        <v>0</v>
      </c>
      <c r="AB54" s="62" t="s">
        <v>529</v>
      </c>
      <c r="AC54" s="31" t="s">
        <v>478</v>
      </c>
    </row>
    <row r="55" spans="1:29">
      <c r="A55" s="62" t="s">
        <v>530</v>
      </c>
      <c r="B55" s="62" t="s">
        <v>110</v>
      </c>
      <c r="C55" s="62" t="s">
        <v>531</v>
      </c>
      <c r="D55" s="62" t="s">
        <v>517</v>
      </c>
      <c r="E55" s="62" t="s">
        <v>532</v>
      </c>
      <c r="F55" s="63">
        <v>10</v>
      </c>
      <c r="G55" s="62" t="s">
        <v>98</v>
      </c>
      <c r="H55" s="63">
        <v>10</v>
      </c>
      <c r="I55" s="62" t="s">
        <v>98</v>
      </c>
      <c r="J55" s="64">
        <v>1814</v>
      </c>
      <c r="K55" s="64">
        <v>1769</v>
      </c>
      <c r="L55" s="62" t="s">
        <v>98</v>
      </c>
      <c r="M55" s="62" t="s">
        <v>100</v>
      </c>
      <c r="N55" s="62" t="s">
        <v>522</v>
      </c>
      <c r="O55" s="62" t="s">
        <v>52</v>
      </c>
      <c r="P55" s="64">
        <v>1265.3900000000001</v>
      </c>
      <c r="Q55" s="63">
        <v>24034</v>
      </c>
      <c r="R55" s="63">
        <v>30412383</v>
      </c>
      <c r="S55" s="62" t="s">
        <v>533</v>
      </c>
      <c r="T55" s="62" t="s">
        <v>72</v>
      </c>
      <c r="U55" s="64">
        <v>24034</v>
      </c>
      <c r="V55" s="62" t="s">
        <v>77</v>
      </c>
      <c r="W55" s="62" t="s">
        <v>81</v>
      </c>
      <c r="X55" s="62" t="s">
        <v>119</v>
      </c>
      <c r="Y55" s="62" t="s">
        <v>120</v>
      </c>
      <c r="Z55" s="63">
        <v>0</v>
      </c>
      <c r="AA55" s="63">
        <v>0</v>
      </c>
      <c r="AB55" s="62" t="s">
        <v>534</v>
      </c>
      <c r="AC55" s="31" t="s">
        <v>478</v>
      </c>
    </row>
    <row r="56" spans="1:29">
      <c r="A56" s="62" t="s">
        <v>535</v>
      </c>
      <c r="B56" s="62" t="s">
        <v>110</v>
      </c>
      <c r="C56" s="62" t="s">
        <v>536</v>
      </c>
      <c r="D56" s="62" t="s">
        <v>517</v>
      </c>
      <c r="E56" s="62" t="s">
        <v>532</v>
      </c>
      <c r="F56" s="63">
        <v>5</v>
      </c>
      <c r="G56" s="62" t="s">
        <v>98</v>
      </c>
      <c r="H56" s="63">
        <v>5</v>
      </c>
      <c r="I56" s="62" t="s">
        <v>98</v>
      </c>
      <c r="J56" s="64">
        <v>1376.24</v>
      </c>
      <c r="K56" s="64">
        <v>1444</v>
      </c>
      <c r="L56" s="62" t="s">
        <v>98</v>
      </c>
      <c r="M56" s="62" t="s">
        <v>100</v>
      </c>
      <c r="N56" s="62" t="s">
        <v>294</v>
      </c>
      <c r="O56" s="62" t="s">
        <v>52</v>
      </c>
      <c r="P56" s="64">
        <v>1265.3900000000001</v>
      </c>
      <c r="Q56" s="63">
        <v>10524</v>
      </c>
      <c r="R56" s="63">
        <v>13316356</v>
      </c>
      <c r="S56" s="62" t="s">
        <v>537</v>
      </c>
      <c r="T56" s="62" t="s">
        <v>72</v>
      </c>
      <c r="U56" s="64">
        <v>10523.52</v>
      </c>
      <c r="V56" s="62" t="s">
        <v>77</v>
      </c>
      <c r="W56" s="62" t="s">
        <v>81</v>
      </c>
      <c r="X56" s="62" t="s">
        <v>253</v>
      </c>
      <c r="Y56" s="62" t="s">
        <v>254</v>
      </c>
      <c r="Z56" s="63">
        <v>0</v>
      </c>
      <c r="AA56" s="63">
        <v>0</v>
      </c>
      <c r="AB56" s="62" t="s">
        <v>538</v>
      </c>
      <c r="AC56" s="31" t="s">
        <v>478</v>
      </c>
    </row>
    <row r="57" spans="1:29">
      <c r="A57" s="62" t="s">
        <v>539</v>
      </c>
      <c r="B57" s="62" t="s">
        <v>110</v>
      </c>
      <c r="C57" s="62" t="s">
        <v>540</v>
      </c>
      <c r="D57" s="62" t="s">
        <v>517</v>
      </c>
      <c r="E57" s="62" t="s">
        <v>532</v>
      </c>
      <c r="F57" s="63">
        <v>1</v>
      </c>
      <c r="G57" s="62" t="s">
        <v>98</v>
      </c>
      <c r="H57" s="63" t="s">
        <v>78</v>
      </c>
      <c r="I57" s="62" t="s">
        <v>78</v>
      </c>
      <c r="J57" s="64">
        <v>163</v>
      </c>
      <c r="K57" s="64" t="s">
        <v>78</v>
      </c>
      <c r="L57" s="62" t="s">
        <v>98</v>
      </c>
      <c r="M57" s="62" t="s">
        <v>102</v>
      </c>
      <c r="N57" s="62" t="s">
        <v>78</v>
      </c>
      <c r="O57" s="62" t="s">
        <v>52</v>
      </c>
      <c r="P57" s="64">
        <v>1265.3900000000001</v>
      </c>
      <c r="Q57" s="63">
        <v>3480</v>
      </c>
      <c r="R57" s="63">
        <v>4403557</v>
      </c>
      <c r="S57" s="62" t="s">
        <v>78</v>
      </c>
      <c r="T57" s="62" t="s">
        <v>72</v>
      </c>
      <c r="U57" s="64">
        <v>3480</v>
      </c>
      <c r="V57" s="62" t="s">
        <v>79</v>
      </c>
      <c r="W57" s="62" t="s">
        <v>74</v>
      </c>
      <c r="X57" s="62" t="s">
        <v>270</v>
      </c>
      <c r="Y57" s="62" t="s">
        <v>271</v>
      </c>
      <c r="Z57" s="63">
        <v>0</v>
      </c>
      <c r="AA57" s="63">
        <v>0</v>
      </c>
      <c r="AB57" s="62" t="s">
        <v>450</v>
      </c>
      <c r="AC57" s="31" t="s">
        <v>478</v>
      </c>
    </row>
    <row r="58" spans="1:29">
      <c r="A58" s="62" t="s">
        <v>541</v>
      </c>
      <c r="B58" s="62" t="s">
        <v>110</v>
      </c>
      <c r="C58" s="62" t="s">
        <v>542</v>
      </c>
      <c r="D58" s="62" t="s">
        <v>517</v>
      </c>
      <c r="E58" s="62" t="s">
        <v>532</v>
      </c>
      <c r="F58" s="63">
        <v>30</v>
      </c>
      <c r="G58" s="62" t="s">
        <v>98</v>
      </c>
      <c r="H58" s="63" t="s">
        <v>78</v>
      </c>
      <c r="I58" s="62" t="s">
        <v>78</v>
      </c>
      <c r="J58" s="64">
        <v>6372</v>
      </c>
      <c r="K58" s="64" t="s">
        <v>78</v>
      </c>
      <c r="L58" s="62" t="s">
        <v>98</v>
      </c>
      <c r="M58" s="62" t="s">
        <v>102</v>
      </c>
      <c r="N58" s="62" t="s">
        <v>78</v>
      </c>
      <c r="O58" s="62" t="s">
        <v>52</v>
      </c>
      <c r="P58" s="64">
        <v>1265.3900000000001</v>
      </c>
      <c r="Q58" s="63">
        <v>40348</v>
      </c>
      <c r="R58" s="63">
        <v>51055955</v>
      </c>
      <c r="S58" s="62" t="s">
        <v>78</v>
      </c>
      <c r="T58" s="62" t="s">
        <v>72</v>
      </c>
      <c r="U58" s="64">
        <v>40348</v>
      </c>
      <c r="V58" s="62" t="s">
        <v>79</v>
      </c>
      <c r="W58" s="62" t="s">
        <v>74</v>
      </c>
      <c r="X58" s="62" t="s">
        <v>80</v>
      </c>
      <c r="Y58" s="62" t="s">
        <v>158</v>
      </c>
      <c r="Z58" s="63">
        <v>0</v>
      </c>
      <c r="AA58" s="63">
        <v>0</v>
      </c>
      <c r="AB58" s="62" t="s">
        <v>543</v>
      </c>
      <c r="AC58" s="31" t="s">
        <v>478</v>
      </c>
    </row>
    <row r="59" spans="1:29">
      <c r="A59" s="62" t="s">
        <v>544</v>
      </c>
      <c r="B59" s="62" t="s">
        <v>110</v>
      </c>
      <c r="C59" s="62" t="s">
        <v>545</v>
      </c>
      <c r="D59" s="62" t="s">
        <v>517</v>
      </c>
      <c r="E59" s="62" t="s">
        <v>532</v>
      </c>
      <c r="F59" s="63">
        <v>5</v>
      </c>
      <c r="G59" s="62" t="s">
        <v>98</v>
      </c>
      <c r="H59" s="63" t="s">
        <v>78</v>
      </c>
      <c r="I59" s="62" t="s">
        <v>78</v>
      </c>
      <c r="J59" s="64">
        <v>689</v>
      </c>
      <c r="K59" s="64" t="s">
        <v>78</v>
      </c>
      <c r="L59" s="62" t="s">
        <v>98</v>
      </c>
      <c r="M59" s="62" t="s">
        <v>102</v>
      </c>
      <c r="N59" s="62" t="s">
        <v>78</v>
      </c>
      <c r="O59" s="62" t="s">
        <v>52</v>
      </c>
      <c r="P59" s="64">
        <v>1265.3900000000001</v>
      </c>
      <c r="Q59" s="63">
        <v>6631</v>
      </c>
      <c r="R59" s="63">
        <v>8391054</v>
      </c>
      <c r="S59" s="62" t="s">
        <v>78</v>
      </c>
      <c r="T59" s="62" t="s">
        <v>72</v>
      </c>
      <c r="U59" s="64">
        <v>6631.2</v>
      </c>
      <c r="V59" s="62" t="s">
        <v>79</v>
      </c>
      <c r="W59" s="62" t="s">
        <v>74</v>
      </c>
      <c r="X59" s="62" t="s">
        <v>80</v>
      </c>
      <c r="Y59" s="62" t="s">
        <v>158</v>
      </c>
      <c r="Z59" s="63">
        <v>0</v>
      </c>
      <c r="AA59" s="63">
        <v>0</v>
      </c>
      <c r="AB59" s="62" t="s">
        <v>159</v>
      </c>
      <c r="AC59" s="31" t="s">
        <v>478</v>
      </c>
    </row>
    <row r="60" spans="1:29">
      <c r="A60" s="62" t="s">
        <v>546</v>
      </c>
      <c r="B60" s="62" t="s">
        <v>110</v>
      </c>
      <c r="C60" s="62" t="s">
        <v>547</v>
      </c>
      <c r="D60" s="62" t="s">
        <v>517</v>
      </c>
      <c r="E60" s="62" t="s">
        <v>532</v>
      </c>
      <c r="F60" s="63">
        <v>17</v>
      </c>
      <c r="G60" s="62" t="s">
        <v>98</v>
      </c>
      <c r="H60" s="63" t="s">
        <v>78</v>
      </c>
      <c r="I60" s="62" t="s">
        <v>78</v>
      </c>
      <c r="J60" s="64">
        <v>2342.6</v>
      </c>
      <c r="K60" s="64" t="s">
        <v>78</v>
      </c>
      <c r="L60" s="62" t="s">
        <v>98</v>
      </c>
      <c r="M60" s="62" t="s">
        <v>102</v>
      </c>
      <c r="N60" s="62" t="s">
        <v>78</v>
      </c>
      <c r="O60" s="62" t="s">
        <v>52</v>
      </c>
      <c r="P60" s="64">
        <v>1265.3900000000001</v>
      </c>
      <c r="Q60" s="63">
        <v>22546</v>
      </c>
      <c r="R60" s="63">
        <v>28529584</v>
      </c>
      <c r="S60" s="62" t="s">
        <v>78</v>
      </c>
      <c r="T60" s="62" t="s">
        <v>72</v>
      </c>
      <c r="U60" s="64">
        <v>22546.080000000002</v>
      </c>
      <c r="V60" s="62" t="s">
        <v>79</v>
      </c>
      <c r="W60" s="62" t="s">
        <v>74</v>
      </c>
      <c r="X60" s="62" t="s">
        <v>80</v>
      </c>
      <c r="Y60" s="62" t="s">
        <v>158</v>
      </c>
      <c r="Z60" s="63">
        <v>0</v>
      </c>
      <c r="AA60" s="63">
        <v>0</v>
      </c>
      <c r="AB60" s="62" t="s">
        <v>159</v>
      </c>
      <c r="AC60" s="31" t="s">
        <v>478</v>
      </c>
    </row>
    <row r="61" spans="1:29">
      <c r="A61" s="62" t="s">
        <v>548</v>
      </c>
      <c r="B61" s="62" t="s">
        <v>110</v>
      </c>
      <c r="C61" s="62" t="s">
        <v>549</v>
      </c>
      <c r="D61" s="62" t="s">
        <v>517</v>
      </c>
      <c r="E61" s="62" t="s">
        <v>532</v>
      </c>
      <c r="F61" s="63">
        <v>130</v>
      </c>
      <c r="G61" s="62" t="s">
        <v>98</v>
      </c>
      <c r="H61" s="63" t="s">
        <v>78</v>
      </c>
      <c r="I61" s="62" t="s">
        <v>78</v>
      </c>
      <c r="J61" s="64">
        <v>23349.45</v>
      </c>
      <c r="K61" s="64" t="s">
        <v>78</v>
      </c>
      <c r="L61" s="62" t="s">
        <v>98</v>
      </c>
      <c r="M61" s="62" t="s">
        <v>102</v>
      </c>
      <c r="N61" s="62" t="s">
        <v>78</v>
      </c>
      <c r="O61" s="62" t="s">
        <v>52</v>
      </c>
      <c r="P61" s="64">
        <v>1265.3900000000001</v>
      </c>
      <c r="Q61" s="63">
        <v>181817</v>
      </c>
      <c r="R61" s="63">
        <v>230069628</v>
      </c>
      <c r="S61" s="62" t="s">
        <v>78</v>
      </c>
      <c r="T61" s="62" t="s">
        <v>72</v>
      </c>
      <c r="U61" s="64">
        <v>181817.17</v>
      </c>
      <c r="V61" s="62" t="s">
        <v>79</v>
      </c>
      <c r="W61" s="62" t="s">
        <v>74</v>
      </c>
      <c r="X61" s="62" t="s">
        <v>80</v>
      </c>
      <c r="Y61" s="62" t="s">
        <v>158</v>
      </c>
      <c r="Z61" s="63">
        <v>0</v>
      </c>
      <c r="AA61" s="63">
        <v>0</v>
      </c>
      <c r="AB61" s="62" t="s">
        <v>159</v>
      </c>
      <c r="AC61" s="31" t="s">
        <v>478</v>
      </c>
    </row>
    <row r="62" spans="1:29">
      <c r="A62" s="62" t="s">
        <v>550</v>
      </c>
      <c r="B62" s="62" t="s">
        <v>110</v>
      </c>
      <c r="C62" s="62" t="s">
        <v>551</v>
      </c>
      <c r="D62" s="62" t="s">
        <v>285</v>
      </c>
      <c r="E62" s="62" t="s">
        <v>552</v>
      </c>
      <c r="F62" s="63">
        <v>70</v>
      </c>
      <c r="G62" s="62" t="s">
        <v>98</v>
      </c>
      <c r="H62" s="63">
        <v>70</v>
      </c>
      <c r="I62" s="62" t="s">
        <v>99</v>
      </c>
      <c r="J62" s="64">
        <v>15085.68</v>
      </c>
      <c r="K62" s="64">
        <v>15085.68</v>
      </c>
      <c r="L62" s="62" t="s">
        <v>98</v>
      </c>
      <c r="M62" s="62" t="s">
        <v>100</v>
      </c>
      <c r="N62" s="62" t="s">
        <v>553</v>
      </c>
      <c r="O62" s="62" t="s">
        <v>52</v>
      </c>
      <c r="P62" s="64">
        <v>1265.3900000000001</v>
      </c>
      <c r="Q62" s="63">
        <v>115182</v>
      </c>
      <c r="R62" s="63">
        <v>145750454</v>
      </c>
      <c r="S62" s="62" t="s">
        <v>554</v>
      </c>
      <c r="T62" s="62" t="s">
        <v>72</v>
      </c>
      <c r="U62" s="64">
        <v>115282.24000000001</v>
      </c>
      <c r="V62" s="62" t="s">
        <v>105</v>
      </c>
      <c r="W62" s="62" t="s">
        <v>74</v>
      </c>
      <c r="X62" s="62" t="s">
        <v>103</v>
      </c>
      <c r="Y62" s="62" t="s">
        <v>104</v>
      </c>
      <c r="Z62" s="63">
        <v>126539</v>
      </c>
      <c r="AA62" s="63">
        <v>0</v>
      </c>
      <c r="AB62" s="62" t="s">
        <v>78</v>
      </c>
      <c r="AC62" s="31" t="s">
        <v>478</v>
      </c>
    </row>
    <row r="63" spans="1:29">
      <c r="A63" s="62" t="s">
        <v>555</v>
      </c>
      <c r="B63" s="62" t="s">
        <v>110</v>
      </c>
      <c r="C63" s="62" t="s">
        <v>556</v>
      </c>
      <c r="D63" s="62" t="s">
        <v>295</v>
      </c>
      <c r="E63" s="62" t="s">
        <v>378</v>
      </c>
      <c r="F63" s="63">
        <v>1</v>
      </c>
      <c r="G63" s="62" t="s">
        <v>98</v>
      </c>
      <c r="H63" s="63">
        <v>1</v>
      </c>
      <c r="I63" s="62" t="s">
        <v>98</v>
      </c>
      <c r="J63" s="64">
        <v>14.4</v>
      </c>
      <c r="K63" s="64">
        <v>14.4</v>
      </c>
      <c r="L63" s="62" t="s">
        <v>98</v>
      </c>
      <c r="M63" s="62" t="s">
        <v>100</v>
      </c>
      <c r="N63" s="62" t="s">
        <v>522</v>
      </c>
      <c r="O63" s="62" t="s">
        <v>52</v>
      </c>
      <c r="P63" s="64">
        <v>1265.3900000000001</v>
      </c>
      <c r="Q63" s="63">
        <v>308</v>
      </c>
      <c r="R63" s="63">
        <v>389233</v>
      </c>
      <c r="S63" s="62" t="s">
        <v>557</v>
      </c>
      <c r="T63" s="62" t="s">
        <v>72</v>
      </c>
      <c r="U63" s="64">
        <v>307.60000000000002</v>
      </c>
      <c r="V63" s="62" t="s">
        <v>79</v>
      </c>
      <c r="W63" s="62" t="s">
        <v>81</v>
      </c>
      <c r="X63" s="62" t="s">
        <v>80</v>
      </c>
      <c r="Y63" s="62" t="s">
        <v>158</v>
      </c>
      <c r="Z63" s="63">
        <v>0</v>
      </c>
      <c r="AA63" s="63">
        <v>0</v>
      </c>
      <c r="AB63" s="62" t="s">
        <v>558</v>
      </c>
      <c r="AC63" s="31" t="s">
        <v>478</v>
      </c>
    </row>
    <row r="64" spans="1:29">
      <c r="A64" s="62" t="s">
        <v>559</v>
      </c>
      <c r="B64" s="62" t="s">
        <v>110</v>
      </c>
      <c r="C64" s="62" t="s">
        <v>560</v>
      </c>
      <c r="D64" s="62" t="s">
        <v>295</v>
      </c>
      <c r="E64" s="62" t="s">
        <v>378</v>
      </c>
      <c r="F64" s="63">
        <v>1</v>
      </c>
      <c r="G64" s="62" t="s">
        <v>98</v>
      </c>
      <c r="H64" s="63">
        <v>1</v>
      </c>
      <c r="I64" s="62" t="s">
        <v>98</v>
      </c>
      <c r="J64" s="64">
        <v>106</v>
      </c>
      <c r="K64" s="64">
        <v>106</v>
      </c>
      <c r="L64" s="62" t="s">
        <v>98</v>
      </c>
      <c r="M64" s="62" t="s">
        <v>100</v>
      </c>
      <c r="N64" s="62" t="s">
        <v>522</v>
      </c>
      <c r="O64" s="62" t="s">
        <v>52</v>
      </c>
      <c r="P64" s="64">
        <v>1265.3900000000001</v>
      </c>
      <c r="Q64" s="63">
        <v>1152</v>
      </c>
      <c r="R64" s="63">
        <v>1457881</v>
      </c>
      <c r="S64" s="62" t="s">
        <v>561</v>
      </c>
      <c r="T64" s="62" t="s">
        <v>72</v>
      </c>
      <c r="U64" s="64">
        <v>1152.1199999999999</v>
      </c>
      <c r="V64" s="62" t="s">
        <v>79</v>
      </c>
      <c r="W64" s="62" t="s">
        <v>81</v>
      </c>
      <c r="X64" s="62" t="s">
        <v>80</v>
      </c>
      <c r="Y64" s="62" t="s">
        <v>158</v>
      </c>
      <c r="Z64" s="63">
        <v>0</v>
      </c>
      <c r="AA64" s="63">
        <v>0</v>
      </c>
      <c r="AB64" s="62" t="s">
        <v>286</v>
      </c>
      <c r="AC64" s="31" t="s">
        <v>478</v>
      </c>
    </row>
    <row r="65" spans="1:29">
      <c r="A65" s="62" t="s">
        <v>562</v>
      </c>
      <c r="B65" s="62" t="s">
        <v>110</v>
      </c>
      <c r="C65" s="62" t="s">
        <v>563</v>
      </c>
      <c r="D65" s="62" t="s">
        <v>295</v>
      </c>
      <c r="E65" s="62" t="s">
        <v>378</v>
      </c>
      <c r="F65" s="63">
        <v>2</v>
      </c>
      <c r="G65" s="62" t="s">
        <v>98</v>
      </c>
      <c r="H65" s="63">
        <v>2</v>
      </c>
      <c r="I65" s="62" t="s">
        <v>98</v>
      </c>
      <c r="J65" s="64">
        <v>44</v>
      </c>
      <c r="K65" s="64">
        <v>44</v>
      </c>
      <c r="L65" s="62" t="s">
        <v>98</v>
      </c>
      <c r="M65" s="62" t="s">
        <v>100</v>
      </c>
      <c r="N65" s="62" t="s">
        <v>522</v>
      </c>
      <c r="O65" s="62" t="s">
        <v>52</v>
      </c>
      <c r="P65" s="64">
        <v>1265.3900000000001</v>
      </c>
      <c r="Q65" s="63">
        <v>1614</v>
      </c>
      <c r="R65" s="63">
        <v>2042339</v>
      </c>
      <c r="S65" s="62" t="s">
        <v>564</v>
      </c>
      <c r="T65" s="62" t="s">
        <v>72</v>
      </c>
      <c r="U65" s="64">
        <v>1614</v>
      </c>
      <c r="V65" s="62" t="s">
        <v>79</v>
      </c>
      <c r="W65" s="62" t="s">
        <v>81</v>
      </c>
      <c r="X65" s="62" t="s">
        <v>80</v>
      </c>
      <c r="Y65" s="62" t="s">
        <v>158</v>
      </c>
      <c r="Z65" s="63">
        <v>0</v>
      </c>
      <c r="AA65" s="63">
        <v>0</v>
      </c>
      <c r="AB65" s="62" t="s">
        <v>529</v>
      </c>
      <c r="AC65" s="31" t="s">
        <v>478</v>
      </c>
    </row>
    <row r="66" spans="1:29">
      <c r="A66" s="62" t="s">
        <v>565</v>
      </c>
      <c r="B66" s="62" t="s">
        <v>110</v>
      </c>
      <c r="C66" s="62" t="s">
        <v>566</v>
      </c>
      <c r="D66" s="62" t="s">
        <v>299</v>
      </c>
      <c r="E66" s="62" t="s">
        <v>567</v>
      </c>
      <c r="F66" s="63">
        <v>1</v>
      </c>
      <c r="G66" s="62" t="s">
        <v>98</v>
      </c>
      <c r="H66" s="63" t="s">
        <v>78</v>
      </c>
      <c r="I66" s="62" t="s">
        <v>78</v>
      </c>
      <c r="J66" s="64">
        <v>190</v>
      </c>
      <c r="K66" s="64" t="s">
        <v>78</v>
      </c>
      <c r="L66" s="62" t="s">
        <v>98</v>
      </c>
      <c r="M66" s="62" t="s">
        <v>102</v>
      </c>
      <c r="N66" s="62" t="s">
        <v>78</v>
      </c>
      <c r="O66" s="62" t="s">
        <v>52</v>
      </c>
      <c r="P66" s="64">
        <v>1254.01</v>
      </c>
      <c r="Q66" s="63">
        <v>2436</v>
      </c>
      <c r="R66" s="63">
        <v>3054542</v>
      </c>
      <c r="S66" s="62" t="s">
        <v>78</v>
      </c>
      <c r="T66" s="62" t="s">
        <v>72</v>
      </c>
      <c r="U66" s="64">
        <v>2435.8200000000002</v>
      </c>
      <c r="V66" s="62" t="s">
        <v>77</v>
      </c>
      <c r="W66" s="62" t="s">
        <v>81</v>
      </c>
      <c r="X66" s="62" t="s">
        <v>119</v>
      </c>
      <c r="Y66" s="62" t="s">
        <v>120</v>
      </c>
      <c r="Z66" s="63">
        <v>0</v>
      </c>
      <c r="AA66" s="63">
        <v>0</v>
      </c>
      <c r="AB66" s="62" t="s">
        <v>568</v>
      </c>
      <c r="AC66" s="31" t="s">
        <v>478</v>
      </c>
    </row>
    <row r="67" spans="1:29">
      <c r="A67" s="62" t="s">
        <v>569</v>
      </c>
      <c r="B67" s="62" t="s">
        <v>110</v>
      </c>
      <c r="C67" s="62" t="s">
        <v>570</v>
      </c>
      <c r="D67" s="62" t="s">
        <v>299</v>
      </c>
      <c r="E67" s="62" t="s">
        <v>567</v>
      </c>
      <c r="F67" s="63">
        <v>1</v>
      </c>
      <c r="G67" s="62" t="s">
        <v>98</v>
      </c>
      <c r="H67" s="63" t="s">
        <v>78</v>
      </c>
      <c r="I67" s="62" t="s">
        <v>78</v>
      </c>
      <c r="J67" s="64">
        <v>217</v>
      </c>
      <c r="K67" s="64" t="s">
        <v>78</v>
      </c>
      <c r="L67" s="62" t="s">
        <v>98</v>
      </c>
      <c r="M67" s="62" t="s">
        <v>102</v>
      </c>
      <c r="N67" s="62" t="s">
        <v>78</v>
      </c>
      <c r="O67" s="62" t="s">
        <v>52</v>
      </c>
      <c r="P67" s="64">
        <v>1254.01</v>
      </c>
      <c r="Q67" s="63">
        <v>2873</v>
      </c>
      <c r="R67" s="63">
        <v>3602457</v>
      </c>
      <c r="S67" s="62" t="s">
        <v>78</v>
      </c>
      <c r="T67" s="62" t="s">
        <v>72</v>
      </c>
      <c r="U67" s="64">
        <v>2872.75</v>
      </c>
      <c r="V67" s="62" t="s">
        <v>77</v>
      </c>
      <c r="W67" s="62" t="s">
        <v>74</v>
      </c>
      <c r="X67" s="62" t="s">
        <v>82</v>
      </c>
      <c r="Y67" s="62" t="s">
        <v>83</v>
      </c>
      <c r="Z67" s="63">
        <v>0</v>
      </c>
      <c r="AA67" s="63">
        <v>0</v>
      </c>
      <c r="AB67" s="62" t="s">
        <v>463</v>
      </c>
      <c r="AC67" s="31" t="s">
        <v>478</v>
      </c>
    </row>
    <row r="68" spans="1:29">
      <c r="A68" s="62" t="s">
        <v>571</v>
      </c>
      <c r="B68" s="62" t="s">
        <v>110</v>
      </c>
      <c r="C68" s="62" t="s">
        <v>572</v>
      </c>
      <c r="D68" s="62" t="s">
        <v>299</v>
      </c>
      <c r="E68" s="62" t="s">
        <v>567</v>
      </c>
      <c r="F68" s="63">
        <v>4</v>
      </c>
      <c r="G68" s="62" t="s">
        <v>98</v>
      </c>
      <c r="H68" s="63" t="s">
        <v>78</v>
      </c>
      <c r="I68" s="62" t="s">
        <v>78</v>
      </c>
      <c r="J68" s="64">
        <v>768.5</v>
      </c>
      <c r="K68" s="64" t="s">
        <v>78</v>
      </c>
      <c r="L68" s="62" t="s">
        <v>98</v>
      </c>
      <c r="M68" s="62" t="s">
        <v>102</v>
      </c>
      <c r="N68" s="62" t="s">
        <v>78</v>
      </c>
      <c r="O68" s="62" t="s">
        <v>52</v>
      </c>
      <c r="P68" s="64">
        <v>1254.01</v>
      </c>
      <c r="Q68" s="63">
        <v>11049</v>
      </c>
      <c r="R68" s="63">
        <v>13855644</v>
      </c>
      <c r="S68" s="62" t="s">
        <v>78</v>
      </c>
      <c r="T68" s="62" t="s">
        <v>72</v>
      </c>
      <c r="U68" s="64">
        <v>11049.07</v>
      </c>
      <c r="V68" s="62" t="s">
        <v>77</v>
      </c>
      <c r="W68" s="62" t="s">
        <v>81</v>
      </c>
      <c r="X68" s="62" t="s">
        <v>84</v>
      </c>
      <c r="Y68" s="62" t="s">
        <v>85</v>
      </c>
      <c r="Z68" s="63">
        <v>0</v>
      </c>
      <c r="AA68" s="63">
        <v>0</v>
      </c>
      <c r="AB68" s="62" t="s">
        <v>573</v>
      </c>
      <c r="AC68" s="31" t="s">
        <v>478</v>
      </c>
    </row>
    <row r="69" spans="1:29">
      <c r="A69" s="62" t="s">
        <v>574</v>
      </c>
      <c r="B69" s="62" t="s">
        <v>110</v>
      </c>
      <c r="C69" s="62" t="s">
        <v>575</v>
      </c>
      <c r="D69" s="62" t="s">
        <v>299</v>
      </c>
      <c r="E69" s="62" t="s">
        <v>567</v>
      </c>
      <c r="F69" s="63">
        <v>2</v>
      </c>
      <c r="G69" s="62" t="s">
        <v>98</v>
      </c>
      <c r="H69" s="63">
        <v>2</v>
      </c>
      <c r="I69" s="62" t="s">
        <v>98</v>
      </c>
      <c r="J69" s="64">
        <v>53</v>
      </c>
      <c r="K69" s="64">
        <v>53</v>
      </c>
      <c r="L69" s="62" t="s">
        <v>98</v>
      </c>
      <c r="M69" s="62" t="s">
        <v>100</v>
      </c>
      <c r="N69" s="62" t="s">
        <v>382</v>
      </c>
      <c r="O69" s="62" t="s">
        <v>52</v>
      </c>
      <c r="P69" s="64">
        <v>1254.01</v>
      </c>
      <c r="Q69" s="63">
        <v>591</v>
      </c>
      <c r="R69" s="63">
        <v>741044</v>
      </c>
      <c r="S69" s="62" t="s">
        <v>576</v>
      </c>
      <c r="T69" s="62" t="s">
        <v>72</v>
      </c>
      <c r="U69" s="64">
        <v>590.94000000000005</v>
      </c>
      <c r="V69" s="62" t="s">
        <v>77</v>
      </c>
      <c r="W69" s="62" t="s">
        <v>81</v>
      </c>
      <c r="X69" s="62" t="s">
        <v>108</v>
      </c>
      <c r="Y69" s="62" t="s">
        <v>109</v>
      </c>
      <c r="Z69" s="63">
        <v>0</v>
      </c>
      <c r="AA69" s="63">
        <v>0</v>
      </c>
      <c r="AB69" s="62" t="s">
        <v>414</v>
      </c>
      <c r="AC69" s="31" t="s">
        <v>478</v>
      </c>
    </row>
    <row r="70" spans="1:29">
      <c r="A70" s="62" t="s">
        <v>577</v>
      </c>
      <c r="B70" s="62" t="s">
        <v>110</v>
      </c>
      <c r="C70" s="62" t="s">
        <v>578</v>
      </c>
      <c r="D70" s="62" t="s">
        <v>299</v>
      </c>
      <c r="E70" s="62" t="s">
        <v>567</v>
      </c>
      <c r="F70" s="63">
        <v>1</v>
      </c>
      <c r="G70" s="62" t="s">
        <v>98</v>
      </c>
      <c r="H70" s="63">
        <v>1</v>
      </c>
      <c r="I70" s="62" t="s">
        <v>98</v>
      </c>
      <c r="J70" s="64">
        <v>39</v>
      </c>
      <c r="K70" s="64">
        <v>39</v>
      </c>
      <c r="L70" s="62" t="s">
        <v>98</v>
      </c>
      <c r="M70" s="62" t="s">
        <v>100</v>
      </c>
      <c r="N70" s="62" t="s">
        <v>579</v>
      </c>
      <c r="O70" s="62" t="s">
        <v>52</v>
      </c>
      <c r="P70" s="64">
        <v>1254.01</v>
      </c>
      <c r="Q70" s="63">
        <v>765</v>
      </c>
      <c r="R70" s="63">
        <v>959468</v>
      </c>
      <c r="S70" s="62" t="s">
        <v>580</v>
      </c>
      <c r="T70" s="62" t="s">
        <v>72</v>
      </c>
      <c r="U70" s="64">
        <v>765.12</v>
      </c>
      <c r="V70" s="62" t="s">
        <v>77</v>
      </c>
      <c r="W70" s="62" t="s">
        <v>81</v>
      </c>
      <c r="X70" s="62" t="s">
        <v>296</v>
      </c>
      <c r="Y70" s="62" t="s">
        <v>297</v>
      </c>
      <c r="Z70" s="63">
        <v>0</v>
      </c>
      <c r="AA70" s="63">
        <v>0</v>
      </c>
      <c r="AB70" s="62" t="s">
        <v>298</v>
      </c>
      <c r="AC70" s="31" t="s">
        <v>478</v>
      </c>
    </row>
    <row r="71" spans="1:29">
      <c r="A71" s="62" t="s">
        <v>581</v>
      </c>
      <c r="B71" s="62" t="s">
        <v>110</v>
      </c>
      <c r="C71" s="62" t="s">
        <v>582</v>
      </c>
      <c r="D71" s="62" t="s">
        <v>299</v>
      </c>
      <c r="E71" s="62" t="s">
        <v>567</v>
      </c>
      <c r="F71" s="63">
        <v>51</v>
      </c>
      <c r="G71" s="62" t="s">
        <v>98</v>
      </c>
      <c r="H71" s="63" t="s">
        <v>78</v>
      </c>
      <c r="I71" s="62" t="s">
        <v>78</v>
      </c>
      <c r="J71" s="64">
        <v>7027.8</v>
      </c>
      <c r="K71" s="64" t="s">
        <v>78</v>
      </c>
      <c r="L71" s="62" t="s">
        <v>98</v>
      </c>
      <c r="M71" s="62" t="s">
        <v>102</v>
      </c>
      <c r="N71" s="62" t="s">
        <v>78</v>
      </c>
      <c r="O71" s="62" t="s">
        <v>52</v>
      </c>
      <c r="P71" s="64">
        <v>1254.01</v>
      </c>
      <c r="Q71" s="63">
        <v>67638</v>
      </c>
      <c r="R71" s="63">
        <v>84819029</v>
      </c>
      <c r="S71" s="62" t="s">
        <v>78</v>
      </c>
      <c r="T71" s="62" t="s">
        <v>72</v>
      </c>
      <c r="U71" s="64">
        <v>67638.240000000005</v>
      </c>
      <c r="V71" s="62" t="s">
        <v>79</v>
      </c>
      <c r="W71" s="62" t="s">
        <v>74</v>
      </c>
      <c r="X71" s="62" t="s">
        <v>80</v>
      </c>
      <c r="Y71" s="62" t="s">
        <v>158</v>
      </c>
      <c r="Z71" s="63">
        <v>0</v>
      </c>
      <c r="AA71" s="63">
        <v>0</v>
      </c>
      <c r="AB71" s="62" t="s">
        <v>159</v>
      </c>
      <c r="AC71" s="31" t="s">
        <v>478</v>
      </c>
    </row>
    <row r="72" spans="1:29">
      <c r="A72" s="62" t="s">
        <v>583</v>
      </c>
      <c r="B72" s="62" t="s">
        <v>110</v>
      </c>
      <c r="C72" s="62" t="s">
        <v>584</v>
      </c>
      <c r="D72" s="62" t="s">
        <v>299</v>
      </c>
      <c r="E72" s="62" t="s">
        <v>567</v>
      </c>
      <c r="F72" s="63">
        <v>128</v>
      </c>
      <c r="G72" s="62" t="s">
        <v>98</v>
      </c>
      <c r="H72" s="63" t="s">
        <v>78</v>
      </c>
      <c r="I72" s="62" t="s">
        <v>78</v>
      </c>
      <c r="J72" s="64">
        <v>23711.96</v>
      </c>
      <c r="K72" s="64" t="s">
        <v>78</v>
      </c>
      <c r="L72" s="62" t="s">
        <v>98</v>
      </c>
      <c r="M72" s="62" t="s">
        <v>102</v>
      </c>
      <c r="N72" s="62" t="s">
        <v>78</v>
      </c>
      <c r="O72" s="62" t="s">
        <v>52</v>
      </c>
      <c r="P72" s="64">
        <v>1254.01</v>
      </c>
      <c r="Q72" s="63">
        <v>178432</v>
      </c>
      <c r="R72" s="63">
        <v>223756013</v>
      </c>
      <c r="S72" s="62" t="s">
        <v>78</v>
      </c>
      <c r="T72" s="62" t="s">
        <v>72</v>
      </c>
      <c r="U72" s="64">
        <v>178432.4</v>
      </c>
      <c r="V72" s="62" t="s">
        <v>79</v>
      </c>
      <c r="W72" s="62" t="s">
        <v>74</v>
      </c>
      <c r="X72" s="62" t="s">
        <v>80</v>
      </c>
      <c r="Y72" s="62" t="s">
        <v>158</v>
      </c>
      <c r="Z72" s="63">
        <v>0</v>
      </c>
      <c r="AA72" s="63">
        <v>0</v>
      </c>
      <c r="AB72" s="62" t="s">
        <v>159</v>
      </c>
      <c r="AC72" s="31" t="s">
        <v>478</v>
      </c>
    </row>
    <row r="73" spans="1:29">
      <c r="A73" s="62" t="s">
        <v>585</v>
      </c>
      <c r="B73" s="62" t="s">
        <v>110</v>
      </c>
      <c r="C73" s="62" t="s">
        <v>586</v>
      </c>
      <c r="D73" s="62" t="s">
        <v>382</v>
      </c>
      <c r="E73" s="62" t="s">
        <v>383</v>
      </c>
      <c r="F73" s="63">
        <v>15</v>
      </c>
      <c r="G73" s="62" t="s">
        <v>98</v>
      </c>
      <c r="H73" s="63" t="s">
        <v>78</v>
      </c>
      <c r="I73" s="62" t="s">
        <v>78</v>
      </c>
      <c r="J73" s="64">
        <v>4050</v>
      </c>
      <c r="K73" s="64" t="s">
        <v>78</v>
      </c>
      <c r="L73" s="62" t="s">
        <v>98</v>
      </c>
      <c r="M73" s="62" t="s">
        <v>102</v>
      </c>
      <c r="N73" s="62" t="s">
        <v>78</v>
      </c>
      <c r="O73" s="62" t="s">
        <v>52</v>
      </c>
      <c r="P73" s="64">
        <v>1254.01</v>
      </c>
      <c r="Q73" s="63">
        <v>59214</v>
      </c>
      <c r="R73" s="63">
        <v>74254948</v>
      </c>
      <c r="S73" s="62" t="s">
        <v>78</v>
      </c>
      <c r="T73" s="62" t="s">
        <v>72</v>
      </c>
      <c r="U73" s="64">
        <v>59214</v>
      </c>
      <c r="V73" s="62" t="s">
        <v>77</v>
      </c>
      <c r="W73" s="62" t="s">
        <v>74</v>
      </c>
      <c r="X73" s="62" t="s">
        <v>123</v>
      </c>
      <c r="Y73" s="62" t="s">
        <v>124</v>
      </c>
      <c r="Z73" s="63">
        <v>0</v>
      </c>
      <c r="AA73" s="63">
        <v>0</v>
      </c>
      <c r="AB73" s="62" t="s">
        <v>78</v>
      </c>
      <c r="AC73" s="31" t="s">
        <v>478</v>
      </c>
    </row>
    <row r="74" spans="1:29">
      <c r="A74" s="62" t="s">
        <v>587</v>
      </c>
      <c r="B74" s="62" t="s">
        <v>110</v>
      </c>
      <c r="C74" s="62" t="s">
        <v>588</v>
      </c>
      <c r="D74" s="62" t="s">
        <v>302</v>
      </c>
      <c r="E74" s="62" t="s">
        <v>589</v>
      </c>
      <c r="F74" s="63">
        <v>7</v>
      </c>
      <c r="G74" s="62" t="s">
        <v>98</v>
      </c>
      <c r="H74" s="63" t="s">
        <v>78</v>
      </c>
      <c r="I74" s="62" t="s">
        <v>78</v>
      </c>
      <c r="J74" s="64">
        <v>1138.75</v>
      </c>
      <c r="K74" s="64" t="s">
        <v>78</v>
      </c>
      <c r="L74" s="62" t="s">
        <v>98</v>
      </c>
      <c r="M74" s="62" t="s">
        <v>102</v>
      </c>
      <c r="N74" s="62" t="s">
        <v>78</v>
      </c>
      <c r="O74" s="62" t="s">
        <v>256</v>
      </c>
      <c r="P74" s="64">
        <v>1254.01</v>
      </c>
      <c r="Q74" s="63">
        <v>15570</v>
      </c>
      <c r="R74" s="63">
        <v>19524456</v>
      </c>
      <c r="S74" s="62" t="s">
        <v>78</v>
      </c>
      <c r="T74" s="62" t="s">
        <v>72</v>
      </c>
      <c r="U74" s="64">
        <v>19524456</v>
      </c>
      <c r="V74" s="62" t="s">
        <v>79</v>
      </c>
      <c r="W74" s="62" t="s">
        <v>81</v>
      </c>
      <c r="X74" s="62" t="s">
        <v>257</v>
      </c>
      <c r="Y74" s="62" t="s">
        <v>258</v>
      </c>
      <c r="Z74" s="63">
        <v>0</v>
      </c>
      <c r="AA74" s="63">
        <v>0</v>
      </c>
      <c r="AB74" s="62" t="s">
        <v>590</v>
      </c>
      <c r="AC74" s="31" t="s">
        <v>478</v>
      </c>
    </row>
    <row r="75" spans="1:29">
      <c r="A75" s="62" t="s">
        <v>591</v>
      </c>
      <c r="B75" s="62" t="s">
        <v>110</v>
      </c>
      <c r="C75" s="62" t="s">
        <v>592</v>
      </c>
      <c r="D75" s="62" t="s">
        <v>302</v>
      </c>
      <c r="E75" s="62" t="s">
        <v>589</v>
      </c>
      <c r="F75" s="63">
        <v>3</v>
      </c>
      <c r="G75" s="62" t="s">
        <v>98</v>
      </c>
      <c r="H75" s="63" t="s">
        <v>78</v>
      </c>
      <c r="I75" s="62" t="s">
        <v>78</v>
      </c>
      <c r="J75" s="64">
        <v>561</v>
      </c>
      <c r="K75" s="64" t="s">
        <v>78</v>
      </c>
      <c r="L75" s="62" t="s">
        <v>98</v>
      </c>
      <c r="M75" s="62" t="s">
        <v>102</v>
      </c>
      <c r="N75" s="62" t="s">
        <v>78</v>
      </c>
      <c r="O75" s="62" t="s">
        <v>52</v>
      </c>
      <c r="P75" s="64">
        <v>1254.01</v>
      </c>
      <c r="Q75" s="63">
        <v>7931</v>
      </c>
      <c r="R75" s="63">
        <v>9945553</v>
      </c>
      <c r="S75" s="62" t="s">
        <v>78</v>
      </c>
      <c r="T75" s="62" t="s">
        <v>72</v>
      </c>
      <c r="U75" s="64">
        <v>7931</v>
      </c>
      <c r="V75" s="62" t="s">
        <v>77</v>
      </c>
      <c r="W75" s="62" t="s">
        <v>81</v>
      </c>
      <c r="X75" s="62" t="s">
        <v>119</v>
      </c>
      <c r="Y75" s="62" t="s">
        <v>120</v>
      </c>
      <c r="Z75" s="63">
        <v>0</v>
      </c>
      <c r="AA75" s="63">
        <v>0</v>
      </c>
      <c r="AB75" s="62" t="s">
        <v>593</v>
      </c>
      <c r="AC75" s="31" t="s">
        <v>478</v>
      </c>
    </row>
    <row r="76" spans="1:29">
      <c r="A76" s="62" t="s">
        <v>594</v>
      </c>
      <c r="B76" s="62" t="s">
        <v>110</v>
      </c>
      <c r="C76" s="62" t="s">
        <v>595</v>
      </c>
      <c r="D76" s="62" t="s">
        <v>348</v>
      </c>
      <c r="E76" s="62" t="s">
        <v>589</v>
      </c>
      <c r="F76" s="63">
        <v>21</v>
      </c>
      <c r="G76" s="62" t="s">
        <v>99</v>
      </c>
      <c r="H76" s="63" t="s">
        <v>78</v>
      </c>
      <c r="I76" s="62" t="s">
        <v>78</v>
      </c>
      <c r="J76" s="64">
        <v>4763.6400000000003</v>
      </c>
      <c r="K76" s="64" t="s">
        <v>78</v>
      </c>
      <c r="L76" s="62" t="s">
        <v>99</v>
      </c>
      <c r="M76" s="62" t="s">
        <v>102</v>
      </c>
      <c r="N76" s="62" t="s">
        <v>78</v>
      </c>
      <c r="O76" s="62" t="s">
        <v>52</v>
      </c>
      <c r="P76" s="64">
        <v>1254.01</v>
      </c>
      <c r="Q76" s="63">
        <v>44187</v>
      </c>
      <c r="R76" s="63">
        <v>55410463</v>
      </c>
      <c r="S76" s="62" t="s">
        <v>78</v>
      </c>
      <c r="T76" s="62" t="s">
        <v>72</v>
      </c>
      <c r="U76" s="64">
        <v>44186.62</v>
      </c>
      <c r="V76" s="62" t="s">
        <v>77</v>
      </c>
      <c r="W76" s="62" t="s">
        <v>74</v>
      </c>
      <c r="X76" s="62" t="s">
        <v>259</v>
      </c>
      <c r="Y76" s="62" t="s">
        <v>260</v>
      </c>
      <c r="Z76" s="63">
        <v>0</v>
      </c>
      <c r="AA76" s="63">
        <v>0</v>
      </c>
      <c r="AB76" s="62" t="s">
        <v>78</v>
      </c>
      <c r="AC76" s="31" t="s">
        <v>478</v>
      </c>
    </row>
    <row r="77" spans="1:29">
      <c r="A77" s="62" t="s">
        <v>596</v>
      </c>
      <c r="B77" s="62" t="s">
        <v>110</v>
      </c>
      <c r="C77" s="62" t="s">
        <v>597</v>
      </c>
      <c r="D77" s="62" t="s">
        <v>348</v>
      </c>
      <c r="E77" s="62" t="s">
        <v>589</v>
      </c>
      <c r="F77" s="63">
        <v>31</v>
      </c>
      <c r="G77" s="62" t="s">
        <v>98</v>
      </c>
      <c r="H77" s="63" t="s">
        <v>78</v>
      </c>
      <c r="I77" s="62" t="s">
        <v>78</v>
      </c>
      <c r="J77" s="64">
        <v>7978.04</v>
      </c>
      <c r="K77" s="64" t="s">
        <v>78</v>
      </c>
      <c r="L77" s="62" t="s">
        <v>98</v>
      </c>
      <c r="M77" s="62" t="s">
        <v>102</v>
      </c>
      <c r="N77" s="62" t="s">
        <v>78</v>
      </c>
      <c r="O77" s="62" t="s">
        <v>52</v>
      </c>
      <c r="P77" s="64">
        <v>1254.01</v>
      </c>
      <c r="Q77" s="63">
        <v>96826</v>
      </c>
      <c r="R77" s="63">
        <v>121420458</v>
      </c>
      <c r="S77" s="62" t="s">
        <v>78</v>
      </c>
      <c r="T77" s="62" t="s">
        <v>72</v>
      </c>
      <c r="U77" s="64">
        <v>96825.75</v>
      </c>
      <c r="V77" s="62" t="s">
        <v>73</v>
      </c>
      <c r="W77" s="62" t="s">
        <v>74</v>
      </c>
      <c r="X77" s="62" t="s">
        <v>75</v>
      </c>
      <c r="Y77" s="62" t="s">
        <v>76</v>
      </c>
      <c r="Z77" s="63">
        <v>0</v>
      </c>
      <c r="AA77" s="63">
        <v>0</v>
      </c>
      <c r="AB77" s="62" t="s">
        <v>598</v>
      </c>
      <c r="AC77" s="31" t="s">
        <v>478</v>
      </c>
    </row>
    <row r="78" spans="1:29">
      <c r="A78" s="62" t="s">
        <v>599</v>
      </c>
      <c r="B78" s="62" t="s">
        <v>110</v>
      </c>
      <c r="C78" s="62" t="s">
        <v>600</v>
      </c>
      <c r="D78" s="62" t="s">
        <v>348</v>
      </c>
      <c r="E78" s="62" t="s">
        <v>589</v>
      </c>
      <c r="F78" s="63">
        <v>49</v>
      </c>
      <c r="G78" s="62" t="s">
        <v>98</v>
      </c>
      <c r="H78" s="63" t="s">
        <v>78</v>
      </c>
      <c r="I78" s="62" t="s">
        <v>78</v>
      </c>
      <c r="J78" s="64">
        <v>13127.68</v>
      </c>
      <c r="K78" s="64" t="s">
        <v>78</v>
      </c>
      <c r="L78" s="62" t="s">
        <v>98</v>
      </c>
      <c r="M78" s="62" t="s">
        <v>102</v>
      </c>
      <c r="N78" s="62" t="s">
        <v>78</v>
      </c>
      <c r="O78" s="62" t="s">
        <v>52</v>
      </c>
      <c r="P78" s="64">
        <v>1254.01</v>
      </c>
      <c r="Q78" s="63">
        <v>104217</v>
      </c>
      <c r="R78" s="63">
        <v>130689611</v>
      </c>
      <c r="S78" s="62" t="s">
        <v>78</v>
      </c>
      <c r="T78" s="62" t="s">
        <v>72</v>
      </c>
      <c r="U78" s="64">
        <v>104217.36</v>
      </c>
      <c r="V78" s="62" t="s">
        <v>73</v>
      </c>
      <c r="W78" s="62" t="s">
        <v>74</v>
      </c>
      <c r="X78" s="62" t="s">
        <v>75</v>
      </c>
      <c r="Y78" s="62" t="s">
        <v>76</v>
      </c>
      <c r="Z78" s="63">
        <v>0</v>
      </c>
      <c r="AA78" s="63">
        <v>0</v>
      </c>
      <c r="AB78" s="62" t="s">
        <v>601</v>
      </c>
      <c r="AC78" s="31" t="s">
        <v>478</v>
      </c>
    </row>
    <row r="79" spans="1:29">
      <c r="A79" s="62" t="s">
        <v>602</v>
      </c>
      <c r="B79" s="62" t="s">
        <v>110</v>
      </c>
      <c r="C79" s="62" t="s">
        <v>603</v>
      </c>
      <c r="D79" s="62" t="s">
        <v>348</v>
      </c>
      <c r="E79" s="62" t="s">
        <v>589</v>
      </c>
      <c r="F79" s="63">
        <v>2</v>
      </c>
      <c r="G79" s="62" t="s">
        <v>98</v>
      </c>
      <c r="H79" s="63" t="s">
        <v>78</v>
      </c>
      <c r="I79" s="62" t="s">
        <v>78</v>
      </c>
      <c r="J79" s="64">
        <v>202.6</v>
      </c>
      <c r="K79" s="64" t="s">
        <v>78</v>
      </c>
      <c r="L79" s="62" t="s">
        <v>98</v>
      </c>
      <c r="M79" s="62" t="s">
        <v>102</v>
      </c>
      <c r="N79" s="62" t="s">
        <v>78</v>
      </c>
      <c r="O79" s="62" t="s">
        <v>256</v>
      </c>
      <c r="P79" s="64">
        <v>1254.01</v>
      </c>
      <c r="Q79" s="63">
        <v>1847</v>
      </c>
      <c r="R79" s="63">
        <v>2316410</v>
      </c>
      <c r="S79" s="62" t="s">
        <v>78</v>
      </c>
      <c r="T79" s="62" t="s">
        <v>72</v>
      </c>
      <c r="U79" s="64">
        <v>2316410</v>
      </c>
      <c r="V79" s="62" t="s">
        <v>79</v>
      </c>
      <c r="W79" s="62" t="s">
        <v>74</v>
      </c>
      <c r="X79" s="62" t="s">
        <v>257</v>
      </c>
      <c r="Y79" s="62" t="s">
        <v>258</v>
      </c>
      <c r="Z79" s="63">
        <v>0</v>
      </c>
      <c r="AA79" s="63">
        <v>0</v>
      </c>
      <c r="AB79" s="62" t="s">
        <v>604</v>
      </c>
      <c r="AC79" s="31" t="s">
        <v>478</v>
      </c>
    </row>
    <row r="80" spans="1:29">
      <c r="A80" s="62" t="s">
        <v>605</v>
      </c>
      <c r="B80" s="62" t="s">
        <v>110</v>
      </c>
      <c r="C80" s="62" t="s">
        <v>606</v>
      </c>
      <c r="D80" s="62" t="s">
        <v>348</v>
      </c>
      <c r="E80" s="62" t="s">
        <v>589</v>
      </c>
      <c r="F80" s="63">
        <v>4</v>
      </c>
      <c r="G80" s="62" t="s">
        <v>98</v>
      </c>
      <c r="H80" s="63" t="s">
        <v>78</v>
      </c>
      <c r="I80" s="62" t="s">
        <v>78</v>
      </c>
      <c r="J80" s="64">
        <v>45.04</v>
      </c>
      <c r="K80" s="64" t="s">
        <v>78</v>
      </c>
      <c r="L80" s="62" t="s">
        <v>98</v>
      </c>
      <c r="M80" s="62" t="s">
        <v>102</v>
      </c>
      <c r="N80" s="62" t="s">
        <v>78</v>
      </c>
      <c r="O80" s="62" t="s">
        <v>52</v>
      </c>
      <c r="P80" s="64">
        <v>1254.01</v>
      </c>
      <c r="Q80" s="63">
        <v>985</v>
      </c>
      <c r="R80" s="63">
        <v>1235149</v>
      </c>
      <c r="S80" s="62" t="s">
        <v>78</v>
      </c>
      <c r="T80" s="62" t="s">
        <v>72</v>
      </c>
      <c r="U80" s="64">
        <v>984.96</v>
      </c>
      <c r="V80" s="62" t="s">
        <v>79</v>
      </c>
      <c r="W80" s="62" t="s">
        <v>81</v>
      </c>
      <c r="X80" s="62" t="s">
        <v>80</v>
      </c>
      <c r="Y80" s="62" t="s">
        <v>158</v>
      </c>
      <c r="Z80" s="63">
        <v>0</v>
      </c>
      <c r="AA80" s="63">
        <v>0</v>
      </c>
      <c r="AB80" s="62" t="s">
        <v>607</v>
      </c>
      <c r="AC80" s="31" t="s">
        <v>478</v>
      </c>
    </row>
    <row r="81" spans="1:29">
      <c r="A81" s="62" t="s">
        <v>322</v>
      </c>
      <c r="B81" s="62" t="s">
        <v>110</v>
      </c>
      <c r="C81" s="62" t="s">
        <v>323</v>
      </c>
      <c r="D81" s="62" t="s">
        <v>269</v>
      </c>
      <c r="E81" s="62" t="s">
        <v>302</v>
      </c>
      <c r="F81" s="63">
        <v>1</v>
      </c>
      <c r="G81" s="62" t="s">
        <v>98</v>
      </c>
      <c r="H81" s="63">
        <v>1</v>
      </c>
      <c r="I81" s="62" t="s">
        <v>98</v>
      </c>
      <c r="J81" s="64">
        <v>248.25</v>
      </c>
      <c r="K81" s="64">
        <v>265</v>
      </c>
      <c r="L81" s="62" t="s">
        <v>98</v>
      </c>
      <c r="M81" s="62" t="s">
        <v>100</v>
      </c>
      <c r="N81" s="62" t="s">
        <v>304</v>
      </c>
      <c r="O81" s="62" t="s">
        <v>52</v>
      </c>
      <c r="P81" s="64">
        <v>1241.81</v>
      </c>
      <c r="Q81" s="63">
        <v>5575</v>
      </c>
      <c r="R81" s="63">
        <v>6923525</v>
      </c>
      <c r="S81" s="62" t="s">
        <v>357</v>
      </c>
      <c r="T81" s="62" t="s">
        <v>72</v>
      </c>
      <c r="U81" s="64">
        <v>5575.35</v>
      </c>
      <c r="V81" s="62" t="s">
        <v>172</v>
      </c>
      <c r="W81" s="62" t="s">
        <v>81</v>
      </c>
      <c r="X81" s="62" t="s">
        <v>160</v>
      </c>
      <c r="Y81" s="62" t="s">
        <v>231</v>
      </c>
      <c r="Z81" s="63">
        <v>0</v>
      </c>
      <c r="AA81" s="63">
        <v>0</v>
      </c>
      <c r="AB81" s="62" t="s">
        <v>78</v>
      </c>
      <c r="AC81" s="31" t="s">
        <v>626</v>
      </c>
    </row>
    <row r="82" spans="1:29">
      <c r="A82" s="62" t="s">
        <v>358</v>
      </c>
      <c r="B82" s="62" t="s">
        <v>110</v>
      </c>
      <c r="C82" s="62" t="s">
        <v>359</v>
      </c>
      <c r="D82" s="62" t="s">
        <v>273</v>
      </c>
      <c r="E82" s="62" t="s">
        <v>348</v>
      </c>
      <c r="F82" s="63">
        <v>1</v>
      </c>
      <c r="G82" s="62" t="s">
        <v>98</v>
      </c>
      <c r="H82" s="63">
        <v>1</v>
      </c>
      <c r="I82" s="62" t="s">
        <v>98</v>
      </c>
      <c r="J82" s="64">
        <v>230.02</v>
      </c>
      <c r="K82" s="64">
        <v>230</v>
      </c>
      <c r="L82" s="62" t="s">
        <v>98</v>
      </c>
      <c r="M82" s="62" t="s">
        <v>100</v>
      </c>
      <c r="N82" s="62" t="s">
        <v>273</v>
      </c>
      <c r="O82" s="62" t="s">
        <v>52</v>
      </c>
      <c r="P82" s="64">
        <v>1241.81</v>
      </c>
      <c r="Q82" s="63">
        <v>4975</v>
      </c>
      <c r="R82" s="63">
        <v>6178054</v>
      </c>
      <c r="S82" s="62" t="s">
        <v>360</v>
      </c>
      <c r="T82" s="62" t="s">
        <v>72</v>
      </c>
      <c r="U82" s="64">
        <v>4975.04</v>
      </c>
      <c r="V82" s="62" t="s">
        <v>172</v>
      </c>
      <c r="W82" s="62" t="s">
        <v>81</v>
      </c>
      <c r="X82" s="62" t="s">
        <v>160</v>
      </c>
      <c r="Y82" s="62" t="s">
        <v>231</v>
      </c>
      <c r="Z82" s="63">
        <v>0</v>
      </c>
      <c r="AA82" s="63">
        <v>0</v>
      </c>
      <c r="AB82" s="62" t="s">
        <v>78</v>
      </c>
      <c r="AC82" s="31" t="s">
        <v>626</v>
      </c>
    </row>
    <row r="83" spans="1:29">
      <c r="A83" s="62" t="s">
        <v>361</v>
      </c>
      <c r="B83" s="62" t="s">
        <v>110</v>
      </c>
      <c r="C83" s="62" t="s">
        <v>362</v>
      </c>
      <c r="D83" s="62" t="s">
        <v>273</v>
      </c>
      <c r="E83" s="62" t="s">
        <v>348</v>
      </c>
      <c r="F83" s="63">
        <v>4</v>
      </c>
      <c r="G83" s="62" t="s">
        <v>98</v>
      </c>
      <c r="H83" s="63">
        <v>4</v>
      </c>
      <c r="I83" s="62" t="s">
        <v>98</v>
      </c>
      <c r="J83" s="64">
        <v>1417</v>
      </c>
      <c r="K83" s="64">
        <v>1417</v>
      </c>
      <c r="L83" s="62" t="s">
        <v>98</v>
      </c>
      <c r="M83" s="62" t="s">
        <v>100</v>
      </c>
      <c r="N83" s="62" t="s">
        <v>349</v>
      </c>
      <c r="O83" s="62" t="s">
        <v>52</v>
      </c>
      <c r="P83" s="64">
        <v>1241.81</v>
      </c>
      <c r="Q83" s="63">
        <v>29394</v>
      </c>
      <c r="R83" s="63">
        <v>36501750</v>
      </c>
      <c r="S83" s="62" t="s">
        <v>363</v>
      </c>
      <c r="T83" s="62" t="s">
        <v>72</v>
      </c>
      <c r="U83" s="64">
        <v>29393.99</v>
      </c>
      <c r="V83" s="62" t="s">
        <v>172</v>
      </c>
      <c r="W83" s="62" t="s">
        <v>81</v>
      </c>
      <c r="X83" s="62" t="s">
        <v>160</v>
      </c>
      <c r="Y83" s="62" t="s">
        <v>231</v>
      </c>
      <c r="Z83" s="63">
        <v>0</v>
      </c>
      <c r="AA83" s="63">
        <v>0</v>
      </c>
      <c r="AB83" s="62" t="s">
        <v>78</v>
      </c>
      <c r="AC83" s="31" t="s">
        <v>626</v>
      </c>
    </row>
    <row r="84" spans="1:29">
      <c r="A84" s="62" t="s">
        <v>364</v>
      </c>
      <c r="B84" s="62" t="s">
        <v>110</v>
      </c>
      <c r="C84" s="62" t="s">
        <v>365</v>
      </c>
      <c r="D84" s="62" t="s">
        <v>273</v>
      </c>
      <c r="E84" s="62" t="s">
        <v>348</v>
      </c>
      <c r="F84" s="63">
        <v>2</v>
      </c>
      <c r="G84" s="62" t="s">
        <v>98</v>
      </c>
      <c r="H84" s="63">
        <v>2</v>
      </c>
      <c r="I84" s="62" t="s">
        <v>98</v>
      </c>
      <c r="J84" s="64">
        <v>1075</v>
      </c>
      <c r="K84" s="64">
        <v>1075</v>
      </c>
      <c r="L84" s="62" t="s">
        <v>98</v>
      </c>
      <c r="M84" s="62" t="s">
        <v>100</v>
      </c>
      <c r="N84" s="62" t="s">
        <v>349</v>
      </c>
      <c r="O84" s="62" t="s">
        <v>52</v>
      </c>
      <c r="P84" s="64">
        <v>1241.81</v>
      </c>
      <c r="Q84" s="63">
        <v>28618</v>
      </c>
      <c r="R84" s="63">
        <v>35538416</v>
      </c>
      <c r="S84" s="62" t="s">
        <v>366</v>
      </c>
      <c r="T84" s="62" t="s">
        <v>72</v>
      </c>
      <c r="U84" s="64">
        <v>28618.240000000002</v>
      </c>
      <c r="V84" s="62" t="s">
        <v>172</v>
      </c>
      <c r="W84" s="62" t="s">
        <v>81</v>
      </c>
      <c r="X84" s="62" t="s">
        <v>160</v>
      </c>
      <c r="Y84" s="62" t="s">
        <v>231</v>
      </c>
      <c r="Z84" s="63">
        <v>0</v>
      </c>
      <c r="AA84" s="63">
        <v>0</v>
      </c>
      <c r="AB84" s="62" t="s">
        <v>78</v>
      </c>
      <c r="AC84" s="31" t="s">
        <v>626</v>
      </c>
    </row>
    <row r="85" spans="1:29">
      <c r="A85" s="62" t="s">
        <v>367</v>
      </c>
      <c r="B85" s="62" t="s">
        <v>110</v>
      </c>
      <c r="C85" s="62" t="s">
        <v>368</v>
      </c>
      <c r="D85" s="62" t="s">
        <v>272</v>
      </c>
      <c r="E85" s="62" t="s">
        <v>350</v>
      </c>
      <c r="F85" s="63">
        <v>2</v>
      </c>
      <c r="G85" s="62" t="s">
        <v>98</v>
      </c>
      <c r="H85" s="63">
        <v>2</v>
      </c>
      <c r="I85" s="62" t="s">
        <v>98</v>
      </c>
      <c r="J85" s="64">
        <v>516</v>
      </c>
      <c r="K85" s="64">
        <v>512</v>
      </c>
      <c r="L85" s="62" t="s">
        <v>98</v>
      </c>
      <c r="M85" s="62" t="s">
        <v>100</v>
      </c>
      <c r="N85" s="62" t="s">
        <v>399</v>
      </c>
      <c r="O85" s="62" t="s">
        <v>52</v>
      </c>
      <c r="P85" s="64">
        <v>1241.81</v>
      </c>
      <c r="Q85" s="63">
        <v>13485</v>
      </c>
      <c r="R85" s="63">
        <v>16746192</v>
      </c>
      <c r="S85" s="62" t="s">
        <v>608</v>
      </c>
      <c r="T85" s="62" t="s">
        <v>72</v>
      </c>
      <c r="U85" s="64">
        <v>13485.31</v>
      </c>
      <c r="V85" s="62" t="s">
        <v>172</v>
      </c>
      <c r="W85" s="62" t="s">
        <v>81</v>
      </c>
      <c r="X85" s="62" t="s">
        <v>160</v>
      </c>
      <c r="Y85" s="62" t="s">
        <v>231</v>
      </c>
      <c r="Z85" s="63">
        <v>0</v>
      </c>
      <c r="AA85" s="63">
        <v>0</v>
      </c>
      <c r="AB85" s="62" t="s">
        <v>78</v>
      </c>
      <c r="AC85" s="31" t="s">
        <v>626</v>
      </c>
    </row>
    <row r="86" spans="1:29">
      <c r="A86" s="62" t="s">
        <v>609</v>
      </c>
      <c r="B86" s="62" t="s">
        <v>110</v>
      </c>
      <c r="C86" s="62" t="s">
        <v>610</v>
      </c>
      <c r="D86" s="62" t="s">
        <v>275</v>
      </c>
      <c r="E86" s="62" t="s">
        <v>422</v>
      </c>
      <c r="F86" s="63">
        <v>34</v>
      </c>
      <c r="G86" s="62" t="s">
        <v>98</v>
      </c>
      <c r="H86" s="63">
        <v>34</v>
      </c>
      <c r="I86" s="62" t="s">
        <v>99</v>
      </c>
      <c r="J86" s="64">
        <v>15716</v>
      </c>
      <c r="K86" s="64">
        <v>15716</v>
      </c>
      <c r="L86" s="62" t="s">
        <v>98</v>
      </c>
      <c r="M86" s="62" t="s">
        <v>100</v>
      </c>
      <c r="N86" s="62" t="s">
        <v>279</v>
      </c>
      <c r="O86" s="62" t="s">
        <v>52</v>
      </c>
      <c r="P86" s="64">
        <v>1252.45</v>
      </c>
      <c r="Q86" s="63">
        <v>304854</v>
      </c>
      <c r="R86" s="63">
        <v>381814943</v>
      </c>
      <c r="S86" s="62" t="s">
        <v>611</v>
      </c>
      <c r="T86" s="62" t="s">
        <v>72</v>
      </c>
      <c r="U86" s="64">
        <v>304854.44</v>
      </c>
      <c r="V86" s="62" t="s">
        <v>172</v>
      </c>
      <c r="W86" s="62" t="s">
        <v>74</v>
      </c>
      <c r="X86" s="62" t="s">
        <v>160</v>
      </c>
      <c r="Y86" s="62" t="s">
        <v>231</v>
      </c>
      <c r="Z86" s="63">
        <v>0</v>
      </c>
      <c r="AA86" s="63">
        <v>0</v>
      </c>
      <c r="AB86" s="62" t="s">
        <v>78</v>
      </c>
      <c r="AC86" s="31" t="s">
        <v>626</v>
      </c>
    </row>
    <row r="87" spans="1:29">
      <c r="A87" s="62" t="s">
        <v>612</v>
      </c>
      <c r="B87" s="62" t="s">
        <v>110</v>
      </c>
      <c r="C87" s="62" t="s">
        <v>613</v>
      </c>
      <c r="D87" s="62" t="s">
        <v>614</v>
      </c>
      <c r="E87" s="62" t="s">
        <v>615</v>
      </c>
      <c r="F87" s="63">
        <v>2</v>
      </c>
      <c r="G87" s="62" t="s">
        <v>98</v>
      </c>
      <c r="H87" s="63">
        <v>2</v>
      </c>
      <c r="I87" s="62" t="s">
        <v>98</v>
      </c>
      <c r="J87" s="64">
        <v>644</v>
      </c>
      <c r="K87" s="64">
        <v>644</v>
      </c>
      <c r="L87" s="62" t="s">
        <v>98</v>
      </c>
      <c r="M87" s="62" t="s">
        <v>100</v>
      </c>
      <c r="N87" s="62" t="s">
        <v>274</v>
      </c>
      <c r="O87" s="62" t="s">
        <v>52</v>
      </c>
      <c r="P87" s="64">
        <v>1252.45</v>
      </c>
      <c r="Q87" s="63">
        <v>13755</v>
      </c>
      <c r="R87" s="63">
        <v>17227499</v>
      </c>
      <c r="S87" s="62" t="s">
        <v>616</v>
      </c>
      <c r="T87" s="62" t="s">
        <v>72</v>
      </c>
      <c r="U87" s="64">
        <v>13755.04</v>
      </c>
      <c r="V87" s="62" t="s">
        <v>172</v>
      </c>
      <c r="W87" s="62" t="s">
        <v>81</v>
      </c>
      <c r="X87" s="62" t="s">
        <v>160</v>
      </c>
      <c r="Y87" s="62" t="s">
        <v>231</v>
      </c>
      <c r="Z87" s="63">
        <v>0</v>
      </c>
      <c r="AA87" s="63">
        <v>0</v>
      </c>
      <c r="AB87" s="62" t="s">
        <v>78</v>
      </c>
      <c r="AC87" s="31" t="s">
        <v>626</v>
      </c>
    </row>
    <row r="88" spans="1:29">
      <c r="A88" s="62" t="s">
        <v>617</v>
      </c>
      <c r="B88" s="62" t="s">
        <v>110</v>
      </c>
      <c r="C88" s="62" t="s">
        <v>618</v>
      </c>
      <c r="D88" s="62" t="s">
        <v>274</v>
      </c>
      <c r="E88" s="62" t="s">
        <v>431</v>
      </c>
      <c r="F88" s="63">
        <v>4</v>
      </c>
      <c r="G88" s="62" t="s">
        <v>98</v>
      </c>
      <c r="H88" s="63">
        <v>4</v>
      </c>
      <c r="I88" s="62" t="s">
        <v>98</v>
      </c>
      <c r="J88" s="64">
        <v>1288</v>
      </c>
      <c r="K88" s="64">
        <v>1288</v>
      </c>
      <c r="L88" s="62" t="s">
        <v>98</v>
      </c>
      <c r="M88" s="62" t="s">
        <v>100</v>
      </c>
      <c r="N88" s="62" t="s">
        <v>277</v>
      </c>
      <c r="O88" s="62" t="s">
        <v>52</v>
      </c>
      <c r="P88" s="64">
        <v>1252.45</v>
      </c>
      <c r="Q88" s="63">
        <v>27510</v>
      </c>
      <c r="R88" s="63">
        <v>34454999</v>
      </c>
      <c r="S88" s="62" t="s">
        <v>619</v>
      </c>
      <c r="T88" s="62" t="s">
        <v>72</v>
      </c>
      <c r="U88" s="64">
        <v>27510.080000000002</v>
      </c>
      <c r="V88" s="62" t="s">
        <v>172</v>
      </c>
      <c r="W88" s="62" t="s">
        <v>81</v>
      </c>
      <c r="X88" s="62" t="s">
        <v>160</v>
      </c>
      <c r="Y88" s="62" t="s">
        <v>231</v>
      </c>
      <c r="Z88" s="63">
        <v>0</v>
      </c>
      <c r="AA88" s="63">
        <v>0</v>
      </c>
      <c r="AB88" s="62" t="s">
        <v>78</v>
      </c>
      <c r="AC88" s="31" t="s">
        <v>626</v>
      </c>
    </row>
    <row r="89" spans="1:29">
      <c r="A89" s="62" t="s">
        <v>620</v>
      </c>
      <c r="B89" s="62" t="s">
        <v>110</v>
      </c>
      <c r="C89" s="62" t="s">
        <v>621</v>
      </c>
      <c r="D89" s="62" t="s">
        <v>277</v>
      </c>
      <c r="E89" s="62" t="s">
        <v>372</v>
      </c>
      <c r="F89" s="63">
        <v>1</v>
      </c>
      <c r="G89" s="62" t="s">
        <v>98</v>
      </c>
      <c r="H89" s="63">
        <v>1</v>
      </c>
      <c r="I89" s="62" t="s">
        <v>98</v>
      </c>
      <c r="J89" s="64">
        <v>479</v>
      </c>
      <c r="K89" s="64">
        <v>479</v>
      </c>
      <c r="L89" s="62" t="s">
        <v>98</v>
      </c>
      <c r="M89" s="62" t="s">
        <v>100</v>
      </c>
      <c r="N89" s="62" t="s">
        <v>435</v>
      </c>
      <c r="O89" s="62" t="s">
        <v>52</v>
      </c>
      <c r="P89" s="64">
        <v>1252.45</v>
      </c>
      <c r="Q89" s="63">
        <v>11151</v>
      </c>
      <c r="R89" s="63">
        <v>13965694</v>
      </c>
      <c r="S89" s="62" t="s">
        <v>622</v>
      </c>
      <c r="T89" s="62" t="s">
        <v>72</v>
      </c>
      <c r="U89" s="64">
        <v>11150.7</v>
      </c>
      <c r="V89" s="62" t="s">
        <v>172</v>
      </c>
      <c r="W89" s="62" t="s">
        <v>81</v>
      </c>
      <c r="X89" s="62" t="s">
        <v>160</v>
      </c>
      <c r="Y89" s="62" t="s">
        <v>231</v>
      </c>
      <c r="Z89" s="63">
        <v>0</v>
      </c>
      <c r="AA89" s="63">
        <v>0</v>
      </c>
      <c r="AB89" s="62" t="s">
        <v>78</v>
      </c>
      <c r="AC89" s="31" t="s">
        <v>626</v>
      </c>
    </row>
    <row r="90" spans="1:29">
      <c r="A90" s="62" t="s">
        <v>623</v>
      </c>
      <c r="B90" s="62" t="s">
        <v>110</v>
      </c>
      <c r="C90" s="62" t="s">
        <v>624</v>
      </c>
      <c r="D90" s="62" t="s">
        <v>279</v>
      </c>
      <c r="E90" s="62" t="s">
        <v>372</v>
      </c>
      <c r="F90" s="63">
        <v>1</v>
      </c>
      <c r="G90" s="62" t="s">
        <v>98</v>
      </c>
      <c r="H90" s="63">
        <v>1</v>
      </c>
      <c r="I90" s="62" t="s">
        <v>98</v>
      </c>
      <c r="J90" s="64">
        <v>287</v>
      </c>
      <c r="K90" s="64">
        <v>244</v>
      </c>
      <c r="L90" s="62" t="s">
        <v>98</v>
      </c>
      <c r="M90" s="62" t="s">
        <v>100</v>
      </c>
      <c r="N90" s="62" t="s">
        <v>373</v>
      </c>
      <c r="O90" s="62" t="s">
        <v>52</v>
      </c>
      <c r="P90" s="64">
        <v>1252.45</v>
      </c>
      <c r="Q90" s="63">
        <v>6219</v>
      </c>
      <c r="R90" s="63">
        <v>7788736</v>
      </c>
      <c r="S90" s="62" t="s">
        <v>625</v>
      </c>
      <c r="T90" s="62" t="s">
        <v>72</v>
      </c>
      <c r="U90" s="64">
        <v>6218.8</v>
      </c>
      <c r="V90" s="62" t="s">
        <v>172</v>
      </c>
      <c r="W90" s="62" t="s">
        <v>81</v>
      </c>
      <c r="X90" s="62" t="s">
        <v>160</v>
      </c>
      <c r="Y90" s="62" t="s">
        <v>231</v>
      </c>
      <c r="Z90" s="63">
        <v>0</v>
      </c>
      <c r="AA90" s="63">
        <v>0</v>
      </c>
      <c r="AB90" s="62" t="s">
        <v>78</v>
      </c>
      <c r="AC90" s="31" t="s">
        <v>626</v>
      </c>
    </row>
    <row r="91" spans="1:29">
      <c r="A91" s="62" t="s">
        <v>627</v>
      </c>
      <c r="B91" s="62" t="s">
        <v>110</v>
      </c>
      <c r="C91" s="62" t="s">
        <v>628</v>
      </c>
      <c r="D91" s="62" t="s">
        <v>280</v>
      </c>
      <c r="E91" s="62" t="s">
        <v>481</v>
      </c>
      <c r="F91" s="63">
        <v>4</v>
      </c>
      <c r="G91" s="62" t="s">
        <v>98</v>
      </c>
      <c r="H91" s="63">
        <v>4</v>
      </c>
      <c r="I91" s="62" t="s">
        <v>98</v>
      </c>
      <c r="J91" s="64">
        <v>2088</v>
      </c>
      <c r="K91" s="64">
        <v>2088</v>
      </c>
      <c r="L91" s="62" t="s">
        <v>98</v>
      </c>
      <c r="M91" s="62" t="s">
        <v>100</v>
      </c>
      <c r="N91" s="62" t="s">
        <v>394</v>
      </c>
      <c r="O91" s="62" t="s">
        <v>52</v>
      </c>
      <c r="P91" s="64">
        <v>1264.9100000000001</v>
      </c>
      <c r="Q91" s="63">
        <v>30184</v>
      </c>
      <c r="R91" s="63">
        <v>38180448</v>
      </c>
      <c r="S91" s="62" t="s">
        <v>629</v>
      </c>
      <c r="T91" s="62" t="s">
        <v>72</v>
      </c>
      <c r="U91" s="64">
        <v>30184.32</v>
      </c>
      <c r="V91" s="62" t="s">
        <v>172</v>
      </c>
      <c r="W91" s="62" t="s">
        <v>81</v>
      </c>
      <c r="X91" s="62" t="s">
        <v>160</v>
      </c>
      <c r="Y91" s="62" t="s">
        <v>231</v>
      </c>
      <c r="Z91" s="63">
        <v>0</v>
      </c>
      <c r="AA91" s="63">
        <v>0</v>
      </c>
      <c r="AB91" s="62" t="s">
        <v>78</v>
      </c>
      <c r="AC91" s="31" t="s">
        <v>626</v>
      </c>
    </row>
    <row r="92" spans="1:29">
      <c r="A92" s="62" t="s">
        <v>630</v>
      </c>
      <c r="B92" s="62" t="s">
        <v>110</v>
      </c>
      <c r="C92" s="62" t="s">
        <v>631</v>
      </c>
      <c r="D92" s="62" t="s">
        <v>394</v>
      </c>
      <c r="E92" s="62" t="s">
        <v>486</v>
      </c>
      <c r="F92" s="63">
        <v>2</v>
      </c>
      <c r="G92" s="62" t="s">
        <v>98</v>
      </c>
      <c r="H92" s="63">
        <v>2</v>
      </c>
      <c r="I92" s="62" t="s">
        <v>98</v>
      </c>
      <c r="J92" s="64">
        <v>1008</v>
      </c>
      <c r="K92" s="64">
        <v>1008</v>
      </c>
      <c r="L92" s="62" t="s">
        <v>98</v>
      </c>
      <c r="M92" s="62" t="s">
        <v>100</v>
      </c>
      <c r="N92" s="62" t="s">
        <v>283</v>
      </c>
      <c r="O92" s="62" t="s">
        <v>52</v>
      </c>
      <c r="P92" s="64">
        <v>1264.9100000000001</v>
      </c>
      <c r="Q92" s="63">
        <v>19788</v>
      </c>
      <c r="R92" s="63">
        <v>25030140</v>
      </c>
      <c r="S92" s="62" t="s">
        <v>632</v>
      </c>
      <c r="T92" s="62" t="s">
        <v>72</v>
      </c>
      <c r="U92" s="64">
        <v>19788.080000000002</v>
      </c>
      <c r="V92" s="62" t="s">
        <v>172</v>
      </c>
      <c r="W92" s="62" t="s">
        <v>81</v>
      </c>
      <c r="X92" s="62" t="s">
        <v>160</v>
      </c>
      <c r="Y92" s="62" t="s">
        <v>231</v>
      </c>
      <c r="Z92" s="63">
        <v>0</v>
      </c>
      <c r="AA92" s="63">
        <v>0</v>
      </c>
      <c r="AB92" s="62" t="s">
        <v>78</v>
      </c>
      <c r="AC92" s="31" t="s">
        <v>626</v>
      </c>
    </row>
    <row r="93" spans="1:29">
      <c r="A93" s="62" t="s">
        <v>633</v>
      </c>
      <c r="B93" s="62" t="s">
        <v>110</v>
      </c>
      <c r="C93" s="62" t="s">
        <v>634</v>
      </c>
      <c r="D93" s="62" t="s">
        <v>394</v>
      </c>
      <c r="E93" s="62" t="s">
        <v>486</v>
      </c>
      <c r="F93" s="63">
        <v>36</v>
      </c>
      <c r="G93" s="62" t="s">
        <v>98</v>
      </c>
      <c r="H93" s="63">
        <v>36</v>
      </c>
      <c r="I93" s="62" t="s">
        <v>99</v>
      </c>
      <c r="J93" s="64">
        <v>15716</v>
      </c>
      <c r="K93" s="64">
        <v>15716</v>
      </c>
      <c r="L93" s="62" t="s">
        <v>98</v>
      </c>
      <c r="M93" s="62" t="s">
        <v>100</v>
      </c>
      <c r="N93" s="62" t="s">
        <v>276</v>
      </c>
      <c r="O93" s="62" t="s">
        <v>52</v>
      </c>
      <c r="P93" s="64">
        <v>1264.9100000000001</v>
      </c>
      <c r="Q93" s="63">
        <v>319745</v>
      </c>
      <c r="R93" s="63">
        <v>404448255</v>
      </c>
      <c r="S93" s="62" t="s">
        <v>635</v>
      </c>
      <c r="T93" s="62" t="s">
        <v>72</v>
      </c>
      <c r="U93" s="64">
        <v>319744.69</v>
      </c>
      <c r="V93" s="62" t="s">
        <v>172</v>
      </c>
      <c r="W93" s="62" t="s">
        <v>74</v>
      </c>
      <c r="X93" s="62" t="s">
        <v>160</v>
      </c>
      <c r="Y93" s="62" t="s">
        <v>231</v>
      </c>
      <c r="Z93" s="63">
        <v>0</v>
      </c>
      <c r="AA93" s="63">
        <v>0</v>
      </c>
      <c r="AB93" s="62" t="s">
        <v>78</v>
      </c>
      <c r="AC93" s="31" t="s">
        <v>626</v>
      </c>
    </row>
    <row r="94" spans="1:29">
      <c r="A94" s="62" t="s">
        <v>636</v>
      </c>
      <c r="B94" s="62" t="s">
        <v>110</v>
      </c>
      <c r="C94" s="62" t="s">
        <v>637</v>
      </c>
      <c r="D94" s="62" t="s">
        <v>287</v>
      </c>
      <c r="E94" s="62" t="s">
        <v>496</v>
      </c>
      <c r="F94" s="63">
        <v>1</v>
      </c>
      <c r="G94" s="62" t="s">
        <v>98</v>
      </c>
      <c r="H94" s="63">
        <v>1</v>
      </c>
      <c r="I94" s="62" t="s">
        <v>98</v>
      </c>
      <c r="J94" s="64">
        <v>464</v>
      </c>
      <c r="K94" s="64">
        <v>464</v>
      </c>
      <c r="L94" s="62" t="s">
        <v>98</v>
      </c>
      <c r="M94" s="62" t="s">
        <v>100</v>
      </c>
      <c r="N94" s="62" t="s">
        <v>284</v>
      </c>
      <c r="O94" s="62" t="s">
        <v>52</v>
      </c>
      <c r="P94" s="64">
        <v>1264.9100000000001</v>
      </c>
      <c r="Q94" s="63">
        <v>9838</v>
      </c>
      <c r="R94" s="63">
        <v>12444058</v>
      </c>
      <c r="S94" s="62" t="s">
        <v>638</v>
      </c>
      <c r="T94" s="62" t="s">
        <v>72</v>
      </c>
      <c r="U94" s="64">
        <v>9837.9</v>
      </c>
      <c r="V94" s="62" t="s">
        <v>172</v>
      </c>
      <c r="W94" s="62" t="s">
        <v>81</v>
      </c>
      <c r="X94" s="62" t="s">
        <v>160</v>
      </c>
      <c r="Y94" s="62" t="s">
        <v>231</v>
      </c>
      <c r="Z94" s="63">
        <v>0</v>
      </c>
      <c r="AA94" s="63">
        <v>0</v>
      </c>
      <c r="AB94" s="62" t="s">
        <v>78</v>
      </c>
      <c r="AC94" s="31" t="s">
        <v>626</v>
      </c>
    </row>
    <row r="95" spans="1:29">
      <c r="A95" s="62" t="s">
        <v>639</v>
      </c>
      <c r="B95" s="62" t="s">
        <v>110</v>
      </c>
      <c r="C95" s="62" t="s">
        <v>640</v>
      </c>
      <c r="D95" s="62" t="s">
        <v>284</v>
      </c>
      <c r="E95" s="62" t="s">
        <v>496</v>
      </c>
      <c r="F95" s="63">
        <v>4</v>
      </c>
      <c r="G95" s="62" t="s">
        <v>98</v>
      </c>
      <c r="H95" s="63">
        <v>4</v>
      </c>
      <c r="I95" s="62" t="s">
        <v>98</v>
      </c>
      <c r="J95" s="64">
        <v>2088</v>
      </c>
      <c r="K95" s="64">
        <v>2000</v>
      </c>
      <c r="L95" s="62" t="s">
        <v>98</v>
      </c>
      <c r="M95" s="62" t="s">
        <v>100</v>
      </c>
      <c r="N95" s="62" t="s">
        <v>445</v>
      </c>
      <c r="O95" s="62" t="s">
        <v>52</v>
      </c>
      <c r="P95" s="64">
        <v>1264.9100000000001</v>
      </c>
      <c r="Q95" s="63">
        <v>30184</v>
      </c>
      <c r="R95" s="63">
        <v>38180448</v>
      </c>
      <c r="S95" s="62" t="s">
        <v>641</v>
      </c>
      <c r="T95" s="62" t="s">
        <v>72</v>
      </c>
      <c r="U95" s="64">
        <v>30184.32</v>
      </c>
      <c r="V95" s="62" t="s">
        <v>172</v>
      </c>
      <c r="W95" s="62" t="s">
        <v>81</v>
      </c>
      <c r="X95" s="62" t="s">
        <v>160</v>
      </c>
      <c r="Y95" s="62" t="s">
        <v>231</v>
      </c>
      <c r="Z95" s="63">
        <v>0</v>
      </c>
      <c r="AA95" s="63">
        <v>0</v>
      </c>
      <c r="AB95" s="62" t="s">
        <v>78</v>
      </c>
      <c r="AC95" s="31" t="s">
        <v>626</v>
      </c>
    </row>
    <row r="96" spans="1:29">
      <c r="A96" s="62" t="s">
        <v>642</v>
      </c>
      <c r="B96" s="62" t="s">
        <v>110</v>
      </c>
      <c r="C96" s="62" t="s">
        <v>643</v>
      </c>
      <c r="D96" s="62" t="s">
        <v>276</v>
      </c>
      <c r="E96" s="62" t="s">
        <v>527</v>
      </c>
      <c r="F96" s="63">
        <v>2</v>
      </c>
      <c r="G96" s="62" t="s">
        <v>98</v>
      </c>
      <c r="H96" s="63">
        <v>2</v>
      </c>
      <c r="I96" s="62" t="s">
        <v>98</v>
      </c>
      <c r="J96" s="64">
        <v>1008</v>
      </c>
      <c r="K96" s="64">
        <v>1008</v>
      </c>
      <c r="L96" s="62" t="s">
        <v>98</v>
      </c>
      <c r="M96" s="62" t="s">
        <v>100</v>
      </c>
      <c r="N96" s="62" t="s">
        <v>285</v>
      </c>
      <c r="O96" s="62" t="s">
        <v>52</v>
      </c>
      <c r="P96" s="64">
        <v>1265.3900000000001</v>
      </c>
      <c r="Q96" s="63">
        <v>19788</v>
      </c>
      <c r="R96" s="63">
        <v>25039638</v>
      </c>
      <c r="S96" s="62" t="s">
        <v>644</v>
      </c>
      <c r="T96" s="62" t="s">
        <v>72</v>
      </c>
      <c r="U96" s="64">
        <v>19788.080000000002</v>
      </c>
      <c r="V96" s="62" t="s">
        <v>172</v>
      </c>
      <c r="W96" s="62" t="s">
        <v>81</v>
      </c>
      <c r="X96" s="62" t="s">
        <v>160</v>
      </c>
      <c r="Y96" s="62" t="s">
        <v>231</v>
      </c>
      <c r="Z96" s="63">
        <v>0</v>
      </c>
      <c r="AA96" s="63">
        <v>0</v>
      </c>
      <c r="AB96" s="62" t="s">
        <v>78</v>
      </c>
      <c r="AC96" s="31" t="s">
        <v>626</v>
      </c>
    </row>
    <row r="97" spans="1:29">
      <c r="A97" s="62" t="s">
        <v>645</v>
      </c>
      <c r="B97" s="62" t="s">
        <v>110</v>
      </c>
      <c r="C97" s="62" t="s">
        <v>646</v>
      </c>
      <c r="D97" s="62" t="s">
        <v>517</v>
      </c>
      <c r="E97" s="62" t="s">
        <v>532</v>
      </c>
      <c r="F97" s="63">
        <v>2</v>
      </c>
      <c r="G97" s="62" t="s">
        <v>98</v>
      </c>
      <c r="H97" s="63">
        <v>2</v>
      </c>
      <c r="I97" s="62" t="s">
        <v>98</v>
      </c>
      <c r="J97" s="64">
        <v>504</v>
      </c>
      <c r="K97" s="64">
        <v>504</v>
      </c>
      <c r="L97" s="62" t="s">
        <v>98</v>
      </c>
      <c r="M97" s="62" t="s">
        <v>100</v>
      </c>
      <c r="N97" s="62" t="s">
        <v>285</v>
      </c>
      <c r="O97" s="62" t="s">
        <v>52</v>
      </c>
      <c r="P97" s="64">
        <v>1265.3900000000001</v>
      </c>
      <c r="Q97" s="63">
        <v>10636</v>
      </c>
      <c r="R97" s="63">
        <v>13459130</v>
      </c>
      <c r="S97" s="62" t="s">
        <v>647</v>
      </c>
      <c r="T97" s="62" t="s">
        <v>72</v>
      </c>
      <c r="U97" s="64">
        <v>10636.35</v>
      </c>
      <c r="V97" s="62" t="s">
        <v>172</v>
      </c>
      <c r="W97" s="62" t="s">
        <v>81</v>
      </c>
      <c r="X97" s="62" t="s">
        <v>160</v>
      </c>
      <c r="Y97" s="62" t="s">
        <v>231</v>
      </c>
      <c r="Z97" s="63">
        <v>0</v>
      </c>
      <c r="AA97" s="63">
        <v>0</v>
      </c>
      <c r="AB97" s="62" t="s">
        <v>78</v>
      </c>
      <c r="AC97" s="31" t="s">
        <v>626</v>
      </c>
    </row>
    <row r="98" spans="1:29">
      <c r="A98" s="62" t="s">
        <v>648</v>
      </c>
      <c r="B98" s="62" t="s">
        <v>110</v>
      </c>
      <c r="C98" s="62" t="s">
        <v>649</v>
      </c>
      <c r="D98" s="62" t="s">
        <v>295</v>
      </c>
      <c r="E98" s="62" t="s">
        <v>378</v>
      </c>
      <c r="F98" s="63">
        <v>1</v>
      </c>
      <c r="G98" s="62" t="s">
        <v>98</v>
      </c>
      <c r="H98" s="63">
        <v>1</v>
      </c>
      <c r="I98" s="62" t="s">
        <v>98</v>
      </c>
      <c r="J98" s="64">
        <v>356.6</v>
      </c>
      <c r="K98" s="64">
        <v>357</v>
      </c>
      <c r="L98" s="62" t="s">
        <v>98</v>
      </c>
      <c r="M98" s="62" t="s">
        <v>100</v>
      </c>
      <c r="N98" s="62" t="s">
        <v>522</v>
      </c>
      <c r="O98" s="62" t="s">
        <v>52</v>
      </c>
      <c r="P98" s="64">
        <v>1265.3900000000001</v>
      </c>
      <c r="Q98" s="63">
        <v>8177</v>
      </c>
      <c r="R98" s="63">
        <v>10347321</v>
      </c>
      <c r="S98" s="62" t="s">
        <v>650</v>
      </c>
      <c r="T98" s="62" t="s">
        <v>72</v>
      </c>
      <c r="U98" s="64">
        <v>8177.18</v>
      </c>
      <c r="V98" s="62" t="s">
        <v>172</v>
      </c>
      <c r="W98" s="62" t="s">
        <v>81</v>
      </c>
      <c r="X98" s="62" t="s">
        <v>160</v>
      </c>
      <c r="Y98" s="62" t="s">
        <v>231</v>
      </c>
      <c r="Z98" s="63">
        <v>0</v>
      </c>
      <c r="AA98" s="63">
        <v>0</v>
      </c>
      <c r="AB98" s="62" t="s">
        <v>78</v>
      </c>
      <c r="AC98" s="31" t="s">
        <v>626</v>
      </c>
    </row>
    <row r="99" spans="1:29">
      <c r="A99" s="62" t="s">
        <v>651</v>
      </c>
      <c r="B99" s="62" t="s">
        <v>110</v>
      </c>
      <c r="C99" s="62" t="s">
        <v>652</v>
      </c>
      <c r="D99" s="62" t="s">
        <v>299</v>
      </c>
      <c r="E99" s="62" t="s">
        <v>567</v>
      </c>
      <c r="F99" s="63">
        <v>2</v>
      </c>
      <c r="G99" s="62" t="s">
        <v>98</v>
      </c>
      <c r="H99" s="63">
        <v>2</v>
      </c>
      <c r="I99" s="62" t="s">
        <v>98</v>
      </c>
      <c r="J99" s="64">
        <v>1044</v>
      </c>
      <c r="K99" s="64">
        <v>1044</v>
      </c>
      <c r="L99" s="62" t="s">
        <v>98</v>
      </c>
      <c r="M99" s="62" t="s">
        <v>100</v>
      </c>
      <c r="N99" s="62" t="s">
        <v>382</v>
      </c>
      <c r="O99" s="62" t="s">
        <v>52</v>
      </c>
      <c r="P99" s="64">
        <v>1254.01</v>
      </c>
      <c r="Q99" s="63">
        <v>15092</v>
      </c>
      <c r="R99" s="63">
        <v>18925719</v>
      </c>
      <c r="S99" s="62" t="s">
        <v>653</v>
      </c>
      <c r="T99" s="62" t="s">
        <v>72</v>
      </c>
      <c r="U99" s="64">
        <v>15092.16</v>
      </c>
      <c r="V99" s="62" t="s">
        <v>172</v>
      </c>
      <c r="W99" s="62" t="s">
        <v>81</v>
      </c>
      <c r="X99" s="62" t="s">
        <v>160</v>
      </c>
      <c r="Y99" s="62" t="s">
        <v>231</v>
      </c>
      <c r="Z99" s="63">
        <v>0</v>
      </c>
      <c r="AA99" s="63">
        <v>0</v>
      </c>
      <c r="AB99" s="62" t="s">
        <v>78</v>
      </c>
      <c r="AC99" s="31" t="s">
        <v>626</v>
      </c>
    </row>
    <row r="100" spans="1:29">
      <c r="A100" s="62" t="s">
        <v>654</v>
      </c>
      <c r="B100" s="62" t="s">
        <v>110</v>
      </c>
      <c r="C100" s="62" t="s">
        <v>655</v>
      </c>
      <c r="D100" s="62" t="s">
        <v>302</v>
      </c>
      <c r="E100" s="62" t="s">
        <v>589</v>
      </c>
      <c r="F100" s="63">
        <v>47</v>
      </c>
      <c r="G100" s="62" t="s">
        <v>98</v>
      </c>
      <c r="H100" s="63" t="s">
        <v>78</v>
      </c>
      <c r="I100" s="62" t="s">
        <v>78</v>
      </c>
      <c r="J100" s="64">
        <v>20277</v>
      </c>
      <c r="K100" s="64" t="s">
        <v>78</v>
      </c>
      <c r="L100" s="62" t="s">
        <v>98</v>
      </c>
      <c r="M100" s="62" t="s">
        <v>102</v>
      </c>
      <c r="N100" s="62" t="s">
        <v>78</v>
      </c>
      <c r="O100" s="62" t="s">
        <v>52</v>
      </c>
      <c r="P100" s="64">
        <v>1254.01</v>
      </c>
      <c r="Q100" s="63">
        <v>406498</v>
      </c>
      <c r="R100" s="63">
        <v>509752155</v>
      </c>
      <c r="S100" s="62" t="s">
        <v>78</v>
      </c>
      <c r="T100" s="62" t="s">
        <v>72</v>
      </c>
      <c r="U100" s="64">
        <v>406497.68</v>
      </c>
      <c r="V100" s="62" t="s">
        <v>172</v>
      </c>
      <c r="W100" s="62" t="s">
        <v>74</v>
      </c>
      <c r="X100" s="62" t="s">
        <v>160</v>
      </c>
      <c r="Y100" s="62" t="s">
        <v>231</v>
      </c>
      <c r="Z100" s="63">
        <v>0</v>
      </c>
      <c r="AA100" s="63">
        <v>0</v>
      </c>
      <c r="AB100" s="62" t="s">
        <v>78</v>
      </c>
      <c r="AC100" s="31" t="s">
        <v>626</v>
      </c>
    </row>
    <row r="101" spans="1:29">
      <c r="A101" s="62" t="s">
        <v>656</v>
      </c>
      <c r="B101" s="62" t="s">
        <v>110</v>
      </c>
      <c r="C101" s="62" t="s">
        <v>657</v>
      </c>
      <c r="D101" s="62" t="s">
        <v>302</v>
      </c>
      <c r="E101" s="62" t="s">
        <v>589</v>
      </c>
      <c r="F101" s="63">
        <v>1</v>
      </c>
      <c r="G101" s="62" t="s">
        <v>98</v>
      </c>
      <c r="H101" s="63" t="s">
        <v>78</v>
      </c>
      <c r="I101" s="62" t="s">
        <v>78</v>
      </c>
      <c r="J101" s="64">
        <v>343.8</v>
      </c>
      <c r="K101" s="64" t="s">
        <v>78</v>
      </c>
      <c r="L101" s="62" t="s">
        <v>98</v>
      </c>
      <c r="M101" s="62" t="s">
        <v>102</v>
      </c>
      <c r="N101" s="62" t="s">
        <v>78</v>
      </c>
      <c r="O101" s="62" t="s">
        <v>52</v>
      </c>
      <c r="P101" s="64">
        <v>1254.01</v>
      </c>
      <c r="Q101" s="63">
        <v>7463</v>
      </c>
      <c r="R101" s="63">
        <v>9358124</v>
      </c>
      <c r="S101" s="62" t="s">
        <v>78</v>
      </c>
      <c r="T101" s="62" t="s">
        <v>72</v>
      </c>
      <c r="U101" s="64">
        <v>7462.56</v>
      </c>
      <c r="V101" s="62" t="s">
        <v>172</v>
      </c>
      <c r="W101" s="62" t="s">
        <v>81</v>
      </c>
      <c r="X101" s="62" t="s">
        <v>160</v>
      </c>
      <c r="Y101" s="62" t="s">
        <v>231</v>
      </c>
      <c r="Z101" s="63">
        <v>0</v>
      </c>
      <c r="AA101" s="63">
        <v>0</v>
      </c>
      <c r="AB101" s="62" t="s">
        <v>78</v>
      </c>
      <c r="AC101" s="31" t="s">
        <v>626</v>
      </c>
    </row>
    <row r="102" spans="1:29">
      <c r="A102" s="62" t="s">
        <v>658</v>
      </c>
      <c r="B102" s="62" t="s">
        <v>110</v>
      </c>
      <c r="C102" s="62" t="s">
        <v>659</v>
      </c>
      <c r="D102" s="62" t="s">
        <v>348</v>
      </c>
      <c r="E102" s="62" t="s">
        <v>589</v>
      </c>
      <c r="F102" s="63">
        <v>1</v>
      </c>
      <c r="G102" s="62" t="s">
        <v>98</v>
      </c>
      <c r="H102" s="63" t="s">
        <v>78</v>
      </c>
      <c r="I102" s="62" t="s">
        <v>78</v>
      </c>
      <c r="J102" s="64">
        <v>300.83</v>
      </c>
      <c r="K102" s="64" t="s">
        <v>78</v>
      </c>
      <c r="L102" s="62" t="s">
        <v>98</v>
      </c>
      <c r="M102" s="62" t="s">
        <v>102</v>
      </c>
      <c r="N102" s="62" t="s">
        <v>78</v>
      </c>
      <c r="O102" s="62" t="s">
        <v>52</v>
      </c>
      <c r="P102" s="64">
        <v>1254.01</v>
      </c>
      <c r="Q102" s="63">
        <v>6530</v>
      </c>
      <c r="R102" s="63">
        <v>8188359</v>
      </c>
      <c r="S102" s="62" t="s">
        <v>78</v>
      </c>
      <c r="T102" s="62" t="s">
        <v>72</v>
      </c>
      <c r="U102" s="64">
        <v>6529.74</v>
      </c>
      <c r="V102" s="62" t="s">
        <v>172</v>
      </c>
      <c r="W102" s="62" t="s">
        <v>81</v>
      </c>
      <c r="X102" s="62" t="s">
        <v>160</v>
      </c>
      <c r="Y102" s="62" t="s">
        <v>231</v>
      </c>
      <c r="Z102" s="63">
        <v>0</v>
      </c>
      <c r="AA102" s="63">
        <v>0</v>
      </c>
      <c r="AB102" s="62" t="s">
        <v>78</v>
      </c>
      <c r="AC102" s="31" t="s">
        <v>626</v>
      </c>
    </row>
    <row r="103" spans="1:29">
      <c r="A103" s="27"/>
      <c r="B103" s="27"/>
      <c r="C103" s="27"/>
      <c r="D103" s="27"/>
      <c r="E103" s="27"/>
      <c r="F103" s="29"/>
      <c r="G103" s="27"/>
      <c r="H103" s="29"/>
      <c r="I103" s="27"/>
      <c r="J103" s="30"/>
      <c r="K103" s="30"/>
      <c r="L103" s="27"/>
      <c r="M103" s="27"/>
      <c r="N103" s="27"/>
      <c r="O103" s="27"/>
      <c r="P103" s="30"/>
      <c r="Q103" s="29"/>
      <c r="R103" s="29"/>
      <c r="S103" s="27"/>
      <c r="T103" s="27"/>
      <c r="U103" s="30"/>
      <c r="V103" s="27"/>
      <c r="W103" s="27"/>
      <c r="X103" s="27"/>
      <c r="Y103" s="27"/>
      <c r="Z103" s="29"/>
      <c r="AA103" s="29"/>
      <c r="AB103" s="27"/>
      <c r="AC103" s="31"/>
    </row>
    <row r="104" spans="1:29">
      <c r="A104" s="27"/>
      <c r="B104" s="27"/>
      <c r="C104" s="27"/>
      <c r="D104" s="27"/>
      <c r="E104" s="27"/>
      <c r="F104" s="29"/>
      <c r="G104" s="27"/>
      <c r="H104" s="29"/>
      <c r="I104" s="27"/>
      <c r="J104" s="30"/>
      <c r="K104" s="30"/>
      <c r="L104" s="27"/>
      <c r="M104" s="27"/>
      <c r="N104" s="27"/>
      <c r="O104" s="27"/>
      <c r="P104" s="30"/>
      <c r="Q104" s="29"/>
      <c r="R104" s="29"/>
      <c r="S104" s="27"/>
      <c r="T104" s="27"/>
      <c r="U104" s="30"/>
      <c r="V104" s="27"/>
      <c r="W104" s="27"/>
      <c r="X104" s="27"/>
      <c r="Y104" s="27"/>
      <c r="Z104" s="29"/>
      <c r="AA104" s="29"/>
      <c r="AB104" s="27"/>
      <c r="AC104" s="31"/>
    </row>
    <row r="105" spans="1:29">
      <c r="A105" s="27"/>
      <c r="B105" s="27"/>
      <c r="C105" s="27"/>
      <c r="D105" s="27"/>
      <c r="E105" s="27"/>
      <c r="F105" s="29"/>
      <c r="G105" s="27"/>
      <c r="H105" s="29"/>
      <c r="I105" s="27"/>
      <c r="J105" s="30"/>
      <c r="K105" s="30"/>
      <c r="L105" s="27"/>
      <c r="M105" s="27"/>
      <c r="N105" s="27"/>
      <c r="O105" s="27"/>
      <c r="P105" s="30"/>
      <c r="Q105" s="29"/>
      <c r="R105" s="29"/>
      <c r="S105" s="27"/>
      <c r="T105" s="27"/>
      <c r="U105" s="30"/>
      <c r="V105" s="27"/>
      <c r="W105" s="27"/>
      <c r="X105" s="27"/>
      <c r="Y105" s="27"/>
      <c r="Z105" s="29"/>
      <c r="AA105" s="29"/>
      <c r="AB105" s="27"/>
      <c r="AC105" s="31"/>
    </row>
    <row r="106" spans="1:29">
      <c r="A106" s="27"/>
      <c r="B106" s="27"/>
      <c r="C106" s="27"/>
      <c r="D106" s="27"/>
      <c r="E106" s="27"/>
      <c r="F106" s="29"/>
      <c r="G106" s="27"/>
      <c r="H106" s="29"/>
      <c r="I106" s="27"/>
      <c r="J106" s="30"/>
      <c r="K106" s="30"/>
      <c r="L106" s="27"/>
      <c r="M106" s="27"/>
      <c r="N106" s="27"/>
      <c r="O106" s="27"/>
      <c r="P106" s="30"/>
      <c r="Q106" s="29"/>
      <c r="R106" s="29"/>
      <c r="S106" s="27"/>
      <c r="T106" s="27"/>
      <c r="U106" s="30"/>
      <c r="V106" s="27"/>
      <c r="W106" s="27"/>
      <c r="X106" s="27"/>
      <c r="Y106" s="27"/>
      <c r="Z106" s="29"/>
      <c r="AA106" s="29"/>
      <c r="AB106" s="27"/>
      <c r="AC106" s="31"/>
    </row>
    <row r="107" spans="1:29">
      <c r="A107" s="27"/>
      <c r="B107" s="27"/>
      <c r="C107" s="27"/>
      <c r="D107" s="27"/>
      <c r="E107" s="27"/>
      <c r="F107" s="29"/>
      <c r="G107" s="27"/>
      <c r="H107" s="29"/>
      <c r="I107" s="27"/>
      <c r="J107" s="30"/>
      <c r="K107" s="30"/>
      <c r="L107" s="27"/>
      <c r="M107" s="27"/>
      <c r="N107" s="27"/>
      <c r="O107" s="27"/>
      <c r="P107" s="30"/>
      <c r="Q107" s="29"/>
      <c r="R107" s="29"/>
      <c r="S107" s="27"/>
      <c r="T107" s="27"/>
      <c r="U107" s="30"/>
      <c r="V107" s="27"/>
      <c r="W107" s="27"/>
      <c r="X107" s="27"/>
      <c r="Y107" s="27"/>
      <c r="Z107" s="29"/>
      <c r="AA107" s="29"/>
      <c r="AB107" s="27"/>
      <c r="AC107" s="31"/>
    </row>
    <row r="108" spans="1:29">
      <c r="A108" s="27"/>
      <c r="B108" s="27"/>
      <c r="C108" s="27"/>
      <c r="D108" s="27"/>
      <c r="E108" s="27"/>
      <c r="F108" s="29"/>
      <c r="G108" s="27"/>
      <c r="H108" s="29"/>
      <c r="I108" s="27"/>
      <c r="J108" s="30"/>
      <c r="K108" s="30"/>
      <c r="L108" s="27"/>
      <c r="M108" s="27"/>
      <c r="N108" s="27"/>
      <c r="O108" s="27"/>
      <c r="P108" s="30"/>
      <c r="Q108" s="29"/>
      <c r="R108" s="29"/>
      <c r="S108" s="27"/>
      <c r="T108" s="27"/>
      <c r="U108" s="30"/>
      <c r="V108" s="27"/>
      <c r="W108" s="27"/>
      <c r="X108" s="27"/>
      <c r="Y108" s="27"/>
      <c r="Z108" s="29"/>
      <c r="AA108" s="29"/>
      <c r="AB108" s="27"/>
      <c r="AC108" s="31"/>
    </row>
    <row r="109" spans="1:29">
      <c r="A109" s="27"/>
      <c r="B109" s="27"/>
      <c r="C109" s="27"/>
      <c r="D109" s="27"/>
      <c r="E109" s="27"/>
      <c r="F109" s="29"/>
      <c r="G109" s="27"/>
      <c r="H109" s="29"/>
      <c r="I109" s="27"/>
      <c r="J109" s="30"/>
      <c r="K109" s="30"/>
      <c r="L109" s="27"/>
      <c r="M109" s="27"/>
      <c r="N109" s="27"/>
      <c r="O109" s="27"/>
      <c r="P109" s="30"/>
      <c r="Q109" s="29"/>
      <c r="R109" s="29"/>
      <c r="S109" s="27"/>
      <c r="T109" s="27"/>
      <c r="U109" s="30"/>
      <c r="V109" s="27"/>
      <c r="W109" s="27"/>
      <c r="X109" s="27"/>
      <c r="Y109" s="27"/>
      <c r="Z109" s="29"/>
      <c r="AA109" s="29"/>
      <c r="AB109" s="27"/>
      <c r="AC109" s="31"/>
    </row>
    <row r="110" spans="1:29">
      <c r="A110" s="27"/>
      <c r="B110" s="27"/>
      <c r="C110" s="27"/>
      <c r="D110" s="27"/>
      <c r="E110" s="27"/>
      <c r="F110" s="29"/>
      <c r="G110" s="27"/>
      <c r="H110" s="29"/>
      <c r="I110" s="27"/>
      <c r="J110" s="30"/>
      <c r="K110" s="30"/>
      <c r="L110" s="27"/>
      <c r="M110" s="27"/>
      <c r="N110" s="27"/>
      <c r="O110" s="27"/>
      <c r="P110" s="30"/>
      <c r="Q110" s="29"/>
      <c r="R110" s="29"/>
      <c r="S110" s="27"/>
      <c r="T110" s="27"/>
      <c r="U110" s="30"/>
      <c r="V110" s="27"/>
      <c r="W110" s="27"/>
      <c r="X110" s="27"/>
      <c r="Y110" s="27"/>
      <c r="Z110" s="29"/>
      <c r="AA110" s="29"/>
      <c r="AB110" s="27"/>
      <c r="AC110" s="31"/>
    </row>
    <row r="111" spans="1:29">
      <c r="A111" s="27"/>
      <c r="B111" s="27"/>
      <c r="C111" s="27"/>
      <c r="D111" s="27"/>
      <c r="E111" s="27"/>
      <c r="F111" s="29"/>
      <c r="G111" s="27"/>
      <c r="H111" s="29"/>
      <c r="I111" s="27"/>
      <c r="J111" s="30"/>
      <c r="K111" s="30"/>
      <c r="L111" s="27"/>
      <c r="M111" s="27"/>
      <c r="N111" s="27"/>
      <c r="O111" s="27"/>
      <c r="P111" s="30"/>
      <c r="Q111" s="29"/>
      <c r="R111" s="29"/>
      <c r="S111" s="27"/>
      <c r="T111" s="27"/>
      <c r="U111" s="30"/>
      <c r="V111" s="27"/>
      <c r="W111" s="27"/>
      <c r="X111" s="27"/>
      <c r="Y111" s="27"/>
      <c r="Z111" s="29"/>
      <c r="AA111" s="29"/>
      <c r="AB111" s="27"/>
      <c r="AC111" s="31"/>
    </row>
    <row r="112" spans="1:29">
      <c r="A112" s="27"/>
      <c r="B112" s="27"/>
      <c r="C112" s="27"/>
      <c r="D112" s="27"/>
      <c r="E112" s="27"/>
      <c r="F112" s="29"/>
      <c r="G112" s="27"/>
      <c r="H112" s="29"/>
      <c r="I112" s="27"/>
      <c r="J112" s="30"/>
      <c r="K112" s="30"/>
      <c r="L112" s="27"/>
      <c r="M112" s="27"/>
      <c r="N112" s="27"/>
      <c r="O112" s="27"/>
      <c r="P112" s="30"/>
      <c r="Q112" s="29"/>
      <c r="R112" s="29"/>
      <c r="S112" s="27"/>
      <c r="T112" s="27"/>
      <c r="U112" s="30"/>
      <c r="V112" s="27"/>
      <c r="W112" s="27"/>
      <c r="X112" s="27"/>
      <c r="Y112" s="27"/>
      <c r="Z112" s="29"/>
      <c r="AA112" s="29"/>
      <c r="AB112" s="27"/>
      <c r="AC112" s="31"/>
    </row>
    <row r="113" spans="1:29">
      <c r="A113" s="27"/>
      <c r="B113" s="27"/>
      <c r="C113" s="27"/>
      <c r="D113" s="27"/>
      <c r="E113" s="27"/>
      <c r="F113" s="29"/>
      <c r="G113" s="27"/>
      <c r="H113" s="29"/>
      <c r="I113" s="27"/>
      <c r="J113" s="30"/>
      <c r="K113" s="30"/>
      <c r="L113" s="27"/>
      <c r="M113" s="27"/>
      <c r="N113" s="27"/>
      <c r="O113" s="27"/>
      <c r="P113" s="30"/>
      <c r="Q113" s="29"/>
      <c r="R113" s="29"/>
      <c r="S113" s="27"/>
      <c r="T113" s="27"/>
      <c r="U113" s="30"/>
      <c r="V113" s="27"/>
      <c r="W113" s="27"/>
      <c r="X113" s="27"/>
      <c r="Y113" s="27"/>
      <c r="Z113" s="29"/>
      <c r="AA113" s="29"/>
      <c r="AB113" s="27"/>
      <c r="AC113" s="31"/>
    </row>
    <row r="114" spans="1:29">
      <c r="A114" s="27"/>
      <c r="B114" s="27"/>
      <c r="C114" s="27"/>
      <c r="D114" s="27"/>
      <c r="E114" s="27"/>
      <c r="F114" s="29"/>
      <c r="G114" s="27"/>
      <c r="H114" s="29"/>
      <c r="I114" s="27"/>
      <c r="J114" s="30"/>
      <c r="K114" s="30"/>
      <c r="L114" s="27"/>
      <c r="M114" s="27"/>
      <c r="N114" s="27"/>
      <c r="O114" s="27"/>
      <c r="P114" s="30"/>
      <c r="Q114" s="29"/>
      <c r="R114" s="29"/>
      <c r="S114" s="27"/>
      <c r="T114" s="27"/>
      <c r="U114" s="30"/>
      <c r="V114" s="27"/>
      <c r="W114" s="27"/>
      <c r="X114" s="27"/>
      <c r="Y114" s="27"/>
      <c r="Z114" s="29"/>
      <c r="AA114" s="29"/>
      <c r="AB114" s="27"/>
      <c r="AC114" s="31"/>
    </row>
    <row r="115" spans="1:29">
      <c r="A115" s="27"/>
      <c r="B115" s="27"/>
      <c r="C115" s="27"/>
      <c r="D115" s="27"/>
      <c r="E115" s="27"/>
      <c r="F115" s="29"/>
      <c r="G115" s="27"/>
      <c r="H115" s="29"/>
      <c r="I115" s="27"/>
      <c r="J115" s="30"/>
      <c r="K115" s="30"/>
      <c r="L115" s="27"/>
      <c r="M115" s="27"/>
      <c r="N115" s="27"/>
      <c r="O115" s="27"/>
      <c r="P115" s="30"/>
      <c r="Q115" s="29"/>
      <c r="R115" s="29"/>
      <c r="S115" s="27"/>
      <c r="T115" s="27"/>
      <c r="U115" s="30"/>
      <c r="V115" s="27"/>
      <c r="W115" s="27"/>
      <c r="X115" s="27"/>
      <c r="Y115" s="27"/>
      <c r="Z115" s="29"/>
      <c r="AA115" s="29"/>
      <c r="AB115" s="27"/>
      <c r="AC115" s="31"/>
    </row>
    <row r="116" spans="1:29">
      <c r="A116" s="27"/>
      <c r="B116" s="27"/>
      <c r="C116" s="27"/>
      <c r="D116" s="27"/>
      <c r="E116" s="27"/>
      <c r="F116" s="29"/>
      <c r="G116" s="27"/>
      <c r="H116" s="29"/>
      <c r="I116" s="27"/>
      <c r="J116" s="30"/>
      <c r="K116" s="30"/>
      <c r="L116" s="27"/>
      <c r="M116" s="27"/>
      <c r="N116" s="27"/>
      <c r="O116" s="27"/>
      <c r="P116" s="30"/>
      <c r="Q116" s="29"/>
      <c r="R116" s="29"/>
      <c r="S116" s="27"/>
      <c r="T116" s="27"/>
      <c r="U116" s="30"/>
      <c r="V116" s="27"/>
      <c r="W116" s="27"/>
      <c r="X116" s="27"/>
      <c r="Y116" s="27"/>
      <c r="Z116" s="29"/>
      <c r="AA116" s="29"/>
      <c r="AB116" s="27"/>
      <c r="AC116" s="31"/>
    </row>
    <row r="117" spans="1:29">
      <c r="A117" s="27"/>
      <c r="B117" s="27"/>
      <c r="C117" s="27"/>
      <c r="D117" s="27"/>
      <c r="E117" s="27"/>
      <c r="F117" s="29"/>
      <c r="G117" s="27"/>
      <c r="H117" s="29"/>
      <c r="I117" s="27"/>
      <c r="J117" s="30"/>
      <c r="K117" s="30"/>
      <c r="L117" s="27"/>
      <c r="M117" s="27"/>
      <c r="N117" s="27"/>
      <c r="O117" s="27"/>
      <c r="P117" s="30"/>
      <c r="Q117" s="29"/>
      <c r="R117" s="29"/>
      <c r="S117" s="27"/>
      <c r="T117" s="27"/>
      <c r="U117" s="30"/>
      <c r="V117" s="27"/>
      <c r="W117" s="27"/>
      <c r="X117" s="27"/>
      <c r="Y117" s="27"/>
      <c r="Z117" s="29"/>
      <c r="AA117" s="29"/>
      <c r="AB117" s="27"/>
      <c r="AC117" s="31"/>
    </row>
    <row r="118" spans="1:29">
      <c r="A118" s="27"/>
      <c r="B118" s="27"/>
      <c r="C118" s="27"/>
      <c r="D118" s="27"/>
      <c r="E118" s="27"/>
      <c r="F118" s="29"/>
      <c r="G118" s="27"/>
      <c r="H118" s="29"/>
      <c r="I118" s="27"/>
      <c r="J118" s="30"/>
      <c r="K118" s="30"/>
      <c r="L118" s="27"/>
      <c r="M118" s="27"/>
      <c r="N118" s="27"/>
      <c r="O118" s="27"/>
      <c r="P118" s="30"/>
      <c r="Q118" s="29"/>
      <c r="R118" s="29"/>
      <c r="S118" s="27"/>
      <c r="T118" s="27"/>
      <c r="U118" s="30"/>
      <c r="V118" s="27"/>
      <c r="W118" s="27"/>
      <c r="X118" s="27"/>
      <c r="Y118" s="27"/>
      <c r="Z118" s="29"/>
      <c r="AA118" s="29"/>
      <c r="AB118" s="27"/>
      <c r="AC118" s="31"/>
    </row>
    <row r="119" spans="1:29">
      <c r="A119" s="27"/>
      <c r="B119" s="27"/>
      <c r="C119" s="27"/>
      <c r="D119" s="27"/>
      <c r="E119" s="27"/>
      <c r="F119" s="29"/>
      <c r="G119" s="27"/>
      <c r="H119" s="29"/>
      <c r="I119" s="27"/>
      <c r="J119" s="30"/>
      <c r="K119" s="30"/>
      <c r="L119" s="27"/>
      <c r="M119" s="27"/>
      <c r="N119" s="27"/>
      <c r="O119" s="27"/>
      <c r="P119" s="30"/>
      <c r="Q119" s="29"/>
      <c r="R119" s="29"/>
      <c r="S119" s="27"/>
      <c r="T119" s="27"/>
      <c r="U119" s="30"/>
      <c r="V119" s="27"/>
      <c r="W119" s="27"/>
      <c r="X119" s="27"/>
      <c r="Y119" s="27"/>
      <c r="Z119" s="29"/>
      <c r="AA119" s="29"/>
      <c r="AB119" s="27"/>
      <c r="AC119" s="31"/>
    </row>
    <row r="120" spans="1:29">
      <c r="A120" s="27"/>
      <c r="B120" s="27"/>
      <c r="C120" s="27"/>
      <c r="D120" s="27"/>
      <c r="E120" s="27"/>
      <c r="F120" s="29"/>
      <c r="G120" s="27"/>
      <c r="H120" s="29"/>
      <c r="I120" s="27"/>
      <c r="J120" s="30"/>
      <c r="K120" s="30"/>
      <c r="L120" s="27"/>
      <c r="M120" s="27"/>
      <c r="N120" s="27"/>
      <c r="O120" s="27"/>
      <c r="P120" s="30"/>
      <c r="Q120" s="29"/>
      <c r="R120" s="29"/>
      <c r="S120" s="27"/>
      <c r="T120" s="27"/>
      <c r="U120" s="30"/>
      <c r="V120" s="27"/>
      <c r="W120" s="27"/>
      <c r="X120" s="27"/>
      <c r="Y120" s="27"/>
      <c r="Z120" s="29"/>
      <c r="AA120" s="29"/>
      <c r="AB120" s="27"/>
      <c r="AC120" s="31"/>
    </row>
    <row r="121" spans="1:29">
      <c r="A121" s="27"/>
      <c r="B121" s="27"/>
      <c r="C121" s="27"/>
      <c r="D121" s="27"/>
      <c r="E121" s="27"/>
      <c r="F121" s="29"/>
      <c r="G121" s="27"/>
      <c r="H121" s="29"/>
      <c r="I121" s="27"/>
      <c r="J121" s="30"/>
      <c r="K121" s="30"/>
      <c r="L121" s="27"/>
      <c r="M121" s="27"/>
      <c r="N121" s="27"/>
      <c r="O121" s="27"/>
      <c r="P121" s="30"/>
      <c r="Q121" s="29"/>
      <c r="R121" s="29"/>
      <c r="S121" s="27"/>
      <c r="T121" s="27"/>
      <c r="U121" s="30"/>
      <c r="V121" s="27"/>
      <c r="W121" s="27"/>
      <c r="X121" s="27"/>
      <c r="Y121" s="27"/>
      <c r="Z121" s="29"/>
      <c r="AA121" s="29"/>
      <c r="AB121" s="27"/>
      <c r="AC121" s="31"/>
    </row>
    <row r="122" spans="1:29">
      <c r="A122" s="27"/>
      <c r="B122" s="27"/>
      <c r="C122" s="27"/>
      <c r="D122" s="27"/>
      <c r="E122" s="27"/>
      <c r="F122" s="29"/>
      <c r="G122" s="27"/>
      <c r="H122" s="29"/>
      <c r="I122" s="27"/>
      <c r="J122" s="30"/>
      <c r="K122" s="30"/>
      <c r="L122" s="27"/>
      <c r="M122" s="27"/>
      <c r="N122" s="27"/>
      <c r="O122" s="27"/>
      <c r="P122" s="30"/>
      <c r="Q122" s="29"/>
      <c r="R122" s="29"/>
      <c r="S122" s="27"/>
      <c r="T122" s="27"/>
      <c r="U122" s="30"/>
      <c r="V122" s="27"/>
      <c r="W122" s="27"/>
      <c r="X122" s="27"/>
      <c r="Y122" s="27"/>
      <c r="Z122" s="29"/>
      <c r="AA122" s="29"/>
      <c r="AB122" s="27"/>
      <c r="AC122" s="31"/>
    </row>
    <row r="123" spans="1:29">
      <c r="A123" s="27"/>
      <c r="B123" s="27"/>
      <c r="C123" s="27"/>
      <c r="D123" s="27"/>
      <c r="E123" s="27"/>
      <c r="F123" s="29"/>
      <c r="G123" s="27"/>
      <c r="H123" s="29"/>
      <c r="I123" s="27"/>
      <c r="J123" s="30"/>
      <c r="K123" s="30"/>
      <c r="L123" s="27"/>
      <c r="M123" s="27"/>
      <c r="N123" s="27"/>
      <c r="O123" s="27"/>
      <c r="P123" s="30"/>
      <c r="Q123" s="29"/>
      <c r="R123" s="29"/>
      <c r="S123" s="27"/>
      <c r="T123" s="27"/>
      <c r="U123" s="30"/>
      <c r="V123" s="27"/>
      <c r="W123" s="27"/>
      <c r="X123" s="27"/>
      <c r="Y123" s="27"/>
      <c r="Z123" s="29"/>
      <c r="AA123" s="29"/>
      <c r="AB123" s="27"/>
      <c r="AC123" s="31"/>
    </row>
    <row r="124" spans="1:29">
      <c r="A124" s="27"/>
      <c r="B124" s="27"/>
      <c r="C124" s="27"/>
      <c r="D124" s="27"/>
      <c r="E124" s="27"/>
      <c r="F124" s="29"/>
      <c r="G124" s="27"/>
      <c r="H124" s="29"/>
      <c r="I124" s="27"/>
      <c r="J124" s="30"/>
      <c r="K124" s="30"/>
      <c r="L124" s="27"/>
      <c r="M124" s="27"/>
      <c r="N124" s="27"/>
      <c r="O124" s="27"/>
      <c r="P124" s="30"/>
      <c r="Q124" s="29"/>
      <c r="R124" s="29"/>
      <c r="S124" s="27"/>
      <c r="T124" s="27"/>
      <c r="U124" s="30"/>
      <c r="V124" s="27"/>
      <c r="W124" s="27"/>
      <c r="X124" s="27"/>
      <c r="Y124" s="27"/>
      <c r="Z124" s="29"/>
      <c r="AA124" s="29"/>
      <c r="AB124" s="27"/>
      <c r="AC124" s="31"/>
    </row>
    <row r="125" spans="1:29">
      <c r="A125" s="62"/>
      <c r="B125" s="62"/>
      <c r="C125" s="62"/>
      <c r="D125" s="62"/>
      <c r="E125" s="62"/>
      <c r="F125" s="63"/>
      <c r="G125" s="62"/>
      <c r="H125" s="63"/>
      <c r="I125" s="62"/>
      <c r="J125" s="64"/>
      <c r="K125" s="64"/>
      <c r="L125" s="62"/>
      <c r="M125" s="62"/>
      <c r="N125" s="62"/>
      <c r="O125" s="62"/>
      <c r="P125" s="64"/>
      <c r="Q125" s="63"/>
      <c r="R125" s="63"/>
      <c r="S125" s="62"/>
      <c r="T125" s="62"/>
      <c r="U125" s="64"/>
      <c r="V125" s="62"/>
      <c r="W125" s="62"/>
      <c r="X125" s="62"/>
      <c r="Y125" s="62"/>
      <c r="Z125" s="63"/>
      <c r="AA125" s="63"/>
      <c r="AB125" s="6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4:H24"/>
  <sheetViews>
    <sheetView workbookViewId="0">
      <selection activeCell="I37" sqref="I37"/>
    </sheetView>
  </sheetViews>
  <sheetFormatPr defaultRowHeight="17.399999999999999"/>
  <cols>
    <col min="1" max="1" width="11" bestFit="1" customWidth="1"/>
    <col min="2" max="2" width="15.59765625" bestFit="1" customWidth="1"/>
    <col min="5" max="5" width="10.09765625" bestFit="1" customWidth="1"/>
  </cols>
  <sheetData>
    <row r="4" spans="1:5">
      <c r="A4">
        <v>1</v>
      </c>
    </row>
    <row r="5" spans="1:5">
      <c r="A5" s="17" t="s">
        <v>129</v>
      </c>
      <c r="B5" s="4" t="s">
        <v>138</v>
      </c>
      <c r="C5" s="18">
        <v>44307</v>
      </c>
      <c r="D5" s="6">
        <f>VLOOKUP(C5,환율!$A$2:$B$1815,2,TRUE)</f>
        <v>1113.4000000000001</v>
      </c>
      <c r="E5" s="5">
        <v>35802</v>
      </c>
    </row>
    <row r="6" spans="1:5">
      <c r="A6" s="17" t="s">
        <v>131</v>
      </c>
      <c r="B6" s="4" t="s">
        <v>140</v>
      </c>
      <c r="C6" s="18">
        <v>44310</v>
      </c>
      <c r="D6" s="6">
        <f>VLOOKUP(C6,환율!$A$2:$B$1815,2,TRUE)</f>
        <v>1116.3</v>
      </c>
      <c r="E6" s="5">
        <v>16394.400000000001</v>
      </c>
    </row>
    <row r="7" spans="1:5" ht="26.4">
      <c r="A7" s="17" t="s">
        <v>127</v>
      </c>
      <c r="B7" s="4" t="s">
        <v>134</v>
      </c>
      <c r="C7" s="18">
        <v>44312</v>
      </c>
      <c r="D7" s="6">
        <f>VLOOKUP(C7,환율!$A$2:$B$1815,2,TRUE)</f>
        <v>1118.9000000000001</v>
      </c>
      <c r="E7" s="5" ph="1">
        <v>109221.16</v>
      </c>
    </row>
    <row r="8" spans="1:5">
      <c r="A8" s="17" t="s">
        <v>128</v>
      </c>
      <c r="B8" s="4" t="s">
        <v>135</v>
      </c>
      <c r="C8" s="18">
        <v>44312</v>
      </c>
      <c r="D8" s="6">
        <f>VLOOKUP(C8,환율!$A$2:$B$1815,2,TRUE)</f>
        <v>1118.9000000000001</v>
      </c>
      <c r="E8" s="5">
        <v>64443.6</v>
      </c>
    </row>
    <row r="9" spans="1:5">
      <c r="A9" s="17" t="s">
        <v>130</v>
      </c>
      <c r="B9" s="4" t="s">
        <v>136</v>
      </c>
      <c r="C9" s="18">
        <v>44312</v>
      </c>
      <c r="D9" s="6">
        <f>VLOOKUP(C9,환율!$A$2:$B$1815,2,TRUE)</f>
        <v>1118.9000000000001</v>
      </c>
      <c r="E9" s="5">
        <v>18239.2</v>
      </c>
    </row>
    <row r="10" spans="1:5">
      <c r="A10" s="17" t="s">
        <v>132</v>
      </c>
      <c r="B10" s="4" t="s">
        <v>137</v>
      </c>
      <c r="C10" s="18">
        <v>44315</v>
      </c>
      <c r="D10" s="6">
        <f>VLOOKUP(C10,환율!$A$2:$B$1815,2,TRUE)</f>
        <v>1112.5</v>
      </c>
      <c r="E10" s="5">
        <v>120686.24</v>
      </c>
    </row>
    <row r="11" spans="1:5">
      <c r="A11" s="17" t="s">
        <v>133</v>
      </c>
      <c r="B11" s="4" t="s">
        <v>139</v>
      </c>
      <c r="C11" s="18">
        <v>44315</v>
      </c>
      <c r="D11" s="6">
        <f>VLOOKUP(C11,환율!$A$2:$B$1815,2,TRUE)</f>
        <v>1112.5</v>
      </c>
      <c r="E11" s="5">
        <v>85657.600000000006</v>
      </c>
    </row>
    <row r="17" spans="4:8">
      <c r="H17" s="80"/>
    </row>
    <row r="18" spans="4:8">
      <c r="D18" s="81"/>
      <c r="H18" s="80"/>
    </row>
    <row r="20" spans="4:8">
      <c r="H20" s="80"/>
    </row>
    <row r="21" spans="4:8">
      <c r="H21" s="80"/>
    </row>
    <row r="22" spans="4:8">
      <c r="H22" s="80"/>
    </row>
    <row r="24" spans="4:8">
      <c r="H24" s="80"/>
    </row>
  </sheetData>
  <autoFilter ref="A4:E4" xr:uid="{00000000-0009-0000-0000-000067000000}">
    <sortState ref="A5:E19">
      <sortCondition ref="C4"/>
    </sortState>
  </autoFilter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F682CE-E321-4A01-94FC-758A7BF9E4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44</vt:i4>
      </vt:variant>
      <vt:variant>
        <vt:lpstr>이름 지정된 범위</vt:lpstr>
      </vt:variant>
      <vt:variant>
        <vt:i4>67</vt:i4>
      </vt:variant>
    </vt:vector>
  </HeadingPairs>
  <TitlesOfParts>
    <vt:vector size="111" baseType="lpstr">
      <vt:lpstr>24.01 (갑)</vt:lpstr>
      <vt:lpstr>24.02 (갑)</vt:lpstr>
      <vt:lpstr>24.03 (갑)</vt:lpstr>
      <vt:lpstr>24.04 (갑)</vt:lpstr>
      <vt:lpstr>24.05 (갑)</vt:lpstr>
      <vt:lpstr>24.06 (갑)</vt:lpstr>
      <vt:lpstr>24.07 (갑) </vt:lpstr>
      <vt:lpstr>24.08 (갑) </vt:lpstr>
      <vt:lpstr>24.09 (갑)</vt:lpstr>
      <vt:lpstr>24.10 (갑)</vt:lpstr>
      <vt:lpstr>24.11 (갑)</vt:lpstr>
      <vt:lpstr>Sheet3</vt:lpstr>
      <vt:lpstr>24.12 (갑) </vt:lpstr>
      <vt:lpstr>Sheet4</vt:lpstr>
      <vt:lpstr>25.01 (갑) </vt:lpstr>
      <vt:lpstr>25.02 (갑) </vt:lpstr>
      <vt:lpstr>25.03 (갑)</vt:lpstr>
      <vt:lpstr>25.04 (갑)</vt:lpstr>
      <vt:lpstr>25.05 (갑)</vt:lpstr>
      <vt:lpstr>25.06 (갑)</vt:lpstr>
      <vt:lpstr>25.7 (갑)</vt:lpstr>
      <vt:lpstr>25.8 (갑)</vt:lpstr>
      <vt:lpstr>25.9 (갑)</vt:lpstr>
      <vt:lpstr>25.10 (갑) </vt:lpstr>
      <vt:lpstr>25.11 (갑)</vt:lpstr>
      <vt:lpstr>25.12 (갑)</vt:lpstr>
      <vt:lpstr>26.01 (갑)</vt:lpstr>
      <vt:lpstr>26.02 (갑)</vt:lpstr>
      <vt:lpstr>26.02(NEW)</vt:lpstr>
      <vt:lpstr>26.03(NEW)</vt:lpstr>
      <vt:lpstr>26.04(NEW)</vt:lpstr>
      <vt:lpstr>26.05(NEW)</vt:lpstr>
      <vt:lpstr>26.06(NEW)</vt:lpstr>
      <vt:lpstr>26.07(NEW)</vt:lpstr>
      <vt:lpstr>26.08(NEW)</vt:lpstr>
      <vt:lpstr>26.09(NEW)</vt:lpstr>
      <vt:lpstr>환율</vt:lpstr>
      <vt:lpstr>Sheet6</vt:lpstr>
      <vt:lpstr>Sheet5</vt:lpstr>
      <vt:lpstr>면장 검토 (2)</vt:lpstr>
      <vt:lpstr>Sheet1 (2)</vt:lpstr>
      <vt:lpstr>면장 검토</vt:lpstr>
      <vt:lpstr>Sheet1</vt:lpstr>
      <vt:lpstr>Sheet2</vt:lpstr>
      <vt:lpstr>'24.01 (갑)'!Print_Area</vt:lpstr>
      <vt:lpstr>'24.02 (갑)'!Print_Area</vt:lpstr>
      <vt:lpstr>'24.03 (갑)'!Print_Area</vt:lpstr>
      <vt:lpstr>'24.04 (갑)'!Print_Area</vt:lpstr>
      <vt:lpstr>'24.05 (갑)'!Print_Area</vt:lpstr>
      <vt:lpstr>'24.06 (갑)'!Print_Area</vt:lpstr>
      <vt:lpstr>'24.07 (갑) '!Print_Area</vt:lpstr>
      <vt:lpstr>'24.08 (갑) '!Print_Area</vt:lpstr>
      <vt:lpstr>'24.09 (갑)'!Print_Area</vt:lpstr>
      <vt:lpstr>'24.10 (갑)'!Print_Area</vt:lpstr>
      <vt:lpstr>'24.11 (갑)'!Print_Area</vt:lpstr>
      <vt:lpstr>'24.12 (갑) '!Print_Area</vt:lpstr>
      <vt:lpstr>'25.01 (갑) '!Print_Area</vt:lpstr>
      <vt:lpstr>'25.02 (갑) '!Print_Area</vt:lpstr>
      <vt:lpstr>'25.03 (갑)'!Print_Area</vt:lpstr>
      <vt:lpstr>'25.04 (갑)'!Print_Area</vt:lpstr>
      <vt:lpstr>'25.05 (갑)'!Print_Area</vt:lpstr>
      <vt:lpstr>'25.06 (갑)'!Print_Area</vt:lpstr>
      <vt:lpstr>'25.10 (갑) '!Print_Area</vt:lpstr>
      <vt:lpstr>'25.11 (갑)'!Print_Area</vt:lpstr>
      <vt:lpstr>'25.12 (갑)'!Print_Area</vt:lpstr>
      <vt:lpstr>'25.7 (갑)'!Print_Area</vt:lpstr>
      <vt:lpstr>'25.8 (갑)'!Print_Area</vt:lpstr>
      <vt:lpstr>'25.9 (갑)'!Print_Area</vt:lpstr>
      <vt:lpstr>'26.01 (갑)'!Print_Area</vt:lpstr>
      <vt:lpstr>'26.02 (갑)'!Print_Area</vt:lpstr>
      <vt:lpstr>'26.02(NEW)'!Print_Area</vt:lpstr>
      <vt:lpstr>'26.03(NEW)'!Print_Area</vt:lpstr>
      <vt:lpstr>'26.04(NEW)'!Print_Area</vt:lpstr>
      <vt:lpstr>'26.05(NEW)'!Print_Area</vt:lpstr>
      <vt:lpstr>'26.06(NEW)'!Print_Area</vt:lpstr>
      <vt:lpstr>'26.07(NEW)'!Print_Area</vt:lpstr>
      <vt:lpstr>'26.08(NEW)'!Print_Area</vt:lpstr>
      <vt:lpstr>'26.09(NEW)'!Print_Area</vt:lpstr>
      <vt:lpstr>환율!Print_Area</vt:lpstr>
      <vt:lpstr>'24.01 (갑)'!Print_Titles</vt:lpstr>
      <vt:lpstr>'24.02 (갑)'!Print_Titles</vt:lpstr>
      <vt:lpstr>'24.03 (갑)'!Print_Titles</vt:lpstr>
      <vt:lpstr>'24.04 (갑)'!Print_Titles</vt:lpstr>
      <vt:lpstr>'24.05 (갑)'!Print_Titles</vt:lpstr>
      <vt:lpstr>'24.06 (갑)'!Print_Titles</vt:lpstr>
      <vt:lpstr>'24.07 (갑) '!Print_Titles</vt:lpstr>
      <vt:lpstr>'24.08 (갑) '!Print_Titles</vt:lpstr>
      <vt:lpstr>'24.09 (갑)'!Print_Titles</vt:lpstr>
      <vt:lpstr>'24.10 (갑)'!Print_Titles</vt:lpstr>
      <vt:lpstr>'24.11 (갑)'!Print_Titles</vt:lpstr>
      <vt:lpstr>'24.12 (갑) '!Print_Titles</vt:lpstr>
      <vt:lpstr>'25.01 (갑) '!Print_Titles</vt:lpstr>
      <vt:lpstr>'25.02 (갑) '!Print_Titles</vt:lpstr>
      <vt:lpstr>'25.03 (갑)'!Print_Titles</vt:lpstr>
      <vt:lpstr>'25.04 (갑)'!Print_Titles</vt:lpstr>
      <vt:lpstr>'25.05 (갑)'!Print_Titles</vt:lpstr>
      <vt:lpstr>'25.06 (갑)'!Print_Titles</vt:lpstr>
      <vt:lpstr>'25.10 (갑) '!Print_Titles</vt:lpstr>
      <vt:lpstr>'25.11 (갑)'!Print_Titles</vt:lpstr>
      <vt:lpstr>'25.12 (갑)'!Print_Titles</vt:lpstr>
      <vt:lpstr>'25.7 (갑)'!Print_Titles</vt:lpstr>
      <vt:lpstr>'25.8 (갑)'!Print_Titles</vt:lpstr>
      <vt:lpstr>'25.9 (갑)'!Print_Titles</vt:lpstr>
      <vt:lpstr>'26.01 (갑)'!Print_Titles</vt:lpstr>
      <vt:lpstr>'26.02 (갑)'!Print_Titles</vt:lpstr>
      <vt:lpstr>'26.02(NEW)'!Print_Titles</vt:lpstr>
      <vt:lpstr>'26.03(NEW)'!Print_Titles</vt:lpstr>
      <vt:lpstr>'26.04(NEW)'!Print_Titles</vt:lpstr>
      <vt:lpstr>'26.05(NEW)'!Print_Titles</vt:lpstr>
      <vt:lpstr>'26.06(NEW)'!Print_Titles</vt:lpstr>
      <vt:lpstr>'26.07(NEW)'!Print_Titles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user</cp:lastModifiedBy>
  <cp:lastPrinted>2026-10-07T07:06:37Z</cp:lastPrinted>
  <dcterms:created xsi:type="dcterms:W3CDTF">2018-08-08T06:36:45Z</dcterms:created>
  <dcterms:modified xsi:type="dcterms:W3CDTF">2026-10-21T05:33:40Z</dcterms:modified>
</cp:coreProperties>
</file>